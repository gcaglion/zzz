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chartsheets/sheet1.xml" ContentType="application/vnd.openxmlformats-officedocument.spreadsheetml.chartsheet+xml"/>
  <Override PartName="/xl/worksheets/sheet1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slicerCaches/slicerCache25.xml" ContentType="application/vnd.ms-excel.slicerCache+xml"/>
  <Override PartName="/xl/slicerCaches/slicerCache26.xml" ContentType="application/vnd.ms-excel.slicerCache+xml"/>
  <Override PartName="/xl/slicerCaches/slicerCache27.xml" ContentType="application/vnd.ms-excel.slicerCache+xml"/>
  <Override PartName="/xl/slicerCaches/slicerCache28.xml" ContentType="application/vnd.ms-excel.slicerCache+xml"/>
  <Override PartName="/xl/slicerCaches/slicerCache29.xml" ContentType="application/vnd.ms-excel.slicerCache+xml"/>
  <Override PartName="/xl/slicerCaches/slicerCache30.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slicers/slicer4.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5.xml" ContentType="application/vnd.openxmlformats-officedocument.spreadsheetml.pivotTable+xml"/>
  <Override PartName="/xl/drawings/drawing5.xml" ContentType="application/vnd.openxmlformats-officedocument.drawing+xml"/>
  <Override PartName="/xl/slicers/slicer5.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pivotTables/pivotTable6.xml" ContentType="application/vnd.openxmlformats-officedocument.spreadsheetml.pivotTable+xml"/>
  <Override PartName="/xl/drawings/drawing6.xml" ContentType="application/vnd.openxmlformats-officedocument.drawing+xml"/>
  <Override PartName="/xl/slicers/slicer6.xml" ContentType="application/vnd.ms-excel.slicer+xml"/>
  <Override PartName="/xl/pivotTables/pivotTable7.xml" ContentType="application/vnd.openxmlformats-officedocument.spreadsheetml.pivotTable+xml"/>
  <Override PartName="/xl/drawings/drawing7.xml" ContentType="application/vnd.openxmlformats-officedocument.drawing+xml"/>
  <Override PartName="/xl/slicers/slicer7.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8.xml" ContentType="application/vnd.openxmlformats-officedocument.spreadsheetml.pivotTable+xml"/>
  <Override PartName="/xl/drawings/drawing8.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tables/table4.xml" ContentType="application/vnd.openxmlformats-officedocument.spreadsheetml.table+xml"/>
  <Override PartName="/xl/queryTables/queryTable4.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gcaglion\dev\zzz\"/>
    </mc:Choice>
  </mc:AlternateContent>
  <bookViews>
    <workbookView xWindow="0" yWindow="0" windowWidth="28800" windowHeight="12630" activeTab="6"/>
  </bookViews>
  <sheets>
    <sheet name="MSE" sheetId="1" r:id="rId1"/>
    <sheet name="Run_TRS" sheetId="27" r:id="rId2"/>
    <sheet name="Run_TR" sheetId="28" r:id="rId3"/>
    <sheet name="Run_BASE" sheetId="29" r:id="rId4"/>
    <sheet name="TradeError" sheetId="23" r:id="rId5"/>
    <sheet name="TestEnvironment" sheetId="15" r:id="rId6"/>
    <sheet name="ClientInfo" sheetId="6" r:id="rId7"/>
    <sheet name="vXMLConfigs" sheetId="26" r:id="rId8"/>
    <sheet name="XMLconfigs" sheetId="24" r:id="rId9"/>
    <sheet name="Overview" sheetId="20" r:id="rId10"/>
    <sheet name="Fix_Engine_Scripts" sheetId="22" r:id="rId11"/>
    <sheet name="Internals-SCGD" sheetId="17" r:id="rId12"/>
    <sheet name="MSE_vs_Err" sheetId="13" r:id="rId13"/>
    <sheet name="MSE-Err_Chart" sheetId="14" r:id="rId14"/>
    <sheet name="Engine" sheetId="8" r:id="rId15"/>
  </sheets>
  <definedNames>
    <definedName name="Query_from_Algo" localSheetId="6" hidden="1">ClientInfo!$A$1:$P$4</definedName>
    <definedName name="Query_from_Algo" localSheetId="14" hidden="1">Engine!$A$1:$F$21</definedName>
    <definedName name="Query_from_Algo" localSheetId="7" hidden="1">vXMLConfigs!$A$1:$L$50</definedName>
    <definedName name="Query_from_Algo" localSheetId="8" hidden="1">XMLconfigs!$A$1:$G$3871</definedName>
    <definedName name="Slicer_BPALGO">#N/A</definedName>
    <definedName name="Slicer_CLIENTPID">#N/A</definedName>
    <definedName name="Slicer_CORE0USECONTEXT">#N/A</definedName>
    <definedName name="Slicer_COREID">#N/A</definedName>
    <definedName name="Slicer_COREID1">#N/A</definedName>
    <definedName name="Slicer_COREID2">#N/A</definedName>
    <definedName name="Slicer_ENGINEPID">#N/A</definedName>
    <definedName name="Slicer_FEATURE">#N/A</definedName>
    <definedName name="Slicer_FEATURE1">#N/A</definedName>
    <definedName name="Slicer_FEATURE11">#N/A</definedName>
    <definedName name="Slicer_LAYER">#N/A</definedName>
    <definedName name="Slicer_LAYER1">#N/A</definedName>
    <definedName name="Slicer_LAYER2">#N/A</definedName>
    <definedName name="Slicer_MAXEPOCHST">#N/A</definedName>
    <definedName name="Slicer_MSER">#N/A</definedName>
    <definedName name="Slicer_MSER1">#N/A</definedName>
    <definedName name="Slicer_MSER11">#N/A</definedName>
    <definedName name="Slicer_NETPROCESSID">#N/A</definedName>
    <definedName name="Slicer_PROCESSID">#N/A</definedName>
    <definedName name="Slicer_PROCESSID1">#N/A</definedName>
    <definedName name="Slicer_PROCESSID11">#N/A</definedName>
    <definedName name="Slicer_PROCESSID111">#N/A</definedName>
    <definedName name="Slicer_PROCESSID3">#N/A</definedName>
    <definedName name="Slicer_SAMPLELENT">#N/A</definedName>
    <definedName name="Slicer_SESSIONID">#N/A</definedName>
    <definedName name="Slicer_SIMULATIONID">#N/A</definedName>
    <definedName name="Slicer_SOURCETSID3">#N/A</definedName>
    <definedName name="Slicer_THREADID">#N/A</definedName>
    <definedName name="Slicer_THREADID1">#N/A</definedName>
    <definedName name="Slicer_THREADID11">#N/A</definedName>
  </definedNames>
  <calcPr calcId="152511"/>
  <pivotCaches>
    <pivotCache cacheId="0" r:id="rId16"/>
    <pivotCache cacheId="1" r:id="rId17"/>
    <pivotCache cacheId="2" r:id="rId18"/>
    <pivotCache cacheId="3" r:id="rId19"/>
    <pivotCache cacheId="4" r:id="rId20"/>
    <pivotCache cacheId="5" r:id="rId21"/>
  </pivotCaches>
  <extLst>
    <ext xmlns:x14="http://schemas.microsoft.com/office/spreadsheetml/2009/9/main" uri="{BBE1A952-AA13-448e-AADC-164F8A28A991}">
      <x14:slicerCaches>
        <x14:slicerCache r:id="rId22"/>
        <x14:slicerCache r:id="rId23"/>
        <x14:slicerCache r:id="rId24"/>
        <x14:slicerCache r:id="rId25"/>
        <x14:slicerCache r:id="rId26"/>
        <x14:slicerCache r:id="rId27"/>
        <x14:slicerCache r:id="rId28"/>
        <x14:slicerCache r:id="rId29"/>
        <x14:slicerCache r:id="rId30"/>
        <x14:slicerCache r:id="rId31"/>
        <x14:slicerCache r:id="rId32"/>
        <x14:slicerCache r:id="rId33"/>
        <x14:slicerCache r:id="rId34"/>
        <x14:slicerCache r:id="rId35"/>
        <x14:slicerCache r:id="rId36"/>
        <x14:slicerCache r:id="rId37"/>
        <x14:slicerCache r:id="rId38"/>
        <x14:slicerCache r:id="rId39"/>
        <x14:slicerCache r:id="rId40"/>
        <x14:slicerCache r:id="rId41"/>
        <x14:slicerCache r:id="rId42"/>
        <x14:slicerCache r:id="rId43"/>
        <x14:slicerCache r:id="rId44"/>
        <x14:slicerCache r:id="rId45"/>
        <x14:slicerCache r:id="rId46"/>
        <x14:slicerCache r:id="rId47"/>
        <x14:slicerCache r:id="rId48"/>
        <x14:slicerCache r:id="rId49"/>
        <x14:slicerCache r:id="rId50"/>
        <x14:slicerCache r:id="rId5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1" i="1" l="1"/>
  <c r="E1" i="23"/>
  <c r="D1" i="23"/>
  <c r="C1" i="23"/>
  <c r="B1" i="23"/>
  <c r="H1" i="27"/>
  <c r="H1" i="29"/>
  <c r="H1" i="28"/>
  <c r="D23" i="22" l="1"/>
  <c r="E23" i="22"/>
  <c r="F23" i="22"/>
  <c r="G23" i="22"/>
  <c r="D22" i="22"/>
  <c r="E22" i="22"/>
  <c r="F22" i="22"/>
  <c r="G22" i="22"/>
  <c r="D21" i="22"/>
  <c r="E21" i="22"/>
  <c r="F21" i="22"/>
  <c r="G21" i="22"/>
  <c r="D20" i="22"/>
  <c r="E20" i="22"/>
  <c r="F20" i="22"/>
  <c r="G20" i="22"/>
  <c r="F2" i="1"/>
  <c r="G19" i="22" l="1"/>
  <c r="G18" i="22"/>
  <c r="G17" i="22"/>
  <c r="G16" i="22"/>
  <c r="G15" i="22"/>
  <c r="G14" i="22"/>
  <c r="G13" i="22"/>
  <c r="G12" i="22"/>
  <c r="G11" i="22"/>
  <c r="G10" i="22"/>
  <c r="G9" i="22"/>
  <c r="G8" i="22"/>
  <c r="G7" i="22"/>
  <c r="G6" i="22"/>
  <c r="G5" i="22"/>
  <c r="G4" i="22"/>
  <c r="F19" i="22"/>
  <c r="F18" i="22"/>
  <c r="F17" i="22"/>
  <c r="F16" i="22"/>
  <c r="F15" i="22"/>
  <c r="F14" i="22"/>
  <c r="F13" i="22"/>
  <c r="F12" i="22"/>
  <c r="F11" i="22"/>
  <c r="F10" i="22"/>
  <c r="F9" i="22"/>
  <c r="F8" i="22"/>
  <c r="F7" i="22"/>
  <c r="F6" i="22"/>
  <c r="F5" i="22"/>
  <c r="F4" i="22"/>
  <c r="E19" i="22"/>
  <c r="E18" i="22"/>
  <c r="E17" i="22"/>
  <c r="E16" i="22"/>
  <c r="E15" i="22"/>
  <c r="E14" i="22"/>
  <c r="E13" i="22"/>
  <c r="E12" i="22"/>
  <c r="E11" i="22"/>
  <c r="E10" i="22"/>
  <c r="E9" i="22"/>
  <c r="E8" i="22"/>
  <c r="E7" i="22"/>
  <c r="E6" i="22"/>
  <c r="E5" i="22"/>
  <c r="E4" i="22"/>
  <c r="E3" i="22"/>
  <c r="D19" i="22"/>
  <c r="D18" i="22"/>
  <c r="D17" i="22"/>
  <c r="D16" i="22"/>
  <c r="D15" i="22"/>
  <c r="D14" i="22"/>
  <c r="D13" i="22"/>
  <c r="D12" i="22"/>
  <c r="D11" i="22"/>
  <c r="D10" i="22"/>
  <c r="D9" i="22"/>
  <c r="D8" i="22"/>
  <c r="D7" i="22"/>
  <c r="D6" i="22"/>
  <c r="D5" i="22"/>
  <c r="D4" i="22"/>
  <c r="D3" i="22"/>
  <c r="G3" i="22" l="1"/>
  <c r="F3" i="22"/>
  <c r="E19" i="15" l="1"/>
  <c r="B5" i="15" l="1"/>
  <c r="B4" i="15"/>
  <c r="B3" i="15"/>
</calcChain>
</file>

<file path=xl/connections.xml><?xml version="1.0" encoding="utf-8"?>
<connections xmlns="http://schemas.openxmlformats.org/spreadsheetml/2006/main">
  <connection id="1" name="Q_ClientInfo" type="1" refreshedVersion="5" savePassword="1" background="1" saveData="1">
    <dbPr connection="DSN=Algo;UID=LogUser;PWD=LogPwd;DBQ=ALGO;DBA=W;APA=T;EXC=F;FEN=T;QTO=T;FRC=10;FDL=10;LOB=T;RST=T;BTD=F;BNF=F;BAM=IfAllSuccessful;NUM=NLS;DPM=F;MTS=T;MDI=F;CSR=F;FWC=F;FBS=64000;TLO=O;MLD=0;ODA=F;STE=F;TSZ=8192;AST=FLOAT;" command="select * from clientinfo order by clientstart"/>
  </connection>
  <connection id="2" name="Q_Engine" type="1" refreshedVersion="5" savePassword="1" background="1" saveData="1">
    <dbPr connection="DSN=Algo;UID=LogUser;PWD=LogPwd;DBQ=ALGO;DBA=W;APA=T;EXC=F;FEN=T;QTO=T;FRC=10;FDL=10;LOB=T;RST=T;BTD=F;BNF=F;BAM=IfAllSuccessful;NUM=NLS;DPM=F;MTS=T;MDI=F;CSR=F;FWC=F;FBS=64000;TLO=O;MLD=0;ODA=F;STE=F;TSZ=8192;AST=FLOAT;" command="select _x000d__x000a_e.ProcessId, _x000d__x000a_decode(e.EngineType,0,'XIE',1,'WNN',2,'CUSTOM','UNKNOWN') &quot;ENGINE_TYPE&quot;,_x000d__x000a_ec.CoreId, _x000d__x000a_decode(ec.CoreType,0,'NN',1,'GA',2,'SVM',3,'SOM',9,'DUMB','UNKNOWN') &quot;CORE_TYPE&quot;,_x000d__x000a_cl.ParentCoreId,_x000d__x000a_decode(cl.ParentConnType,0,'DENSE',1,'LINEAR',2,'TRANSFORM','UNKNOWN') &quot;CONN_TYPE&quot;_x000d__x000a_from Engines e, EngineCores ec, CoreLayouts cl where _x000d__x000a_ec.EnginePid=e.ProcessId and_x000d__x000a_cl.EnginePid(+)=e.ProcessId and cl.CoreId(+)=ec.CoreId_x000d__x000a_order by 1,3,5"/>
  </connection>
  <connection id="3" name="Q_MSE" type="1" refreshedVersion="5" savePassword="1" saveData="1">
    <dbPr connection="DSN=Algo;UID=LogUser;PWD=LogPwd;DBQ=ALGO;DBA=W;APA=T;EXC=F;FEN=T;QTO=T;FRC=10;FDL=10;LOB=T;RST=T;BTD=F;BNF=F;BAM=IfAllSuccessful;NUM=NLS;DPM=F;MTS=T;MDI=F;CSR=F;FWC=F;FBS=64000;TLO=O;MLD=0;ODA=F;STE=F;TSZ=8192;AST=FLOAT;" command="select ci.simulationid,tl.processid,tl.threadid,tl.epoch,tl.duration, tl.mse_t,tl.mse_v from clientinfo ci,trainlog tl where ci.processid=tl.processid order by 2,3,4"/>
  </connection>
  <connection id="4" name="Q_MSE_vs_Error" type="1" refreshedVersion="5" savePassword="1" saveData="1">
    <dbPr connection="DSN=Algo;UID=LogUser;PWD=LogPwd;DBQ=ALGO;DBA=W;APA=T;EXC=F;FEN=T;QTO=T;FRC=10;FDL=10;LOB=T;RST=T;BTD=F;BNF=F;BAM=IfAllSuccessful;NUM=NLS;DPM=F;MTS=T;MDI=F;CSR=F;FWC=F;FBS=64000;TLO=O;MLD=0;ODA=F;STE=F;TSZ=8192;AST=FLOAT;" command="select_x000d__x000a_lm.processid TrainPid, lm.threadId TrainTid, cit.SimulationId, cit.SimulationStartTrain TrainDate0, lm.lastMSE TrainMSE,_x000d__x000a_substr(_x000d__x000a__x0009_cit.enginexmlfile,_x000d__x000a__x0009_instr(cit.enginexmlfile,'/',-1)+1,_x000d__x000a__x0009_length(cit.enginexmlfile)-instr(cit.enginexmlfile,'/',-1)_x000d__x000a_) &quot;Engine&quot;,_x000d__x000a_substr(_x000d__x000a__x0009_cit.shapexmlfile,_x000d__x000a__x0009_instr(cit.shapexmlfile,'/',-1)+1,_x000d__x000a__x0009_length(cit.shapexmlfile)-instr(cit.shapexmlfile,'/',-1)_x000d__x000a_) &quot;Shape&quot;,_x000d__x000a_substr(_x000d__x000a__x0009_cit.Actionxmlfile,_x000d__x000a__x0009_instr(cit.Actionxmlfile,'/',-1)+1,_x000d__x000a__x0009_length(cit.Actionxmlfile)-instr(cit.Actionxmlfile,'/',-1)_x000d__x000a_) &quot;TrainDS&quot;,_x000d__x000a_decode(cpnn.BPalgo,0,'STD',1,'QING',2,'RPROP',3,'QUICKPROP',4,'SCGD',5,'LM','UNKNOWN') BPalgo,_x000d__x000a_decode(cit.SimulationStartTrain, rs.LastDate,'INS','OOS') RunType,_x000d__x000a_rs.processid InferPid, rs.threadId InferTid, rs.LastDate InferDate0, rs.avgBarWidth, rs.avgError, rs.mse RunMSE_x000d__x000a_from vLastMSE lm, ClientInfo cit, vRunStats rs, coreNNparms cpnn_x000d__x000a_where_x000d__x000a_cpnn.processid(+)=lm.processid and_x000d__x000a_cpnn.threadid(+)=lm.threadid and_x000d__x000a_lm.processId=cit.processId and_x000d__x000a_lm.processId=rs.NetProcessId_x000d__x000a_and cit.simulationStartTrain is not null_x000d__x000a_--and lm.threadId=rs.NetThreadId_x000d__x000a_order by 1,2,5;"/>
  </connection>
  <connection id="5" name="Q_Overview" type="1" refreshedVersion="5" savePassword="1" saveData="1">
    <dbPr connection="DSN=Algo;UID=LogUser;PWD=LogPwd;DBQ=ALGO;DBA=W;APA=T;EXC=F;FEN=T;QTO=T;FRC=10;FDL=10;LOB=T;RST=T;BTD=F;BNF=F;BAM=IfAllSuccessful;NUM=NLS;DPM=F;MTS=T;MDI=F;CSR=F;FWC=F;FBS=64000;TLO=O;MLD=0;ODA=F;STE=F;TSZ=8192;AST=FLOAT;" command="select_x000d__x000a_cit.simulationid,_x000d__x000a_cit.processid TrainPid,_x000d__x000a_substr(_x000d__x000a__x0009_cit.enginexmlfile,_x000d__x000a__x0009_instr(cit.enginexmlfile,'/',-1)+1,_x000d__x000a__x0009_length(cit.enginexmlfile)-instr(cit.enginexmlfile,'/',-1)_x000d__x000a_) &quot;Engine&quot;,_x000d__x000a_substr(_x000d__x000a__x0009_cit.Actionxmlfile,_x000d__x000a__x0009_instr(cit.Actionxmlfile,'/',-1)+1,_x000d__x000a__x0009_length(cit.Actionxmlfile)-instr(cit.Actionxmlfile,'/',-1)_x000d__x000a_) &quot;TrainDS&quot;,_x000d__x000a_decode(cpnn.BPalgo,0,'STD',1,'QING',2,'RPROP',3,'QUICKPROP',4,'SCGD',5,'LM','UNKNOWN') BPalgo,_x000d__x000a_cir.processid InferPid,_x000d__x000a_substr(_x000d__x000a__x0009_cir.Actionxmlfile,_x000d__x000a__x0009_instr(cir.Actionxmlfile,'/',-1)+1,_x000d__x000a__x0009_length(cir.Actionxmlfile)-instr(cir.Actionxmlfile,'/',-1)_x000d__x000a_) &quot;InferDS&quot;,_x000d__x000a_lm.LastEpoch+1 &quot;ActualEpochs&quot;, lm.lastMSE &quot;TrainMSE&quot;,_x000d__x000a_rs.sourceTSId, rs.feature, rs.avgError, rs.avgBarWidth,_x000d__x000a_decode(cit.SimulationStartTrain, rs.LastDate,'INS','OOS') RunType,_x000d__x000a_xt.historyLen historylenT, xt.topology, xt.MaxEpochs MaxEpochsT, xt.maxK MaxKT, xt.sampleLen samplelenT, xt.date0 date0T, xt.Symbol0 symbol0T, xt.Symbol1 symbol1T, xt.Symbol2 symbol2T, xt.timeframe timeframeT, xt.datatransformation DataTransformationT,_x000d__x000a_xi.historyLen historylenI, xi.topology, xi.MaxEpochs MaxEpochsI, xi.sampleLen samplelenI, xi.date0 date0I, xi.Symbol0 symbol0I, xi.Symbol1 symbol1I, xi.Symbol2 symbol2I, xi.timeframe timeframeI, xi.datatransformation DataTransformationI, xt.Core0UseContext, xt.TimeSeriesCount_x000d__x000a_from clientinfo cit, clientinfo cir, vrunstats rs, vLastMSE lm, coreNNparms cpnn, vXMLConfig xt, vXMLConfig xi _x000d__x000a_where _x000d__x000a_cpnn.processid(+)=lm.processid and_x000d__x000a_cpnn.threadid(+)=lm.threadid and_x000d__x000a_cir.processid=rs.processid_x000d__x000a_and cit.processid=rs.netprocessid_x000d__x000a_and lm.processId=rs.NetProcessId_x000d__x000a_and xt.processid=rs.NetProcessId_x000d__x000a_and xi.processid=rs.ProcessId"/>
  </connection>
  <connection id="6" name="Q_Run" type="1" refreshedVersion="5" savePassword="1" saveData="1">
    <dbPr connection="DSN=Algo;UID=LogUser;PWD=LogPwd;DBQ=ALGO;DBA=W;APA=T;EXC=F;FEN=T;QTO=T;FRC=10;FDL=10;LOB=T;RST=T;BTD=F;BNF=F;BAM=IfAllSuccessful;NUM=NLS;DPM=F;MTS=T;MDI=F;CSR=F;FWC=F;FBS=6400000;TLO=O;MLD=0;ODA=F;STE=F;TSZ=8192;AST=FLOAT;" command="select r.processid, threadid, netprocessid, netthreadid, pos, poslabel, feature, _x000d__x000a_actualtrs, predictedtrs, errortrs, _x000d__x000a_actualtr, predictedtr, errortr,_x000d__x000a_actualbase,predictedbase,errorbase, mseR _x000d__x000a_from runlog r, clientinfo c where r.processid=c.processid and c.simulationid=? order by r.processid, threadid, pos, feature"/>
    <parameters count="1">
      <parameter name="Parameter1" prompt="Parameter1"/>
    </parameters>
  </connection>
  <connection id="7" name="Q_Run_New" type="1" refreshedVersion="5" savePassword="1" saveData="1">
    <dbPr connection="DSN=Algo;UID=LogUser;PWD=LogPwd;DBQ=ALGO;DBA=W;APA=T;EXC=F;FEN=T;QTO=T;FRC=10;FDL=10;LOB=T;RST=T;BTD=F;BNF=F;BAM=IfAllSuccessful;NUM=NLS;DPM=F;MTS=T;MDI=F;CSR=F;FWC=F;FBS=64000000000;TLO=O;MLD=0;ODA=F;STE=F;TSZ=8192;AST=FLOAT;" command="select rl.processid, rl.threadid, _x000d__x000a_netprocessid, netthreadid, ec.coreid, ec.layer, mser, pos, poslabel, feature, _x000d__x000a_actualtrs, predictedtrs, abs(actualtrs-predictedtrs) errortrs, _x000d__x000a_actualtr, predictedtr, abs(actualtr-predictedtr) errortr, _x000d__x000a_actualbase, predictedbase, abs(actualbase-predictedbase) errorbase_x000d__x000a_from runlog rl, enginecores ec, clientinfo ci_x000d__x000a_where rl.processid=ci.processid and _x000d__x000a_rl.netprocessid=ec.enginepid and_x000d__x000a_rl.netthreadid=ec.corethreadid and_x000d__x000a_ci.simulationid=?"/>
    <parameters count="1">
      <parameter name="Parameter1" prompt="Parameter1"/>
    </parameters>
  </connection>
  <connection id="8" name="Q_SCGD" type="1" refreshedVersion="5" savePassword="1" saveData="1">
    <dbPr connection="DSN=Algo;UID=LogUser;PWD=LogPwd;DBQ=ALGO;DBA=W;APA=T;EXC=F;FEN=T;QTO=T;FRC=10;FDL=10;LOB=T;RST=T;BTD=F;BNF=F;BAM=IfAllSuccessful;NUM=NLS;DPM=F;MTS=T;MDI=F;CSR=F;FWC=F;FBS=64000;TLO=O;MLD=0;ODA=F;STE=F;TSZ=8192;AST=FLOAT;" command="SELECT *_x000d__x000a_FROM LOGUSER.CORENNINTERNALSSCGD CORENNINTERNALSSCGD"/>
  </connection>
  <connection id="9" name="Q_TradeInfo" type="1" refreshedVersion="5" savePassword="1" saveData="1">
    <dbPr connection="DSN=Algo;UID=LogUser;PWD=LogPwd;DBQ=ALGO;DBA=W;APA=T;EXC=F;FEN=T;QTO=T;FRC=10;FDL=10;LOB=T;RST=T;BTD=F;BNF=F;BAM=IfAllSuccessful;NUM=NLS;DPM=F;MTS=T;MDI=F;CSR=F;FWC=F;FBS=64000;TLO=O;MLD=0;ODA=F;STE=F;TSZ=8192;AST=FLOAT;" command="select clientpid,sessionid,ticketid,enginepid, _x000d__x000a_--_x000d__x000a_lastBarT, _x000d__x000a_decode(sessionid, lag(sessionid) over(order by sessionid,ticketid),_x000d__x000a_lag(OpenTime) over(order by sessionid,ticketid), NULL) forecastT_prev,_x000d__x000a_--_x000d__x000a_lastBarO, _x000d__x000a_decode(sessionid, lag(sessionid) over(order by sessionid,ticketid),_x000d__x000a_lag(forecastO) over(order by sessionid,ticketid), NULL) forecastO_prev,_x000d__x000a_decode(sessionid, lag(sessionid) over(order by sessionid,ticketid),_x000d__x000a_abs(lastBarO-lag(forecastO) over(order by sessionid,ticketid)), NULL) errO,_x000d__x000a_--_x000d__x000a_lastBarH, _x000d__x000a_decode(sessionid, lag(sessionid) over(order by sessionid,ticketid),_x000d__x000a_lag(forecastH) over(order by sessionid,ticketid), NULL) forecastH_prev,_x000d__x000a_decode(sessionid, lag(sessionid) over(order by sessionid,ticketid),_x000d__x000a_abs(lastBarH-lag(forecastH) over(order by sessionid,ticketid)), NULL) errH,_x000d__x000a_--_x000d__x000a_lastBarL, _x000d__x000a_decode(sessionid, lag(sessionid) over(order by sessionid,ticketid),_x000d__x000a_lag(forecastL) over(order by sessionid,ticketid), NULL) forecastL_prev,_x000d__x000a_decode(sessionid, lag(sessionid) over(order by sessionid,ticketid),_x000d__x000a_abs(lastBarL-lag(forecastL) over(order by sessionid,ticketid)), NULL) errL,_x000d__x000a_--_x000d__x000a_lastBarC, _x000d__x000a_decode(sessionid, lag(sessionid) over(order by sessionid,ticketid),_x000d__x000a_lag(forecastC) over(order by sessionid,ticketid), NULL) forecastC_prev,_x000d__x000a_decode(sessionid, lag(sessionid) over(order by sessionid,ticketid),_x000d__x000a_abs(lastBarC-lag(forecastC) over(order by sessionid,ticketid)), NULL) errC,_x000d__x000a_--_x000d__x000a_lastBarV, _x000d__x000a_decode(sessionid, lag(sessionid) over(order by sessionid,ticketid),_x000d__x000a_lag(forecastV) over(order by sessionid,ticketid), NULL) forecastV_prev,_x000d__x000a_decode(sessionid, lag(sessionid) over(order by sessionid,ticketid),_x000d__x000a_abs(lastBarV-lag(forecastV) over(order by sessionid,ticketid)), NULL) errV,_x000d__x000a_--_x000d__x000a_(lastBarH-lastBarL) lastBarW_x000d__x000a_--_x000d__x000a_from tradeinfo _x000d__x000a_--where rownum&lt;50_x000d__x000a_order by clientpid,sessionid,ticketid;"/>
  </connection>
  <connection id="10" name="Q_vXMLconfigs" type="1" refreshedVersion="5" savePassword="1" background="1" saveData="1">
    <dbPr connection="DSN=Algo;UID=LogUser;PWD=LogPwd;DBQ=ALGO;DBA=W;APA=T;EXC=F;FEN=T;QTO=T;FRC=10;FDL=10;LOB=T;RST=T;BTD=F;BNF=F;BAM=IfAllSuccessful;NUM=NLS;DPM=F;MTS=T;MDI=F;CSR=F;FWC=F;FBS=64000;TLO=O;MLD=0;ODA=F;STE=F;TSZ=8192;AST=FLOAT;" command="select * from vxmlconfig"/>
  </connection>
  <connection id="11" name="Q_XMLconfig" type="1" refreshedVersion="5" savePassword="1" background="1" saveData="1">
    <dbPr connection="DSN=Algo;UID=LogUser;PWD=LogPwd;DBQ=ALGO;DBA=W;APA=T;EXC=F;FEN=T;QTO=T;FRC=10;FDL=10;LOB=T;RST=T;BTD=F;BNF=F;BAM=IfAllSuccessful;NUM=NLS;DPM=F;MTS=T;MDI=F;CSR=F;FWC=F;FBS=64000;TLO=O;MLD=0;ODA=F;STE=F;TSZ=8192;AST=FLOAT;" command="select * from xmlconfigs order by 1,2,3,4,5"/>
  </connection>
  <connection id="12" name="Q_XMLconfig1" type="1" refreshedVersion="5" savePassword="1" background="1" saveData="1">
    <dbPr connection="DSN=Algo;UID=LogUser;PWD=LogPwd;DBQ=ALGO;DBA=W;APA=T;EXC=F;FEN=T;QTO=T;FRC=10;FDL=10;LOB=T;RST=T;BTD=F;BNF=F;BAM=IfAllSuccessful;NUM=NLS;DPM=F;MTS=T;MDI=F;CSR=F;FWC=F;FBS=64000;TLO=O;MLD=0;ODA=F;STE=F;TSZ=8192;AST=FLOAT;" command="select * from xmlconfigs order by 1,2,3,4,5"/>
  </connection>
  <connection id="13" name="Query from Algo" type="1" refreshedVersion="5" savePassword="1" saveData="1">
    <dbPr connection="DSN=Algo;UID=LogUser;PWD=LogPwd;DBQ=ALGO;DBA=W;APA=T;EXC=F;FEN=T;QTO=T;FRC=10;FDL=10;LOB=T;RST=T;BTD=F;BNF=F;BAM=IfAllSuccessful;NUM=NLS;DPM=F;MTS=T;MDI=F;CSR=F;FWC=F;FBS=64000;TLO=O;MLD=0;ODA=F;STE=F;TSZ=8192;AST=FLOAT;" command="select_x000d__x000a_lm.processid TrainPid, lm.threadId TrainTid, cit.SimulationId, cit.SimulationStartTrain TrainDate0, lm.lastMSE TrainMSE,_x000d__x000a_rs.processid InferPid, rs.threadId InferTid, rs.LastDate InferDate0, rs.avgBarWidth, rs.avgError, rs.mse RunMSE,_x000d__x000a_substr(_x000d__x000a__x0009_cit.enginexmlfile,_x000d__x000a__x0009_instr(cit.enginexmlfile,'/',-1)+1,_x000d__x000a__x0009_length(cit.enginexmlfile)-instr(cit.enginexmlfile,'/',-1)_x000d__x000a_) &quot;Engine&quot;,_x000d__x000a_substr(_x000d__x000a__x0009_cit.shapexmlfile,_x000d__x000a__x0009_instr(cit.shapexmlfile,'/',-1)+1,_x000d__x000a__x0009_length(cit.shapexmlfile)-instr(cit.shapexmlfile,'/',-1)_x000d__x000a_) &quot;Shape&quot;,_x000d__x000a_substr(_x000d__x000a__x0009_cit.Actionxmlfile,_x000d__x000a__x0009_instr(cit.Actionxmlfile,'/',-1)+1,_x000d__x000a__x0009_length(cit.Actionxmlfile)-instr(cit.Actionxmlfile,'/',-1)_x000d__x000a_) &quot;trainDS&quot;,_x000d__x000a_substr(_x000d__x000a__x0009_cir.Actionxmlfile,_x000d__x000a__x0009_instr(cir.Actionxmlfile,'/',-1)+1,_x000d__x000a__x0009_length(cir.Actionxmlfile)-instr(cir.Actionxmlfile,'/',-1)_x000d__x000a_) &quot;inferDS&quot;,_x000d__x000a_decode(cir.SimulationStartTrain, rs.LastDate,'INS','OOS') RunType,_x000d__x000a_decode(cpnn.BPalgo,0,'STD',1,'QING',2,'RPROP',3,'QUICKPROP',4,'SCGD',5,'LM','UNKNOWN') BPalgo_x000d__x000a_from vLastMSE lm, ClientInfo cit, ClientInfo cir, vRunStats rs, coreNNparms cpnn_x000d__x000a_where_x000d__x000a_cpnn.processid(+)=lm.processid and_x000d__x000a_cpnn.threadid(+)=lm.threadid and_x000d__x000a_lm.processId=cit.processId and_x000d__x000a_lm.processId=cir.processId and_x000d__x000a_lm.processId=rs.NetProcessId_x000d__x000a_and cit.simulationStartTrain is not null_x000d__x000a_and cir.simulationStartInfer is not null_x000d__x000a_--and lm.threadId=rs.NetThreadId_x000d__x000a_order by 1,2,5"/>
  </connection>
</connections>
</file>

<file path=xl/sharedStrings.xml><?xml version="1.0" encoding="utf-8"?>
<sst xmlns="http://schemas.openxmlformats.org/spreadsheetml/2006/main" count="8303" uniqueCount="459">
  <si>
    <t>Row Labels</t>
  </si>
  <si>
    <t>Grand Total</t>
  </si>
  <si>
    <t>Training</t>
  </si>
  <si>
    <t>PROCESSID</t>
  </si>
  <si>
    <t>CLIENTNAME</t>
  </si>
  <si>
    <t>CLIENTSTART</t>
  </si>
  <si>
    <t>DURATION</t>
  </si>
  <si>
    <t>DOTRAINING</t>
  </si>
  <si>
    <t>DOTRAINRUN</t>
  </si>
  <si>
    <t>DOTESTRUN</t>
  </si>
  <si>
    <t>Root.Tester</t>
  </si>
  <si>
    <t>SIMULATIONSTARTTRAIN</t>
  </si>
  <si>
    <t>SIMULATIONSTARTINFER</t>
  </si>
  <si>
    <t>SIMULATIONSTARTVALID</t>
  </si>
  <si>
    <t>SIMULATIONID</t>
  </si>
  <si>
    <t>Final MSE:</t>
  </si>
  <si>
    <t>COREID</t>
  </si>
  <si>
    <t>PARENTCOREID</t>
  </si>
  <si>
    <t>CUSTOM</t>
  </si>
  <si>
    <t>NN</t>
  </si>
  <si>
    <t>ENGINE_TYPE</t>
  </si>
  <si>
    <t>CORE_TYPE</t>
  </si>
  <si>
    <t>CONN_TYPE</t>
  </si>
  <si>
    <t>UNKNOWN</t>
  </si>
  <si>
    <t>Average of ACTUALTRS</t>
  </si>
  <si>
    <t>Average of PREDICTEDTRS</t>
  </si>
  <si>
    <t>Average of ERRORTRS</t>
  </si>
  <si>
    <t>Configuration Set:</t>
  </si>
  <si>
    <t>Action:</t>
  </si>
  <si>
    <t>Command:</t>
  </si>
  <si>
    <t>Infer</t>
  </si>
  <si>
    <t>Average of AVGERROR</t>
  </si>
  <si>
    <t>TRAINPID</t>
  </si>
  <si>
    <t>INFERDATE0</t>
  </si>
  <si>
    <t>trainDS1</t>
  </si>
  <si>
    <t>engine1</t>
  </si>
  <si>
    <t>engine2</t>
  </si>
  <si>
    <t>engine3</t>
  </si>
  <si>
    <t>trainDS2</t>
  </si>
  <si>
    <t>trainDS3</t>
  </si>
  <si>
    <t>Client.xml</t>
  </si>
  <si>
    <t>Root Config Path:</t>
  </si>
  <si>
    <t>Common Client File:</t>
  </si>
  <si>
    <t>Config\</t>
  </si>
  <si>
    <t>DataSets root Path:</t>
  </si>
  <si>
    <t>Engines root Path:</t>
  </si>
  <si>
    <t>inferDS1</t>
  </si>
  <si>
    <t>inferDS2</t>
  </si>
  <si>
    <t>inferDS3</t>
  </si>
  <si>
    <t>2015-400</t>
  </si>
  <si>
    <t>2016-400</t>
  </si>
  <si>
    <t>trainDS4</t>
  </si>
  <si>
    <t>dataShape1</t>
  </si>
  <si>
    <t>100-3</t>
  </si>
  <si>
    <t>dataShape2</t>
  </si>
  <si>
    <t>trainDS5</t>
  </si>
  <si>
    <t>trainDS6</t>
  </si>
  <si>
    <t>DataShapes root Path:</t>
  </si>
  <si>
    <t>dataShape3</t>
  </si>
  <si>
    <t>Wholes</t>
  </si>
  <si>
    <t>Column Labels</t>
  </si>
  <si>
    <t>trainDS9</t>
  </si>
  <si>
    <t>trainDS7</t>
  </si>
  <si>
    <t>trainDS8</t>
  </si>
  <si>
    <t>2014-2000</t>
  </si>
  <si>
    <t>2014-4000</t>
  </si>
  <si>
    <t>2015-2000</t>
  </si>
  <si>
    <t>2016-2000</t>
  </si>
  <si>
    <t>2015-4000</t>
  </si>
  <si>
    <t>2016-4000</t>
  </si>
  <si>
    <t>2014-8000</t>
  </si>
  <si>
    <t>2015-8000</t>
  </si>
  <si>
    <t>2016-8000</t>
  </si>
  <si>
    <t>1 CoreNN, (2), Ctx, BPStd, 1000 Epochs</t>
  </si>
  <si>
    <t>1 CoreNN, (1-1-0.5), Ctx, BPStd, 500 Epochs</t>
  </si>
  <si>
    <t>1 CoreNN, (2-2-1), Ctx, BPStd, 200 Epochs</t>
  </si>
  <si>
    <t>inferDS4</t>
  </si>
  <si>
    <t>inferDS5</t>
  </si>
  <si>
    <t>inferDS6</t>
  </si>
  <si>
    <t>inferDS7</t>
  </si>
  <si>
    <t>inferDS8</t>
  </si>
  <si>
    <t>inferDS9</t>
  </si>
  <si>
    <t>2014-200</t>
  </si>
  <si>
    <t>2015-200</t>
  </si>
  <si>
    <t>2016-200</t>
  </si>
  <si>
    <t>2014-400</t>
  </si>
  <si>
    <t>2014-800</t>
  </si>
  <si>
    <t>2015-800</t>
  </si>
  <si>
    <t>2016-800</t>
  </si>
  <si>
    <t>20-3</t>
  </si>
  <si>
    <t>50-3</t>
  </si>
  <si>
    <t>INS</t>
  </si>
  <si>
    <t>CLIENTXMLFILE</t>
  </si>
  <si>
    <t>SHAPEXMLFILE</t>
  </si>
  <si>
    <t>ENGINEXMLFILE</t>
  </si>
  <si>
    <t>ACTIONXMLFILE</t>
  </si>
  <si>
    <t>(All)</t>
  </si>
  <si>
    <t>Average of RUNMSE</t>
  </si>
  <si>
    <t>Error</t>
  </si>
  <si>
    <t>050</t>
  </si>
  <si>
    <t>insert into Engines</t>
  </si>
  <si>
    <t>insert into EngineCores</t>
  </si>
  <si>
    <t>TrainPid</t>
  </si>
  <si>
    <t>SampleLen</t>
  </si>
  <si>
    <t>100</t>
  </si>
  <si>
    <t>200</t>
  </si>
  <si>
    <t>insert into CoreLoggerParms</t>
  </si>
  <si>
    <t>insert into DBConnections</t>
  </si>
  <si>
    <t>THREADID</t>
  </si>
  <si>
    <t>FILEID</t>
  </si>
  <si>
    <t>PARMID</t>
  </si>
  <si>
    <t>PARMDESC</t>
  </si>
  <si>
    <t>PARMVAL</t>
  </si>
  <si>
    <t>RootObj/clientCfg/rootKey/Client/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</si>
  <si>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LogUser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</si>
  <si>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</si>
  <si>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LogPw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</si>
  <si>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</si>
  <si>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Algo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</si>
  <si>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</si>
  <si>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OraDa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</si>
  <si>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</si>
  <si>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ru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</si>
  <si>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</si>
  <si>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fal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</si>
  <si>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saveClie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</si>
  <si>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istory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</si>
  <si>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istoryPw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</si>
  <si>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EURUS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</si>
  <si>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</si>
  <si>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</si>
  <si>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Data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</si>
  <si>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Debugger/FileOutpu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</si>
  <si>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</si>
  <si>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</si>
  <si>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</si>
  <si>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FileData/Clie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</si>
  <si>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Client.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</si>
  <si>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FileData/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</si>
  <si>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MSE.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</si>
  <si>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FileData/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</si>
  <si>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Run.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</si>
  <si>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FileData/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</si>
  <si>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Internals.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</si>
  <si>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FileData/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</si>
  <si>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Image.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</si>
  <si>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save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</si>
  <si>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save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</si>
  <si>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save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</si>
  <si>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save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</si>
  <si>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</si>
  <si>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</si>
  <si>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</si>
  <si>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BatchSample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</si>
  <si>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</si>
  <si>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FXOPEN,FXHIGH,FXLOW,FXCLO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</si>
  <si>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</si>
  <si>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</si>
  <si>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</si>
  <si>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</si>
  <si>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Debugger/FileOutpu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</si>
  <si>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</si>
  <si>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</si>
  <si>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</si>
  <si>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FileData/Clie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</si>
  <si>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FileData/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</si>
  <si>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FileData/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</si>
  <si>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FileData/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</si>
  <si>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FileData/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</si>
  <si>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save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</si>
  <si>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save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</si>
  <si>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save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</si>
  <si>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save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</si>
  <si>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</si>
  <si>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</si>
  <si>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</si>
  <si>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BatchSample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</si>
  <si>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</si>
  <si>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</si>
  <si>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_N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</si>
  <si>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</si>
  <si>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</si>
  <si>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NN_ACTIVATION_TANH,NN_ACTIVATION_TANH,NN_ACTIVATION_TAN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</si>
  <si>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50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</si>
  <si>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0.0001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</si>
  <si>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BP_ST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</si>
  <si>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</si>
  <si>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</si>
  <si>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</si>
  <si>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</si>
  <si>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</si>
  <si>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</si>
  <si>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ru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</si>
  <si>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-08-31-00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</si>
  <si>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</si>
  <si>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-09-07-00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</si>
  <si>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DATE0I</t>
  </si>
  <si>
    <t>EngineTopology</t>
  </si>
  <si>
    <t>RootObj/clientCfg/rootKey/Client/MetaTrader/Chart0/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</si>
  <si>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0/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</si>
  <si>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0/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</si>
  <si>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0/Trad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</si>
  <si>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1/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</si>
  <si>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GBPNZ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</si>
  <si>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1/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</si>
  <si>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1/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</si>
  <si>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FXHIGH,FXLOW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</si>
  <si>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1/Trad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</si>
  <si>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2/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</si>
  <si>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US500-MAR19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</si>
  <si>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2/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</si>
  <si>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2/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</si>
  <si>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2/Trad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</si>
  <si>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</si>
  <si>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3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</si>
  <si>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FXDB_DataSource/DBConnection/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</si>
  <si>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FXDB_DataSource/DBConnection/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</si>
  <si>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FXDB_DataSource/DBConnection/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</si>
  <si>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FXDB_DataSource/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</si>
  <si>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FXDB_DataSource/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</si>
  <si>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FXDB_DataSource/IsFille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</si>
  <si>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History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</si>
  <si>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Date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</si>
  <si>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DataTransform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</si>
  <si>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</si>
  <si>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</si>
  <si>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</si>
  <si>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FXDB_DataSource/DBConnection/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</si>
  <si>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FXDB_DataSource/DBConnection/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</si>
  <si>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FXDB_DataSource/DBConnection/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</si>
  <si>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FXDB_DataSource/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</si>
  <si>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SP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</si>
  <si>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FXDB_DataSource/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</si>
  <si>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FXDB_DataSource/IsFille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</si>
  <si>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History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</si>
  <si>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Date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</si>
  <si>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DataTransform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</si>
  <si>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</si>
  <si>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</si>
  <si>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</si>
  <si>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</si>
  <si>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Sample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</si>
  <si>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rediction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</si>
  <si>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Layout/Typ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</si>
  <si>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Layout/Parent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</si>
  <si>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Layout/ParentsConnTyp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</si>
  <si>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opology/LevelRatio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</si>
  <si>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opology/LevelActiv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</si>
  <si>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opology/UseContex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</si>
  <si>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opology/UseBia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</si>
  <si>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raining/BP_Std/LearningRat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</si>
  <si>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0.001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</si>
  <si>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raining/BP_Std/LearningMomentu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</si>
  <si>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0.4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</si>
  <si>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raining/MaxEpoch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</si>
  <si>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raining/Target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</si>
  <si>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raining/NetSaveFrequency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</si>
  <si>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raining/StopOnDivergenc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</si>
  <si>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raining/BP_Algo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</si>
  <si>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</si>
  <si>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</si>
  <si>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</si>
  <si>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FileData/Clie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</si>
  <si>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FileData/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</si>
  <si>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FileData/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</si>
  <si>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FileData/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</si>
  <si>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FileData/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</si>
  <si>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save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</si>
  <si>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save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</si>
  <si>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save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</si>
  <si>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save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</si>
  <si>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</si>
  <si>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</si>
  <si>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</si>
  <si>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</si>
  <si>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FXDB_DataSource/DBConnection/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</si>
  <si>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FXDB_DataSource/DBConnection/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</si>
  <si>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FXDB_DataSource/DBConnection/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</si>
  <si>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FXDB_DataSource/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</si>
  <si>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FXDB_DataSource/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</si>
  <si>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FXDB_DataSource/IsFille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</si>
  <si>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History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</si>
  <si>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62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</si>
  <si>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Date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</si>
  <si>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DataTransform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</si>
  <si>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</si>
  <si>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</si>
  <si>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</si>
  <si>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FXDB_DataSource/DBConnection/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</si>
  <si>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FXDB_DataSource/DBConnection/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</si>
  <si>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FXDB_DataSource/DBConnection/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</si>
  <si>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FXDB_DataSource/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</si>
  <si>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FXDB_DataSource/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</si>
  <si>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FXDB_DataSource/IsFille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</si>
  <si>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History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</si>
  <si>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Date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</si>
  <si>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DataTransform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</si>
  <si>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</si>
  <si>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</si>
  <si>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</si>
  <si>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</si>
  <si>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Sample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</si>
  <si>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rediction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</si>
  <si>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60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</si>
  <si>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122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</si>
  <si>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FXDB_DataSource/DBConnection/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</si>
  <si>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FXDB_DataSource/DBConnection/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</si>
  <si>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FXDB_DataSource/DBConnection/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</si>
  <si>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FXDB_DataSource/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</si>
  <si>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FXDB_DataSource/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</si>
  <si>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FXDB_DataSource/IsFille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</si>
  <si>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History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</si>
  <si>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Date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</si>
  <si>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DataTransform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</si>
  <si>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</si>
  <si>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</si>
  <si>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</si>
  <si>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10002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</si>
  <si>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1002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</si>
  <si>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FXDB_DataSource/DBConnection/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</si>
  <si>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FXDB_DataSource/DBConnection/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</si>
  <si>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FXDB_DataSource/DBConnection/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</si>
  <si>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FXDB_DataSource/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</si>
  <si>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FXDB_DataSource/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</si>
  <si>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FXDB_DataSource/IsFille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</si>
  <si>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History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</si>
  <si>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Date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</si>
  <si>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DataTransform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</si>
  <si>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</si>
  <si>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</si>
  <si>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</si>
  <si>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</si>
  <si>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</si>
  <si>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NN_ACTIVATION_TANH,NN_ACTIVATION_TANH,NN_ACTIVATION_TANH,NN_ACTIVATION_TAN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</si>
  <si>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errorH</t>
  </si>
  <si>
    <t>errorL</t>
  </si>
  <si>
    <t>EU50-MAR19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</si>
  <si>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istory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</si>
  <si>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10012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</si>
  <si>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-06-30-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</si>
  <si>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0.3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</si>
  <si>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-07-30-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</si>
  <si>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T_NON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</si>
  <si>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-08-30-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</si>
  <si>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90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</si>
  <si>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74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</si>
  <si>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600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</si>
  <si>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5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</si>
  <si>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-07-30-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</si>
  <si>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-06-30-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</si>
  <si>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-07-08-00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</si>
  <si>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-09-30-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</si>
  <si>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HISTORYLEN</t>
  </si>
  <si>
    <t>TOPOLOGY</t>
  </si>
  <si>
    <t>MAXEPOCHS</t>
  </si>
  <si>
    <t>MAXK</t>
  </si>
  <si>
    <t>SAMPLELEN</t>
  </si>
  <si>
    <t>DATE0</t>
  </si>
  <si>
    <t>SYMBOL0</t>
  </si>
  <si>
    <t>SYMBOL1</t>
  </si>
  <si>
    <t>SYMBOL2</t>
  </si>
  <si>
    <t>TIMEFRAME</t>
  </si>
  <si>
    <t>DATATRANSFORMATION</t>
  </si>
  <si>
    <t>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</si>
  <si>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-08-31-00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</si>
  <si>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EURUS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</si>
  <si>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GBPNZ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</si>
  <si>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SP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</si>
  <si>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</si>
  <si>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</si>
  <si>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-07-30-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</si>
  <si>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-07-30-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</si>
  <si>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-06-30-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</si>
  <si>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</si>
  <si>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-06-30-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</si>
  <si>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T_NON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</si>
  <si>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-08-30-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</si>
  <si>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-07-08-00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</si>
  <si>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-06-30-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</si>
  <si>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Average of DURATION</t>
  </si>
  <si>
    <t>Avg. Duration (ms):</t>
  </si>
  <si>
    <t>Min of GTSE_NEW</t>
  </si>
  <si>
    <t>Min of RNORM</t>
  </si>
  <si>
    <t>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</si>
  <si>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Average of errHp</t>
  </si>
  <si>
    <t>Average of errLp</t>
  </si>
  <si>
    <t>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</si>
  <si>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TIMESERIESCOUNT</t>
  </si>
  <si>
    <t>3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</si>
  <si>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-05-30-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</si>
  <si>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TrainMSE</t>
  </si>
  <si>
    <t>INFERPID</t>
  </si>
  <si>
    <t>ActualEpochs</t>
  </si>
  <si>
    <t>ErrorTRS:</t>
  </si>
  <si>
    <t>ErrorBase:</t>
  </si>
  <si>
    <t>C:\Users\gcaglion\dev\zzz/Config/Client.xml</t>
  </si>
  <si>
    <t>C:\Users\gcaglion\dev\zzz/Config/trainDS1.xml</t>
  </si>
  <si>
    <t>C:\Users\gcaglion\dev\zzz/Config/Engine1.xml</t>
  </si>
  <si>
    <t>Average of ACTUALTR</t>
  </si>
  <si>
    <t>Average of PREDICTEDTR</t>
  </si>
  <si>
    <t>Average of ERRORTR</t>
  </si>
  <si>
    <t>Average of ACTUALBASE</t>
  </si>
  <si>
    <t>Average of PREDICTEDBASE</t>
  </si>
  <si>
    <t>Average of ERRORBASE</t>
  </si>
  <si>
    <t>2018-06-26-06:00</t>
  </si>
  <si>
    <t>2018-06-26-07:00</t>
  </si>
  <si>
    <t>2018-06-26-08:00</t>
  </si>
  <si>
    <t>2018-06-26-09:00</t>
  </si>
  <si>
    <t>2018-06-26-10:00</t>
  </si>
  <si>
    <t>2018-06-26-11:00</t>
  </si>
  <si>
    <t>2018-06-26-12:00</t>
  </si>
  <si>
    <t>2018-06-26-13:00</t>
  </si>
  <si>
    <t>2018-06-26-14:00</t>
  </si>
  <si>
    <t>2018-06-26-15:00</t>
  </si>
  <si>
    <t>2018-06-27-02:00</t>
  </si>
  <si>
    <t>2018-06-27-03:00</t>
  </si>
  <si>
    <t>2018-06-27-04:00</t>
  </si>
  <si>
    <t>2018-06-27-05:00</t>
  </si>
  <si>
    <t>2018-06-27-06:00</t>
  </si>
  <si>
    <t>2018-06-27-07:00</t>
  </si>
  <si>
    <t>2018-06-27-08:00</t>
  </si>
  <si>
    <t>2018-06-27-09:00</t>
  </si>
  <si>
    <t>2018-06-27-10:00</t>
  </si>
  <si>
    <t>2018-06-27-11:00</t>
  </si>
  <si>
    <t>2018-06-27-12:00</t>
  </si>
  <si>
    <t>2018-06-27-13:00</t>
  </si>
  <si>
    <t>2018-06-27-14:00</t>
  </si>
  <si>
    <t>2018-06-27-15:00</t>
  </si>
  <si>
    <t>2018-06-28-02:00</t>
  </si>
  <si>
    <t>2018-06-28-03:00</t>
  </si>
  <si>
    <t>2018-06-28-04:00</t>
  </si>
  <si>
    <t>2018-06-28-05:00</t>
  </si>
  <si>
    <t>2018-06-28-06:00</t>
  </si>
  <si>
    <t>2018-06-28-07:00</t>
  </si>
  <si>
    <t>2018-06-28-08:00</t>
  </si>
  <si>
    <t>2018-06-28-09:00</t>
  </si>
  <si>
    <t>2018-06-28-10:00</t>
  </si>
  <si>
    <t>2018-06-28-11:00</t>
  </si>
  <si>
    <t>2018-06-28-12:00</t>
  </si>
  <si>
    <t>2018-06-28-13:00</t>
  </si>
  <si>
    <t>2018-06-28-14:00</t>
  </si>
  <si>
    <t>2018-06-28-15:00</t>
  </si>
  <si>
    <t>2018-06-29-02:00</t>
  </si>
  <si>
    <t>2018-06-29-03:00</t>
  </si>
  <si>
    <t>2018-06-29-04:00</t>
  </si>
  <si>
    <t>2018-06-29-05:00</t>
  </si>
  <si>
    <t>2018-06-29-06:00</t>
  </si>
  <si>
    <t>2018-06-29-07:00</t>
  </si>
  <si>
    <t>2018-06-29-08:00</t>
  </si>
  <si>
    <t>2018-06-29-09:00</t>
  </si>
  <si>
    <t>2018-06-29-10:00</t>
  </si>
  <si>
    <t>2018-06-29-11:00</t>
  </si>
  <si>
    <t>2018-06-29-12:00</t>
  </si>
  <si>
    <t>2018-06-29-13:00</t>
  </si>
  <si>
    <t>2018-06-29-14:00</t>
  </si>
  <si>
    <t>2018-06-29-15:00</t>
  </si>
  <si>
    <t>2017-08-08-15:00</t>
  </si>
  <si>
    <t>MT5_account_25615969</t>
  </si>
  <si>
    <t>NETPROCESSID</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</si>
</sst>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0000"/>
    <numFmt numFmtId="165" formatCode="0.0000"/>
  </numFmts>
  <fonts count="4" x14ac:knownFonts="1">
    <font>
      <sz val="11"/>
      <color theme="1"/>
      <name val="Calibri"/>
      <family val="2"/>
      <scheme val="minor"/>
    </font>
    <font>
      <b/>
      <sz val="11"/>
      <color theme="1"/>
      <name val="Calibri"/>
      <family val="2"/>
      <scheme val="minor"/>
    </font>
    <font>
      <b/>
      <sz val="14"/>
      <color theme="1"/>
      <name val="Calibri"/>
      <family val="2"/>
      <scheme val="minor"/>
    </font>
    <font>
      <u/>
      <sz val="11"/>
      <color theme="10"/>
      <name val="Calibri"/>
      <family val="2"/>
      <scheme val="minor"/>
    </font>
  </fonts>
  <fills count="4">
    <fill>
      <patternFill patternType="none"/>
    </fill>
    <fill>
      <patternFill patternType="gray125"/>
    </fill>
    <fill>
      <patternFill patternType="solid">
        <fgColor theme="8" tint="0.59999389629810485"/>
        <bgColor indexed="64"/>
      </patternFill>
    </fill>
    <fill>
      <patternFill patternType="solid">
        <fgColor rgb="FFFFFF00"/>
        <bgColor indexed="64"/>
      </patternFill>
    </fill>
  </fills>
  <borders count="2">
    <border>
      <left/>
      <right/>
      <top/>
      <bottom/>
      <diagonal/>
    </border>
    <border>
      <left/>
      <right/>
      <top style="thin">
        <color theme="4" tint="0.39997558519241921"/>
      </top>
      <bottom style="thin">
        <color theme="4" tint="0.39997558519241921"/>
      </bottom>
      <diagonal/>
    </border>
  </borders>
  <cellStyleXfs count="2">
    <xf numFmtId="0" fontId="0" fillId="0" borderId="0"/>
    <xf numFmtId="0" fontId="3" fillId="0" borderId="0" applyNumberFormat="0" applyFill="0" applyBorder="0" applyAlignment="0" applyProtection="0"/>
  </cellStyleXfs>
  <cellXfs count="34">
    <xf numFmtId="0" fontId="0" fillId="0" borderId="0" xfId="0"/>
    <xf numFmtId="0" fontId="0" fillId="0" borderId="0" xfId="0" pivotButton="1"/>
    <xf numFmtId="0" fontId="0" fillId="0" borderId="0" xfId="0" applyAlignment="1">
      <alignment horizontal="left"/>
    </xf>
    <xf numFmtId="164" fontId="0" fillId="0" borderId="0" xfId="0" applyNumberFormat="1"/>
    <xf numFmtId="1" fontId="0" fillId="0" borderId="0" xfId="0" applyNumberFormat="1"/>
    <xf numFmtId="0" fontId="1" fillId="0" borderId="0" xfId="0" applyFont="1"/>
    <xf numFmtId="0" fontId="0" fillId="0" borderId="0" xfId="0" quotePrefix="1"/>
    <xf numFmtId="0" fontId="0" fillId="2" borderId="0" xfId="0" applyFill="1"/>
    <xf numFmtId="0" fontId="0" fillId="0" borderId="0" xfId="0" applyFont="1" applyBorder="1"/>
    <xf numFmtId="0" fontId="0" fillId="0" borderId="0" xfId="0" applyFill="1" applyBorder="1"/>
    <xf numFmtId="0" fontId="0" fillId="0" borderId="0" xfId="0" applyFont="1" applyFill="1" applyBorder="1"/>
    <xf numFmtId="0" fontId="3" fillId="0" borderId="0" xfId="1"/>
    <xf numFmtId="0" fontId="0" fillId="0" borderId="0" xfId="0" applyFill="1"/>
    <xf numFmtId="0" fontId="0" fillId="0" borderId="0" xfId="0" quotePrefix="1" applyFill="1"/>
    <xf numFmtId="0" fontId="0" fillId="0" borderId="0" xfId="0" quotePrefix="1" applyFill="1" applyBorder="1"/>
    <xf numFmtId="165" fontId="0" fillId="0" borderId="0" xfId="0" applyNumberFormat="1"/>
    <xf numFmtId="2" fontId="0" fillId="0" borderId="0" xfId="0" applyNumberFormat="1" applyAlignment="1">
      <alignment horizontal="right"/>
    </xf>
    <xf numFmtId="0" fontId="0" fillId="0" borderId="1" xfId="0" applyFont="1" applyBorder="1"/>
    <xf numFmtId="0" fontId="1" fillId="0" borderId="0" xfId="0" applyFont="1" applyBorder="1"/>
    <xf numFmtId="0" fontId="1" fillId="0" borderId="0" xfId="0" quotePrefix="1" applyFont="1" applyBorder="1" applyAlignment="1">
      <alignment horizontal="left"/>
    </xf>
    <xf numFmtId="164" fontId="0" fillId="0" borderId="0" xfId="0" applyNumberFormat="1" applyAlignment="1">
      <alignment horizontal="left"/>
    </xf>
    <xf numFmtId="164" fontId="0" fillId="0" borderId="0" xfId="0" applyNumberFormat="1" applyFill="1" applyAlignment="1">
      <alignment horizontal="left"/>
    </xf>
    <xf numFmtId="0" fontId="0" fillId="0" borderId="0" xfId="0" applyNumberFormat="1"/>
    <xf numFmtId="22" fontId="0" fillId="0" borderId="0" xfId="0" applyNumberFormat="1" applyAlignment="1">
      <alignment horizontal="left"/>
    </xf>
    <xf numFmtId="164" fontId="2" fillId="0" borderId="0" xfId="0" applyNumberFormat="1" applyFont="1"/>
    <xf numFmtId="2" fontId="0" fillId="0" borderId="0" xfId="0" applyNumberFormat="1"/>
    <xf numFmtId="22" fontId="0" fillId="0" borderId="0" xfId="0" applyNumberFormat="1"/>
    <xf numFmtId="22" fontId="0" fillId="3" borderId="0" xfId="0" applyNumberFormat="1" applyFill="1" applyAlignment="1">
      <alignment horizontal="left"/>
    </xf>
    <xf numFmtId="165" fontId="0" fillId="3" borderId="0" xfId="0" applyNumberFormat="1" applyFill="1"/>
    <xf numFmtId="9" fontId="0" fillId="0" borderId="0" xfId="0" applyNumberFormat="1"/>
    <xf numFmtId="9" fontId="0" fillId="3" borderId="0" xfId="0" applyNumberFormat="1" applyFill="1"/>
    <xf numFmtId="165" fontId="1" fillId="0" borderId="0" xfId="0" applyNumberFormat="1" applyFont="1"/>
    <xf numFmtId="9" fontId="1" fillId="0" borderId="0" xfId="0" applyNumberFormat="1" applyFont="1"/>
    <xf numFmtId="164" fontId="1" fillId="0" borderId="0" xfId="0" applyNumberFormat="1" applyFont="1"/>
  </cellXfs>
  <cellStyles count="2">
    <cellStyle name="Hyperlink" xfId="1" builtinId="8"/>
    <cellStyle name="Normal" xfId="0" builtinId="0"/>
  </cellStyles>
  <dxfs count="39">
    <dxf>
      <numFmt numFmtId="27" formatCode="yyyy/mm/dd\ hh:mm"/>
    </dxf>
    <dxf>
      <numFmt numFmtId="27" formatCode="yyyy/mm/dd\ hh:mm"/>
    </dxf>
    <dxf>
      <numFmt numFmtId="27" formatCode="yyyy/mm/dd\ hh:mm"/>
    </dxf>
    <dxf>
      <numFmt numFmtId="27" formatCode="yyyy/mm/dd\ hh:mm"/>
    </dxf>
    <dxf>
      <numFmt numFmtId="27" formatCode="yyyy/mm/dd\ hh:mm"/>
    </dxf>
    <dxf>
      <numFmt numFmtId="27" formatCode="yyyy/mm/dd\ hh:mm"/>
    </dxf>
    <dxf>
      <numFmt numFmtId="27" formatCode="yyyy/mm/dd\ hh:mm"/>
    </dxf>
    <dxf>
      <numFmt numFmtId="1" formatCode="0"/>
    </dxf>
    <dxf>
      <numFmt numFmtId="27" formatCode="yyyy/mm/dd\ hh:mm"/>
    </dxf>
    <dxf>
      <numFmt numFmtId="1" formatCode="0"/>
    </dxf>
    <dxf>
      <numFmt numFmtId="1" formatCode="0"/>
    </dxf>
    <dxf>
      <numFmt numFmtId="164" formatCode="0.00000"/>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2" formatCode="0.00"/>
      <alignment horizontal="right" readingOrder="0"/>
    </dxf>
    <dxf>
      <numFmt numFmtId="2" formatCode="0.00"/>
      <alignment horizontal="right" readingOrder="0"/>
    </dxf>
    <dxf>
      <numFmt numFmtId="13" formatCode="0%"/>
    </dxf>
    <dxf>
      <numFmt numFmtId="13" formatCode="0%"/>
    </dxf>
    <dxf>
      <numFmt numFmtId="165" formatCode="0.0000"/>
    </dxf>
    <dxf>
      <numFmt numFmtId="165" formatCode="0.0000"/>
    </dxf>
    <dxf>
      <fill>
        <patternFill patternType="solid">
          <bgColor rgb="FFFFFF00"/>
        </patternFill>
      </fill>
    </dxf>
    <dxf>
      <fill>
        <patternFill patternType="solid">
          <bgColor rgb="FFFFFF00"/>
        </patternFill>
      </fill>
    </dxf>
  </dxfs>
  <tableStyles count="0" defaultTableStyle="TableStyleMedium2" defaultPivotStyle="PivotStyleLight16"/>
  <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pivotCacheDefinition" Target="pivotCache/pivotCacheDefinition3.xml"/><Relationship Id="rId26" Type="http://schemas.microsoft.com/office/2007/relationships/slicerCache" Target="slicerCaches/slicerCache5.xml"/><Relationship Id="rId39" Type="http://schemas.microsoft.com/office/2007/relationships/slicerCache" Target="slicerCaches/slicerCache18.xml"/><Relationship Id="rId21" Type="http://schemas.openxmlformats.org/officeDocument/2006/relationships/pivotCacheDefinition" Target="pivotCache/pivotCacheDefinition6.xml"/><Relationship Id="rId34" Type="http://schemas.microsoft.com/office/2007/relationships/slicerCache" Target="slicerCaches/slicerCache13.xml"/><Relationship Id="rId42" Type="http://schemas.microsoft.com/office/2007/relationships/slicerCache" Target="slicerCaches/slicerCache21.xml"/><Relationship Id="rId47" Type="http://schemas.microsoft.com/office/2007/relationships/slicerCache" Target="slicerCaches/slicerCache26.xml"/><Relationship Id="rId50" Type="http://schemas.microsoft.com/office/2007/relationships/slicerCache" Target="slicerCaches/slicerCache29.xml"/><Relationship Id="rId55"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pivotCacheDefinition" Target="pivotCache/pivotCacheDefinition1.xml"/><Relationship Id="rId29" Type="http://schemas.microsoft.com/office/2007/relationships/slicerCache" Target="slicerCaches/slicerCache8.xml"/><Relationship Id="rId11" Type="http://schemas.openxmlformats.org/officeDocument/2006/relationships/worksheet" Target="worksheets/sheet11.xml"/><Relationship Id="rId24" Type="http://schemas.microsoft.com/office/2007/relationships/slicerCache" Target="slicerCaches/slicerCache3.xml"/><Relationship Id="rId32" Type="http://schemas.microsoft.com/office/2007/relationships/slicerCache" Target="slicerCaches/slicerCache11.xml"/><Relationship Id="rId37" Type="http://schemas.microsoft.com/office/2007/relationships/slicerCache" Target="slicerCaches/slicerCache16.xml"/><Relationship Id="rId40" Type="http://schemas.microsoft.com/office/2007/relationships/slicerCache" Target="slicerCaches/slicerCache19.xml"/><Relationship Id="rId45" Type="http://schemas.microsoft.com/office/2007/relationships/slicerCache" Target="slicerCaches/slicerCache24.xml"/><Relationship Id="rId53" Type="http://schemas.openxmlformats.org/officeDocument/2006/relationships/connections" Target="connections.xml"/><Relationship Id="rId5" Type="http://schemas.openxmlformats.org/officeDocument/2006/relationships/worksheet" Target="worksheets/sheet5.xml"/><Relationship Id="rId19" Type="http://schemas.openxmlformats.org/officeDocument/2006/relationships/pivotCacheDefinition" Target="pivotCache/pivotCacheDefinition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hartsheet" Target="chartsheets/sheet1.xml"/><Relationship Id="rId22" Type="http://schemas.microsoft.com/office/2007/relationships/slicerCache" Target="slicerCaches/slicerCache1.xml"/><Relationship Id="rId27" Type="http://schemas.microsoft.com/office/2007/relationships/slicerCache" Target="slicerCaches/slicerCache6.xml"/><Relationship Id="rId30" Type="http://schemas.microsoft.com/office/2007/relationships/slicerCache" Target="slicerCaches/slicerCache9.xml"/><Relationship Id="rId35" Type="http://schemas.microsoft.com/office/2007/relationships/slicerCache" Target="slicerCaches/slicerCache14.xml"/><Relationship Id="rId43" Type="http://schemas.microsoft.com/office/2007/relationships/slicerCache" Target="slicerCaches/slicerCache22.xml"/><Relationship Id="rId48" Type="http://schemas.microsoft.com/office/2007/relationships/slicerCache" Target="slicerCaches/slicerCache27.xml"/><Relationship Id="rId56" Type="http://schemas.openxmlformats.org/officeDocument/2006/relationships/calcChain" Target="calcChain.xml"/><Relationship Id="rId8" Type="http://schemas.openxmlformats.org/officeDocument/2006/relationships/worksheet" Target="worksheets/sheet8.xml"/><Relationship Id="rId51" Type="http://schemas.microsoft.com/office/2007/relationships/slicerCache" Target="slicerCaches/slicerCache30.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pivotCacheDefinition" Target="pivotCache/pivotCacheDefinition2.xml"/><Relationship Id="rId25" Type="http://schemas.microsoft.com/office/2007/relationships/slicerCache" Target="slicerCaches/slicerCache4.xml"/><Relationship Id="rId33" Type="http://schemas.microsoft.com/office/2007/relationships/slicerCache" Target="slicerCaches/slicerCache12.xml"/><Relationship Id="rId38" Type="http://schemas.microsoft.com/office/2007/relationships/slicerCache" Target="slicerCaches/slicerCache17.xml"/><Relationship Id="rId46" Type="http://schemas.microsoft.com/office/2007/relationships/slicerCache" Target="slicerCaches/slicerCache25.xml"/><Relationship Id="rId20" Type="http://schemas.openxmlformats.org/officeDocument/2006/relationships/pivotCacheDefinition" Target="pivotCache/pivotCacheDefinition5.xml"/><Relationship Id="rId41" Type="http://schemas.microsoft.com/office/2007/relationships/slicerCache" Target="slicerCaches/slicerCache20.xml"/><Relationship Id="rId54"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4.xml"/><Relationship Id="rId23" Type="http://schemas.microsoft.com/office/2007/relationships/slicerCache" Target="slicerCaches/slicerCache2.xml"/><Relationship Id="rId28" Type="http://schemas.microsoft.com/office/2007/relationships/slicerCache" Target="slicerCaches/slicerCache7.xml"/><Relationship Id="rId36" Type="http://schemas.microsoft.com/office/2007/relationships/slicerCache" Target="slicerCaches/slicerCache15.xml"/><Relationship Id="rId49" Type="http://schemas.microsoft.com/office/2007/relationships/slicerCache" Target="slicerCaches/slicerCache28.xml"/><Relationship Id="rId57" Type="http://schemas.microsoft.com/office/2006/relationships/vbaProject" Target="vbaProject.bin"/><Relationship Id="rId10" Type="http://schemas.openxmlformats.org/officeDocument/2006/relationships/worksheet" Target="worksheets/sheet10.xml"/><Relationship Id="rId31" Type="http://schemas.microsoft.com/office/2007/relationships/slicerCache" Target="slicerCaches/slicerCache10.xml"/><Relationship Id="rId44" Type="http://schemas.microsoft.com/office/2007/relationships/slicerCache" Target="slicerCaches/slicerCache23.xml"/><Relationship Id="rId52"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[Tester.xlsm]MSE!PivotTable1</c:name>
    <c:fmtId val="0"/>
  </c:pivotSource>
  <c:chart>
    <c:autoTitleDeleted val="0"/>
    <c:pivotFmts>
      <c:pivotFmt>
        <c:idx val="0"/>
        <c:spPr>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ln w="28575" cap="rnd">
            <a:solidFill>
              <a:schemeClr val="accent1"/>
            </a:solidFill>
            <a:round/>
          </a:ln>
          <a:effectLst/>
        </c:spPr>
        <c:marker>
          <c:symbol val="none"/>
        </c:marker>
      </c:pivotFmt>
    </c:pivotFmts>
    <c:plotArea>
      <c:layout/>
      <c:lineChart>
        <c:grouping val="standard"/>
        <c:varyColors val="0"/>
        <c:ser>
          <c:idx val="0"/>
          <c:order val="0"/>
          <c:tx>
            <c:strRef>
              <c:f>MSE!$B$1</c:f>
              <c:strCache>
                <c:ptCount val="1"/>
                <c:pt idx="0">
                  <c:v>Training</c:v>
                </c:pt>
              </c:strCache>
            </c:strRef>
          </c:tx>
          <c:spPr>
            <a:ln w="28575" cap="rnd">
              <a:solidFill>
                <a:schemeClr val="accent1"/>
              </a:solidFill>
              <a:round/>
            </a:ln>
            <a:effectLst/>
          </c:spPr>
          <c:marker>
            <c:symbol val="none"/>
          </c:marker>
          <c:cat>
            <c:strRef>
              <c:f>MSE!$A$2:$A$502</c:f>
              <c:strCache>
                <c:ptCount val="5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strCache>
            </c:strRef>
          </c:cat>
          <c:val>
            <c:numRef>
              <c:f>MSE!$B$2:$B$502</c:f>
              <c:numCache>
                <c:formatCode>0.00000</c:formatCode>
                <c:ptCount val="500"/>
                <c:pt idx="0">
                  <c:v>2.0790577400475701E-3</c:v>
                </c:pt>
                <c:pt idx="1">
                  <c:v>1.4589267084375E-3</c:v>
                </c:pt>
                <c:pt idx="2">
                  <c:v>1.4557862887159001E-3</c:v>
                </c:pt>
                <c:pt idx="3">
                  <c:v>1.4525428414344801E-3</c:v>
                </c:pt>
                <c:pt idx="4">
                  <c:v>1.44913676194847E-3</c:v>
                </c:pt>
                <c:pt idx="5">
                  <c:v>1.4455084456130899E-3</c:v>
                </c:pt>
                <c:pt idx="6">
                  <c:v>1.4415945624932599E-3</c:v>
                </c:pt>
                <c:pt idx="7">
                  <c:v>1.43733236473054E-3</c:v>
                </c:pt>
                <c:pt idx="8">
                  <c:v>1.4326693490147599E-3</c:v>
                </c:pt>
                <c:pt idx="9">
                  <c:v>1.4275477733462999E-3</c:v>
                </c:pt>
                <c:pt idx="10">
                  <c:v>1.4219209551811201E-3</c:v>
                </c:pt>
                <c:pt idx="11">
                  <c:v>1.4157502446323601E-3</c:v>
                </c:pt>
                <c:pt idx="12">
                  <c:v>1.40901689883322E-3</c:v>
                </c:pt>
                <c:pt idx="13">
                  <c:v>1.40171602834016E-3</c:v>
                </c:pt>
                <c:pt idx="14">
                  <c:v>1.39387883245945E-3</c:v>
                </c:pt>
                <c:pt idx="15">
                  <c:v>1.3855596771463799E-3</c:v>
                </c:pt>
                <c:pt idx="16">
                  <c:v>1.3768534408882299E-3</c:v>
                </c:pt>
                <c:pt idx="17">
                  <c:v>1.3678816612809901E-3</c:v>
                </c:pt>
                <c:pt idx="18">
                  <c:v>1.3587973080575501E-3</c:v>
                </c:pt>
                <c:pt idx="19">
                  <c:v>1.34976953268051E-3</c:v>
                </c:pt>
                <c:pt idx="20">
                  <c:v>1.34097202681005E-3</c:v>
                </c:pt>
                <c:pt idx="21">
                  <c:v>1.33256788831204E-3</c:v>
                </c:pt>
                <c:pt idx="22">
                  <c:v>1.3246947200968901E-3</c:v>
                </c:pt>
                <c:pt idx="23">
                  <c:v>1.3174513587728099E-3</c:v>
                </c:pt>
                <c:pt idx="24">
                  <c:v>1.3108947314321999E-3</c:v>
                </c:pt>
                <c:pt idx="25">
                  <c:v>1.3050402048975201E-3</c:v>
                </c:pt>
                <c:pt idx="26">
                  <c:v>1.2998627498745901E-3</c:v>
                </c:pt>
                <c:pt idx="27">
                  <c:v>1.2953102122992301E-3</c:v>
                </c:pt>
                <c:pt idx="28">
                  <c:v>1.29131402354687E-3</c:v>
                </c:pt>
                <c:pt idx="29">
                  <c:v>1.2877919944003201E-3</c:v>
                </c:pt>
                <c:pt idx="30">
                  <c:v>1.2846703175455299E-3</c:v>
                </c:pt>
                <c:pt idx="31">
                  <c:v>1.2818739050999299E-3</c:v>
                </c:pt>
                <c:pt idx="32">
                  <c:v>1.2793430360034099E-3</c:v>
                </c:pt>
                <c:pt idx="33">
                  <c:v>1.2770253233611601E-3</c:v>
                </c:pt>
                <c:pt idx="34">
                  <c:v>1.2748757144436199E-3</c:v>
                </c:pt>
                <c:pt idx="35">
                  <c:v>1.27286580391228E-3</c:v>
                </c:pt>
                <c:pt idx="36">
                  <c:v>1.2709727743640501E-3</c:v>
                </c:pt>
                <c:pt idx="37">
                  <c:v>1.2691707815975001E-3</c:v>
                </c:pt>
                <c:pt idx="38">
                  <c:v>1.2674492318183201E-3</c:v>
                </c:pt>
                <c:pt idx="39">
                  <c:v>1.26579776406288E-3</c:v>
                </c:pt>
                <c:pt idx="40">
                  <c:v>1.2642067158594699E-3</c:v>
                </c:pt>
                <c:pt idx="41">
                  <c:v>1.26267084851861E-3</c:v>
                </c:pt>
                <c:pt idx="42">
                  <c:v>1.2611822457984101E-3</c:v>
                </c:pt>
                <c:pt idx="43">
                  <c:v>1.25973904505372E-3</c:v>
                </c:pt>
                <c:pt idx="44">
                  <c:v>1.2583365896716701E-3</c:v>
                </c:pt>
                <c:pt idx="45">
                  <c:v>1.2569724349304999E-3</c:v>
                </c:pt>
                <c:pt idx="46">
                  <c:v>1.25564157497138E-3</c:v>
                </c:pt>
                <c:pt idx="47">
                  <c:v>1.2543451739475101E-3</c:v>
                </c:pt>
                <c:pt idx="48">
                  <c:v>1.253078924492E-3</c:v>
                </c:pt>
                <c:pt idx="49">
                  <c:v>1.2518414296209799E-3</c:v>
                </c:pt>
                <c:pt idx="50">
                  <c:v>1.2506294297054399E-3</c:v>
                </c:pt>
                <c:pt idx="51">
                  <c:v>1.2494445545598899E-3</c:v>
                </c:pt>
                <c:pt idx="52">
                  <c:v>1.2482826132327301E-3</c:v>
                </c:pt>
                <c:pt idx="53">
                  <c:v>1.2471430236473699E-3</c:v>
                </c:pt>
                <c:pt idx="54">
                  <c:v>1.24602601863444E-3</c:v>
                </c:pt>
                <c:pt idx="55">
                  <c:v>1.2449303176253999E-3</c:v>
                </c:pt>
                <c:pt idx="56">
                  <c:v>1.24385301023722E-3</c:v>
                </c:pt>
                <c:pt idx="57">
                  <c:v>1.2427947949618099E-3</c:v>
                </c:pt>
                <c:pt idx="58">
                  <c:v>1.2417545076459601E-3</c:v>
                </c:pt>
                <c:pt idx="59">
                  <c:v>1.24073214828968E-3</c:v>
                </c:pt>
                <c:pt idx="60">
                  <c:v>1.2397251557558801E-3</c:v>
                </c:pt>
                <c:pt idx="61">
                  <c:v>1.2387359747663099E-3</c:v>
                </c:pt>
                <c:pt idx="62">
                  <c:v>1.2377614621073001E-3</c:v>
                </c:pt>
                <c:pt idx="63">
                  <c:v>1.2368002207949801E-3</c:v>
                </c:pt>
                <c:pt idx="64">
                  <c:v>1.23585551045835E-3</c:v>
                </c:pt>
                <c:pt idx="65">
                  <c:v>1.23492546845227E-3</c:v>
                </c:pt>
                <c:pt idx="66">
                  <c:v>1.2340069515630601E-3</c:v>
                </c:pt>
                <c:pt idx="67">
                  <c:v>1.2331019388511801E-3</c:v>
                </c:pt>
                <c:pt idx="68">
                  <c:v>1.2322097318247E-3</c:v>
                </c:pt>
                <c:pt idx="69">
                  <c:v>1.23132928274572E-3</c:v>
                </c:pt>
                <c:pt idx="70">
                  <c:v>1.23046198859811E-3</c:v>
                </c:pt>
                <c:pt idx="71">
                  <c:v>1.22960505541414E-3</c:v>
                </c:pt>
                <c:pt idx="72">
                  <c:v>1.2287603458389601E-3</c:v>
                </c:pt>
                <c:pt idx="73">
                  <c:v>1.22792588081211E-3</c:v>
                </c:pt>
                <c:pt idx="74">
                  <c:v>1.2271004961803601E-3</c:v>
                </c:pt>
                <c:pt idx="75">
                  <c:v>1.2262876844033601E-3</c:v>
                </c:pt>
                <c:pt idx="76">
                  <c:v>1.2254836037755E-3</c:v>
                </c:pt>
                <c:pt idx="77">
                  <c:v>1.2246886035427501E-3</c:v>
                </c:pt>
                <c:pt idx="78">
                  <c:v>1.22390477918088E-3</c:v>
                </c:pt>
                <c:pt idx="79">
                  <c:v>1.2231289874762301E-3</c:v>
                </c:pt>
                <c:pt idx="80">
                  <c:v>1.22236355673522E-3</c:v>
                </c:pt>
                <c:pt idx="81">
                  <c:v>1.2216045288369101E-3</c:v>
                </c:pt>
                <c:pt idx="82">
                  <c:v>1.2208562111482E-3</c:v>
                </c:pt>
                <c:pt idx="83">
                  <c:v>1.22011452913284E-3</c:v>
                </c:pt>
                <c:pt idx="84">
                  <c:v>1.2193837901577399E-3</c:v>
                </c:pt>
                <c:pt idx="85">
                  <c:v>1.2186587555334E-3</c:v>
                </c:pt>
                <c:pt idx="86">
                  <c:v>1.21794396545738E-3</c:v>
                </c:pt>
                <c:pt idx="87">
                  <c:v>1.2172355782240601E-3</c:v>
                </c:pt>
                <c:pt idx="88">
                  <c:v>1.2165346415713399E-3</c:v>
                </c:pt>
                <c:pt idx="89">
                  <c:v>1.2158434838056599E-3</c:v>
                </c:pt>
                <c:pt idx="90">
                  <c:v>1.2151570990681601E-3</c:v>
                </c:pt>
                <c:pt idx="91">
                  <c:v>1.2144804932177099E-3</c:v>
                </c:pt>
                <c:pt idx="92">
                  <c:v>1.21381157077849E-3</c:v>
                </c:pt>
                <c:pt idx="93">
                  <c:v>1.2131481198594E-3</c:v>
                </c:pt>
                <c:pt idx="94">
                  <c:v>1.2124922359362199E-3</c:v>
                </c:pt>
                <c:pt idx="95">
                  <c:v>1.21184450108558E-3</c:v>
                </c:pt>
                <c:pt idx="96">
                  <c:v>1.2112017720937701E-3</c:v>
                </c:pt>
                <c:pt idx="97">
                  <c:v>1.2105676578357801E-3</c:v>
                </c:pt>
                <c:pt idx="98">
                  <c:v>1.2099407613277401E-3</c:v>
                </c:pt>
                <c:pt idx="99">
                  <c:v>1.2093199184164401E-3</c:v>
                </c:pt>
                <c:pt idx="100">
                  <c:v>1.20870559476316E-3</c:v>
                </c:pt>
                <c:pt idx="101">
                  <c:v>1.2080994201824099E-3</c:v>
                </c:pt>
                <c:pt idx="102">
                  <c:v>1.20749801862985E-3</c:v>
                </c:pt>
                <c:pt idx="103">
                  <c:v>1.2069048825651401E-3</c:v>
                </c:pt>
                <c:pt idx="104">
                  <c:v>1.2063166359439501E-3</c:v>
                </c:pt>
                <c:pt idx="105">
                  <c:v>1.20573630556464E-3</c:v>
                </c:pt>
                <c:pt idx="106">
                  <c:v>1.2051617959514299E-3</c:v>
                </c:pt>
                <c:pt idx="107">
                  <c:v>1.2045927578583401E-3</c:v>
                </c:pt>
                <c:pt idx="108">
                  <c:v>1.20403058826923E-3</c:v>
                </c:pt>
                <c:pt idx="109">
                  <c:v>1.2034758692607301E-3</c:v>
                </c:pt>
                <c:pt idx="110">
                  <c:v>1.20292487554252E-3</c:v>
                </c:pt>
                <c:pt idx="111">
                  <c:v>1.20238168165088E-3</c:v>
                </c:pt>
                <c:pt idx="112">
                  <c:v>1.2018445413559699E-3</c:v>
                </c:pt>
                <c:pt idx="113">
                  <c:v>1.2013135710731101E-3</c:v>
                </c:pt>
                <c:pt idx="114">
                  <c:v>1.2007866753265301E-3</c:v>
                </c:pt>
                <c:pt idx="115">
                  <c:v>1.2002659495919899E-3</c:v>
                </c:pt>
                <c:pt idx="116">
                  <c:v>1.19975442066789E-3</c:v>
                </c:pt>
                <c:pt idx="117">
                  <c:v>1.1992447543889299E-3</c:v>
                </c:pt>
                <c:pt idx="118">
                  <c:v>1.19874125812203E-3</c:v>
                </c:pt>
                <c:pt idx="119">
                  <c:v>1.19824381545186E-3</c:v>
                </c:pt>
                <c:pt idx="120">
                  <c:v>1.1977534741163299E-3</c:v>
                </c:pt>
                <c:pt idx="121">
                  <c:v>1.1972662759944801E-3</c:v>
                </c:pt>
                <c:pt idx="122">
                  <c:v>1.1967846658080799E-3</c:v>
                </c:pt>
                <c:pt idx="123">
                  <c:v>1.19630864355713E-3</c:v>
                </c:pt>
                <c:pt idx="124">
                  <c:v>1.1958390241488799E-3</c:v>
                </c:pt>
                <c:pt idx="125">
                  <c:v>1.1953744105994699E-3</c:v>
                </c:pt>
                <c:pt idx="126">
                  <c:v>1.19491363875568E-3</c:v>
                </c:pt>
                <c:pt idx="127">
                  <c:v>1.1944584548473399E-3</c:v>
                </c:pt>
                <c:pt idx="128">
                  <c:v>1.19400769472122E-3</c:v>
                </c:pt>
                <c:pt idx="129">
                  <c:v>1.1935626389458799E-3</c:v>
                </c:pt>
                <c:pt idx="130">
                  <c:v>1.1931209592148701E-3</c:v>
                </c:pt>
                <c:pt idx="131">
                  <c:v>1.1926859151572E-3</c:v>
                </c:pt>
                <c:pt idx="132">
                  <c:v>1.1922551784664399E-3</c:v>
                </c:pt>
                <c:pt idx="133">
                  <c:v>1.19182956404984E-3</c:v>
                </c:pt>
                <c:pt idx="134">
                  <c:v>1.1914074420929001E-3</c:v>
                </c:pt>
                <c:pt idx="135">
                  <c:v>1.1909907916560799E-3</c:v>
                </c:pt>
                <c:pt idx="136">
                  <c:v>1.1905785650014899E-3</c:v>
                </c:pt>
                <c:pt idx="137">
                  <c:v>1.1901706457138101E-3</c:v>
                </c:pt>
                <c:pt idx="138">
                  <c:v>1.18976586963981E-3</c:v>
                </c:pt>
                <c:pt idx="139">
                  <c:v>1.1893665650859499E-3</c:v>
                </c:pt>
                <c:pt idx="140">
                  <c:v>1.18897098582238E-3</c:v>
                </c:pt>
                <c:pt idx="141">
                  <c:v>1.1885808780789399E-3</c:v>
                </c:pt>
                <c:pt idx="142">
                  <c:v>1.18819414637983E-3</c:v>
                </c:pt>
                <c:pt idx="143">
                  <c:v>1.18781079072505E-3</c:v>
                </c:pt>
                <c:pt idx="144">
                  <c:v>1.1874329065904E-3</c:v>
                </c:pt>
                <c:pt idx="145">
                  <c:v>1.1870572343468701E-3</c:v>
                </c:pt>
                <c:pt idx="146">
                  <c:v>1.1866873828694201E-3</c:v>
                </c:pt>
                <c:pt idx="147">
                  <c:v>1.1863190447911601E-3</c:v>
                </c:pt>
                <c:pt idx="148">
                  <c:v>1.1859557125717399E-3</c:v>
                </c:pt>
                <c:pt idx="149">
                  <c:v>1.18559668771923E-3</c:v>
                </c:pt>
                <c:pt idx="150">
                  <c:v>1.1852405732497599E-3</c:v>
                </c:pt>
                <c:pt idx="151">
                  <c:v>1.1848888825625201E-3</c:v>
                </c:pt>
                <c:pt idx="152">
                  <c:v>1.1845404515042901E-3</c:v>
                </c:pt>
                <c:pt idx="153">
                  <c:v>1.1841948144137901E-3</c:v>
                </c:pt>
                <c:pt idx="154">
                  <c:v>1.1838533682748699E-3</c:v>
                </c:pt>
                <c:pt idx="155">
                  <c:v>1.1835132027044901E-3</c:v>
                </c:pt>
                <c:pt idx="156">
                  <c:v>1.18317850865424E-3</c:v>
                </c:pt>
                <c:pt idx="157">
                  <c:v>1.1828477727249299E-3</c:v>
                </c:pt>
                <c:pt idx="158">
                  <c:v>1.1825185501947999E-3</c:v>
                </c:pt>
                <c:pt idx="159">
                  <c:v>1.1821922380477201E-3</c:v>
                </c:pt>
                <c:pt idx="160">
                  <c:v>1.1818708153441501E-3</c:v>
                </c:pt>
                <c:pt idx="161">
                  <c:v>1.1815510224550999E-3</c:v>
                </c:pt>
                <c:pt idx="162">
                  <c:v>1.18123611900955E-3</c:v>
                </c:pt>
                <c:pt idx="163">
                  <c:v>1.1809217976406199E-3</c:v>
                </c:pt>
                <c:pt idx="164">
                  <c:v>1.18061201646924E-3</c:v>
                </c:pt>
                <c:pt idx="165">
                  <c:v>1.1803046800196199E-3</c:v>
                </c:pt>
                <c:pt idx="166">
                  <c:v>1.1800008360296501E-3</c:v>
                </c:pt>
                <c:pt idx="167">
                  <c:v>1.1796988546848299E-3</c:v>
                </c:pt>
                <c:pt idx="168">
                  <c:v>1.1793996673077299E-3</c:v>
                </c:pt>
                <c:pt idx="169">
                  <c:v>1.1791028082370799E-3</c:v>
                </c:pt>
                <c:pt idx="170">
                  <c:v>1.1788093252107501E-3</c:v>
                </c:pt>
                <c:pt idx="171">
                  <c:v>1.1785185197368301E-3</c:v>
                </c:pt>
                <c:pt idx="172">
                  <c:v>1.1782287620008E-3</c:v>
                </c:pt>
                <c:pt idx="173">
                  <c:v>1.1779431952163601E-3</c:v>
                </c:pt>
                <c:pt idx="174">
                  <c:v>1.17765937466174E-3</c:v>
                </c:pt>
                <c:pt idx="175">
                  <c:v>1.17737788241357E-3</c:v>
                </c:pt>
                <c:pt idx="176">
                  <c:v>1.17709999904037E-3</c:v>
                </c:pt>
                <c:pt idx="177">
                  <c:v>1.17682362906635E-3</c:v>
                </c:pt>
                <c:pt idx="178">
                  <c:v>1.1765490053221601E-3</c:v>
                </c:pt>
                <c:pt idx="179">
                  <c:v>1.17627647705376E-3</c:v>
                </c:pt>
                <c:pt idx="180">
                  <c:v>1.17600697558373E-3</c:v>
                </c:pt>
                <c:pt idx="181">
                  <c:v>1.17573922034353E-3</c:v>
                </c:pt>
                <c:pt idx="182">
                  <c:v>1.17547297850251E-3</c:v>
                </c:pt>
                <c:pt idx="183">
                  <c:v>1.1752096470445401E-3</c:v>
                </c:pt>
                <c:pt idx="184">
                  <c:v>1.17494724690914E-3</c:v>
                </c:pt>
                <c:pt idx="185">
                  <c:v>1.1746872914955E-3</c:v>
                </c:pt>
                <c:pt idx="186">
                  <c:v>1.17442931514233E-3</c:v>
                </c:pt>
                <c:pt idx="187">
                  <c:v>1.17417250294238E-3</c:v>
                </c:pt>
                <c:pt idx="188">
                  <c:v>1.17391848471016E-3</c:v>
                </c:pt>
                <c:pt idx="189">
                  <c:v>1.17366597987711E-3</c:v>
                </c:pt>
                <c:pt idx="190">
                  <c:v>1.1734156869351901E-3</c:v>
                </c:pt>
                <c:pt idx="191">
                  <c:v>1.17316597606987E-3</c:v>
                </c:pt>
                <c:pt idx="192">
                  <c:v>1.17292033974081E-3</c:v>
                </c:pt>
                <c:pt idx="193">
                  <c:v>1.1726749362424001E-3</c:v>
                </c:pt>
                <c:pt idx="194">
                  <c:v>1.17243186105043E-3</c:v>
                </c:pt>
                <c:pt idx="195">
                  <c:v>1.17218971718103E-3</c:v>
                </c:pt>
                <c:pt idx="196">
                  <c:v>1.1719522299245E-3</c:v>
                </c:pt>
                <c:pt idx="197">
                  <c:v>1.1717146262526499E-3</c:v>
                </c:pt>
                <c:pt idx="198">
                  <c:v>1.17147958371788E-3</c:v>
                </c:pt>
                <c:pt idx="199">
                  <c:v>1.1712482664734099E-3</c:v>
                </c:pt>
                <c:pt idx="200">
                  <c:v>1.17101892828941E-3</c:v>
                </c:pt>
                <c:pt idx="201">
                  <c:v>1.1707907542586301E-3</c:v>
                </c:pt>
                <c:pt idx="202">
                  <c:v>1.17056642193347E-3</c:v>
                </c:pt>
                <c:pt idx="203">
                  <c:v>1.17034395225346E-3</c:v>
                </c:pt>
                <c:pt idx="204">
                  <c:v>1.1701243929565001E-3</c:v>
                </c:pt>
                <c:pt idx="205">
                  <c:v>1.16990844253451E-3</c:v>
                </c:pt>
                <c:pt idx="206">
                  <c:v>1.1696929577737999E-3</c:v>
                </c:pt>
                <c:pt idx="207">
                  <c:v>1.1694811983034E-3</c:v>
                </c:pt>
                <c:pt idx="208">
                  <c:v>1.16927223280072E-3</c:v>
                </c:pt>
                <c:pt idx="209">
                  <c:v>1.1690654791891601E-3</c:v>
                </c:pt>
                <c:pt idx="210">
                  <c:v>1.16886186879128E-3</c:v>
                </c:pt>
                <c:pt idx="211">
                  <c:v>1.1686598882079101E-3</c:v>
                </c:pt>
                <c:pt idx="212">
                  <c:v>1.1684608180075899E-3</c:v>
                </c:pt>
                <c:pt idx="213">
                  <c:v>1.1682647746056301E-3</c:v>
                </c:pt>
                <c:pt idx="214">
                  <c:v>1.16806977894157E-3</c:v>
                </c:pt>
                <c:pt idx="215">
                  <c:v>1.16787699516863E-3</c:v>
                </c:pt>
                <c:pt idx="216">
                  <c:v>1.1676872381940499E-3</c:v>
                </c:pt>
                <c:pt idx="217">
                  <c:v>1.1674981797113999E-3</c:v>
                </c:pt>
                <c:pt idx="218">
                  <c:v>1.1673124972730901E-3</c:v>
                </c:pt>
                <c:pt idx="219">
                  <c:v>1.1671259999275201E-3</c:v>
                </c:pt>
                <c:pt idx="220">
                  <c:v>1.16694392636418E-3</c:v>
                </c:pt>
                <c:pt idx="221">
                  <c:v>1.1667640646919599E-3</c:v>
                </c:pt>
                <c:pt idx="222">
                  <c:v>1.1665832716971599E-3</c:v>
                </c:pt>
                <c:pt idx="223">
                  <c:v>1.16640562191606E-3</c:v>
                </c:pt>
                <c:pt idx="224">
                  <c:v>1.1662277393043E-3</c:v>
                </c:pt>
                <c:pt idx="225">
                  <c:v>1.1660540476441401E-3</c:v>
                </c:pt>
                <c:pt idx="226">
                  <c:v>1.1658800067380101E-3</c:v>
                </c:pt>
                <c:pt idx="227">
                  <c:v>1.1657077120617E-3</c:v>
                </c:pt>
                <c:pt idx="228">
                  <c:v>1.1655370471998999E-3</c:v>
                </c:pt>
                <c:pt idx="229">
                  <c:v>1.1653658002615001E-3</c:v>
                </c:pt>
                <c:pt idx="230">
                  <c:v>1.1651965323835601E-3</c:v>
                </c:pt>
                <c:pt idx="231">
                  <c:v>1.16502959281206E-3</c:v>
                </c:pt>
                <c:pt idx="232">
                  <c:v>1.1648619547486301E-3</c:v>
                </c:pt>
                <c:pt idx="233">
                  <c:v>1.1646951315924499E-3</c:v>
                </c:pt>
                <c:pt idx="234">
                  <c:v>1.16453040391207E-3</c:v>
                </c:pt>
                <c:pt idx="235">
                  <c:v>1.16436555981636E-3</c:v>
                </c:pt>
                <c:pt idx="236">
                  <c:v>1.16420269478112E-3</c:v>
                </c:pt>
                <c:pt idx="237">
                  <c:v>1.1640404118225E-3</c:v>
                </c:pt>
                <c:pt idx="238">
                  <c:v>1.16387906018645E-3</c:v>
                </c:pt>
                <c:pt idx="239">
                  <c:v>1.1637182906269999E-3</c:v>
                </c:pt>
                <c:pt idx="240">
                  <c:v>1.1635574046522401E-3</c:v>
                </c:pt>
                <c:pt idx="241">
                  <c:v>1.1633983813226199E-3</c:v>
                </c:pt>
                <c:pt idx="242">
                  <c:v>1.1632392415776799E-3</c:v>
                </c:pt>
                <c:pt idx="243">
                  <c:v>1.1630821973085399E-3</c:v>
                </c:pt>
                <c:pt idx="244">
                  <c:v>1.1629242217168199E-3</c:v>
                </c:pt>
                <c:pt idx="245">
                  <c:v>1.16276927292347E-3</c:v>
                </c:pt>
                <c:pt idx="246">
                  <c:v>1.1626140912994699E-3</c:v>
                </c:pt>
                <c:pt idx="247">
                  <c:v>1.1624587932601599E-3</c:v>
                </c:pt>
                <c:pt idx="248">
                  <c:v>1.16230500862002E-3</c:v>
                </c:pt>
                <c:pt idx="249">
                  <c:v>1.1621518060564999E-3</c:v>
                </c:pt>
                <c:pt idx="250">
                  <c:v>1.1620003497228E-3</c:v>
                </c:pt>
                <c:pt idx="251">
                  <c:v>1.1618477292358899E-3</c:v>
                </c:pt>
                <c:pt idx="252">
                  <c:v>1.16169848479331E-3</c:v>
                </c:pt>
                <c:pt idx="253">
                  <c:v>1.16154842544347E-3</c:v>
                </c:pt>
                <c:pt idx="254">
                  <c:v>1.1614006944000699E-3</c:v>
                </c:pt>
                <c:pt idx="255">
                  <c:v>1.16125319618732E-3</c:v>
                </c:pt>
                <c:pt idx="256">
                  <c:v>1.16110511589795E-3</c:v>
                </c:pt>
                <c:pt idx="257">
                  <c:v>1.16096041165292E-3</c:v>
                </c:pt>
                <c:pt idx="258">
                  <c:v>1.16081489250064E-3</c:v>
                </c:pt>
                <c:pt idx="259">
                  <c:v>1.1606714688241499E-3</c:v>
                </c:pt>
                <c:pt idx="260">
                  <c:v>1.16052920930088E-3</c:v>
                </c:pt>
                <c:pt idx="261">
                  <c:v>1.16038764826953E-3</c:v>
                </c:pt>
                <c:pt idx="262">
                  <c:v>1.16024701856077E-3</c:v>
                </c:pt>
                <c:pt idx="263">
                  <c:v>1.1601068545132899E-3</c:v>
                </c:pt>
                <c:pt idx="264">
                  <c:v>1.1599669232964501E-3</c:v>
                </c:pt>
                <c:pt idx="265">
                  <c:v>1.15982815623283E-3</c:v>
                </c:pt>
                <c:pt idx="266">
                  <c:v>1.1596912518143699E-3</c:v>
                </c:pt>
                <c:pt idx="267">
                  <c:v>1.15955527871847E-3</c:v>
                </c:pt>
                <c:pt idx="268">
                  <c:v>1.15942093543708E-3</c:v>
                </c:pt>
                <c:pt idx="269">
                  <c:v>1.15928635932505E-3</c:v>
                </c:pt>
                <c:pt idx="270">
                  <c:v>1.15915318019688E-3</c:v>
                </c:pt>
                <c:pt idx="271">
                  <c:v>1.15902058314532E-3</c:v>
                </c:pt>
                <c:pt idx="272">
                  <c:v>1.1588892666623001E-3</c:v>
                </c:pt>
                <c:pt idx="273">
                  <c:v>1.1587578337639601E-3</c:v>
                </c:pt>
                <c:pt idx="274">
                  <c:v>1.15862826351076E-3</c:v>
                </c:pt>
                <c:pt idx="275">
                  <c:v>1.1584984604269301E-3</c:v>
                </c:pt>
                <c:pt idx="276">
                  <c:v>1.1583707528188801E-3</c:v>
                </c:pt>
                <c:pt idx="277">
                  <c:v>1.1582439765334099E-3</c:v>
                </c:pt>
                <c:pt idx="278">
                  <c:v>1.15811731666327E-3</c:v>
                </c:pt>
                <c:pt idx="279">
                  <c:v>1.15798937622458E-3</c:v>
                </c:pt>
                <c:pt idx="280">
                  <c:v>1.1578644625842599E-3</c:v>
                </c:pt>
                <c:pt idx="281">
                  <c:v>1.15774117875844E-3</c:v>
                </c:pt>
                <c:pt idx="282">
                  <c:v>1.1576174292713399E-3</c:v>
                </c:pt>
                <c:pt idx="283">
                  <c:v>1.1574932141229499E-3</c:v>
                </c:pt>
                <c:pt idx="284">
                  <c:v>1.1573727242648599E-3</c:v>
                </c:pt>
                <c:pt idx="285">
                  <c:v>1.1572504881769399E-3</c:v>
                </c:pt>
                <c:pt idx="286">
                  <c:v>1.15713011473417E-3</c:v>
                </c:pt>
                <c:pt idx="287">
                  <c:v>1.1570095084607599E-3</c:v>
                </c:pt>
                <c:pt idx="288">
                  <c:v>1.15688994992524E-3</c:v>
                </c:pt>
                <c:pt idx="289">
                  <c:v>1.15677074063569E-3</c:v>
                </c:pt>
                <c:pt idx="290">
                  <c:v>1.15665339399129E-3</c:v>
                </c:pt>
                <c:pt idx="291">
                  <c:v>1.15653546527028E-3</c:v>
                </c:pt>
                <c:pt idx="292">
                  <c:v>1.1564181186258799E-3</c:v>
                </c:pt>
                <c:pt idx="293">
                  <c:v>1.1563019361346999E-3</c:v>
                </c:pt>
                <c:pt idx="294">
                  <c:v>1.15618563722819E-3</c:v>
                </c:pt>
                <c:pt idx="295">
                  <c:v>1.15607003681362E-3</c:v>
                </c:pt>
                <c:pt idx="296">
                  <c:v>1.1559571139514401E-3</c:v>
                </c:pt>
                <c:pt idx="297">
                  <c:v>1.1558430269360499E-3</c:v>
                </c:pt>
                <c:pt idx="298">
                  <c:v>1.15572870709002E-3</c:v>
                </c:pt>
                <c:pt idx="299">
                  <c:v>1.15561578422785E-3</c:v>
                </c:pt>
                <c:pt idx="300">
                  <c:v>1.1555040255188901E-3</c:v>
                </c:pt>
                <c:pt idx="301">
                  <c:v>1.1553909862414E-3</c:v>
                </c:pt>
                <c:pt idx="302">
                  <c:v>1.15528120659292E-3</c:v>
                </c:pt>
                <c:pt idx="303">
                  <c:v>1.1551708448678301E-3</c:v>
                </c:pt>
                <c:pt idx="304">
                  <c:v>1.1550596682354799E-3</c:v>
                </c:pt>
                <c:pt idx="305">
                  <c:v>1.1549501214176399E-3</c:v>
                </c:pt>
                <c:pt idx="306">
                  <c:v>1.15484045818448E-3</c:v>
                </c:pt>
                <c:pt idx="307">
                  <c:v>1.1547333560884001E-3</c:v>
                </c:pt>
                <c:pt idx="308">
                  <c:v>1.1546247405931399E-3</c:v>
                </c:pt>
                <c:pt idx="309">
                  <c:v>1.1545169400051199E-3</c:v>
                </c:pt>
                <c:pt idx="310">
                  <c:v>1.1544096050784E-3</c:v>
                </c:pt>
                <c:pt idx="311">
                  <c:v>1.1543041327968201E-3</c:v>
                </c:pt>
                <c:pt idx="312">
                  <c:v>1.1541974963620301E-3</c:v>
                </c:pt>
                <c:pt idx="313">
                  <c:v>1.1540914420038501E-3</c:v>
                </c:pt>
                <c:pt idx="314">
                  <c:v>1.15398562047631E-3</c:v>
                </c:pt>
                <c:pt idx="315">
                  <c:v>1.15388096310198E-3</c:v>
                </c:pt>
                <c:pt idx="316">
                  <c:v>1.1537779355421699E-3</c:v>
                </c:pt>
                <c:pt idx="317">
                  <c:v>1.1536726960912299E-3</c:v>
                </c:pt>
                <c:pt idx="318">
                  <c:v>1.1535703670233499E-3</c:v>
                </c:pt>
                <c:pt idx="319">
                  <c:v>1.1534671066328901E-3</c:v>
                </c:pt>
                <c:pt idx="320">
                  <c:v>1.1533653596416101E-3</c:v>
                </c:pt>
                <c:pt idx="321">
                  <c:v>1.1532631469890499E-3</c:v>
                </c:pt>
                <c:pt idx="322">
                  <c:v>1.1531613999977699E-3</c:v>
                </c:pt>
                <c:pt idx="323">
                  <c:v>1.1530608171597099E-3</c:v>
                </c:pt>
                <c:pt idx="324">
                  <c:v>1.1529596522450399E-3</c:v>
                </c:pt>
                <c:pt idx="325">
                  <c:v>1.15285941865295E-3</c:v>
                </c:pt>
                <c:pt idx="326">
                  <c:v>1.1527593014761799E-3</c:v>
                </c:pt>
                <c:pt idx="327">
                  <c:v>1.15266034845263E-3</c:v>
                </c:pt>
                <c:pt idx="328">
                  <c:v>1.15256081335247E-3</c:v>
                </c:pt>
                <c:pt idx="329">
                  <c:v>1.1524620931595601E-3</c:v>
                </c:pt>
                <c:pt idx="330">
                  <c:v>1.1523634893819701E-3</c:v>
                </c:pt>
                <c:pt idx="331">
                  <c:v>1.15226663183421E-3</c:v>
                </c:pt>
                <c:pt idx="332">
                  <c:v>1.1521687265485499E-3</c:v>
                </c:pt>
                <c:pt idx="333">
                  <c:v>1.1520715197548301E-3</c:v>
                </c:pt>
                <c:pt idx="334">
                  <c:v>1.1519758263602901E-3</c:v>
                </c:pt>
                <c:pt idx="335">
                  <c:v>1.1518793180584901E-3</c:v>
                </c:pt>
                <c:pt idx="336">
                  <c:v>1.15178292617202E-3</c:v>
                </c:pt>
                <c:pt idx="337">
                  <c:v>1.1516882805153699E-3</c:v>
                </c:pt>
                <c:pt idx="338">
                  <c:v>1.1515924707055101E-3</c:v>
                </c:pt>
                <c:pt idx="339">
                  <c:v>1.15149782504886E-3</c:v>
                </c:pt>
                <c:pt idx="340">
                  <c:v>1.1514029465615699E-3</c:v>
                </c:pt>
                <c:pt idx="341">
                  <c:v>1.1513092322274999E-3</c:v>
                </c:pt>
                <c:pt idx="342">
                  <c:v>1.1512158671393999E-3</c:v>
                </c:pt>
                <c:pt idx="343">
                  <c:v>1.1511227348819401E-3</c:v>
                </c:pt>
                <c:pt idx="344">
                  <c:v>1.15102925337851E-3</c:v>
                </c:pt>
                <c:pt idx="345">
                  <c:v>1.1509362375363701E-3</c:v>
                </c:pt>
                <c:pt idx="346">
                  <c:v>1.1508434545248699E-3</c:v>
                </c:pt>
                <c:pt idx="347">
                  <c:v>1.15075253415853E-3</c:v>
                </c:pt>
                <c:pt idx="348">
                  <c:v>1.1506601003930001E-3</c:v>
                </c:pt>
                <c:pt idx="349">
                  <c:v>1.15056778304279E-3</c:v>
                </c:pt>
                <c:pt idx="350">
                  <c:v>1.1504786089062699E-3</c:v>
                </c:pt>
                <c:pt idx="351">
                  <c:v>1.1503875721246E-3</c:v>
                </c:pt>
                <c:pt idx="352">
                  <c:v>1.1502972338348601E-3</c:v>
                </c:pt>
                <c:pt idx="353">
                  <c:v>1.1502067791297999E-3</c:v>
                </c:pt>
                <c:pt idx="354">
                  <c:v>1.1501176049932801E-3</c:v>
                </c:pt>
                <c:pt idx="355">
                  <c:v>1.15002819802612E-3</c:v>
                </c:pt>
                <c:pt idx="356">
                  <c:v>1.1499396059662099E-3</c:v>
                </c:pt>
                <c:pt idx="357">
                  <c:v>1.1498517123982299E-3</c:v>
                </c:pt>
                <c:pt idx="358">
                  <c:v>1.14976183976978E-3</c:v>
                </c:pt>
                <c:pt idx="359">
                  <c:v>1.14967487752438E-3</c:v>
                </c:pt>
                <c:pt idx="360">
                  <c:v>1.14958628546447E-3</c:v>
                </c:pt>
                <c:pt idx="361">
                  <c:v>1.14949932321906E-3</c:v>
                </c:pt>
                <c:pt idx="362">
                  <c:v>1.14941247738898E-3</c:v>
                </c:pt>
                <c:pt idx="363">
                  <c:v>1.14932633005083E-3</c:v>
                </c:pt>
                <c:pt idx="364">
                  <c:v>1.14923843648285E-3</c:v>
                </c:pt>
                <c:pt idx="365">
                  <c:v>1.1491529876366301E-3</c:v>
                </c:pt>
                <c:pt idx="366">
                  <c:v>1.14906660746783E-3</c:v>
                </c:pt>
                <c:pt idx="367">
                  <c:v>1.14898243919015E-3</c:v>
                </c:pt>
                <c:pt idx="368">
                  <c:v>1.1488964082673201E-3</c:v>
                </c:pt>
                <c:pt idx="369">
                  <c:v>1.1488114250823901E-3</c:v>
                </c:pt>
                <c:pt idx="370">
                  <c:v>1.1487270239740599E-3</c:v>
                </c:pt>
                <c:pt idx="371">
                  <c:v>1.14864320494235E-3</c:v>
                </c:pt>
                <c:pt idx="372">
                  <c:v>1.14855915307999E-3</c:v>
                </c:pt>
                <c:pt idx="373">
                  <c:v>1.14847498480231E-3</c:v>
                </c:pt>
                <c:pt idx="374">
                  <c:v>1.1483929120004201E-3</c:v>
                </c:pt>
                <c:pt idx="375">
                  <c:v>1.1483079288154799E-3</c:v>
                </c:pt>
                <c:pt idx="376">
                  <c:v>1.14822702016681E-3</c:v>
                </c:pt>
                <c:pt idx="377">
                  <c:v>1.1481432011351E-3</c:v>
                </c:pt>
                <c:pt idx="378">
                  <c:v>1.1480615939945E-3</c:v>
                </c:pt>
                <c:pt idx="379">
                  <c:v>1.1479798704385801E-3</c:v>
                </c:pt>
                <c:pt idx="380">
                  <c:v>1.1478977976366899E-3</c:v>
                </c:pt>
                <c:pt idx="381">
                  <c:v>1.14781688898802E-3</c:v>
                </c:pt>
                <c:pt idx="382">
                  <c:v>1.14773539826274E-3</c:v>
                </c:pt>
                <c:pt idx="383">
                  <c:v>1.14765460602939E-3</c:v>
                </c:pt>
                <c:pt idx="384">
                  <c:v>1.14757474511862E-3</c:v>
                </c:pt>
                <c:pt idx="385">
                  <c:v>1.14749500062317E-3</c:v>
                </c:pt>
                <c:pt idx="386">
                  <c:v>1.1474143248051401E-3</c:v>
                </c:pt>
                <c:pt idx="387">
                  <c:v>1.1473363265395199E-3</c:v>
                </c:pt>
                <c:pt idx="388">
                  <c:v>1.14725576713681E-3</c:v>
                </c:pt>
                <c:pt idx="389">
                  <c:v>1.14717613905668E-3</c:v>
                </c:pt>
                <c:pt idx="390">
                  <c:v>1.1470982572063799E-3</c:v>
                </c:pt>
                <c:pt idx="391">
                  <c:v>1.1470194440335001E-3</c:v>
                </c:pt>
                <c:pt idx="392">
                  <c:v>1.14694039802998E-3</c:v>
                </c:pt>
                <c:pt idx="393">
                  <c:v>1.1468632146716101E-3</c:v>
                </c:pt>
                <c:pt idx="394">
                  <c:v>1.14678672980517E-3</c:v>
                </c:pt>
                <c:pt idx="395">
                  <c:v>1.1467094300314799E-3</c:v>
                </c:pt>
                <c:pt idx="396">
                  <c:v>1.14663224667311E-3</c:v>
                </c:pt>
                <c:pt idx="397">
                  <c:v>1.1465566931292399E-3</c:v>
                </c:pt>
                <c:pt idx="398">
                  <c:v>1.14648090675473E-3</c:v>
                </c:pt>
                <c:pt idx="399">
                  <c:v>1.14640488754958E-3</c:v>
                </c:pt>
                <c:pt idx="400">
                  <c:v>1.14632968325168E-3</c:v>
                </c:pt>
                <c:pt idx="401">
                  <c:v>1.1462534312158799E-3</c:v>
                </c:pt>
                <c:pt idx="402">
                  <c:v>1.14617857616395E-3</c:v>
                </c:pt>
                <c:pt idx="403">
                  <c:v>1.1461041867733E-3</c:v>
                </c:pt>
                <c:pt idx="404">
                  <c:v>1.1460296809673301E-3</c:v>
                </c:pt>
                <c:pt idx="405">
                  <c:v>1.1459564557299001E-3</c:v>
                </c:pt>
                <c:pt idx="406">
                  <c:v>1.14588194992393E-3</c:v>
                </c:pt>
                <c:pt idx="407">
                  <c:v>1.1458098888397199E-3</c:v>
                </c:pt>
                <c:pt idx="408">
                  <c:v>1.14573619794101E-3</c:v>
                </c:pt>
                <c:pt idx="409">
                  <c:v>1.14566378761083E-3</c:v>
                </c:pt>
                <c:pt idx="410">
                  <c:v>1.1455913772806499E-3</c:v>
                </c:pt>
                <c:pt idx="411">
                  <c:v>1.1455190833657999E-3</c:v>
                </c:pt>
                <c:pt idx="412">
                  <c:v>1.14544678945094E-3</c:v>
                </c:pt>
                <c:pt idx="413">
                  <c:v>1.14537531044334E-3</c:v>
                </c:pt>
                <c:pt idx="414">
                  <c:v>1.14530499558896E-3</c:v>
                </c:pt>
                <c:pt idx="415">
                  <c:v>1.14523491356522E-3</c:v>
                </c:pt>
                <c:pt idx="416">
                  <c:v>1.14516378380358E-3</c:v>
                </c:pt>
                <c:pt idx="417">
                  <c:v>1.1450939346104899E-3</c:v>
                </c:pt>
                <c:pt idx="418">
                  <c:v>1.1450250167399599E-3</c:v>
                </c:pt>
                <c:pt idx="419">
                  <c:v>1.1449547018855799E-3</c:v>
                </c:pt>
                <c:pt idx="420">
                  <c:v>1.1448869481682799E-3</c:v>
                </c:pt>
                <c:pt idx="421">
                  <c:v>1.1448177974671099E-3</c:v>
                </c:pt>
                <c:pt idx="422">
                  <c:v>1.1447505094111E-3</c:v>
                </c:pt>
                <c:pt idx="423">
                  <c:v>1.1446817079559001E-3</c:v>
                </c:pt>
                <c:pt idx="424">
                  <c:v>1.1446145363151999E-3</c:v>
                </c:pt>
                <c:pt idx="425">
                  <c:v>1.1445470154285401E-3</c:v>
                </c:pt>
                <c:pt idx="426">
                  <c:v>1.14447984378785E-3</c:v>
                </c:pt>
                <c:pt idx="427">
                  <c:v>1.1444137198850499E-3</c:v>
                </c:pt>
                <c:pt idx="428">
                  <c:v>1.1443479452282199E-3</c:v>
                </c:pt>
                <c:pt idx="429">
                  <c:v>1.14428182132542E-3</c:v>
                </c:pt>
                <c:pt idx="430">
                  <c:v>1.14421627949923E-3</c:v>
                </c:pt>
                <c:pt idx="431">
                  <c:v>1.14415178541094E-3</c:v>
                </c:pt>
                <c:pt idx="432">
                  <c:v>1.14408775698394E-3</c:v>
                </c:pt>
                <c:pt idx="433">
                  <c:v>1.14402349572629E-3</c:v>
                </c:pt>
                <c:pt idx="434">
                  <c:v>1.1439595837146E-3</c:v>
                </c:pt>
                <c:pt idx="435">
                  <c:v>1.14389637019485E-3</c:v>
                </c:pt>
                <c:pt idx="436">
                  <c:v>1.143834204413E-3</c:v>
                </c:pt>
                <c:pt idx="437">
                  <c:v>1.1437698267400299E-3</c:v>
                </c:pt>
                <c:pt idx="438">
                  <c:v>1.14370847586542E-3</c:v>
                </c:pt>
                <c:pt idx="439">
                  <c:v>1.14364654291421E-3</c:v>
                </c:pt>
                <c:pt idx="440">
                  <c:v>1.14358426071703E-3</c:v>
                </c:pt>
                <c:pt idx="441">
                  <c:v>1.1435248889029E-3</c:v>
                </c:pt>
                <c:pt idx="442">
                  <c:v>1.1434645857661999E-3</c:v>
                </c:pt>
                <c:pt idx="443">
                  <c:v>1.1434040497988499E-3</c:v>
                </c:pt>
                <c:pt idx="444">
                  <c:v>1.1433443287387499E-3</c:v>
                </c:pt>
                <c:pt idx="445">
                  <c:v>1.14328507333994E-3</c:v>
                </c:pt>
                <c:pt idx="446">
                  <c:v>1.1432264000177401E-3</c:v>
                </c:pt>
                <c:pt idx="447">
                  <c:v>1.1431676102802201E-3</c:v>
                </c:pt>
                <c:pt idx="448">
                  <c:v>1.14311010111123E-3</c:v>
                </c:pt>
                <c:pt idx="449">
                  <c:v>1.1430515442043499E-3</c:v>
                </c:pt>
                <c:pt idx="450">
                  <c:v>1.14299543201923E-3</c:v>
                </c:pt>
                <c:pt idx="451">
                  <c:v>1.1429376900196099E-3</c:v>
                </c:pt>
                <c:pt idx="452">
                  <c:v>1.1428822763264201E-3</c:v>
                </c:pt>
                <c:pt idx="453">
                  <c:v>1.14282651338726E-3</c:v>
                </c:pt>
                <c:pt idx="454">
                  <c:v>1.14277144894004E-3</c:v>
                </c:pt>
                <c:pt idx="455">
                  <c:v>1.1427162680774899E-3</c:v>
                </c:pt>
                <c:pt idx="456">
                  <c:v>1.14266283344477E-3</c:v>
                </c:pt>
                <c:pt idx="457">
                  <c:v>1.14260776899755E-3</c:v>
                </c:pt>
                <c:pt idx="458">
                  <c:v>1.1425546836108E-3</c:v>
                </c:pt>
                <c:pt idx="459">
                  <c:v>1.1425015982240399E-3</c:v>
                </c:pt>
                <c:pt idx="460">
                  <c:v>1.1424490949138999E-3</c:v>
                </c:pt>
                <c:pt idx="461">
                  <c:v>1.14239705726504E-3</c:v>
                </c:pt>
                <c:pt idx="462">
                  <c:v>1.1423456016928001E-3</c:v>
                </c:pt>
                <c:pt idx="463">
                  <c:v>1.1422949610278E-3</c:v>
                </c:pt>
                <c:pt idx="464">
                  <c:v>1.1422436218708799E-3</c:v>
                </c:pt>
                <c:pt idx="465">
                  <c:v>1.1421948438510301E-3</c:v>
                </c:pt>
                <c:pt idx="466">
                  <c:v>1.14214397035539E-3</c:v>
                </c:pt>
                <c:pt idx="467">
                  <c:v>1.1420949595049E-3</c:v>
                </c:pt>
                <c:pt idx="468">
                  <c:v>1.1420469963923101E-3</c:v>
                </c:pt>
                <c:pt idx="469">
                  <c:v>1.1419982183724601E-3</c:v>
                </c:pt>
                <c:pt idx="470">
                  <c:v>1.14195176865906E-3</c:v>
                </c:pt>
                <c:pt idx="471">
                  <c:v>1.1419043876230699E-3</c:v>
                </c:pt>
                <c:pt idx="472">
                  <c:v>1.1418581707403101E-3</c:v>
                </c:pt>
                <c:pt idx="473">
                  <c:v>1.1418112553656099E-3</c:v>
                </c:pt>
                <c:pt idx="474">
                  <c:v>1.1417653877288101E-3</c:v>
                </c:pt>
                <c:pt idx="475">
                  <c:v>1.14172231405973E-3</c:v>
                </c:pt>
                <c:pt idx="476">
                  <c:v>1.1416769120842201E-3</c:v>
                </c:pt>
                <c:pt idx="477">
                  <c:v>1.14163325633854E-3</c:v>
                </c:pt>
                <c:pt idx="478">
                  <c:v>1.1415899498388199E-3</c:v>
                </c:pt>
                <c:pt idx="479">
                  <c:v>1.1415468761697401E-3</c:v>
                </c:pt>
                <c:pt idx="480">
                  <c:v>1.14150473382324E-3</c:v>
                </c:pt>
                <c:pt idx="481">
                  <c:v>1.1414638720452801E-3</c:v>
                </c:pt>
                <c:pt idx="482">
                  <c:v>1.14142219536006E-3</c:v>
                </c:pt>
                <c:pt idx="483">
                  <c:v>1.1413827305659699E-3</c:v>
                </c:pt>
                <c:pt idx="484">
                  <c:v>1.14134303294122E-3</c:v>
                </c:pt>
                <c:pt idx="485">
                  <c:v>1.14130403380841E-3</c:v>
                </c:pt>
                <c:pt idx="486">
                  <c:v>1.14126515109092E-3</c:v>
                </c:pt>
                <c:pt idx="487">
                  <c:v>1.1412269668653601E-3</c:v>
                </c:pt>
                <c:pt idx="488">
                  <c:v>1.14118971396238E-3</c:v>
                </c:pt>
                <c:pt idx="489">
                  <c:v>1.14115339238197E-3</c:v>
                </c:pt>
                <c:pt idx="490">
                  <c:v>1.1411168379709101E-3</c:v>
                </c:pt>
                <c:pt idx="491">
                  <c:v>1.1410822626203301E-3</c:v>
                </c:pt>
                <c:pt idx="492">
                  <c:v>1.14104733802378E-3</c:v>
                </c:pt>
                <c:pt idx="493">
                  <c:v>1.14101357758045E-3</c:v>
                </c:pt>
                <c:pt idx="494">
                  <c:v>1.1409799335524401E-3</c:v>
                </c:pt>
                <c:pt idx="495">
                  <c:v>1.1409473372623301E-3</c:v>
                </c:pt>
                <c:pt idx="496">
                  <c:v>1.1409152066335099E-3</c:v>
                </c:pt>
                <c:pt idx="497">
                  <c:v>1.1408848222345101E-3</c:v>
                </c:pt>
                <c:pt idx="498">
                  <c:v>1.1408549034967999E-3</c:v>
                </c:pt>
                <c:pt idx="499">
                  <c:v>1.1408239370212E-3</c:v>
                </c:pt>
              </c:numCache>
            </c:numRef>
          </c:val>
          <c:smooth val="0"/>
        </c:ser>
        <c:dLbls>
          <c:showLegendKey val="0"/>
          <c:showVal val="0"/>
          <c:showCatName val="0"/>
          <c:showSerName val="0"/>
          <c:showPercent val="0"/>
          <c:showBubbleSize val="0"/>
        </c:dLbls>
        <c:marker val="1"/>
        <c:smooth val="0"/>
        <c:axId val="1649016944"/>
        <c:axId val="1649030000"/>
      </c:lineChart>
      <c:lineChart>
        <c:grouping val="standard"/>
        <c:varyColors val="0"/>
        <c:ser>
          <c:idx val="1"/>
          <c:order val="1"/>
          <c:tx>
            <c:strRef>
              <c:f>MSE!$C$1</c:f>
              <c:strCache>
                <c:ptCount val="1"/>
                <c:pt idx="0">
                  <c:v>Average of DURATION</c:v>
                </c:pt>
              </c:strCache>
            </c:strRef>
          </c:tx>
          <c:spPr>
            <a:ln w="28575" cap="rnd">
              <a:solidFill>
                <a:schemeClr val="accent2"/>
              </a:solidFill>
              <a:round/>
            </a:ln>
            <a:effectLst/>
          </c:spPr>
          <c:marker>
            <c:symbol val="none"/>
          </c:marker>
          <c:cat>
            <c:strRef>
              <c:f>MSE!$A$2:$A$502</c:f>
              <c:strCache>
                <c:ptCount val="5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strCache>
            </c:strRef>
          </c:cat>
          <c:val>
            <c:numRef>
              <c:f>MSE!$C$2:$C$502</c:f>
              <c:numCache>
                <c:formatCode>0</c:formatCode>
                <c:ptCount val="500"/>
                <c:pt idx="0">
                  <c:v>412</c:v>
                </c:pt>
                <c:pt idx="1">
                  <c:v>144</c:v>
                </c:pt>
                <c:pt idx="2">
                  <c:v>134</c:v>
                </c:pt>
                <c:pt idx="3">
                  <c:v>132</c:v>
                </c:pt>
                <c:pt idx="4">
                  <c:v>132</c:v>
                </c:pt>
                <c:pt idx="5">
                  <c:v>131</c:v>
                </c:pt>
                <c:pt idx="6">
                  <c:v>135</c:v>
                </c:pt>
                <c:pt idx="7">
                  <c:v>133</c:v>
                </c:pt>
                <c:pt idx="8">
                  <c:v>150</c:v>
                </c:pt>
                <c:pt idx="9">
                  <c:v>133</c:v>
                </c:pt>
                <c:pt idx="10">
                  <c:v>131</c:v>
                </c:pt>
                <c:pt idx="11">
                  <c:v>132</c:v>
                </c:pt>
                <c:pt idx="12">
                  <c:v>131</c:v>
                </c:pt>
                <c:pt idx="13">
                  <c:v>155</c:v>
                </c:pt>
                <c:pt idx="14">
                  <c:v>132</c:v>
                </c:pt>
                <c:pt idx="15">
                  <c:v>141</c:v>
                </c:pt>
                <c:pt idx="16">
                  <c:v>149</c:v>
                </c:pt>
                <c:pt idx="17">
                  <c:v>132</c:v>
                </c:pt>
                <c:pt idx="18">
                  <c:v>131</c:v>
                </c:pt>
                <c:pt idx="19">
                  <c:v>132</c:v>
                </c:pt>
                <c:pt idx="20">
                  <c:v>132</c:v>
                </c:pt>
                <c:pt idx="21">
                  <c:v>132</c:v>
                </c:pt>
                <c:pt idx="22">
                  <c:v>133</c:v>
                </c:pt>
                <c:pt idx="23">
                  <c:v>135</c:v>
                </c:pt>
                <c:pt idx="24">
                  <c:v>135</c:v>
                </c:pt>
                <c:pt idx="25">
                  <c:v>131</c:v>
                </c:pt>
                <c:pt idx="26">
                  <c:v>132</c:v>
                </c:pt>
                <c:pt idx="27">
                  <c:v>132</c:v>
                </c:pt>
                <c:pt idx="28">
                  <c:v>132</c:v>
                </c:pt>
                <c:pt idx="29">
                  <c:v>130</c:v>
                </c:pt>
                <c:pt idx="30">
                  <c:v>134</c:v>
                </c:pt>
                <c:pt idx="31">
                  <c:v>132</c:v>
                </c:pt>
                <c:pt idx="32">
                  <c:v>134</c:v>
                </c:pt>
                <c:pt idx="33">
                  <c:v>132</c:v>
                </c:pt>
                <c:pt idx="34">
                  <c:v>132</c:v>
                </c:pt>
                <c:pt idx="35">
                  <c:v>132</c:v>
                </c:pt>
                <c:pt idx="36">
                  <c:v>131</c:v>
                </c:pt>
                <c:pt idx="37">
                  <c:v>133</c:v>
                </c:pt>
                <c:pt idx="38">
                  <c:v>132</c:v>
                </c:pt>
                <c:pt idx="39">
                  <c:v>139</c:v>
                </c:pt>
                <c:pt idx="40">
                  <c:v>131</c:v>
                </c:pt>
                <c:pt idx="41">
                  <c:v>132</c:v>
                </c:pt>
                <c:pt idx="42">
                  <c:v>135</c:v>
                </c:pt>
                <c:pt idx="43">
                  <c:v>134</c:v>
                </c:pt>
                <c:pt idx="44">
                  <c:v>133</c:v>
                </c:pt>
                <c:pt idx="45">
                  <c:v>135</c:v>
                </c:pt>
                <c:pt idx="46">
                  <c:v>135</c:v>
                </c:pt>
                <c:pt idx="47">
                  <c:v>135</c:v>
                </c:pt>
                <c:pt idx="48">
                  <c:v>134</c:v>
                </c:pt>
                <c:pt idx="49">
                  <c:v>133</c:v>
                </c:pt>
                <c:pt idx="50">
                  <c:v>135</c:v>
                </c:pt>
                <c:pt idx="51">
                  <c:v>133</c:v>
                </c:pt>
                <c:pt idx="52">
                  <c:v>149</c:v>
                </c:pt>
                <c:pt idx="53">
                  <c:v>132</c:v>
                </c:pt>
                <c:pt idx="54">
                  <c:v>134</c:v>
                </c:pt>
                <c:pt idx="55">
                  <c:v>142</c:v>
                </c:pt>
                <c:pt idx="56">
                  <c:v>147</c:v>
                </c:pt>
                <c:pt idx="57">
                  <c:v>145</c:v>
                </c:pt>
                <c:pt idx="58">
                  <c:v>147</c:v>
                </c:pt>
                <c:pt idx="59">
                  <c:v>174</c:v>
                </c:pt>
                <c:pt idx="60">
                  <c:v>190</c:v>
                </c:pt>
                <c:pt idx="61">
                  <c:v>176</c:v>
                </c:pt>
                <c:pt idx="62">
                  <c:v>149</c:v>
                </c:pt>
                <c:pt idx="63">
                  <c:v>145</c:v>
                </c:pt>
                <c:pt idx="64">
                  <c:v>150</c:v>
                </c:pt>
                <c:pt idx="65">
                  <c:v>170</c:v>
                </c:pt>
                <c:pt idx="66">
                  <c:v>133</c:v>
                </c:pt>
                <c:pt idx="67">
                  <c:v>140</c:v>
                </c:pt>
                <c:pt idx="68">
                  <c:v>136</c:v>
                </c:pt>
                <c:pt idx="69">
                  <c:v>131</c:v>
                </c:pt>
                <c:pt idx="70">
                  <c:v>132</c:v>
                </c:pt>
                <c:pt idx="71">
                  <c:v>131</c:v>
                </c:pt>
                <c:pt idx="72">
                  <c:v>133</c:v>
                </c:pt>
                <c:pt idx="73">
                  <c:v>135</c:v>
                </c:pt>
                <c:pt idx="74">
                  <c:v>153</c:v>
                </c:pt>
                <c:pt idx="75">
                  <c:v>134</c:v>
                </c:pt>
                <c:pt idx="76">
                  <c:v>134</c:v>
                </c:pt>
                <c:pt idx="77">
                  <c:v>133</c:v>
                </c:pt>
                <c:pt idx="78">
                  <c:v>146</c:v>
                </c:pt>
                <c:pt idx="79">
                  <c:v>132</c:v>
                </c:pt>
                <c:pt idx="80">
                  <c:v>133</c:v>
                </c:pt>
                <c:pt idx="81">
                  <c:v>133</c:v>
                </c:pt>
                <c:pt idx="82">
                  <c:v>133</c:v>
                </c:pt>
                <c:pt idx="83">
                  <c:v>131</c:v>
                </c:pt>
                <c:pt idx="84">
                  <c:v>132</c:v>
                </c:pt>
                <c:pt idx="85">
                  <c:v>131</c:v>
                </c:pt>
                <c:pt idx="86">
                  <c:v>131</c:v>
                </c:pt>
                <c:pt idx="87">
                  <c:v>131</c:v>
                </c:pt>
                <c:pt idx="88">
                  <c:v>133</c:v>
                </c:pt>
                <c:pt idx="89">
                  <c:v>133</c:v>
                </c:pt>
                <c:pt idx="90">
                  <c:v>131</c:v>
                </c:pt>
                <c:pt idx="91">
                  <c:v>132</c:v>
                </c:pt>
                <c:pt idx="92">
                  <c:v>132</c:v>
                </c:pt>
                <c:pt idx="93">
                  <c:v>132</c:v>
                </c:pt>
                <c:pt idx="94">
                  <c:v>132</c:v>
                </c:pt>
                <c:pt idx="95">
                  <c:v>133</c:v>
                </c:pt>
                <c:pt idx="96">
                  <c:v>132</c:v>
                </c:pt>
                <c:pt idx="97">
                  <c:v>133</c:v>
                </c:pt>
                <c:pt idx="98">
                  <c:v>131</c:v>
                </c:pt>
                <c:pt idx="99">
                  <c:v>132</c:v>
                </c:pt>
                <c:pt idx="100">
                  <c:v>131</c:v>
                </c:pt>
                <c:pt idx="101">
                  <c:v>131</c:v>
                </c:pt>
                <c:pt idx="102">
                  <c:v>132</c:v>
                </c:pt>
                <c:pt idx="103">
                  <c:v>155</c:v>
                </c:pt>
                <c:pt idx="104">
                  <c:v>134</c:v>
                </c:pt>
                <c:pt idx="105">
                  <c:v>132</c:v>
                </c:pt>
                <c:pt idx="106">
                  <c:v>133</c:v>
                </c:pt>
                <c:pt idx="107">
                  <c:v>133</c:v>
                </c:pt>
                <c:pt idx="108">
                  <c:v>132</c:v>
                </c:pt>
                <c:pt idx="109">
                  <c:v>132</c:v>
                </c:pt>
                <c:pt idx="110">
                  <c:v>170</c:v>
                </c:pt>
                <c:pt idx="111">
                  <c:v>133</c:v>
                </c:pt>
                <c:pt idx="112">
                  <c:v>136</c:v>
                </c:pt>
                <c:pt idx="113">
                  <c:v>137</c:v>
                </c:pt>
                <c:pt idx="114">
                  <c:v>140</c:v>
                </c:pt>
                <c:pt idx="115">
                  <c:v>135</c:v>
                </c:pt>
                <c:pt idx="116">
                  <c:v>135</c:v>
                </c:pt>
                <c:pt idx="117">
                  <c:v>135</c:v>
                </c:pt>
                <c:pt idx="118">
                  <c:v>135</c:v>
                </c:pt>
                <c:pt idx="119">
                  <c:v>140</c:v>
                </c:pt>
                <c:pt idx="120">
                  <c:v>135</c:v>
                </c:pt>
                <c:pt idx="121">
                  <c:v>135</c:v>
                </c:pt>
                <c:pt idx="122">
                  <c:v>134</c:v>
                </c:pt>
                <c:pt idx="123">
                  <c:v>132</c:v>
                </c:pt>
                <c:pt idx="124">
                  <c:v>133</c:v>
                </c:pt>
                <c:pt idx="125">
                  <c:v>135</c:v>
                </c:pt>
                <c:pt idx="126">
                  <c:v>133</c:v>
                </c:pt>
                <c:pt idx="127">
                  <c:v>133</c:v>
                </c:pt>
                <c:pt idx="128">
                  <c:v>131</c:v>
                </c:pt>
                <c:pt idx="129">
                  <c:v>135</c:v>
                </c:pt>
                <c:pt idx="130">
                  <c:v>132</c:v>
                </c:pt>
                <c:pt idx="131">
                  <c:v>132</c:v>
                </c:pt>
                <c:pt idx="132">
                  <c:v>133</c:v>
                </c:pt>
                <c:pt idx="133">
                  <c:v>133</c:v>
                </c:pt>
                <c:pt idx="134">
                  <c:v>132</c:v>
                </c:pt>
                <c:pt idx="135">
                  <c:v>132</c:v>
                </c:pt>
                <c:pt idx="136">
                  <c:v>130</c:v>
                </c:pt>
                <c:pt idx="137">
                  <c:v>132</c:v>
                </c:pt>
                <c:pt idx="138">
                  <c:v>132</c:v>
                </c:pt>
                <c:pt idx="139">
                  <c:v>133</c:v>
                </c:pt>
                <c:pt idx="140">
                  <c:v>133</c:v>
                </c:pt>
                <c:pt idx="141">
                  <c:v>132</c:v>
                </c:pt>
                <c:pt idx="142">
                  <c:v>132</c:v>
                </c:pt>
                <c:pt idx="143">
                  <c:v>132</c:v>
                </c:pt>
                <c:pt idx="144">
                  <c:v>132</c:v>
                </c:pt>
                <c:pt idx="145">
                  <c:v>131</c:v>
                </c:pt>
                <c:pt idx="146">
                  <c:v>131</c:v>
                </c:pt>
                <c:pt idx="147">
                  <c:v>134</c:v>
                </c:pt>
                <c:pt idx="148">
                  <c:v>131</c:v>
                </c:pt>
                <c:pt idx="149">
                  <c:v>133</c:v>
                </c:pt>
                <c:pt idx="150">
                  <c:v>131</c:v>
                </c:pt>
                <c:pt idx="151">
                  <c:v>131</c:v>
                </c:pt>
                <c:pt idx="152">
                  <c:v>132</c:v>
                </c:pt>
                <c:pt idx="153">
                  <c:v>131</c:v>
                </c:pt>
                <c:pt idx="154">
                  <c:v>133</c:v>
                </c:pt>
                <c:pt idx="155">
                  <c:v>146</c:v>
                </c:pt>
                <c:pt idx="156">
                  <c:v>133</c:v>
                </c:pt>
                <c:pt idx="157">
                  <c:v>133</c:v>
                </c:pt>
                <c:pt idx="158">
                  <c:v>131</c:v>
                </c:pt>
                <c:pt idx="159">
                  <c:v>132</c:v>
                </c:pt>
                <c:pt idx="160">
                  <c:v>131</c:v>
                </c:pt>
                <c:pt idx="161">
                  <c:v>134</c:v>
                </c:pt>
                <c:pt idx="162">
                  <c:v>134</c:v>
                </c:pt>
                <c:pt idx="163">
                  <c:v>133</c:v>
                </c:pt>
                <c:pt idx="164">
                  <c:v>131</c:v>
                </c:pt>
                <c:pt idx="165">
                  <c:v>132</c:v>
                </c:pt>
                <c:pt idx="166">
                  <c:v>132</c:v>
                </c:pt>
                <c:pt idx="167">
                  <c:v>132</c:v>
                </c:pt>
                <c:pt idx="168">
                  <c:v>132</c:v>
                </c:pt>
                <c:pt idx="169">
                  <c:v>132</c:v>
                </c:pt>
                <c:pt idx="170">
                  <c:v>133</c:v>
                </c:pt>
                <c:pt idx="171">
                  <c:v>134</c:v>
                </c:pt>
                <c:pt idx="172">
                  <c:v>130</c:v>
                </c:pt>
                <c:pt idx="173">
                  <c:v>133</c:v>
                </c:pt>
                <c:pt idx="174">
                  <c:v>132</c:v>
                </c:pt>
                <c:pt idx="175">
                  <c:v>132</c:v>
                </c:pt>
                <c:pt idx="176">
                  <c:v>131</c:v>
                </c:pt>
                <c:pt idx="177">
                  <c:v>134</c:v>
                </c:pt>
                <c:pt idx="178">
                  <c:v>132</c:v>
                </c:pt>
                <c:pt idx="179">
                  <c:v>160</c:v>
                </c:pt>
                <c:pt idx="180">
                  <c:v>135</c:v>
                </c:pt>
                <c:pt idx="181">
                  <c:v>133</c:v>
                </c:pt>
                <c:pt idx="182">
                  <c:v>132</c:v>
                </c:pt>
                <c:pt idx="183">
                  <c:v>135</c:v>
                </c:pt>
                <c:pt idx="184">
                  <c:v>131</c:v>
                </c:pt>
                <c:pt idx="185">
                  <c:v>134</c:v>
                </c:pt>
                <c:pt idx="186">
                  <c:v>133</c:v>
                </c:pt>
                <c:pt idx="187">
                  <c:v>132</c:v>
                </c:pt>
                <c:pt idx="188">
                  <c:v>132</c:v>
                </c:pt>
                <c:pt idx="189">
                  <c:v>132</c:v>
                </c:pt>
                <c:pt idx="190">
                  <c:v>132</c:v>
                </c:pt>
                <c:pt idx="191">
                  <c:v>132</c:v>
                </c:pt>
                <c:pt idx="192">
                  <c:v>140</c:v>
                </c:pt>
                <c:pt idx="193">
                  <c:v>133</c:v>
                </c:pt>
                <c:pt idx="194">
                  <c:v>132</c:v>
                </c:pt>
                <c:pt idx="195">
                  <c:v>132</c:v>
                </c:pt>
                <c:pt idx="196">
                  <c:v>131</c:v>
                </c:pt>
                <c:pt idx="197">
                  <c:v>132</c:v>
                </c:pt>
                <c:pt idx="198">
                  <c:v>132</c:v>
                </c:pt>
                <c:pt idx="199">
                  <c:v>161</c:v>
                </c:pt>
                <c:pt idx="200">
                  <c:v>132</c:v>
                </c:pt>
                <c:pt idx="201">
                  <c:v>133</c:v>
                </c:pt>
                <c:pt idx="202">
                  <c:v>132</c:v>
                </c:pt>
                <c:pt idx="203">
                  <c:v>132</c:v>
                </c:pt>
                <c:pt idx="204">
                  <c:v>132</c:v>
                </c:pt>
                <c:pt idx="205">
                  <c:v>132</c:v>
                </c:pt>
                <c:pt idx="206">
                  <c:v>131</c:v>
                </c:pt>
                <c:pt idx="207">
                  <c:v>133</c:v>
                </c:pt>
                <c:pt idx="208">
                  <c:v>132</c:v>
                </c:pt>
                <c:pt idx="209">
                  <c:v>132</c:v>
                </c:pt>
                <c:pt idx="210">
                  <c:v>132</c:v>
                </c:pt>
                <c:pt idx="211">
                  <c:v>132</c:v>
                </c:pt>
                <c:pt idx="212">
                  <c:v>132</c:v>
                </c:pt>
                <c:pt idx="213">
                  <c:v>133</c:v>
                </c:pt>
                <c:pt idx="214">
                  <c:v>135</c:v>
                </c:pt>
                <c:pt idx="215">
                  <c:v>143</c:v>
                </c:pt>
                <c:pt idx="216">
                  <c:v>133</c:v>
                </c:pt>
                <c:pt idx="217">
                  <c:v>132</c:v>
                </c:pt>
                <c:pt idx="218">
                  <c:v>132</c:v>
                </c:pt>
                <c:pt idx="219">
                  <c:v>132</c:v>
                </c:pt>
                <c:pt idx="220">
                  <c:v>142</c:v>
                </c:pt>
                <c:pt idx="221">
                  <c:v>132</c:v>
                </c:pt>
                <c:pt idx="222">
                  <c:v>134</c:v>
                </c:pt>
                <c:pt idx="223">
                  <c:v>133</c:v>
                </c:pt>
                <c:pt idx="224">
                  <c:v>133</c:v>
                </c:pt>
                <c:pt idx="225">
                  <c:v>132</c:v>
                </c:pt>
                <c:pt idx="226">
                  <c:v>132</c:v>
                </c:pt>
                <c:pt idx="227">
                  <c:v>132</c:v>
                </c:pt>
                <c:pt idx="228">
                  <c:v>133</c:v>
                </c:pt>
                <c:pt idx="229">
                  <c:v>135</c:v>
                </c:pt>
                <c:pt idx="230">
                  <c:v>133</c:v>
                </c:pt>
                <c:pt idx="231">
                  <c:v>132</c:v>
                </c:pt>
                <c:pt idx="232">
                  <c:v>133</c:v>
                </c:pt>
                <c:pt idx="233">
                  <c:v>133</c:v>
                </c:pt>
                <c:pt idx="234">
                  <c:v>135</c:v>
                </c:pt>
                <c:pt idx="235">
                  <c:v>135</c:v>
                </c:pt>
                <c:pt idx="236">
                  <c:v>135</c:v>
                </c:pt>
                <c:pt idx="237">
                  <c:v>136</c:v>
                </c:pt>
                <c:pt idx="238">
                  <c:v>135</c:v>
                </c:pt>
                <c:pt idx="239">
                  <c:v>133</c:v>
                </c:pt>
                <c:pt idx="240">
                  <c:v>135</c:v>
                </c:pt>
                <c:pt idx="241">
                  <c:v>134</c:v>
                </c:pt>
                <c:pt idx="242">
                  <c:v>133</c:v>
                </c:pt>
                <c:pt idx="243">
                  <c:v>149</c:v>
                </c:pt>
                <c:pt idx="244">
                  <c:v>159</c:v>
                </c:pt>
                <c:pt idx="245">
                  <c:v>136</c:v>
                </c:pt>
                <c:pt idx="246">
                  <c:v>134</c:v>
                </c:pt>
                <c:pt idx="247">
                  <c:v>136</c:v>
                </c:pt>
                <c:pt idx="248">
                  <c:v>135</c:v>
                </c:pt>
                <c:pt idx="249">
                  <c:v>133</c:v>
                </c:pt>
                <c:pt idx="250">
                  <c:v>134</c:v>
                </c:pt>
                <c:pt idx="251">
                  <c:v>171</c:v>
                </c:pt>
                <c:pt idx="252">
                  <c:v>135</c:v>
                </c:pt>
                <c:pt idx="253">
                  <c:v>134</c:v>
                </c:pt>
                <c:pt idx="254">
                  <c:v>134</c:v>
                </c:pt>
                <c:pt idx="255">
                  <c:v>134</c:v>
                </c:pt>
                <c:pt idx="256">
                  <c:v>131</c:v>
                </c:pt>
                <c:pt idx="257">
                  <c:v>132</c:v>
                </c:pt>
                <c:pt idx="258">
                  <c:v>136</c:v>
                </c:pt>
                <c:pt idx="259">
                  <c:v>144</c:v>
                </c:pt>
                <c:pt idx="260">
                  <c:v>143</c:v>
                </c:pt>
                <c:pt idx="261">
                  <c:v>146</c:v>
                </c:pt>
                <c:pt idx="262">
                  <c:v>143</c:v>
                </c:pt>
                <c:pt idx="263">
                  <c:v>156</c:v>
                </c:pt>
                <c:pt idx="264">
                  <c:v>153</c:v>
                </c:pt>
                <c:pt idx="265">
                  <c:v>146</c:v>
                </c:pt>
                <c:pt idx="266">
                  <c:v>142</c:v>
                </c:pt>
                <c:pt idx="267">
                  <c:v>148</c:v>
                </c:pt>
                <c:pt idx="268">
                  <c:v>140</c:v>
                </c:pt>
                <c:pt idx="269">
                  <c:v>139</c:v>
                </c:pt>
                <c:pt idx="270">
                  <c:v>136</c:v>
                </c:pt>
                <c:pt idx="271">
                  <c:v>139</c:v>
                </c:pt>
                <c:pt idx="272">
                  <c:v>165</c:v>
                </c:pt>
                <c:pt idx="273">
                  <c:v>153</c:v>
                </c:pt>
                <c:pt idx="274">
                  <c:v>214</c:v>
                </c:pt>
                <c:pt idx="275">
                  <c:v>198</c:v>
                </c:pt>
                <c:pt idx="276">
                  <c:v>142</c:v>
                </c:pt>
                <c:pt idx="277">
                  <c:v>142</c:v>
                </c:pt>
                <c:pt idx="278">
                  <c:v>140</c:v>
                </c:pt>
                <c:pt idx="279">
                  <c:v>137</c:v>
                </c:pt>
                <c:pt idx="280">
                  <c:v>135</c:v>
                </c:pt>
                <c:pt idx="281">
                  <c:v>136</c:v>
                </c:pt>
                <c:pt idx="282">
                  <c:v>135</c:v>
                </c:pt>
                <c:pt idx="283">
                  <c:v>135</c:v>
                </c:pt>
                <c:pt idx="284">
                  <c:v>135</c:v>
                </c:pt>
                <c:pt idx="285">
                  <c:v>149</c:v>
                </c:pt>
                <c:pt idx="286">
                  <c:v>135</c:v>
                </c:pt>
                <c:pt idx="287">
                  <c:v>135</c:v>
                </c:pt>
                <c:pt idx="288">
                  <c:v>135</c:v>
                </c:pt>
                <c:pt idx="289">
                  <c:v>134</c:v>
                </c:pt>
                <c:pt idx="290">
                  <c:v>133</c:v>
                </c:pt>
                <c:pt idx="291">
                  <c:v>133</c:v>
                </c:pt>
                <c:pt idx="292">
                  <c:v>140</c:v>
                </c:pt>
                <c:pt idx="293">
                  <c:v>136</c:v>
                </c:pt>
                <c:pt idx="294">
                  <c:v>140</c:v>
                </c:pt>
                <c:pt idx="295">
                  <c:v>139</c:v>
                </c:pt>
                <c:pt idx="296">
                  <c:v>136</c:v>
                </c:pt>
                <c:pt idx="297">
                  <c:v>138</c:v>
                </c:pt>
                <c:pt idx="298">
                  <c:v>136</c:v>
                </c:pt>
                <c:pt idx="299">
                  <c:v>137</c:v>
                </c:pt>
                <c:pt idx="300">
                  <c:v>136</c:v>
                </c:pt>
                <c:pt idx="301">
                  <c:v>133</c:v>
                </c:pt>
                <c:pt idx="302">
                  <c:v>133</c:v>
                </c:pt>
                <c:pt idx="303">
                  <c:v>133</c:v>
                </c:pt>
                <c:pt idx="304">
                  <c:v>134</c:v>
                </c:pt>
                <c:pt idx="305">
                  <c:v>137</c:v>
                </c:pt>
                <c:pt idx="306">
                  <c:v>138</c:v>
                </c:pt>
                <c:pt idx="307">
                  <c:v>138</c:v>
                </c:pt>
                <c:pt idx="308">
                  <c:v>136</c:v>
                </c:pt>
                <c:pt idx="309">
                  <c:v>138</c:v>
                </c:pt>
                <c:pt idx="310">
                  <c:v>133</c:v>
                </c:pt>
                <c:pt idx="311">
                  <c:v>146</c:v>
                </c:pt>
                <c:pt idx="312">
                  <c:v>168</c:v>
                </c:pt>
                <c:pt idx="313">
                  <c:v>137</c:v>
                </c:pt>
                <c:pt idx="314">
                  <c:v>148</c:v>
                </c:pt>
                <c:pt idx="315">
                  <c:v>137</c:v>
                </c:pt>
                <c:pt idx="316">
                  <c:v>135</c:v>
                </c:pt>
                <c:pt idx="317">
                  <c:v>137</c:v>
                </c:pt>
                <c:pt idx="318">
                  <c:v>135</c:v>
                </c:pt>
                <c:pt idx="319">
                  <c:v>135</c:v>
                </c:pt>
                <c:pt idx="320">
                  <c:v>133</c:v>
                </c:pt>
                <c:pt idx="321">
                  <c:v>133</c:v>
                </c:pt>
                <c:pt idx="322">
                  <c:v>135</c:v>
                </c:pt>
                <c:pt idx="323">
                  <c:v>136</c:v>
                </c:pt>
                <c:pt idx="324">
                  <c:v>135</c:v>
                </c:pt>
                <c:pt idx="325">
                  <c:v>133</c:v>
                </c:pt>
                <c:pt idx="326">
                  <c:v>134</c:v>
                </c:pt>
                <c:pt idx="327">
                  <c:v>139</c:v>
                </c:pt>
                <c:pt idx="328">
                  <c:v>160</c:v>
                </c:pt>
                <c:pt idx="329">
                  <c:v>141</c:v>
                </c:pt>
                <c:pt idx="330">
                  <c:v>136</c:v>
                </c:pt>
                <c:pt idx="331">
                  <c:v>133</c:v>
                </c:pt>
                <c:pt idx="332">
                  <c:v>135</c:v>
                </c:pt>
                <c:pt idx="333">
                  <c:v>152</c:v>
                </c:pt>
                <c:pt idx="334">
                  <c:v>134</c:v>
                </c:pt>
                <c:pt idx="335">
                  <c:v>137</c:v>
                </c:pt>
                <c:pt idx="336">
                  <c:v>154</c:v>
                </c:pt>
                <c:pt idx="337">
                  <c:v>145</c:v>
                </c:pt>
                <c:pt idx="338">
                  <c:v>141</c:v>
                </c:pt>
                <c:pt idx="339">
                  <c:v>142</c:v>
                </c:pt>
                <c:pt idx="340">
                  <c:v>136</c:v>
                </c:pt>
                <c:pt idx="341">
                  <c:v>136</c:v>
                </c:pt>
                <c:pt idx="342">
                  <c:v>172</c:v>
                </c:pt>
                <c:pt idx="343">
                  <c:v>136</c:v>
                </c:pt>
                <c:pt idx="344">
                  <c:v>155</c:v>
                </c:pt>
                <c:pt idx="345">
                  <c:v>133</c:v>
                </c:pt>
                <c:pt idx="346">
                  <c:v>134</c:v>
                </c:pt>
                <c:pt idx="347">
                  <c:v>134</c:v>
                </c:pt>
                <c:pt idx="348">
                  <c:v>132</c:v>
                </c:pt>
                <c:pt idx="349">
                  <c:v>134</c:v>
                </c:pt>
                <c:pt idx="350">
                  <c:v>151</c:v>
                </c:pt>
                <c:pt idx="351">
                  <c:v>141</c:v>
                </c:pt>
                <c:pt idx="352">
                  <c:v>134</c:v>
                </c:pt>
                <c:pt idx="353">
                  <c:v>134</c:v>
                </c:pt>
                <c:pt idx="354">
                  <c:v>133</c:v>
                </c:pt>
                <c:pt idx="355">
                  <c:v>132</c:v>
                </c:pt>
                <c:pt idx="356">
                  <c:v>132</c:v>
                </c:pt>
                <c:pt idx="357">
                  <c:v>133</c:v>
                </c:pt>
                <c:pt idx="358">
                  <c:v>133</c:v>
                </c:pt>
                <c:pt idx="359">
                  <c:v>136</c:v>
                </c:pt>
                <c:pt idx="360">
                  <c:v>136</c:v>
                </c:pt>
                <c:pt idx="361">
                  <c:v>135</c:v>
                </c:pt>
                <c:pt idx="362">
                  <c:v>135</c:v>
                </c:pt>
                <c:pt idx="363">
                  <c:v>133</c:v>
                </c:pt>
                <c:pt idx="364">
                  <c:v>133</c:v>
                </c:pt>
                <c:pt idx="365">
                  <c:v>160</c:v>
                </c:pt>
                <c:pt idx="366">
                  <c:v>134</c:v>
                </c:pt>
                <c:pt idx="367">
                  <c:v>133</c:v>
                </c:pt>
                <c:pt idx="368">
                  <c:v>133</c:v>
                </c:pt>
                <c:pt idx="369">
                  <c:v>133</c:v>
                </c:pt>
                <c:pt idx="370">
                  <c:v>133</c:v>
                </c:pt>
                <c:pt idx="371">
                  <c:v>132</c:v>
                </c:pt>
                <c:pt idx="372">
                  <c:v>132</c:v>
                </c:pt>
                <c:pt idx="373">
                  <c:v>133</c:v>
                </c:pt>
                <c:pt idx="374">
                  <c:v>133</c:v>
                </c:pt>
                <c:pt idx="375">
                  <c:v>133</c:v>
                </c:pt>
                <c:pt idx="376">
                  <c:v>132</c:v>
                </c:pt>
                <c:pt idx="377">
                  <c:v>132</c:v>
                </c:pt>
                <c:pt idx="378">
                  <c:v>131</c:v>
                </c:pt>
                <c:pt idx="379">
                  <c:v>147</c:v>
                </c:pt>
                <c:pt idx="380">
                  <c:v>132</c:v>
                </c:pt>
                <c:pt idx="381">
                  <c:v>132</c:v>
                </c:pt>
                <c:pt idx="382">
                  <c:v>132</c:v>
                </c:pt>
                <c:pt idx="383">
                  <c:v>132</c:v>
                </c:pt>
                <c:pt idx="384">
                  <c:v>131</c:v>
                </c:pt>
                <c:pt idx="385">
                  <c:v>132</c:v>
                </c:pt>
                <c:pt idx="386">
                  <c:v>132</c:v>
                </c:pt>
                <c:pt idx="387">
                  <c:v>133</c:v>
                </c:pt>
                <c:pt idx="388">
                  <c:v>144</c:v>
                </c:pt>
                <c:pt idx="389">
                  <c:v>133</c:v>
                </c:pt>
                <c:pt idx="390">
                  <c:v>131</c:v>
                </c:pt>
                <c:pt idx="391">
                  <c:v>131</c:v>
                </c:pt>
                <c:pt idx="392">
                  <c:v>131</c:v>
                </c:pt>
                <c:pt idx="393">
                  <c:v>131</c:v>
                </c:pt>
                <c:pt idx="394">
                  <c:v>133</c:v>
                </c:pt>
                <c:pt idx="395">
                  <c:v>134</c:v>
                </c:pt>
                <c:pt idx="396">
                  <c:v>132</c:v>
                </c:pt>
                <c:pt idx="397">
                  <c:v>132</c:v>
                </c:pt>
                <c:pt idx="398">
                  <c:v>132</c:v>
                </c:pt>
                <c:pt idx="399">
                  <c:v>131</c:v>
                </c:pt>
                <c:pt idx="400">
                  <c:v>132</c:v>
                </c:pt>
                <c:pt idx="401">
                  <c:v>133</c:v>
                </c:pt>
                <c:pt idx="402">
                  <c:v>133</c:v>
                </c:pt>
                <c:pt idx="403">
                  <c:v>133</c:v>
                </c:pt>
                <c:pt idx="404">
                  <c:v>133</c:v>
                </c:pt>
                <c:pt idx="405">
                  <c:v>132</c:v>
                </c:pt>
                <c:pt idx="406">
                  <c:v>131</c:v>
                </c:pt>
                <c:pt idx="407">
                  <c:v>147</c:v>
                </c:pt>
                <c:pt idx="408">
                  <c:v>143</c:v>
                </c:pt>
                <c:pt idx="409">
                  <c:v>136</c:v>
                </c:pt>
                <c:pt idx="410">
                  <c:v>131</c:v>
                </c:pt>
                <c:pt idx="411">
                  <c:v>133</c:v>
                </c:pt>
                <c:pt idx="412">
                  <c:v>131</c:v>
                </c:pt>
                <c:pt idx="413">
                  <c:v>159</c:v>
                </c:pt>
                <c:pt idx="414">
                  <c:v>161</c:v>
                </c:pt>
                <c:pt idx="415">
                  <c:v>131</c:v>
                </c:pt>
                <c:pt idx="416">
                  <c:v>141</c:v>
                </c:pt>
                <c:pt idx="417">
                  <c:v>131</c:v>
                </c:pt>
                <c:pt idx="418">
                  <c:v>132</c:v>
                </c:pt>
                <c:pt idx="419">
                  <c:v>131</c:v>
                </c:pt>
                <c:pt idx="420">
                  <c:v>130</c:v>
                </c:pt>
                <c:pt idx="421">
                  <c:v>132</c:v>
                </c:pt>
                <c:pt idx="422">
                  <c:v>131</c:v>
                </c:pt>
                <c:pt idx="423">
                  <c:v>135</c:v>
                </c:pt>
                <c:pt idx="424">
                  <c:v>133</c:v>
                </c:pt>
                <c:pt idx="425">
                  <c:v>133</c:v>
                </c:pt>
                <c:pt idx="426">
                  <c:v>132</c:v>
                </c:pt>
                <c:pt idx="427">
                  <c:v>132</c:v>
                </c:pt>
                <c:pt idx="428">
                  <c:v>133</c:v>
                </c:pt>
                <c:pt idx="429">
                  <c:v>132</c:v>
                </c:pt>
                <c:pt idx="430">
                  <c:v>132</c:v>
                </c:pt>
                <c:pt idx="431">
                  <c:v>134</c:v>
                </c:pt>
                <c:pt idx="432">
                  <c:v>131</c:v>
                </c:pt>
                <c:pt idx="433">
                  <c:v>132</c:v>
                </c:pt>
                <c:pt idx="434">
                  <c:v>132</c:v>
                </c:pt>
                <c:pt idx="435">
                  <c:v>132</c:v>
                </c:pt>
                <c:pt idx="436">
                  <c:v>131</c:v>
                </c:pt>
                <c:pt idx="437">
                  <c:v>131</c:v>
                </c:pt>
                <c:pt idx="438">
                  <c:v>133</c:v>
                </c:pt>
                <c:pt idx="439">
                  <c:v>142</c:v>
                </c:pt>
                <c:pt idx="440">
                  <c:v>133</c:v>
                </c:pt>
                <c:pt idx="441">
                  <c:v>131</c:v>
                </c:pt>
                <c:pt idx="442">
                  <c:v>131</c:v>
                </c:pt>
                <c:pt idx="443">
                  <c:v>131</c:v>
                </c:pt>
                <c:pt idx="444">
                  <c:v>130</c:v>
                </c:pt>
                <c:pt idx="445">
                  <c:v>132</c:v>
                </c:pt>
                <c:pt idx="446">
                  <c:v>135</c:v>
                </c:pt>
                <c:pt idx="447">
                  <c:v>133</c:v>
                </c:pt>
                <c:pt idx="448">
                  <c:v>133</c:v>
                </c:pt>
                <c:pt idx="449">
                  <c:v>132</c:v>
                </c:pt>
                <c:pt idx="450">
                  <c:v>134</c:v>
                </c:pt>
                <c:pt idx="451">
                  <c:v>135</c:v>
                </c:pt>
                <c:pt idx="452">
                  <c:v>135</c:v>
                </c:pt>
                <c:pt idx="453">
                  <c:v>135</c:v>
                </c:pt>
                <c:pt idx="454">
                  <c:v>134</c:v>
                </c:pt>
                <c:pt idx="455">
                  <c:v>133</c:v>
                </c:pt>
                <c:pt idx="456">
                  <c:v>132</c:v>
                </c:pt>
                <c:pt idx="457">
                  <c:v>132</c:v>
                </c:pt>
                <c:pt idx="458">
                  <c:v>132</c:v>
                </c:pt>
                <c:pt idx="459">
                  <c:v>132</c:v>
                </c:pt>
                <c:pt idx="460">
                  <c:v>131</c:v>
                </c:pt>
                <c:pt idx="461">
                  <c:v>135</c:v>
                </c:pt>
                <c:pt idx="462">
                  <c:v>131</c:v>
                </c:pt>
                <c:pt idx="463">
                  <c:v>134</c:v>
                </c:pt>
                <c:pt idx="464">
                  <c:v>131</c:v>
                </c:pt>
                <c:pt idx="465">
                  <c:v>131</c:v>
                </c:pt>
                <c:pt idx="466">
                  <c:v>132</c:v>
                </c:pt>
                <c:pt idx="467">
                  <c:v>132</c:v>
                </c:pt>
                <c:pt idx="468">
                  <c:v>131</c:v>
                </c:pt>
                <c:pt idx="469">
                  <c:v>141</c:v>
                </c:pt>
                <c:pt idx="470">
                  <c:v>133</c:v>
                </c:pt>
                <c:pt idx="471">
                  <c:v>132</c:v>
                </c:pt>
                <c:pt idx="472">
                  <c:v>131</c:v>
                </c:pt>
                <c:pt idx="473">
                  <c:v>133</c:v>
                </c:pt>
                <c:pt idx="474">
                  <c:v>131</c:v>
                </c:pt>
                <c:pt idx="475">
                  <c:v>132</c:v>
                </c:pt>
                <c:pt idx="476">
                  <c:v>134</c:v>
                </c:pt>
                <c:pt idx="477">
                  <c:v>132</c:v>
                </c:pt>
                <c:pt idx="478">
                  <c:v>133</c:v>
                </c:pt>
                <c:pt idx="479">
                  <c:v>132</c:v>
                </c:pt>
                <c:pt idx="480">
                  <c:v>131</c:v>
                </c:pt>
                <c:pt idx="481">
                  <c:v>132</c:v>
                </c:pt>
                <c:pt idx="482">
                  <c:v>132</c:v>
                </c:pt>
                <c:pt idx="483">
                  <c:v>133</c:v>
                </c:pt>
                <c:pt idx="484">
                  <c:v>133</c:v>
                </c:pt>
                <c:pt idx="485">
                  <c:v>133</c:v>
                </c:pt>
                <c:pt idx="486">
                  <c:v>133</c:v>
                </c:pt>
                <c:pt idx="487">
                  <c:v>132</c:v>
                </c:pt>
                <c:pt idx="488">
                  <c:v>133</c:v>
                </c:pt>
                <c:pt idx="489">
                  <c:v>133</c:v>
                </c:pt>
                <c:pt idx="490">
                  <c:v>131</c:v>
                </c:pt>
                <c:pt idx="491">
                  <c:v>133</c:v>
                </c:pt>
                <c:pt idx="492">
                  <c:v>131</c:v>
                </c:pt>
                <c:pt idx="493">
                  <c:v>132</c:v>
                </c:pt>
                <c:pt idx="494">
                  <c:v>134</c:v>
                </c:pt>
                <c:pt idx="495">
                  <c:v>131</c:v>
                </c:pt>
                <c:pt idx="496">
                  <c:v>133</c:v>
                </c:pt>
                <c:pt idx="497">
                  <c:v>132</c:v>
                </c:pt>
                <c:pt idx="498">
                  <c:v>133</c:v>
                </c:pt>
                <c:pt idx="499">
                  <c:v>132</c:v>
                </c:pt>
              </c:numCache>
            </c:numRef>
          </c:val>
          <c:smooth val="0"/>
        </c:ser>
        <c:dLbls>
          <c:showLegendKey val="0"/>
          <c:showVal val="0"/>
          <c:showCatName val="0"/>
          <c:showSerName val="0"/>
          <c:showPercent val="0"/>
          <c:showBubbleSize val="0"/>
        </c:dLbls>
        <c:marker val="1"/>
        <c:smooth val="0"/>
        <c:axId val="1649027280"/>
        <c:axId val="1649028368"/>
      </c:lineChart>
      <c:catAx>
        <c:axId val="16490169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030000"/>
        <c:crosses val="autoZero"/>
        <c:auto val="1"/>
        <c:lblAlgn val="ctr"/>
        <c:lblOffset val="100"/>
        <c:noMultiLvlLbl val="0"/>
      </c:catAx>
      <c:valAx>
        <c:axId val="1649030000"/>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016944"/>
        <c:crosses val="autoZero"/>
        <c:crossBetween val="between"/>
      </c:valAx>
      <c:valAx>
        <c:axId val="1649028368"/>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027280"/>
        <c:crosses val="max"/>
        <c:crossBetween val="between"/>
      </c:valAx>
      <c:catAx>
        <c:axId val="1649027280"/>
        <c:scaling>
          <c:orientation val="minMax"/>
        </c:scaling>
        <c:delete val="1"/>
        <c:axPos val="b"/>
        <c:numFmt formatCode="General" sourceLinked="1"/>
        <c:majorTickMark val="out"/>
        <c:minorTickMark val="none"/>
        <c:tickLblPos val="nextTo"/>
        <c:crossAx val="1649028368"/>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landscape"/>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[Tester.xlsm]Run_TRS!PivotTable1</c:name>
    <c:fmtId val="4"/>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ln w="28575" cap="rnd">
            <a:solidFill>
              <a:schemeClr val="accent1"/>
            </a:solidFill>
            <a:round/>
          </a:ln>
          <a:effectLst/>
        </c:spPr>
        <c:marker>
          <c:symbol val="none"/>
        </c:marker>
      </c:pivotFmt>
      <c:pivotFmt>
        <c:idx val="4"/>
        <c:spPr>
          <a:ln w="28575" cap="rnd">
            <a:solidFill>
              <a:schemeClr val="accent1"/>
            </a:solidFill>
            <a:round/>
          </a:ln>
          <a:effectLst/>
        </c:spPr>
        <c:marker>
          <c:symbol val="none"/>
        </c:marker>
      </c:pivotFmt>
      <c:pivotFmt>
        <c:idx val="5"/>
        <c:spPr>
          <a:ln w="28575" cap="rnd">
            <a:solidFill>
              <a:schemeClr val="accent1"/>
            </a:solidFill>
            <a:round/>
          </a:ln>
          <a:effectLst/>
        </c:spPr>
        <c:marker>
          <c:symbol val="none"/>
        </c:marker>
      </c:pivotFmt>
    </c:pivotFmts>
    <c:plotArea>
      <c:layout/>
      <c:lineChart>
        <c:grouping val="standard"/>
        <c:varyColors val="0"/>
        <c:ser>
          <c:idx val="0"/>
          <c:order val="0"/>
          <c:tx>
            <c:strRef>
              <c:f>Run_TRS!$B$1</c:f>
              <c:strCache>
                <c:ptCount val="1"/>
                <c:pt idx="0">
                  <c:v>Average of ACTUALTRS</c:v>
                </c:pt>
              </c:strCache>
            </c:strRef>
          </c:tx>
          <c:spPr>
            <a:ln w="28575" cap="rnd">
              <a:solidFill>
                <a:schemeClr val="accent1"/>
              </a:solidFill>
              <a:round/>
            </a:ln>
            <a:effectLst/>
          </c:spPr>
          <c:marker>
            <c:symbol val="none"/>
          </c:marker>
          <c:cat>
            <c:strRef>
              <c:f>Run_TRS!$A$2:$A$1004</c:f>
              <c:strCache>
                <c:ptCount val="1002"/>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pt idx="1000">
                  <c:v>1000</c:v>
                </c:pt>
                <c:pt idx="1001">
                  <c:v>1001</c:v>
                </c:pt>
              </c:strCache>
            </c:strRef>
          </c:cat>
          <c:val>
            <c:numRef>
              <c:f>Run_TRS!$B$2:$B$1004</c:f>
              <c:numCache>
                <c:formatCode>General</c:formatCode>
                <c:ptCount val="1002"/>
                <c:pt idx="0">
                  <c:v>0.18378771468996999</c:v>
                </c:pt>
                <c:pt idx="1">
                  <c:v>0.13925305716693398</c:v>
                </c:pt>
                <c:pt idx="2">
                  <c:v>0.10737086348235605</c:v>
                </c:pt>
                <c:pt idx="3">
                  <c:v>-0.18481776118278503</c:v>
                </c:pt>
                <c:pt idx="4">
                  <c:v>0.15894504543393848</c:v>
                </c:pt>
                <c:pt idx="5">
                  <c:v>0.16924447380006313</c:v>
                </c:pt>
                <c:pt idx="6">
                  <c:v>0.1423552030697465</c:v>
                </c:pt>
                <c:pt idx="7">
                  <c:v>0.10378079880028963</c:v>
                </c:pt>
                <c:pt idx="8">
                  <c:v>-0.21246988773345957</c:v>
                </c:pt>
                <c:pt idx="9">
                  <c:v>0.10384080223739152</c:v>
                </c:pt>
                <c:pt idx="10">
                  <c:v>0.16941735148429868</c:v>
                </c:pt>
                <c:pt idx="11">
                  <c:v>0.14438968151807788</c:v>
                </c:pt>
                <c:pt idx="12">
                  <c:v>0.11396010220050808</c:v>
                </c:pt>
                <c:pt idx="13">
                  <c:v>-0.12662037387490271</c:v>
                </c:pt>
                <c:pt idx="14">
                  <c:v>0.13056854121387004</c:v>
                </c:pt>
                <c:pt idx="15">
                  <c:v>0.16623195223510268</c:v>
                </c:pt>
                <c:pt idx="16">
                  <c:v>5.2280125394463584E-2</c:v>
                </c:pt>
                <c:pt idx="17">
                  <c:v>8.9721767231822014E-2</c:v>
                </c:pt>
                <c:pt idx="18">
                  <c:v>0.16017867568880326</c:v>
                </c:pt>
                <c:pt idx="19">
                  <c:v>0.1992756253108382</c:v>
                </c:pt>
                <c:pt idx="20">
                  <c:v>0.201669604331255</c:v>
                </c:pt>
                <c:pt idx="21">
                  <c:v>0.26460165865719315</c:v>
                </c:pt>
                <c:pt idx="22">
                  <c:v>0.21953117679804562</c:v>
                </c:pt>
                <c:pt idx="23">
                  <c:v>0.20736187808215614</c:v>
                </c:pt>
                <c:pt idx="24">
                  <c:v>0.13742176443338394</c:v>
                </c:pt>
                <c:pt idx="25">
                  <c:v>8.9014882966876027E-2</c:v>
                </c:pt>
                <c:pt idx="26">
                  <c:v>0.16662303842604156</c:v>
                </c:pt>
                <c:pt idx="27">
                  <c:v>0.17881821282207955</c:v>
                </c:pt>
                <c:pt idx="28">
                  <c:v>0.20680823754519215</c:v>
                </c:pt>
                <c:pt idx="29">
                  <c:v>0.15138599053025253</c:v>
                </c:pt>
                <c:pt idx="30">
                  <c:v>0.19680855758488183</c:v>
                </c:pt>
                <c:pt idx="31">
                  <c:v>0.14612066522240635</c:v>
                </c:pt>
                <c:pt idx="32">
                  <c:v>0.15075120925903324</c:v>
                </c:pt>
                <c:pt idx="33">
                  <c:v>0.12954567484557628</c:v>
                </c:pt>
                <c:pt idx="34">
                  <c:v>3.7552091479301407E-2</c:v>
                </c:pt>
                <c:pt idx="35">
                  <c:v>2.9206720925867558E-2</c:v>
                </c:pt>
                <c:pt idx="36">
                  <c:v>0.11513383798301211</c:v>
                </c:pt>
                <c:pt idx="37">
                  <c:v>7.2756467200815744E-2</c:v>
                </c:pt>
                <c:pt idx="38">
                  <c:v>0.22328636683523637</c:v>
                </c:pt>
                <c:pt idx="39">
                  <c:v>0.34841552823781968</c:v>
                </c:pt>
                <c:pt idx="40">
                  <c:v>0.27463116645812991</c:v>
                </c:pt>
                <c:pt idx="41">
                  <c:v>0.17794808074831955</c:v>
                </c:pt>
                <c:pt idx="42">
                  <c:v>0.15661627221852553</c:v>
                </c:pt>
                <c:pt idx="43">
                  <c:v>0.2570964574813841</c:v>
                </c:pt>
                <c:pt idx="44">
                  <c:v>0.22821667306125165</c:v>
                </c:pt>
                <c:pt idx="45">
                  <c:v>0.17388235460966828</c:v>
                </c:pt>
                <c:pt idx="46">
                  <c:v>0.12087843604385851</c:v>
                </c:pt>
                <c:pt idx="47">
                  <c:v>0.14733243845403182</c:v>
                </c:pt>
                <c:pt idx="48">
                  <c:v>0.13473176248371599</c:v>
                </c:pt>
                <c:pt idx="49">
                  <c:v>0.16905311569571499</c:v>
                </c:pt>
                <c:pt idx="50">
                  <c:v>0.31561392173171043</c:v>
                </c:pt>
                <c:pt idx="51">
                  <c:v>0.17795173823833466</c:v>
                </c:pt>
                <c:pt idx="52">
                  <c:v>0.14550149440765384</c:v>
                </c:pt>
                <c:pt idx="53">
                  <c:v>0.21369595229625701</c:v>
                </c:pt>
                <c:pt idx="54">
                  <c:v>0.20734496414661416</c:v>
                </c:pt>
                <c:pt idx="55">
                  <c:v>0.29798279404640182</c:v>
                </c:pt>
                <c:pt idx="56">
                  <c:v>0.1724007584154604</c:v>
                </c:pt>
                <c:pt idx="57">
                  <c:v>0.10351642668247237</c:v>
                </c:pt>
                <c:pt idx="58">
                  <c:v>0.23216965198516831</c:v>
                </c:pt>
                <c:pt idx="59">
                  <c:v>9.5579843968153042E-2</c:v>
                </c:pt>
                <c:pt idx="60">
                  <c:v>0.21082758903503418</c:v>
                </c:pt>
                <c:pt idx="61">
                  <c:v>0.23332158550620088</c:v>
                </c:pt>
                <c:pt idx="62">
                  <c:v>0.36158233433961867</c:v>
                </c:pt>
                <c:pt idx="63">
                  <c:v>0.28392301090061672</c:v>
                </c:pt>
                <c:pt idx="64">
                  <c:v>0.18663793802261358</c:v>
                </c:pt>
                <c:pt idx="65">
                  <c:v>0.13161980696022518</c:v>
                </c:pt>
                <c:pt idx="66">
                  <c:v>0.11081347949802878</c:v>
                </c:pt>
                <c:pt idx="67">
                  <c:v>8.4234796836972298E-2</c:v>
                </c:pt>
                <c:pt idx="68">
                  <c:v>0.20365148708224301</c:v>
                </c:pt>
                <c:pt idx="69">
                  <c:v>0.15259947888553138</c:v>
                </c:pt>
                <c:pt idx="70">
                  <c:v>0.11602756157517422</c:v>
                </c:pt>
                <c:pt idx="71">
                  <c:v>0.12268579602241511</c:v>
                </c:pt>
                <c:pt idx="72">
                  <c:v>0.13358554728329181</c:v>
                </c:pt>
                <c:pt idx="73">
                  <c:v>2.3867166042327921E-2</c:v>
                </c:pt>
                <c:pt idx="74">
                  <c:v>-6.9332629442215004E-3</c:v>
                </c:pt>
                <c:pt idx="75">
                  <c:v>0.19626353271305558</c:v>
                </c:pt>
                <c:pt idx="76">
                  <c:v>0.11455750800669184</c:v>
                </c:pt>
                <c:pt idx="77">
                  <c:v>0.17388009503483781</c:v>
                </c:pt>
                <c:pt idx="78">
                  <c:v>0.14184134602546689</c:v>
                </c:pt>
                <c:pt idx="79">
                  <c:v>0.29267276376485818</c:v>
                </c:pt>
                <c:pt idx="80">
                  <c:v>0.26944725215435034</c:v>
                </c:pt>
                <c:pt idx="81">
                  <c:v>0.1840314328670502</c:v>
                </c:pt>
                <c:pt idx="82">
                  <c:v>0.23084849715232858</c:v>
                </c:pt>
                <c:pt idx="83">
                  <c:v>0.15403874777257437</c:v>
                </c:pt>
                <c:pt idx="84">
                  <c:v>0.3232180282473564</c:v>
                </c:pt>
                <c:pt idx="85">
                  <c:v>0.47798137217760095</c:v>
                </c:pt>
                <c:pt idx="86">
                  <c:v>0.25580107159912596</c:v>
                </c:pt>
                <c:pt idx="87">
                  <c:v>0.22169920504093171</c:v>
                </c:pt>
                <c:pt idx="88">
                  <c:v>0.22342058420181274</c:v>
                </c:pt>
                <c:pt idx="89">
                  <c:v>0.16164620518684392</c:v>
                </c:pt>
                <c:pt idx="90">
                  <c:v>0.18376785516738883</c:v>
                </c:pt>
                <c:pt idx="91">
                  <c:v>0.34802629351615899</c:v>
                </c:pt>
                <c:pt idx="92">
                  <c:v>0.23309766724705691</c:v>
                </c:pt>
                <c:pt idx="93">
                  <c:v>0.11101117432117476</c:v>
                </c:pt>
                <c:pt idx="94">
                  <c:v>9.3607602268457366E-2</c:v>
                </c:pt>
                <c:pt idx="95">
                  <c:v>0.16448627859354026</c:v>
                </c:pt>
                <c:pt idx="96">
                  <c:v>0.33183847069740285</c:v>
                </c:pt>
                <c:pt idx="97">
                  <c:v>0.10379062220454216</c:v>
                </c:pt>
                <c:pt idx="98">
                  <c:v>0.12101895734667775</c:v>
                </c:pt>
                <c:pt idx="99">
                  <c:v>0.19453512132167816</c:v>
                </c:pt>
                <c:pt idx="100">
                  <c:v>0.1635589316487312</c:v>
                </c:pt>
                <c:pt idx="101">
                  <c:v>0.21882432848215089</c:v>
                </c:pt>
                <c:pt idx="102">
                  <c:v>0.17096802331507208</c:v>
                </c:pt>
                <c:pt idx="103">
                  <c:v>0.24063396006822591</c:v>
                </c:pt>
                <c:pt idx="104">
                  <c:v>0.26005806326866149</c:v>
                </c:pt>
                <c:pt idx="105">
                  <c:v>0.27774630188941962</c:v>
                </c:pt>
                <c:pt idx="106">
                  <c:v>9.0463146567344679E-2</c:v>
                </c:pt>
                <c:pt idx="107">
                  <c:v>0.2007034152746201</c:v>
                </c:pt>
                <c:pt idx="108">
                  <c:v>0.26183088272809962</c:v>
                </c:pt>
                <c:pt idx="109">
                  <c:v>0.17005111128091804</c:v>
                </c:pt>
                <c:pt idx="110">
                  <c:v>0.19005024135112752</c:v>
                </c:pt>
                <c:pt idx="111">
                  <c:v>-2.6887946575880041E-2</c:v>
                </c:pt>
                <c:pt idx="112">
                  <c:v>-0.10508997589349747</c:v>
                </c:pt>
                <c:pt idx="113">
                  <c:v>0.16670153029262999</c:v>
                </c:pt>
                <c:pt idx="114">
                  <c:v>0.1607237339019775</c:v>
                </c:pt>
                <c:pt idx="115">
                  <c:v>0.2478659972548484</c:v>
                </c:pt>
                <c:pt idx="116">
                  <c:v>0.15738449096679685</c:v>
                </c:pt>
                <c:pt idx="117">
                  <c:v>0.18284779414534555</c:v>
                </c:pt>
                <c:pt idx="118">
                  <c:v>0.14238423891365531</c:v>
                </c:pt>
                <c:pt idx="119">
                  <c:v>0.26470263898372648</c:v>
                </c:pt>
                <c:pt idx="120">
                  <c:v>0.25714456215500825</c:v>
                </c:pt>
                <c:pt idx="121">
                  <c:v>0.17176997885107989</c:v>
                </c:pt>
                <c:pt idx="122">
                  <c:v>0.21606249213218676</c:v>
                </c:pt>
                <c:pt idx="123">
                  <c:v>0.20092846304178233</c:v>
                </c:pt>
                <c:pt idx="124">
                  <c:v>3.6219567805528631E-2</c:v>
                </c:pt>
                <c:pt idx="125">
                  <c:v>0.17535551041364669</c:v>
                </c:pt>
                <c:pt idx="126">
                  <c:v>0.31112214177846914</c:v>
                </c:pt>
                <c:pt idx="127">
                  <c:v>0.18460002839565282</c:v>
                </c:pt>
                <c:pt idx="128">
                  <c:v>-4.838966205716189E-3</c:v>
                </c:pt>
                <c:pt idx="129">
                  <c:v>0.17379116490483273</c:v>
                </c:pt>
                <c:pt idx="130">
                  <c:v>4.2606443911790762E-2</c:v>
                </c:pt>
                <c:pt idx="131">
                  <c:v>-0.15880393683910371</c:v>
                </c:pt>
                <c:pt idx="132">
                  <c:v>0.16226481758058078</c:v>
                </c:pt>
                <c:pt idx="133">
                  <c:v>0.21791003569960607</c:v>
                </c:pt>
                <c:pt idx="134">
                  <c:v>0.28124090880155583</c:v>
                </c:pt>
                <c:pt idx="135">
                  <c:v>0.18541341461241242</c:v>
                </c:pt>
                <c:pt idx="136">
                  <c:v>0.2111840859055519</c:v>
                </c:pt>
                <c:pt idx="137">
                  <c:v>0.14853098765015604</c:v>
                </c:pt>
                <c:pt idx="138">
                  <c:v>0.14349407441914069</c:v>
                </c:pt>
                <c:pt idx="139">
                  <c:v>0.24296055287122731</c:v>
                </c:pt>
                <c:pt idx="140">
                  <c:v>0.17990795560181136</c:v>
                </c:pt>
                <c:pt idx="141">
                  <c:v>0.14420206174254407</c:v>
                </c:pt>
                <c:pt idx="142">
                  <c:v>0.17154826223850256</c:v>
                </c:pt>
                <c:pt idx="143">
                  <c:v>0.15538635253906247</c:v>
                </c:pt>
                <c:pt idx="144">
                  <c:v>0.22596488520503027</c:v>
                </c:pt>
                <c:pt idx="145">
                  <c:v>0.24572428911924366</c:v>
                </c:pt>
                <c:pt idx="146">
                  <c:v>0.12714658454060554</c:v>
                </c:pt>
                <c:pt idx="147">
                  <c:v>8.532388061285015E-2</c:v>
                </c:pt>
                <c:pt idx="148">
                  <c:v>0.13265927582979195</c:v>
                </c:pt>
                <c:pt idx="149">
                  <c:v>0.30995455980300907</c:v>
                </c:pt>
                <c:pt idx="150">
                  <c:v>0.26153492778539639</c:v>
                </c:pt>
                <c:pt idx="151">
                  <c:v>0.24268070012331</c:v>
                </c:pt>
                <c:pt idx="152">
                  <c:v>0.25666237324476232</c:v>
                </c:pt>
                <c:pt idx="153">
                  <c:v>0.20431917607784267</c:v>
                </c:pt>
                <c:pt idx="154">
                  <c:v>4.6621613949537219E-2</c:v>
                </c:pt>
                <c:pt idx="155">
                  <c:v>-0.14553521275520323</c:v>
                </c:pt>
                <c:pt idx="156">
                  <c:v>8.9465714991086365E-4</c:v>
                </c:pt>
                <c:pt idx="157">
                  <c:v>0.19186359867453553</c:v>
                </c:pt>
                <c:pt idx="158">
                  <c:v>0.18605728223919879</c:v>
                </c:pt>
                <c:pt idx="159">
                  <c:v>0.14110977500677116</c:v>
                </c:pt>
                <c:pt idx="160">
                  <c:v>0.34267819300293922</c:v>
                </c:pt>
                <c:pt idx="161">
                  <c:v>0.41868834942579258</c:v>
                </c:pt>
                <c:pt idx="162">
                  <c:v>0.12409289851784713</c:v>
                </c:pt>
                <c:pt idx="163">
                  <c:v>6.4692239463329401E-2</c:v>
                </c:pt>
                <c:pt idx="164">
                  <c:v>0.12843241915106782</c:v>
                </c:pt>
                <c:pt idx="165">
                  <c:v>0.25632176697254183</c:v>
                </c:pt>
                <c:pt idx="166">
                  <c:v>0.16929129958152764</c:v>
                </c:pt>
                <c:pt idx="167">
                  <c:v>6.9304553419351489E-2</c:v>
                </c:pt>
                <c:pt idx="168">
                  <c:v>0.15097482204437257</c:v>
                </c:pt>
                <c:pt idx="169">
                  <c:v>0.16412921324372284</c:v>
                </c:pt>
                <c:pt idx="170">
                  <c:v>0.14209399372339249</c:v>
                </c:pt>
                <c:pt idx="171">
                  <c:v>0.14832549244165422</c:v>
                </c:pt>
                <c:pt idx="172">
                  <c:v>0.13457085564732557</c:v>
                </c:pt>
                <c:pt idx="173">
                  <c:v>0.23929394558072095</c:v>
                </c:pt>
                <c:pt idx="174">
                  <c:v>0.23770371824502945</c:v>
                </c:pt>
                <c:pt idx="175">
                  <c:v>5.1971638202667071E-2</c:v>
                </c:pt>
                <c:pt idx="176">
                  <c:v>0.31852980405092252</c:v>
                </c:pt>
                <c:pt idx="177">
                  <c:v>0.21300525516271582</c:v>
                </c:pt>
                <c:pt idx="178">
                  <c:v>0.16971375867724411</c:v>
                </c:pt>
                <c:pt idx="179">
                  <c:v>0.11596509665250758</c:v>
                </c:pt>
                <c:pt idx="180">
                  <c:v>-8.0035748332738896E-2</c:v>
                </c:pt>
                <c:pt idx="181">
                  <c:v>0.22155175842344771</c:v>
                </c:pt>
                <c:pt idx="182">
                  <c:v>0.21233664751052869</c:v>
                </c:pt>
                <c:pt idx="183">
                  <c:v>0.14476697295904151</c:v>
                </c:pt>
                <c:pt idx="184">
                  <c:v>0.14799047112464905</c:v>
                </c:pt>
                <c:pt idx="185">
                  <c:v>0.12541690021753321</c:v>
                </c:pt>
                <c:pt idx="186">
                  <c:v>0.19457524940371518</c:v>
                </c:pt>
                <c:pt idx="187">
                  <c:v>0.15323528796434402</c:v>
                </c:pt>
                <c:pt idx="188">
                  <c:v>0.19230919331312185</c:v>
                </c:pt>
                <c:pt idx="189">
                  <c:v>0.25525552034378057</c:v>
                </c:pt>
                <c:pt idx="190">
                  <c:v>0.20492435097694414</c:v>
                </c:pt>
                <c:pt idx="191">
                  <c:v>0.14408044293522837</c:v>
                </c:pt>
                <c:pt idx="192">
                  <c:v>0.19500392824411375</c:v>
                </c:pt>
                <c:pt idx="193">
                  <c:v>0.12825816981494428</c:v>
                </c:pt>
                <c:pt idx="194">
                  <c:v>0.13911723047494881</c:v>
                </c:pt>
                <c:pt idx="195">
                  <c:v>0.12751017995178698</c:v>
                </c:pt>
                <c:pt idx="196">
                  <c:v>0.26902108490467069</c:v>
                </c:pt>
                <c:pt idx="197">
                  <c:v>0.26843940466642385</c:v>
                </c:pt>
                <c:pt idx="198">
                  <c:v>0.14154174774885167</c:v>
                </c:pt>
                <c:pt idx="199">
                  <c:v>0.18517639786005016</c:v>
                </c:pt>
                <c:pt idx="200">
                  <c:v>0.10021886304020866</c:v>
                </c:pt>
                <c:pt idx="201">
                  <c:v>0.14384528174996378</c:v>
                </c:pt>
                <c:pt idx="202">
                  <c:v>0.11785717532038689</c:v>
                </c:pt>
                <c:pt idx="203">
                  <c:v>0.12359821721911426</c:v>
                </c:pt>
                <c:pt idx="204">
                  <c:v>0.1682729497551918</c:v>
                </c:pt>
                <c:pt idx="205">
                  <c:v>0.21966247782111167</c:v>
                </c:pt>
                <c:pt idx="206">
                  <c:v>0.18966386392712584</c:v>
                </c:pt>
                <c:pt idx="207">
                  <c:v>0.1732002578675747</c:v>
                </c:pt>
                <c:pt idx="208">
                  <c:v>1.3523718714713978E-2</c:v>
                </c:pt>
                <c:pt idx="209">
                  <c:v>0.18798099420964709</c:v>
                </c:pt>
                <c:pt idx="210">
                  <c:v>0.17165982984006395</c:v>
                </c:pt>
                <c:pt idx="211">
                  <c:v>0.17587187290191644</c:v>
                </c:pt>
                <c:pt idx="212">
                  <c:v>0.14173342771828168</c:v>
                </c:pt>
                <c:pt idx="213">
                  <c:v>0.22159595005214211</c:v>
                </c:pt>
                <c:pt idx="214">
                  <c:v>0.21203895434737211</c:v>
                </c:pt>
                <c:pt idx="215">
                  <c:v>0.17207635231316093</c:v>
                </c:pt>
                <c:pt idx="216">
                  <c:v>0.18331841863691814</c:v>
                </c:pt>
                <c:pt idx="217">
                  <c:v>0.33359755128622082</c:v>
                </c:pt>
                <c:pt idx="218">
                  <c:v>0.19774243757128721</c:v>
                </c:pt>
                <c:pt idx="219">
                  <c:v>0.17493435963988296</c:v>
                </c:pt>
                <c:pt idx="220">
                  <c:v>0.29304294064641001</c:v>
                </c:pt>
                <c:pt idx="221">
                  <c:v>0.2066050902009009</c:v>
                </c:pt>
                <c:pt idx="222">
                  <c:v>0.1470598816871643</c:v>
                </c:pt>
                <c:pt idx="223">
                  <c:v>0.22349511757493024</c:v>
                </c:pt>
                <c:pt idx="224">
                  <c:v>0.13695583380758766</c:v>
                </c:pt>
                <c:pt idx="225">
                  <c:v>0.15564258135855197</c:v>
                </c:pt>
                <c:pt idx="226">
                  <c:v>0.24812059551477419</c:v>
                </c:pt>
                <c:pt idx="227">
                  <c:v>0.15111740119755257</c:v>
                </c:pt>
                <c:pt idx="228">
                  <c:v>7.6545979082584301E-2</c:v>
                </c:pt>
                <c:pt idx="229">
                  <c:v>0.23519222214818006</c:v>
                </c:pt>
                <c:pt idx="230">
                  <c:v>0.21553494594991213</c:v>
                </c:pt>
                <c:pt idx="231">
                  <c:v>0.18117748051881805</c:v>
                </c:pt>
                <c:pt idx="232">
                  <c:v>0.15158791020512591</c:v>
                </c:pt>
                <c:pt idx="233">
                  <c:v>0.17112117111682895</c:v>
                </c:pt>
                <c:pt idx="234">
                  <c:v>0.21409424841403971</c:v>
                </c:pt>
                <c:pt idx="235">
                  <c:v>0.22213075645267971</c:v>
                </c:pt>
                <c:pt idx="236">
                  <c:v>0.22223339453339577</c:v>
                </c:pt>
                <c:pt idx="237">
                  <c:v>0.20025864727795115</c:v>
                </c:pt>
                <c:pt idx="238">
                  <c:v>0.13814941495656968</c:v>
                </c:pt>
                <c:pt idx="239">
                  <c:v>0.18804285079240796</c:v>
                </c:pt>
                <c:pt idx="240">
                  <c:v>0.20926263108849522</c:v>
                </c:pt>
                <c:pt idx="241">
                  <c:v>0.216985396295786</c:v>
                </c:pt>
                <c:pt idx="242">
                  <c:v>0.34836920499801644</c:v>
                </c:pt>
                <c:pt idx="243">
                  <c:v>0.20085919871926311</c:v>
                </c:pt>
                <c:pt idx="244">
                  <c:v>-3.4527452290058172E-2</c:v>
                </c:pt>
                <c:pt idx="245">
                  <c:v>0.1205421701073647</c:v>
                </c:pt>
                <c:pt idx="246">
                  <c:v>0.22581510320305814</c:v>
                </c:pt>
                <c:pt idx="247">
                  <c:v>0.24552011340856547</c:v>
                </c:pt>
                <c:pt idx="248">
                  <c:v>0.13724059276282791</c:v>
                </c:pt>
                <c:pt idx="249">
                  <c:v>4.4698670133948314E-2</c:v>
                </c:pt>
                <c:pt idx="250">
                  <c:v>0.33987064212560653</c:v>
                </c:pt>
                <c:pt idx="251">
                  <c:v>0.40422430410981169</c:v>
                </c:pt>
                <c:pt idx="252">
                  <c:v>0.14252935871481903</c:v>
                </c:pt>
                <c:pt idx="253">
                  <c:v>0.14677055738866324</c:v>
                </c:pt>
                <c:pt idx="254">
                  <c:v>0.1442015327513218</c:v>
                </c:pt>
                <c:pt idx="255">
                  <c:v>9.4797788560390492E-2</c:v>
                </c:pt>
                <c:pt idx="256">
                  <c:v>0.13790186047554021</c:v>
                </c:pt>
                <c:pt idx="257">
                  <c:v>0.2107075840234757</c:v>
                </c:pt>
                <c:pt idx="258">
                  <c:v>0.15505415275692944</c:v>
                </c:pt>
                <c:pt idx="259">
                  <c:v>0.15862380154430866</c:v>
                </c:pt>
                <c:pt idx="260">
                  <c:v>0.11893149539828303</c:v>
                </c:pt>
                <c:pt idx="261">
                  <c:v>0.20456043370068092</c:v>
                </c:pt>
                <c:pt idx="262">
                  <c:v>0.23208576440811149</c:v>
                </c:pt>
                <c:pt idx="263">
                  <c:v>0.20570942796766759</c:v>
                </c:pt>
                <c:pt idx="264">
                  <c:v>0.23465688452124586</c:v>
                </c:pt>
                <c:pt idx="265">
                  <c:v>0.24954468980431557</c:v>
                </c:pt>
                <c:pt idx="266">
                  <c:v>0.1442826539278029</c:v>
                </c:pt>
                <c:pt idx="267">
                  <c:v>8.8025232404470397E-2</c:v>
                </c:pt>
                <c:pt idx="268">
                  <c:v>0.14144516661763182</c:v>
                </c:pt>
                <c:pt idx="269">
                  <c:v>0.24032393172383332</c:v>
                </c:pt>
                <c:pt idx="270">
                  <c:v>0.15057891309261306</c:v>
                </c:pt>
                <c:pt idx="271">
                  <c:v>0.1111021347343923</c:v>
                </c:pt>
                <c:pt idx="272">
                  <c:v>1.5863588452339157E-2</c:v>
                </c:pt>
                <c:pt idx="273">
                  <c:v>7.602442279458059E-2</c:v>
                </c:pt>
                <c:pt idx="274">
                  <c:v>0.13611696660518646</c:v>
                </c:pt>
                <c:pt idx="275">
                  <c:v>0.21655789762735367</c:v>
                </c:pt>
                <c:pt idx="276">
                  <c:v>0.19026603922247881</c:v>
                </c:pt>
                <c:pt idx="277">
                  <c:v>0.21824700385332113</c:v>
                </c:pt>
                <c:pt idx="278">
                  <c:v>0.23359161466360093</c:v>
                </c:pt>
                <c:pt idx="279">
                  <c:v>0.21034769043326387</c:v>
                </c:pt>
                <c:pt idx="280">
                  <c:v>0.25693853870034228</c:v>
                </c:pt>
                <c:pt idx="281">
                  <c:v>0.21243617832660661</c:v>
                </c:pt>
                <c:pt idx="282">
                  <c:v>0.20051364675164204</c:v>
                </c:pt>
                <c:pt idx="283">
                  <c:v>0.19310052990913401</c:v>
                </c:pt>
                <c:pt idx="284">
                  <c:v>0.17362195327877986</c:v>
                </c:pt>
                <c:pt idx="285">
                  <c:v>0.12459111250936987</c:v>
                </c:pt>
                <c:pt idx="286">
                  <c:v>0.13414361402392394</c:v>
                </c:pt>
                <c:pt idx="287">
                  <c:v>0.17889427542686462</c:v>
                </c:pt>
                <c:pt idx="288">
                  <c:v>0.18384639956057069</c:v>
                </c:pt>
                <c:pt idx="289">
                  <c:v>0.14847800731658936</c:v>
                </c:pt>
                <c:pt idx="290">
                  <c:v>0.18040482923388471</c:v>
                </c:pt>
                <c:pt idx="291">
                  <c:v>0.22625031955540181</c:v>
                </c:pt>
                <c:pt idx="292">
                  <c:v>0.29979003965854634</c:v>
                </c:pt>
                <c:pt idx="293">
                  <c:v>0.21398680806159978</c:v>
                </c:pt>
                <c:pt idx="294">
                  <c:v>0.19732045680284491</c:v>
                </c:pt>
                <c:pt idx="295">
                  <c:v>0.14992044121026979</c:v>
                </c:pt>
                <c:pt idx="296">
                  <c:v>0.17567438036203389</c:v>
                </c:pt>
                <c:pt idx="297">
                  <c:v>0.11540452092885978</c:v>
                </c:pt>
                <c:pt idx="298">
                  <c:v>0.19219081923365586</c:v>
                </c:pt>
                <c:pt idx="299">
                  <c:v>0.22051976434886447</c:v>
                </c:pt>
                <c:pt idx="300">
                  <c:v>0.2134920582175254</c:v>
                </c:pt>
                <c:pt idx="301">
                  <c:v>0.2003749579191208</c:v>
                </c:pt>
                <c:pt idx="302">
                  <c:v>0.17516042590141295</c:v>
                </c:pt>
                <c:pt idx="303">
                  <c:v>0.14793082363903517</c:v>
                </c:pt>
                <c:pt idx="304">
                  <c:v>0.22076712623238559</c:v>
                </c:pt>
                <c:pt idx="305">
                  <c:v>0.19699608609080319</c:v>
                </c:pt>
                <c:pt idx="306">
                  <c:v>0.16513920649886135</c:v>
                </c:pt>
                <c:pt idx="307">
                  <c:v>0.12696347385644915</c:v>
                </c:pt>
                <c:pt idx="308">
                  <c:v>0.19152739867568014</c:v>
                </c:pt>
                <c:pt idx="309">
                  <c:v>0.24877239614725116</c:v>
                </c:pt>
                <c:pt idx="310">
                  <c:v>-0.36303914934396736</c:v>
                </c:pt>
                <c:pt idx="311">
                  <c:v>0.16017949357628825</c:v>
                </c:pt>
                <c:pt idx="312">
                  <c:v>0.22601009011268616</c:v>
                </c:pt>
                <c:pt idx="313">
                  <c:v>0.30194123089313513</c:v>
                </c:pt>
                <c:pt idx="314">
                  <c:v>8.9073720574379053E-2</c:v>
                </c:pt>
                <c:pt idx="315">
                  <c:v>7.7653732895851119E-2</c:v>
                </c:pt>
                <c:pt idx="316">
                  <c:v>0.1987229686230422</c:v>
                </c:pt>
                <c:pt idx="317">
                  <c:v>0.17472911030054078</c:v>
                </c:pt>
                <c:pt idx="318">
                  <c:v>0.19537809342145918</c:v>
                </c:pt>
                <c:pt idx="319">
                  <c:v>0.14687127918004986</c:v>
                </c:pt>
                <c:pt idx="320">
                  <c:v>0.10421619489789</c:v>
                </c:pt>
                <c:pt idx="321">
                  <c:v>5.0546169281005752E-3</c:v>
                </c:pt>
                <c:pt idx="322">
                  <c:v>0.14085219353437411</c:v>
                </c:pt>
                <c:pt idx="323">
                  <c:v>0.21151960492134098</c:v>
                </c:pt>
                <c:pt idx="324">
                  <c:v>0.17037446275353443</c:v>
                </c:pt>
                <c:pt idx="325">
                  <c:v>0.18052083402872096</c:v>
                </c:pt>
                <c:pt idx="326">
                  <c:v>0.16660955697298041</c:v>
                </c:pt>
                <c:pt idx="327">
                  <c:v>0.13358669057488448</c:v>
                </c:pt>
                <c:pt idx="328">
                  <c:v>0.1028957948088646</c:v>
                </c:pt>
                <c:pt idx="329">
                  <c:v>0.10109714269638055</c:v>
                </c:pt>
                <c:pt idx="330">
                  <c:v>9.6589111909270331E-2</c:v>
                </c:pt>
                <c:pt idx="331">
                  <c:v>0.15613824576139443</c:v>
                </c:pt>
                <c:pt idx="332">
                  <c:v>0.1600203342735767</c:v>
                </c:pt>
                <c:pt idx="333">
                  <c:v>0.21014280989766126</c:v>
                </c:pt>
                <c:pt idx="334">
                  <c:v>0.2052805256098508</c:v>
                </c:pt>
                <c:pt idx="335">
                  <c:v>0.1552099965512751</c:v>
                </c:pt>
                <c:pt idx="336">
                  <c:v>8.7133619561791414E-2</c:v>
                </c:pt>
                <c:pt idx="337">
                  <c:v>0.10626988373696802</c:v>
                </c:pt>
                <c:pt idx="338">
                  <c:v>0.14657756686210632</c:v>
                </c:pt>
                <c:pt idx="339">
                  <c:v>2.9973421990871309E-2</c:v>
                </c:pt>
                <c:pt idx="340">
                  <c:v>4.6051227673888272E-2</c:v>
                </c:pt>
                <c:pt idx="341">
                  <c:v>0.19268316552042958</c:v>
                </c:pt>
                <c:pt idx="342">
                  <c:v>0.21510190740227692</c:v>
                </c:pt>
                <c:pt idx="343">
                  <c:v>0.17919076830148689</c:v>
                </c:pt>
                <c:pt idx="344">
                  <c:v>0.1215967774391173</c:v>
                </c:pt>
                <c:pt idx="345">
                  <c:v>0.24202216491103168</c:v>
                </c:pt>
                <c:pt idx="346">
                  <c:v>0.21410102099180225</c:v>
                </c:pt>
                <c:pt idx="347">
                  <c:v>0.17414675503969196</c:v>
                </c:pt>
                <c:pt idx="348">
                  <c:v>0.1685352303087711</c:v>
                </c:pt>
                <c:pt idx="349">
                  <c:v>0.16153186336159706</c:v>
                </c:pt>
                <c:pt idx="350">
                  <c:v>0.12844564728438865</c:v>
                </c:pt>
                <c:pt idx="351">
                  <c:v>0.16988982111215589</c:v>
                </c:pt>
                <c:pt idx="352">
                  <c:v>0.17550559677183625</c:v>
                </c:pt>
                <c:pt idx="353">
                  <c:v>7.0884922519326099E-2</c:v>
                </c:pt>
                <c:pt idx="354">
                  <c:v>5.7430265843868268E-2</c:v>
                </c:pt>
                <c:pt idx="355">
                  <c:v>0.14933103248476978</c:v>
                </c:pt>
                <c:pt idx="356">
                  <c:v>0.23318889811635019</c:v>
                </c:pt>
                <c:pt idx="357">
                  <c:v>0.25239468440413482</c:v>
                </c:pt>
                <c:pt idx="358">
                  <c:v>0.17800054140388949</c:v>
                </c:pt>
                <c:pt idx="359">
                  <c:v>0.11254299916327</c:v>
                </c:pt>
                <c:pt idx="360">
                  <c:v>0.10864496752619743</c:v>
                </c:pt>
                <c:pt idx="361">
                  <c:v>5.3291286528110368E-2</c:v>
                </c:pt>
                <c:pt idx="362">
                  <c:v>-4.8931966722011624E-2</c:v>
                </c:pt>
                <c:pt idx="363">
                  <c:v>5.2521982789039655E-2</c:v>
                </c:pt>
                <c:pt idx="364">
                  <c:v>0.14237949550151824</c:v>
                </c:pt>
                <c:pt idx="365">
                  <c:v>7.40207955241204E-2</c:v>
                </c:pt>
                <c:pt idx="366">
                  <c:v>0.1248895451426506</c:v>
                </c:pt>
                <c:pt idx="367">
                  <c:v>0.14301805496215825</c:v>
                </c:pt>
                <c:pt idx="368">
                  <c:v>0.22338627353310603</c:v>
                </c:pt>
                <c:pt idx="369">
                  <c:v>5.9086855500936467E-2</c:v>
                </c:pt>
                <c:pt idx="370">
                  <c:v>0.12664485275745385</c:v>
                </c:pt>
                <c:pt idx="371">
                  <c:v>0.18633641079068192</c:v>
                </c:pt>
                <c:pt idx="372">
                  <c:v>0.20348165445029745</c:v>
                </c:pt>
                <c:pt idx="373">
                  <c:v>0.14676966369152084</c:v>
                </c:pt>
                <c:pt idx="374">
                  <c:v>0.13024655580520622</c:v>
                </c:pt>
                <c:pt idx="375">
                  <c:v>0.10807414576411248</c:v>
                </c:pt>
                <c:pt idx="376">
                  <c:v>0.1111690420657397</c:v>
                </c:pt>
                <c:pt idx="377">
                  <c:v>9.6453663706779463E-2</c:v>
                </c:pt>
                <c:pt idx="378">
                  <c:v>1.8900576606392848E-2</c:v>
                </c:pt>
                <c:pt idx="379">
                  <c:v>0.13110785931348795</c:v>
                </c:pt>
                <c:pt idx="380">
                  <c:v>0.25484989657998086</c:v>
                </c:pt>
                <c:pt idx="381">
                  <c:v>0.23956618942320343</c:v>
                </c:pt>
                <c:pt idx="382">
                  <c:v>0.26397303342819212</c:v>
                </c:pt>
                <c:pt idx="383">
                  <c:v>0.1873241744935511</c:v>
                </c:pt>
                <c:pt idx="384">
                  <c:v>6.1336195468902566E-2</c:v>
                </c:pt>
                <c:pt idx="385">
                  <c:v>0.12389343678951274</c:v>
                </c:pt>
                <c:pt idx="386">
                  <c:v>0.12955218181014044</c:v>
                </c:pt>
                <c:pt idx="387">
                  <c:v>0.1523809492588043</c:v>
                </c:pt>
                <c:pt idx="388">
                  <c:v>2.0959679782390408E-2</c:v>
                </c:pt>
                <c:pt idx="389">
                  <c:v>0.12699055224657049</c:v>
                </c:pt>
                <c:pt idx="390">
                  <c:v>0.4401955500245095</c:v>
                </c:pt>
                <c:pt idx="391">
                  <c:v>0.2304863449186087</c:v>
                </c:pt>
                <c:pt idx="392">
                  <c:v>0.20465218126773829</c:v>
                </c:pt>
                <c:pt idx="393">
                  <c:v>0.17952403798699376</c:v>
                </c:pt>
                <c:pt idx="394">
                  <c:v>0.23379754461348051</c:v>
                </c:pt>
                <c:pt idx="395">
                  <c:v>0.20140271298587331</c:v>
                </c:pt>
                <c:pt idx="396">
                  <c:v>0.22886532805860033</c:v>
                </c:pt>
                <c:pt idx="397">
                  <c:v>0.10759498625993728</c:v>
                </c:pt>
                <c:pt idx="398">
                  <c:v>3.8631874322891169E-2</c:v>
                </c:pt>
                <c:pt idx="399">
                  <c:v>9.811233654618276E-2</c:v>
                </c:pt>
                <c:pt idx="400">
                  <c:v>0.19666094593703751</c:v>
                </c:pt>
                <c:pt idx="401">
                  <c:v>0.21575895100831985</c:v>
                </c:pt>
                <c:pt idx="402">
                  <c:v>0.26187194138765313</c:v>
                </c:pt>
                <c:pt idx="403">
                  <c:v>0.23177821002900606</c:v>
                </c:pt>
                <c:pt idx="404">
                  <c:v>0.33303650617599501</c:v>
                </c:pt>
                <c:pt idx="405">
                  <c:v>0.18374690748751166</c:v>
                </c:pt>
                <c:pt idx="406">
                  <c:v>0.10212757773697392</c:v>
                </c:pt>
                <c:pt idx="407">
                  <c:v>0.122911138087511</c:v>
                </c:pt>
                <c:pt idx="408">
                  <c:v>6.5583179146051468E-2</c:v>
                </c:pt>
                <c:pt idx="409">
                  <c:v>7.4477434158325556E-3</c:v>
                </c:pt>
                <c:pt idx="410">
                  <c:v>-5.6572489440441118E-2</c:v>
                </c:pt>
                <c:pt idx="411">
                  <c:v>-5.8993697166442892E-2</c:v>
                </c:pt>
                <c:pt idx="412">
                  <c:v>1.212538480758665E-2</c:v>
                </c:pt>
                <c:pt idx="413">
                  <c:v>0.19032525420188903</c:v>
                </c:pt>
                <c:pt idx="414">
                  <c:v>0.22483102604746805</c:v>
                </c:pt>
                <c:pt idx="415">
                  <c:v>0.2090442642569541</c:v>
                </c:pt>
                <c:pt idx="416">
                  <c:v>8.6950656771659848E-2</c:v>
                </c:pt>
                <c:pt idx="417">
                  <c:v>7.2679920494556446E-2</c:v>
                </c:pt>
                <c:pt idx="418">
                  <c:v>0.1295007526874544</c:v>
                </c:pt>
                <c:pt idx="419">
                  <c:v>8.8568959385156673E-2</c:v>
                </c:pt>
                <c:pt idx="420">
                  <c:v>0.10275218784809118</c:v>
                </c:pt>
                <c:pt idx="421">
                  <c:v>0.18754427544772617</c:v>
                </c:pt>
                <c:pt idx="422">
                  <c:v>0.17619111537933346</c:v>
                </c:pt>
                <c:pt idx="423">
                  <c:v>0.22541959062218681</c:v>
                </c:pt>
                <c:pt idx="424">
                  <c:v>0.25564464107155793</c:v>
                </c:pt>
                <c:pt idx="425">
                  <c:v>0.1662093479186296</c:v>
                </c:pt>
                <c:pt idx="426">
                  <c:v>0.14794821776449674</c:v>
                </c:pt>
                <c:pt idx="427">
                  <c:v>0.21773047372698792</c:v>
                </c:pt>
                <c:pt idx="428">
                  <c:v>0.23046147823333749</c:v>
                </c:pt>
                <c:pt idx="429">
                  <c:v>0.22059233412146573</c:v>
                </c:pt>
                <c:pt idx="430">
                  <c:v>9.794368818402302E-2</c:v>
                </c:pt>
                <c:pt idx="431">
                  <c:v>0.15222666785120958</c:v>
                </c:pt>
                <c:pt idx="432">
                  <c:v>0.26590960770845395</c:v>
                </c:pt>
                <c:pt idx="433">
                  <c:v>0.15680057220160948</c:v>
                </c:pt>
                <c:pt idx="434">
                  <c:v>0.24797818213701256</c:v>
                </c:pt>
                <c:pt idx="435">
                  <c:v>0.33430207669734963</c:v>
                </c:pt>
                <c:pt idx="436">
                  <c:v>0.20956955701112742</c:v>
                </c:pt>
                <c:pt idx="437">
                  <c:v>0.18386713042855252</c:v>
                </c:pt>
                <c:pt idx="438">
                  <c:v>0.31172289103269568</c:v>
                </c:pt>
                <c:pt idx="439">
                  <c:v>0.24394832253456111</c:v>
                </c:pt>
                <c:pt idx="440">
                  <c:v>5.5863523110747361E-2</c:v>
                </c:pt>
                <c:pt idx="441">
                  <c:v>8.6706385016441526E-2</c:v>
                </c:pt>
                <c:pt idx="442">
                  <c:v>0.13916311226785172</c:v>
                </c:pt>
                <c:pt idx="443">
                  <c:v>0.19080132171511655</c:v>
                </c:pt>
                <c:pt idx="444">
                  <c:v>0.13937127143144609</c:v>
                </c:pt>
                <c:pt idx="445">
                  <c:v>0.10305582806468017</c:v>
                </c:pt>
                <c:pt idx="446">
                  <c:v>-5.796175375580799E-2</c:v>
                </c:pt>
                <c:pt idx="447">
                  <c:v>0.17404318265616889</c:v>
                </c:pt>
                <c:pt idx="448">
                  <c:v>0.13314567431807506</c:v>
                </c:pt>
                <c:pt idx="449">
                  <c:v>0.18685257062315949</c:v>
                </c:pt>
                <c:pt idx="450">
                  <c:v>0.27767818942666039</c:v>
                </c:pt>
                <c:pt idx="451">
                  <c:v>0.22130817696452137</c:v>
                </c:pt>
                <c:pt idx="452">
                  <c:v>0.22220388725399953</c:v>
                </c:pt>
                <c:pt idx="453">
                  <c:v>0.18440342135727406</c:v>
                </c:pt>
                <c:pt idx="454">
                  <c:v>0.2277138240635396</c:v>
                </c:pt>
                <c:pt idx="455">
                  <c:v>0.16283195391297337</c:v>
                </c:pt>
                <c:pt idx="456">
                  <c:v>0.10528477579355229</c:v>
                </c:pt>
                <c:pt idx="457">
                  <c:v>0.2116891562938692</c:v>
                </c:pt>
                <c:pt idx="458">
                  <c:v>0.2543870985507965</c:v>
                </c:pt>
                <c:pt idx="459">
                  <c:v>0.21593606844544397</c:v>
                </c:pt>
                <c:pt idx="460">
                  <c:v>0.14926256090402606</c:v>
                </c:pt>
                <c:pt idx="461">
                  <c:v>0.11319345235824578</c:v>
                </c:pt>
                <c:pt idx="462">
                  <c:v>7.1826112270355319E-2</c:v>
                </c:pt>
                <c:pt idx="463">
                  <c:v>0.1934945385903119</c:v>
                </c:pt>
                <c:pt idx="464">
                  <c:v>0.1153141859918833</c:v>
                </c:pt>
                <c:pt idx="465">
                  <c:v>0.16116203702986237</c:v>
                </c:pt>
                <c:pt idx="466">
                  <c:v>0.21029674038290977</c:v>
                </c:pt>
                <c:pt idx="467">
                  <c:v>0.23090112730860707</c:v>
                </c:pt>
                <c:pt idx="468">
                  <c:v>0.25220723301172254</c:v>
                </c:pt>
                <c:pt idx="469">
                  <c:v>0.23852205574512478</c:v>
                </c:pt>
                <c:pt idx="470">
                  <c:v>0.25267472267150859</c:v>
                </c:pt>
                <c:pt idx="471">
                  <c:v>0.15003752112388588</c:v>
                </c:pt>
                <c:pt idx="472">
                  <c:v>0.17986468449234946</c:v>
                </c:pt>
                <c:pt idx="473">
                  <c:v>0.21551468558609477</c:v>
                </c:pt>
                <c:pt idx="474">
                  <c:v>0.34133748859167101</c:v>
                </c:pt>
                <c:pt idx="475">
                  <c:v>0.23490915112197391</c:v>
                </c:pt>
                <c:pt idx="476">
                  <c:v>0.2229816049337387</c:v>
                </c:pt>
                <c:pt idx="477">
                  <c:v>0.14267409145832047</c:v>
                </c:pt>
                <c:pt idx="478">
                  <c:v>0.10463259592652327</c:v>
                </c:pt>
                <c:pt idx="479">
                  <c:v>0.20439406409859656</c:v>
                </c:pt>
                <c:pt idx="480">
                  <c:v>0.2543730497360227</c:v>
                </c:pt>
                <c:pt idx="481">
                  <c:v>0.17438948452472686</c:v>
                </c:pt>
                <c:pt idx="482">
                  <c:v>0.14394525848329062</c:v>
                </c:pt>
                <c:pt idx="483">
                  <c:v>0.22636776678264131</c:v>
                </c:pt>
                <c:pt idx="484">
                  <c:v>0.17587161809206009</c:v>
                </c:pt>
                <c:pt idx="485">
                  <c:v>0.13054797649383548</c:v>
                </c:pt>
                <c:pt idx="486">
                  <c:v>0.1450213357806206</c:v>
                </c:pt>
                <c:pt idx="487">
                  <c:v>0.15992606952786448</c:v>
                </c:pt>
                <c:pt idx="488">
                  <c:v>9.9334180355072008E-2</c:v>
                </c:pt>
                <c:pt idx="489">
                  <c:v>0.21549599170684805</c:v>
                </c:pt>
                <c:pt idx="490">
                  <c:v>0.1823790311813355</c:v>
                </c:pt>
                <c:pt idx="491">
                  <c:v>0.19867440238595002</c:v>
                </c:pt>
                <c:pt idx="492">
                  <c:v>0.188220614939928</c:v>
                </c:pt>
                <c:pt idx="493">
                  <c:v>0.12674452625215052</c:v>
                </c:pt>
                <c:pt idx="494">
                  <c:v>0.17432869076728824</c:v>
                </c:pt>
                <c:pt idx="495">
                  <c:v>0.18625108599662765</c:v>
                </c:pt>
                <c:pt idx="496">
                  <c:v>0.20472005158662801</c:v>
                </c:pt>
                <c:pt idx="497">
                  <c:v>0.15624297633767131</c:v>
                </c:pt>
                <c:pt idx="498">
                  <c:v>0.15906834639608869</c:v>
                </c:pt>
                <c:pt idx="499">
                  <c:v>0.10906050652265546</c:v>
                </c:pt>
                <c:pt idx="500">
                  <c:v>7.1202812716364833E-2</c:v>
                </c:pt>
                <c:pt idx="501">
                  <c:v>0.12259033024311075</c:v>
                </c:pt>
                <c:pt idx="502">
                  <c:v>0.24688965305686014</c:v>
                </c:pt>
                <c:pt idx="503">
                  <c:v>6.4626903831958835E-2</c:v>
                </c:pt>
                <c:pt idx="504">
                  <c:v>0.18961350992321954</c:v>
                </c:pt>
                <c:pt idx="505">
                  <c:v>0.11176837980747226</c:v>
                </c:pt>
                <c:pt idx="506">
                  <c:v>6.4758792519569817E-3</c:v>
                </c:pt>
                <c:pt idx="507">
                  <c:v>4.1516460850834866E-2</c:v>
                </c:pt>
                <c:pt idx="508">
                  <c:v>0.10565287023782718</c:v>
                </c:pt>
                <c:pt idx="509">
                  <c:v>0.11791277453303342</c:v>
                </c:pt>
                <c:pt idx="510">
                  <c:v>0.19522353559732433</c:v>
                </c:pt>
                <c:pt idx="511">
                  <c:v>0.21217839717864986</c:v>
                </c:pt>
                <c:pt idx="512">
                  <c:v>0.16835022419691079</c:v>
                </c:pt>
                <c:pt idx="513">
                  <c:v>0.16138363480567933</c:v>
                </c:pt>
                <c:pt idx="514">
                  <c:v>0.20921199508011354</c:v>
                </c:pt>
                <c:pt idx="515">
                  <c:v>9.6455841511487964E-2</c:v>
                </c:pt>
                <c:pt idx="516">
                  <c:v>0.31604929789900793</c:v>
                </c:pt>
                <c:pt idx="517">
                  <c:v>0.11967747323214997</c:v>
                </c:pt>
                <c:pt idx="518">
                  <c:v>0.14030402898788444</c:v>
                </c:pt>
                <c:pt idx="519">
                  <c:v>0.12638247311115261</c:v>
                </c:pt>
                <c:pt idx="520">
                  <c:v>0.14642096608877184</c:v>
                </c:pt>
                <c:pt idx="521">
                  <c:v>0.15724810436368003</c:v>
                </c:pt>
                <c:pt idx="522">
                  <c:v>0.18802109658718116</c:v>
                </c:pt>
                <c:pt idx="523">
                  <c:v>0.16530004255473627</c:v>
                </c:pt>
                <c:pt idx="524">
                  <c:v>0.17175124138593664</c:v>
                </c:pt>
                <c:pt idx="525">
                  <c:v>0.1127978444099427</c:v>
                </c:pt>
                <c:pt idx="526">
                  <c:v>4.7656012326478876E-2</c:v>
                </c:pt>
                <c:pt idx="527">
                  <c:v>0.14448904693126671</c:v>
                </c:pt>
                <c:pt idx="528">
                  <c:v>0.23777163922786698</c:v>
                </c:pt>
                <c:pt idx="529">
                  <c:v>0.36764892041683195</c:v>
                </c:pt>
                <c:pt idx="530">
                  <c:v>0.16077301651239406</c:v>
                </c:pt>
                <c:pt idx="531">
                  <c:v>0.23606076389551159</c:v>
                </c:pt>
                <c:pt idx="532">
                  <c:v>0.18160101547837257</c:v>
                </c:pt>
                <c:pt idx="533">
                  <c:v>0.17777834609150903</c:v>
                </c:pt>
                <c:pt idx="534">
                  <c:v>0.15575047396123409</c:v>
                </c:pt>
                <c:pt idx="535">
                  <c:v>1.2205458432435907E-2</c:v>
                </c:pt>
                <c:pt idx="536">
                  <c:v>4.9935677647590569E-2</c:v>
                </c:pt>
                <c:pt idx="537">
                  <c:v>0.18353328183293335</c:v>
                </c:pt>
                <c:pt idx="538">
                  <c:v>0.17686378210782991</c:v>
                </c:pt>
                <c:pt idx="539">
                  <c:v>0.16744281128048902</c:v>
                </c:pt>
                <c:pt idx="540">
                  <c:v>0.30554699152708042</c:v>
                </c:pt>
                <c:pt idx="541">
                  <c:v>8.1263083964586175E-2</c:v>
                </c:pt>
                <c:pt idx="542">
                  <c:v>0.10898194015026089</c:v>
                </c:pt>
                <c:pt idx="543">
                  <c:v>0.19893604889512057</c:v>
                </c:pt>
                <c:pt idx="544">
                  <c:v>0.22170302420854573</c:v>
                </c:pt>
                <c:pt idx="545">
                  <c:v>0.13952858857810499</c:v>
                </c:pt>
                <c:pt idx="546">
                  <c:v>0.16983925849199299</c:v>
                </c:pt>
                <c:pt idx="547">
                  <c:v>0.18713093250989909</c:v>
                </c:pt>
                <c:pt idx="548">
                  <c:v>0.16087948977947239</c:v>
                </c:pt>
                <c:pt idx="549">
                  <c:v>0.20192665755748754</c:v>
                </c:pt>
                <c:pt idx="550">
                  <c:v>0.17110157534480089</c:v>
                </c:pt>
                <c:pt idx="551">
                  <c:v>0.20022538602352147</c:v>
                </c:pt>
                <c:pt idx="552">
                  <c:v>0.24279324412345876</c:v>
                </c:pt>
                <c:pt idx="553">
                  <c:v>0.19323713481426236</c:v>
                </c:pt>
                <c:pt idx="554">
                  <c:v>5.5945425480603994E-2</c:v>
                </c:pt>
                <c:pt idx="555">
                  <c:v>-2.9771003127098034E-2</c:v>
                </c:pt>
                <c:pt idx="556">
                  <c:v>0.1382596239447593</c:v>
                </c:pt>
                <c:pt idx="557">
                  <c:v>0.18562970235943796</c:v>
                </c:pt>
                <c:pt idx="558">
                  <c:v>0.23037096299231044</c:v>
                </c:pt>
                <c:pt idx="559">
                  <c:v>0.12491561919450769</c:v>
                </c:pt>
                <c:pt idx="560">
                  <c:v>0.14671524241566661</c:v>
                </c:pt>
                <c:pt idx="561">
                  <c:v>0.17122383452951898</c:v>
                </c:pt>
                <c:pt idx="562">
                  <c:v>0.27350632846355433</c:v>
                </c:pt>
                <c:pt idx="563">
                  <c:v>0.20777067318558706</c:v>
                </c:pt>
                <c:pt idx="564">
                  <c:v>0.21225460916757574</c:v>
                </c:pt>
                <c:pt idx="565">
                  <c:v>0.14365588128566759</c:v>
                </c:pt>
                <c:pt idx="566">
                  <c:v>0.1262524507939814</c:v>
                </c:pt>
                <c:pt idx="567">
                  <c:v>0.19045231863856313</c:v>
                </c:pt>
                <c:pt idx="568">
                  <c:v>0.17820970416069021</c:v>
                </c:pt>
                <c:pt idx="569">
                  <c:v>0.1596351649612188</c:v>
                </c:pt>
                <c:pt idx="570">
                  <c:v>4.8776266351342114E-2</c:v>
                </c:pt>
                <c:pt idx="571">
                  <c:v>9.0960541740059825E-2</c:v>
                </c:pt>
                <c:pt idx="572">
                  <c:v>0.2367596574127675</c:v>
                </c:pt>
                <c:pt idx="573">
                  <c:v>-4.2666606605053104E-3</c:v>
                </c:pt>
                <c:pt idx="574">
                  <c:v>5.9689237922429972E-2</c:v>
                </c:pt>
                <c:pt idx="575">
                  <c:v>0.36095654517412179</c:v>
                </c:pt>
                <c:pt idx="576">
                  <c:v>0.2594227239489556</c:v>
                </c:pt>
                <c:pt idx="577">
                  <c:v>0.13779262676835055</c:v>
                </c:pt>
                <c:pt idx="578">
                  <c:v>0.16345802731812001</c:v>
                </c:pt>
                <c:pt idx="579">
                  <c:v>0.18193491250276572</c:v>
                </c:pt>
                <c:pt idx="580">
                  <c:v>0.19308408051729198</c:v>
                </c:pt>
                <c:pt idx="581">
                  <c:v>0.14871730767190447</c:v>
                </c:pt>
                <c:pt idx="582">
                  <c:v>0.19730963632464404</c:v>
                </c:pt>
                <c:pt idx="583">
                  <c:v>5.9768390655517444E-2</c:v>
                </c:pt>
                <c:pt idx="584">
                  <c:v>0.12533060647547239</c:v>
                </c:pt>
                <c:pt idx="585">
                  <c:v>0.17151323109865202</c:v>
                </c:pt>
                <c:pt idx="586">
                  <c:v>0.31858688890933973</c:v>
                </c:pt>
                <c:pt idx="587">
                  <c:v>0.20471092611551275</c:v>
                </c:pt>
                <c:pt idx="588">
                  <c:v>0.16354921162128461</c:v>
                </c:pt>
                <c:pt idx="589">
                  <c:v>0.18814805187284941</c:v>
                </c:pt>
                <c:pt idx="590">
                  <c:v>0.21361279748380188</c:v>
                </c:pt>
                <c:pt idx="591">
                  <c:v>0.14484406150877466</c:v>
                </c:pt>
                <c:pt idx="592">
                  <c:v>0.19934881255030631</c:v>
                </c:pt>
                <c:pt idx="593">
                  <c:v>0.13309433534741394</c:v>
                </c:pt>
                <c:pt idx="594">
                  <c:v>0.19336759597063041</c:v>
                </c:pt>
                <c:pt idx="595">
                  <c:v>0.21486275121569637</c:v>
                </c:pt>
                <c:pt idx="596">
                  <c:v>0.34176945686340321</c:v>
                </c:pt>
                <c:pt idx="597">
                  <c:v>0.36334950514137743</c:v>
                </c:pt>
                <c:pt idx="598">
                  <c:v>0.20422008931636809</c:v>
                </c:pt>
                <c:pt idx="599">
                  <c:v>0.17980739921331407</c:v>
                </c:pt>
                <c:pt idx="600">
                  <c:v>0.24652312397956852</c:v>
                </c:pt>
                <c:pt idx="601">
                  <c:v>0.1166536372154949</c:v>
                </c:pt>
                <c:pt idx="602">
                  <c:v>0.18344488292932506</c:v>
                </c:pt>
                <c:pt idx="603">
                  <c:v>0.16742833852767952</c:v>
                </c:pt>
                <c:pt idx="604">
                  <c:v>0.21168939992785449</c:v>
                </c:pt>
                <c:pt idx="605">
                  <c:v>0.14065988957881931</c:v>
                </c:pt>
                <c:pt idx="606">
                  <c:v>0.14614458195865138</c:v>
                </c:pt>
                <c:pt idx="607">
                  <c:v>0.21350068673491479</c:v>
                </c:pt>
                <c:pt idx="608">
                  <c:v>0.19365116879343983</c:v>
                </c:pt>
                <c:pt idx="609">
                  <c:v>0.22548323273658757</c:v>
                </c:pt>
                <c:pt idx="610">
                  <c:v>0.2064468957483768</c:v>
                </c:pt>
                <c:pt idx="611">
                  <c:v>0.13412905484437934</c:v>
                </c:pt>
                <c:pt idx="612">
                  <c:v>0.13078996390104305</c:v>
                </c:pt>
                <c:pt idx="613">
                  <c:v>0.17938560694456102</c:v>
                </c:pt>
                <c:pt idx="614">
                  <c:v>0.1898387506604195</c:v>
                </c:pt>
                <c:pt idx="615">
                  <c:v>0.16731142625212675</c:v>
                </c:pt>
                <c:pt idx="616">
                  <c:v>0.17230863049626349</c:v>
                </c:pt>
                <c:pt idx="617">
                  <c:v>0.17506068907678141</c:v>
                </c:pt>
                <c:pt idx="618">
                  <c:v>0.23708459325134762</c:v>
                </c:pt>
                <c:pt idx="619">
                  <c:v>0.144963064789772</c:v>
                </c:pt>
                <c:pt idx="620">
                  <c:v>0.13784605190157892</c:v>
                </c:pt>
                <c:pt idx="621">
                  <c:v>0.1661173157393932</c:v>
                </c:pt>
                <c:pt idx="622">
                  <c:v>0.13321207799017426</c:v>
                </c:pt>
                <c:pt idx="623">
                  <c:v>0.17862138673663139</c:v>
                </c:pt>
                <c:pt idx="624">
                  <c:v>9.1668540239334045E-2</c:v>
                </c:pt>
                <c:pt idx="625">
                  <c:v>0.13025404214859013</c:v>
                </c:pt>
                <c:pt idx="626">
                  <c:v>0.11055388301610947</c:v>
                </c:pt>
                <c:pt idx="627">
                  <c:v>0.12097739130258547</c:v>
                </c:pt>
                <c:pt idx="628">
                  <c:v>0.15435627028346061</c:v>
                </c:pt>
                <c:pt idx="629">
                  <c:v>0.15236509665846826</c:v>
                </c:pt>
                <c:pt idx="630">
                  <c:v>0.19815660566091539</c:v>
                </c:pt>
                <c:pt idx="631">
                  <c:v>0.16635212749242795</c:v>
                </c:pt>
                <c:pt idx="632">
                  <c:v>0.19038061611354345</c:v>
                </c:pt>
                <c:pt idx="633">
                  <c:v>0.17184641063213363</c:v>
                </c:pt>
                <c:pt idx="634">
                  <c:v>0.21863648220896725</c:v>
                </c:pt>
                <c:pt idx="635">
                  <c:v>0.1762740060687065</c:v>
                </c:pt>
                <c:pt idx="636">
                  <c:v>0.12753557376563546</c:v>
                </c:pt>
                <c:pt idx="637">
                  <c:v>8.8456019014120119E-2</c:v>
                </c:pt>
                <c:pt idx="638">
                  <c:v>0.13706507049500946</c:v>
                </c:pt>
                <c:pt idx="639">
                  <c:v>0.1394019491970539</c:v>
                </c:pt>
                <c:pt idx="640">
                  <c:v>0.16299377791583536</c:v>
                </c:pt>
                <c:pt idx="641">
                  <c:v>0.20831975080072876</c:v>
                </c:pt>
                <c:pt idx="642">
                  <c:v>0.2007445778697729</c:v>
                </c:pt>
                <c:pt idx="643">
                  <c:v>9.4628605246544012E-2</c:v>
                </c:pt>
                <c:pt idx="644">
                  <c:v>0.20843828544020657</c:v>
                </c:pt>
                <c:pt idx="645">
                  <c:v>0.12438113242387767</c:v>
                </c:pt>
                <c:pt idx="646">
                  <c:v>0.16814486458897579</c:v>
                </c:pt>
                <c:pt idx="647">
                  <c:v>0.16520542278885836</c:v>
                </c:pt>
                <c:pt idx="648">
                  <c:v>0.20290580242872233</c:v>
                </c:pt>
                <c:pt idx="649">
                  <c:v>0.23324054628610616</c:v>
                </c:pt>
                <c:pt idx="650">
                  <c:v>0.22468829452991476</c:v>
                </c:pt>
                <c:pt idx="651">
                  <c:v>0.26299161538481708</c:v>
                </c:pt>
                <c:pt idx="652">
                  <c:v>0.19443790614604953</c:v>
                </c:pt>
                <c:pt idx="653">
                  <c:v>0.19616585075855247</c:v>
                </c:pt>
                <c:pt idx="654">
                  <c:v>0.14947370812296862</c:v>
                </c:pt>
                <c:pt idx="655">
                  <c:v>0.16325972676277176</c:v>
                </c:pt>
                <c:pt idx="656">
                  <c:v>0.18506205305457119</c:v>
                </c:pt>
                <c:pt idx="657">
                  <c:v>0.1510820478200913</c:v>
                </c:pt>
                <c:pt idx="658">
                  <c:v>0.185128492116928</c:v>
                </c:pt>
                <c:pt idx="659">
                  <c:v>0.18100127615034572</c:v>
                </c:pt>
                <c:pt idx="660">
                  <c:v>0.23255001232028008</c:v>
                </c:pt>
                <c:pt idx="661">
                  <c:v>0.22334582358598717</c:v>
                </c:pt>
                <c:pt idx="662">
                  <c:v>0.17248179540038103</c:v>
                </c:pt>
                <c:pt idx="663">
                  <c:v>0.10451272688806057</c:v>
                </c:pt>
                <c:pt idx="664">
                  <c:v>0.13135164678096764</c:v>
                </c:pt>
                <c:pt idx="665">
                  <c:v>0.15678938589990132</c:v>
                </c:pt>
                <c:pt idx="666">
                  <c:v>0.11127978637814524</c:v>
                </c:pt>
                <c:pt idx="667">
                  <c:v>9.3893880397081381E-2</c:v>
                </c:pt>
                <c:pt idx="668">
                  <c:v>0.15990596637129798</c:v>
                </c:pt>
                <c:pt idx="669">
                  <c:v>0.32639909088611591</c:v>
                </c:pt>
                <c:pt idx="670">
                  <c:v>0.33434246703982368</c:v>
                </c:pt>
                <c:pt idx="671">
                  <c:v>0.21588224619626989</c:v>
                </c:pt>
                <c:pt idx="672">
                  <c:v>0.12668179795145995</c:v>
                </c:pt>
                <c:pt idx="673">
                  <c:v>0.13434441238641728</c:v>
                </c:pt>
                <c:pt idx="674">
                  <c:v>0.16671985536813749</c:v>
                </c:pt>
                <c:pt idx="675">
                  <c:v>0.17957306206226353</c:v>
                </c:pt>
                <c:pt idx="676">
                  <c:v>0.2197427406907082</c:v>
                </c:pt>
                <c:pt idx="677">
                  <c:v>0.16595316380262368</c:v>
                </c:pt>
                <c:pt idx="678">
                  <c:v>0.28325811773538601</c:v>
                </c:pt>
                <c:pt idx="679">
                  <c:v>0.31220818981528276</c:v>
                </c:pt>
                <c:pt idx="680">
                  <c:v>7.5821726024150909E-2</c:v>
                </c:pt>
                <c:pt idx="681">
                  <c:v>0.15569088608026499</c:v>
                </c:pt>
                <c:pt idx="682">
                  <c:v>0.24370123818516726</c:v>
                </c:pt>
                <c:pt idx="683">
                  <c:v>0.23019034042954453</c:v>
                </c:pt>
                <c:pt idx="684">
                  <c:v>0.17962601035833353</c:v>
                </c:pt>
                <c:pt idx="685">
                  <c:v>0.14605764523148548</c:v>
                </c:pt>
                <c:pt idx="686">
                  <c:v>0.12108779624104493</c:v>
                </c:pt>
                <c:pt idx="687">
                  <c:v>0.20712766200304028</c:v>
                </c:pt>
                <c:pt idx="688">
                  <c:v>0.23180222585797314</c:v>
                </c:pt>
                <c:pt idx="689">
                  <c:v>0.23106457889080051</c:v>
                </c:pt>
                <c:pt idx="690">
                  <c:v>0.20542403049766994</c:v>
                </c:pt>
                <c:pt idx="691">
                  <c:v>0.25613823831081384</c:v>
                </c:pt>
                <c:pt idx="692">
                  <c:v>0.2167467266321183</c:v>
                </c:pt>
                <c:pt idx="693">
                  <c:v>0.20924279391765585</c:v>
                </c:pt>
                <c:pt idx="694">
                  <c:v>0.1986208215355873</c:v>
                </c:pt>
                <c:pt idx="695">
                  <c:v>0.20218253433704375</c:v>
                </c:pt>
                <c:pt idx="696">
                  <c:v>0.14153276830911624</c:v>
                </c:pt>
                <c:pt idx="697">
                  <c:v>0.14291365593671795</c:v>
                </c:pt>
                <c:pt idx="698">
                  <c:v>0.24080071076750748</c:v>
                </c:pt>
                <c:pt idx="699">
                  <c:v>0.20911916047334658</c:v>
                </c:pt>
                <c:pt idx="700">
                  <c:v>0.2368902400135994</c:v>
                </c:pt>
                <c:pt idx="701">
                  <c:v>0.15458378940820708</c:v>
                </c:pt>
                <c:pt idx="702">
                  <c:v>0.21485525816679002</c:v>
                </c:pt>
                <c:pt idx="703">
                  <c:v>0.23562144264578816</c:v>
                </c:pt>
                <c:pt idx="704">
                  <c:v>0.15889042317867294</c:v>
                </c:pt>
                <c:pt idx="705">
                  <c:v>0.14495225921273222</c:v>
                </c:pt>
                <c:pt idx="706">
                  <c:v>0.16441201195120814</c:v>
                </c:pt>
                <c:pt idx="707">
                  <c:v>0.11043687239289302</c:v>
                </c:pt>
                <c:pt idx="708">
                  <c:v>0.18000519275665278</c:v>
                </c:pt>
                <c:pt idx="709">
                  <c:v>0.24733886420726775</c:v>
                </c:pt>
                <c:pt idx="710">
                  <c:v>0.17918388620018968</c:v>
                </c:pt>
                <c:pt idx="711">
                  <c:v>0.17135859727859501</c:v>
                </c:pt>
                <c:pt idx="712">
                  <c:v>0.15286040417850011</c:v>
                </c:pt>
                <c:pt idx="713">
                  <c:v>0.23001669533550748</c:v>
                </c:pt>
                <c:pt idx="714">
                  <c:v>0.25854432433843622</c:v>
                </c:pt>
                <c:pt idx="715">
                  <c:v>0.20531397908926019</c:v>
                </c:pt>
                <c:pt idx="716">
                  <c:v>0.11710968166589737</c:v>
                </c:pt>
                <c:pt idx="717">
                  <c:v>0.15948996208608163</c:v>
                </c:pt>
                <c:pt idx="718">
                  <c:v>0.13233537599444384</c:v>
                </c:pt>
                <c:pt idx="719">
                  <c:v>0.21028249748051159</c:v>
                </c:pt>
                <c:pt idx="720">
                  <c:v>0.20696681737899789</c:v>
                </c:pt>
                <c:pt idx="721">
                  <c:v>0.29810017794370641</c:v>
                </c:pt>
                <c:pt idx="722">
                  <c:v>0.25751425288617602</c:v>
                </c:pt>
                <c:pt idx="723">
                  <c:v>0.16308781206607817</c:v>
                </c:pt>
                <c:pt idx="724">
                  <c:v>0.16293382868170728</c:v>
                </c:pt>
                <c:pt idx="725">
                  <c:v>0.20838116854429251</c:v>
                </c:pt>
                <c:pt idx="726">
                  <c:v>0.15668791942298416</c:v>
                </c:pt>
                <c:pt idx="727">
                  <c:v>0.26403253674507132</c:v>
                </c:pt>
                <c:pt idx="728">
                  <c:v>0.16829211749136436</c:v>
                </c:pt>
                <c:pt idx="729">
                  <c:v>0.1859521113336087</c:v>
                </c:pt>
                <c:pt idx="730">
                  <c:v>0.17219414301216604</c:v>
                </c:pt>
                <c:pt idx="731">
                  <c:v>0.10015754103660582</c:v>
                </c:pt>
                <c:pt idx="732">
                  <c:v>9.6298653632402503E-2</c:v>
                </c:pt>
                <c:pt idx="733">
                  <c:v>0.15513924546539776</c:v>
                </c:pt>
                <c:pt idx="734">
                  <c:v>0.1436890583485364</c:v>
                </c:pt>
                <c:pt idx="735">
                  <c:v>0.13901800960302363</c:v>
                </c:pt>
                <c:pt idx="736">
                  <c:v>0.20824434347450729</c:v>
                </c:pt>
                <c:pt idx="737">
                  <c:v>0.20158995240926739</c:v>
                </c:pt>
                <c:pt idx="738">
                  <c:v>0.16718152649700638</c:v>
                </c:pt>
                <c:pt idx="739">
                  <c:v>0.11988695189356809</c:v>
                </c:pt>
                <c:pt idx="740">
                  <c:v>9.9011290818452877E-2</c:v>
                </c:pt>
                <c:pt idx="741">
                  <c:v>0.15446447283029566</c:v>
                </c:pt>
                <c:pt idx="742">
                  <c:v>0.14464591667056079</c:v>
                </c:pt>
                <c:pt idx="743">
                  <c:v>0.13268404304981249</c:v>
                </c:pt>
                <c:pt idx="744">
                  <c:v>0.19028683230280855</c:v>
                </c:pt>
                <c:pt idx="745">
                  <c:v>0.19770371913909907</c:v>
                </c:pt>
                <c:pt idx="746">
                  <c:v>0.13907133117318157</c:v>
                </c:pt>
                <c:pt idx="747">
                  <c:v>0.15706636793911469</c:v>
                </c:pt>
                <c:pt idx="748">
                  <c:v>0.17098097875714313</c:v>
                </c:pt>
                <c:pt idx="749">
                  <c:v>7.7393248677252394E-3</c:v>
                </c:pt>
                <c:pt idx="750">
                  <c:v>4.3562333285808573E-2</c:v>
                </c:pt>
                <c:pt idx="751">
                  <c:v>0.10672729909420016</c:v>
                </c:pt>
                <c:pt idx="752">
                  <c:v>0.20129684060811992</c:v>
                </c:pt>
                <c:pt idx="753">
                  <c:v>0.17626556530594825</c:v>
                </c:pt>
                <c:pt idx="754">
                  <c:v>0.20861845985054953</c:v>
                </c:pt>
                <c:pt idx="755">
                  <c:v>0.14955077916383747</c:v>
                </c:pt>
                <c:pt idx="756">
                  <c:v>0.12649846374988555</c:v>
                </c:pt>
                <c:pt idx="757">
                  <c:v>0.17682230174541474</c:v>
                </c:pt>
                <c:pt idx="758">
                  <c:v>0.12299679443240179</c:v>
                </c:pt>
                <c:pt idx="759">
                  <c:v>0.10246418640017503</c:v>
                </c:pt>
                <c:pt idx="760">
                  <c:v>-1.7059718072414513E-2</c:v>
                </c:pt>
                <c:pt idx="761">
                  <c:v>0.11924391612410541</c:v>
                </c:pt>
                <c:pt idx="762">
                  <c:v>0.20352227687835694</c:v>
                </c:pt>
                <c:pt idx="763">
                  <c:v>0.19243920370936377</c:v>
                </c:pt>
                <c:pt idx="764">
                  <c:v>0.1739037819206713</c:v>
                </c:pt>
                <c:pt idx="765">
                  <c:v>0.19757901132106787</c:v>
                </c:pt>
                <c:pt idx="766">
                  <c:v>0.21536362543702126</c:v>
                </c:pt>
                <c:pt idx="767">
                  <c:v>0.25415366142988194</c:v>
                </c:pt>
                <c:pt idx="768">
                  <c:v>0.16044156849384303</c:v>
                </c:pt>
                <c:pt idx="769">
                  <c:v>0.17418012022972112</c:v>
                </c:pt>
                <c:pt idx="770">
                  <c:v>8.5589500889182019E-2</c:v>
                </c:pt>
                <c:pt idx="771">
                  <c:v>0.13384543806314447</c:v>
                </c:pt>
                <c:pt idx="772">
                  <c:v>0.1275243803858758</c:v>
                </c:pt>
                <c:pt idx="773">
                  <c:v>0.11468756757676601</c:v>
                </c:pt>
                <c:pt idx="774">
                  <c:v>0.17579434216022488</c:v>
                </c:pt>
                <c:pt idx="775">
                  <c:v>0.23886804431676864</c:v>
                </c:pt>
                <c:pt idx="776">
                  <c:v>0.2505518287420273</c:v>
                </c:pt>
                <c:pt idx="777">
                  <c:v>0.10301681123673918</c:v>
                </c:pt>
                <c:pt idx="778">
                  <c:v>0.26749470531940467</c:v>
                </c:pt>
                <c:pt idx="779">
                  <c:v>0.22145738005638127</c:v>
                </c:pt>
                <c:pt idx="780">
                  <c:v>0.10647216476500035</c:v>
                </c:pt>
                <c:pt idx="781">
                  <c:v>0.13438094109296797</c:v>
                </c:pt>
                <c:pt idx="782">
                  <c:v>0.16543548181653026</c:v>
                </c:pt>
                <c:pt idx="783">
                  <c:v>0.16069259606301789</c:v>
                </c:pt>
                <c:pt idx="784">
                  <c:v>0.24759888201951991</c:v>
                </c:pt>
                <c:pt idx="785">
                  <c:v>0.21316590830683707</c:v>
                </c:pt>
                <c:pt idx="786">
                  <c:v>0.11997536011040207</c:v>
                </c:pt>
                <c:pt idx="787">
                  <c:v>0.2402916327118875</c:v>
                </c:pt>
                <c:pt idx="788">
                  <c:v>0.22745765894651418</c:v>
                </c:pt>
                <c:pt idx="789">
                  <c:v>0.21872296333312966</c:v>
                </c:pt>
                <c:pt idx="790">
                  <c:v>0.12528323233127592</c:v>
                </c:pt>
                <c:pt idx="791">
                  <c:v>0.16183268129825587</c:v>
                </c:pt>
                <c:pt idx="792">
                  <c:v>0.17044547870755192</c:v>
                </c:pt>
                <c:pt idx="793">
                  <c:v>0.17218888550996761</c:v>
                </c:pt>
                <c:pt idx="794">
                  <c:v>0.18093409538269059</c:v>
                </c:pt>
                <c:pt idx="795">
                  <c:v>0.12347230911254881</c:v>
                </c:pt>
                <c:pt idx="796">
                  <c:v>0.13118877187371242</c:v>
                </c:pt>
                <c:pt idx="797">
                  <c:v>0.19975018501281738</c:v>
                </c:pt>
                <c:pt idx="798">
                  <c:v>0.19607677571475507</c:v>
                </c:pt>
                <c:pt idx="799">
                  <c:v>0.15988873094320299</c:v>
                </c:pt>
                <c:pt idx="800">
                  <c:v>0.13982547447085389</c:v>
                </c:pt>
                <c:pt idx="801">
                  <c:v>0.14385891184210783</c:v>
                </c:pt>
                <c:pt idx="802">
                  <c:v>0.17721986658871167</c:v>
                </c:pt>
                <c:pt idx="803">
                  <c:v>0.15645892694592492</c:v>
                </c:pt>
                <c:pt idx="804">
                  <c:v>0.18007167503237723</c:v>
                </c:pt>
                <c:pt idx="805">
                  <c:v>0.16879178583621973</c:v>
                </c:pt>
                <c:pt idx="806">
                  <c:v>0.17976539358496663</c:v>
                </c:pt>
                <c:pt idx="807">
                  <c:v>0.21921858638525013</c:v>
                </c:pt>
                <c:pt idx="808">
                  <c:v>0.28385912775993349</c:v>
                </c:pt>
                <c:pt idx="809">
                  <c:v>0.18826121762394898</c:v>
                </c:pt>
                <c:pt idx="810">
                  <c:v>0.1251899510622024</c:v>
                </c:pt>
                <c:pt idx="811">
                  <c:v>0.11971672996878627</c:v>
                </c:pt>
                <c:pt idx="812">
                  <c:v>0.14482989907264723</c:v>
                </c:pt>
                <c:pt idx="813">
                  <c:v>0.20640910379588595</c:v>
                </c:pt>
                <c:pt idx="814">
                  <c:v>0.13319633342325676</c:v>
                </c:pt>
                <c:pt idx="815">
                  <c:v>0.15893050357699398</c:v>
                </c:pt>
                <c:pt idx="816">
                  <c:v>0.2026135582476854</c:v>
                </c:pt>
                <c:pt idx="817">
                  <c:v>0.20593535304069524</c:v>
                </c:pt>
                <c:pt idx="818">
                  <c:v>0.14195877313613883</c:v>
                </c:pt>
                <c:pt idx="819">
                  <c:v>0.13006066232919683</c:v>
                </c:pt>
                <c:pt idx="820">
                  <c:v>0.17960072159767154</c:v>
                </c:pt>
                <c:pt idx="821">
                  <c:v>0.18325216099619859</c:v>
                </c:pt>
                <c:pt idx="822">
                  <c:v>0.14536562114953999</c:v>
                </c:pt>
                <c:pt idx="823">
                  <c:v>0.133775906264782</c:v>
                </c:pt>
                <c:pt idx="824">
                  <c:v>0.16824525073170654</c:v>
                </c:pt>
                <c:pt idx="825">
                  <c:v>0.1778212796896696</c:v>
                </c:pt>
                <c:pt idx="826">
                  <c:v>0.20886788815259952</c:v>
                </c:pt>
                <c:pt idx="827">
                  <c:v>0.15120980888605112</c:v>
                </c:pt>
                <c:pt idx="828">
                  <c:v>0.11787777990102777</c:v>
                </c:pt>
                <c:pt idx="829">
                  <c:v>8.4545235335826877E-2</c:v>
                </c:pt>
                <c:pt idx="830">
                  <c:v>0.1347180299460887</c:v>
                </c:pt>
                <c:pt idx="831">
                  <c:v>0.16293387487530708</c:v>
                </c:pt>
                <c:pt idx="832">
                  <c:v>0.19284848943352703</c:v>
                </c:pt>
                <c:pt idx="833">
                  <c:v>0.17000922001898283</c:v>
                </c:pt>
                <c:pt idx="834">
                  <c:v>0.12593603394925604</c:v>
                </c:pt>
                <c:pt idx="835">
                  <c:v>0.1369576022028923</c:v>
                </c:pt>
                <c:pt idx="836">
                  <c:v>0.16808735653758061</c:v>
                </c:pt>
                <c:pt idx="837">
                  <c:v>0.14293777495622645</c:v>
                </c:pt>
                <c:pt idx="838">
                  <c:v>0.42504660561680785</c:v>
                </c:pt>
                <c:pt idx="839">
                  <c:v>0.1785635784268379</c:v>
                </c:pt>
                <c:pt idx="840">
                  <c:v>0.11367890238761895</c:v>
                </c:pt>
                <c:pt idx="841">
                  <c:v>0.11146442219614987</c:v>
                </c:pt>
                <c:pt idx="842">
                  <c:v>0.17824930548667905</c:v>
                </c:pt>
                <c:pt idx="843">
                  <c:v>0.19723460860550407</c:v>
                </c:pt>
                <c:pt idx="844">
                  <c:v>0.19358261972665786</c:v>
                </c:pt>
                <c:pt idx="845">
                  <c:v>0.16661976166069514</c:v>
                </c:pt>
                <c:pt idx="846">
                  <c:v>0.17804498076438907</c:v>
                </c:pt>
                <c:pt idx="847">
                  <c:v>0.19301030375063408</c:v>
                </c:pt>
                <c:pt idx="848">
                  <c:v>0.1508280128240585</c:v>
                </c:pt>
                <c:pt idx="849">
                  <c:v>0.18368242457509049</c:v>
                </c:pt>
                <c:pt idx="850">
                  <c:v>0.19669418558478355</c:v>
                </c:pt>
                <c:pt idx="851">
                  <c:v>0.1803916104137899</c:v>
                </c:pt>
                <c:pt idx="852">
                  <c:v>0.16873429603874684</c:v>
                </c:pt>
                <c:pt idx="853">
                  <c:v>0.21192571520805359</c:v>
                </c:pt>
                <c:pt idx="854">
                  <c:v>0.28547133803367597</c:v>
                </c:pt>
                <c:pt idx="855">
                  <c:v>0.15638263821601867</c:v>
                </c:pt>
                <c:pt idx="856">
                  <c:v>0.15896524116396896</c:v>
                </c:pt>
                <c:pt idx="857">
                  <c:v>0.18473422154784186</c:v>
                </c:pt>
                <c:pt idx="858">
                  <c:v>0.16378785222768785</c:v>
                </c:pt>
                <c:pt idx="859">
                  <c:v>0.13168345317244531</c:v>
                </c:pt>
                <c:pt idx="860">
                  <c:v>0.13500033169984813</c:v>
                </c:pt>
                <c:pt idx="861">
                  <c:v>0.1859798327088355</c:v>
                </c:pt>
                <c:pt idx="862">
                  <c:v>0.1686125822365285</c:v>
                </c:pt>
                <c:pt idx="863">
                  <c:v>0.17898650616407391</c:v>
                </c:pt>
                <c:pt idx="864">
                  <c:v>0.14446363374590881</c:v>
                </c:pt>
                <c:pt idx="865">
                  <c:v>0.22381799966096877</c:v>
                </c:pt>
                <c:pt idx="866">
                  <c:v>0.2730522617697716</c:v>
                </c:pt>
                <c:pt idx="867">
                  <c:v>0.1632783986628055</c:v>
                </c:pt>
                <c:pt idx="868">
                  <c:v>0.19803212955594077</c:v>
                </c:pt>
                <c:pt idx="869">
                  <c:v>0.15843352302908892</c:v>
                </c:pt>
                <c:pt idx="870">
                  <c:v>6.2931109964847493E-2</c:v>
                </c:pt>
                <c:pt idx="871">
                  <c:v>0.15269477665424339</c:v>
                </c:pt>
                <c:pt idx="872">
                  <c:v>0.17153390198945995</c:v>
                </c:pt>
                <c:pt idx="873">
                  <c:v>0.17264114096760735</c:v>
                </c:pt>
                <c:pt idx="874">
                  <c:v>0.21327969729900351</c:v>
                </c:pt>
                <c:pt idx="875">
                  <c:v>0.15546775087714201</c:v>
                </c:pt>
                <c:pt idx="876">
                  <c:v>0.1730315528810023</c:v>
                </c:pt>
                <c:pt idx="877">
                  <c:v>0.23034687042236338</c:v>
                </c:pt>
                <c:pt idx="878">
                  <c:v>0.13932329192757609</c:v>
                </c:pt>
                <c:pt idx="879">
                  <c:v>0.15933197513222686</c:v>
                </c:pt>
                <c:pt idx="880">
                  <c:v>0.171541563794017</c:v>
                </c:pt>
                <c:pt idx="881">
                  <c:v>0.13224026262760158</c:v>
                </c:pt>
                <c:pt idx="882">
                  <c:v>0.1660840950906276</c:v>
                </c:pt>
                <c:pt idx="883">
                  <c:v>5.1617123186588419E-2</c:v>
                </c:pt>
                <c:pt idx="884">
                  <c:v>0.13092245757579796</c:v>
                </c:pt>
                <c:pt idx="885">
                  <c:v>0.14636852219700811</c:v>
                </c:pt>
                <c:pt idx="886">
                  <c:v>0.18599167838692651</c:v>
                </c:pt>
                <c:pt idx="887">
                  <c:v>0.19191359840333472</c:v>
                </c:pt>
                <c:pt idx="888">
                  <c:v>0.16547723673284051</c:v>
                </c:pt>
                <c:pt idx="889">
                  <c:v>6.0285802930593511E-2</c:v>
                </c:pt>
                <c:pt idx="890">
                  <c:v>0.10719942599534986</c:v>
                </c:pt>
                <c:pt idx="891">
                  <c:v>0.21046727001667026</c:v>
                </c:pt>
                <c:pt idx="892">
                  <c:v>0.14167847111821169</c:v>
                </c:pt>
                <c:pt idx="893">
                  <c:v>9.311037287116046E-2</c:v>
                </c:pt>
                <c:pt idx="894">
                  <c:v>0.18579688146710396</c:v>
                </c:pt>
                <c:pt idx="895">
                  <c:v>0.11318081021308893</c:v>
                </c:pt>
                <c:pt idx="896">
                  <c:v>9.3923296406865142E-2</c:v>
                </c:pt>
                <c:pt idx="897">
                  <c:v>8.6950360238552071E-2</c:v>
                </c:pt>
                <c:pt idx="898">
                  <c:v>0.22232395261526122</c:v>
                </c:pt>
                <c:pt idx="899">
                  <c:v>0.17054564058780691</c:v>
                </c:pt>
                <c:pt idx="900">
                  <c:v>0.17777687683701521</c:v>
                </c:pt>
                <c:pt idx="901">
                  <c:v>0.19578813761472708</c:v>
                </c:pt>
                <c:pt idx="902">
                  <c:v>0.18688408732414236</c:v>
                </c:pt>
                <c:pt idx="903">
                  <c:v>0.14900769814848905</c:v>
                </c:pt>
                <c:pt idx="904">
                  <c:v>0.20405698530375954</c:v>
                </c:pt>
                <c:pt idx="905">
                  <c:v>0.19057601615786554</c:v>
                </c:pt>
                <c:pt idx="906">
                  <c:v>0.22081694528460502</c:v>
                </c:pt>
                <c:pt idx="907">
                  <c:v>0.26727126613259317</c:v>
                </c:pt>
                <c:pt idx="908">
                  <c:v>0.19683110937476167</c:v>
                </c:pt>
                <c:pt idx="909">
                  <c:v>0.2491341367363929</c:v>
                </c:pt>
                <c:pt idx="910">
                  <c:v>0.19149506837129587</c:v>
                </c:pt>
                <c:pt idx="911">
                  <c:v>0.18583521284162999</c:v>
                </c:pt>
                <c:pt idx="912">
                  <c:v>0.17878660634160043</c:v>
                </c:pt>
                <c:pt idx="913">
                  <c:v>0.18028784692287445</c:v>
                </c:pt>
                <c:pt idx="914">
                  <c:v>0.18129784464836124</c:v>
                </c:pt>
                <c:pt idx="915">
                  <c:v>0.18965297937393194</c:v>
                </c:pt>
                <c:pt idx="916">
                  <c:v>0.10111680179834352</c:v>
                </c:pt>
                <c:pt idx="917">
                  <c:v>0.12268412709236157</c:v>
                </c:pt>
                <c:pt idx="918">
                  <c:v>0.22454655021429062</c:v>
                </c:pt>
                <c:pt idx="919">
                  <c:v>0.21687545254826551</c:v>
                </c:pt>
                <c:pt idx="920">
                  <c:v>0.2200128898024559</c:v>
                </c:pt>
                <c:pt idx="921">
                  <c:v>0.13147919438779365</c:v>
                </c:pt>
                <c:pt idx="922">
                  <c:v>0.17076451182365412</c:v>
                </c:pt>
                <c:pt idx="923">
                  <c:v>0.18007892668247222</c:v>
                </c:pt>
                <c:pt idx="924">
                  <c:v>0.12080899588763705</c:v>
                </c:pt>
                <c:pt idx="925">
                  <c:v>6.0472553968429564E-2</c:v>
                </c:pt>
                <c:pt idx="926">
                  <c:v>3.086221963167184E-2</c:v>
                </c:pt>
                <c:pt idx="927">
                  <c:v>0.18965503424406052</c:v>
                </c:pt>
                <c:pt idx="928">
                  <c:v>0.31001985594630238</c:v>
                </c:pt>
                <c:pt idx="929">
                  <c:v>0.22287032008171073</c:v>
                </c:pt>
                <c:pt idx="930">
                  <c:v>0.19608889035880556</c:v>
                </c:pt>
                <c:pt idx="931">
                  <c:v>0.15028528422117229</c:v>
                </c:pt>
                <c:pt idx="932">
                  <c:v>0.16965105086565002</c:v>
                </c:pt>
                <c:pt idx="933">
                  <c:v>0.18413169682025923</c:v>
                </c:pt>
                <c:pt idx="934">
                  <c:v>0.17280526310205438</c:v>
                </c:pt>
                <c:pt idx="935">
                  <c:v>0.18732925876975051</c:v>
                </c:pt>
                <c:pt idx="936">
                  <c:v>0.17305233329534531</c:v>
                </c:pt>
                <c:pt idx="937">
                  <c:v>0.10976977311074725</c:v>
                </c:pt>
                <c:pt idx="938">
                  <c:v>0.12753499150276176</c:v>
                </c:pt>
                <c:pt idx="939">
                  <c:v>8.8389236479997579E-2</c:v>
                </c:pt>
                <c:pt idx="940">
                  <c:v>0.16034433394670494</c:v>
                </c:pt>
                <c:pt idx="941">
                  <c:v>3.8207174092531195E-2</c:v>
                </c:pt>
                <c:pt idx="942">
                  <c:v>7.2592390328645756E-2</c:v>
                </c:pt>
                <c:pt idx="943">
                  <c:v>0.12042421326041222</c:v>
                </c:pt>
                <c:pt idx="944">
                  <c:v>0.1870719552040101</c:v>
                </c:pt>
                <c:pt idx="945">
                  <c:v>0.17235927470028395</c:v>
                </c:pt>
                <c:pt idx="946">
                  <c:v>0.12453470006585125</c:v>
                </c:pt>
                <c:pt idx="947">
                  <c:v>0.10753302127122873</c:v>
                </c:pt>
                <c:pt idx="948">
                  <c:v>0.12287088111042974</c:v>
                </c:pt>
                <c:pt idx="949">
                  <c:v>0.23581296876072874</c:v>
                </c:pt>
                <c:pt idx="950">
                  <c:v>0.1683456473052502</c:v>
                </c:pt>
                <c:pt idx="951">
                  <c:v>0.19603994563221927</c:v>
                </c:pt>
                <c:pt idx="952">
                  <c:v>0.15807778388261795</c:v>
                </c:pt>
                <c:pt idx="953">
                  <c:v>0.21422304399311543</c:v>
                </c:pt>
                <c:pt idx="954">
                  <c:v>0.23500180244445792</c:v>
                </c:pt>
                <c:pt idx="955">
                  <c:v>0.21601928696036329</c:v>
                </c:pt>
                <c:pt idx="956">
                  <c:v>0.23684969693422323</c:v>
                </c:pt>
                <c:pt idx="957">
                  <c:v>0.16788277775049198</c:v>
                </c:pt>
                <c:pt idx="958">
                  <c:v>0.14482029303908339</c:v>
                </c:pt>
                <c:pt idx="959">
                  <c:v>0.10342449508607388</c:v>
                </c:pt>
                <c:pt idx="960">
                  <c:v>0.13989257216453552</c:v>
                </c:pt>
                <c:pt idx="961">
                  <c:v>0.17813292741775505</c:v>
                </c:pt>
                <c:pt idx="962">
                  <c:v>0.14506938159465799</c:v>
                </c:pt>
                <c:pt idx="963">
                  <c:v>0.11301707327365869</c:v>
                </c:pt>
                <c:pt idx="964">
                  <c:v>0.12761956006288525</c:v>
                </c:pt>
                <c:pt idx="965">
                  <c:v>0.17725397199392318</c:v>
                </c:pt>
                <c:pt idx="966">
                  <c:v>5.7171817123889947E-2</c:v>
                </c:pt>
                <c:pt idx="967">
                  <c:v>0.10987684279680246</c:v>
                </c:pt>
                <c:pt idx="968">
                  <c:v>0.20890434384346007</c:v>
                </c:pt>
                <c:pt idx="969">
                  <c:v>0.16549659632146368</c:v>
                </c:pt>
                <c:pt idx="970">
                  <c:v>6.9786846637725816E-2</c:v>
                </c:pt>
                <c:pt idx="971">
                  <c:v>8.3727853745222097E-2</c:v>
                </c:pt>
                <c:pt idx="972">
                  <c:v>0.12051870450377458</c:v>
                </c:pt>
                <c:pt idx="973">
                  <c:v>0.15655477158725256</c:v>
                </c:pt>
                <c:pt idx="974">
                  <c:v>0.19967457577586173</c:v>
                </c:pt>
                <c:pt idx="975">
                  <c:v>0.18575540035963062</c:v>
                </c:pt>
                <c:pt idx="976">
                  <c:v>0.1568340688943862</c:v>
                </c:pt>
                <c:pt idx="977">
                  <c:v>0.16821553930640218</c:v>
                </c:pt>
                <c:pt idx="978">
                  <c:v>0.18459166809916491</c:v>
                </c:pt>
                <c:pt idx="979">
                  <c:v>0.26992317847907549</c:v>
                </c:pt>
                <c:pt idx="980">
                  <c:v>0.16955090463161457</c:v>
                </c:pt>
                <c:pt idx="981">
                  <c:v>0.12716420143842705</c:v>
                </c:pt>
                <c:pt idx="982">
                  <c:v>0.11537824794650076</c:v>
                </c:pt>
                <c:pt idx="983">
                  <c:v>9.51215375214816E-2</c:v>
                </c:pt>
                <c:pt idx="984">
                  <c:v>3.2643550634384032E-2</c:v>
                </c:pt>
                <c:pt idx="985">
                  <c:v>-9.9397382140159682E-2</c:v>
                </c:pt>
                <c:pt idx="986">
                  <c:v>-7.6274120807647755E-2</c:v>
                </c:pt>
                <c:pt idx="987">
                  <c:v>0.10684161782264705</c:v>
                </c:pt>
                <c:pt idx="988">
                  <c:v>0.23743361383676528</c:v>
                </c:pt>
                <c:pt idx="989">
                  <c:v>9.7134863585233738E-2</c:v>
                </c:pt>
                <c:pt idx="990">
                  <c:v>0.3276206612586976</c:v>
                </c:pt>
                <c:pt idx="991">
                  <c:v>0.21685117892920963</c:v>
                </c:pt>
                <c:pt idx="992">
                  <c:v>0.17271229475736616</c:v>
                </c:pt>
                <c:pt idx="993">
                  <c:v>-0.12866492122411738</c:v>
                </c:pt>
                <c:pt idx="994">
                  <c:v>-0.10281089395284652</c:v>
                </c:pt>
                <c:pt idx="995">
                  <c:v>-2.361949309706677E-2</c:v>
                </c:pt>
                <c:pt idx="996">
                  <c:v>0.1210790857672692</c:v>
                </c:pt>
                <c:pt idx="997">
                  <c:v>0.25567077547311773</c:v>
                </c:pt>
                <c:pt idx="998">
                  <c:v>0.29322431571781643</c:v>
                </c:pt>
                <c:pt idx="999">
                  <c:v>0.23997093439102177</c:v>
                </c:pt>
                <c:pt idx="1000">
                  <c:v>0.1926585633307695</c:v>
                </c:pt>
                <c:pt idx="1001">
                  <c:v>0.13020637631416318</c:v>
                </c:pt>
              </c:numCache>
            </c:numRef>
          </c:val>
          <c:smooth val="0"/>
        </c:ser>
        <c:ser>
          <c:idx val="1"/>
          <c:order val="1"/>
          <c:tx>
            <c:strRef>
              <c:f>Run_TRS!$C$1</c:f>
              <c:strCache>
                <c:ptCount val="1"/>
                <c:pt idx="0">
                  <c:v>Average of PREDICTEDTRS</c:v>
                </c:pt>
              </c:strCache>
            </c:strRef>
          </c:tx>
          <c:spPr>
            <a:ln w="28575" cap="rnd">
              <a:solidFill>
                <a:schemeClr val="accent2"/>
              </a:solidFill>
              <a:round/>
            </a:ln>
            <a:effectLst/>
          </c:spPr>
          <c:marker>
            <c:symbol val="none"/>
          </c:marker>
          <c:cat>
            <c:strRef>
              <c:f>Run_TRS!$A$2:$A$1004</c:f>
              <c:strCache>
                <c:ptCount val="1002"/>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pt idx="1000">
                  <c:v>1000</c:v>
                </c:pt>
                <c:pt idx="1001">
                  <c:v>1001</c:v>
                </c:pt>
              </c:strCache>
            </c:strRef>
          </c:cat>
          <c:val>
            <c:numRef>
              <c:f>Run_TRS!$C$2:$C$1004</c:f>
              <c:numCache>
                <c:formatCode>General</c:formatCode>
                <c:ptCount val="1002"/>
                <c:pt idx="0">
                  <c:v>0.18378771468996999</c:v>
                </c:pt>
                <c:pt idx="1">
                  <c:v>0.13925305716693398</c:v>
                </c:pt>
                <c:pt idx="2">
                  <c:v>0.10737086348235605</c:v>
                </c:pt>
                <c:pt idx="3">
                  <c:v>-0.18481776118278503</c:v>
                </c:pt>
                <c:pt idx="4">
                  <c:v>0.15894504543393848</c:v>
                </c:pt>
                <c:pt idx="5">
                  <c:v>0.16924447380006313</c:v>
                </c:pt>
                <c:pt idx="6">
                  <c:v>0.1423552030697465</c:v>
                </c:pt>
                <c:pt idx="7">
                  <c:v>0.10378079880028963</c:v>
                </c:pt>
                <c:pt idx="8">
                  <c:v>-0.21246988773345957</c:v>
                </c:pt>
                <c:pt idx="9">
                  <c:v>0.10384080223739152</c:v>
                </c:pt>
                <c:pt idx="10">
                  <c:v>0.16941735148429868</c:v>
                </c:pt>
                <c:pt idx="11">
                  <c:v>0.14438968151807788</c:v>
                </c:pt>
                <c:pt idx="12">
                  <c:v>0.11396010220050808</c:v>
                </c:pt>
                <c:pt idx="13">
                  <c:v>-0.12662037387490271</c:v>
                </c:pt>
                <c:pt idx="14">
                  <c:v>0.13056854121387004</c:v>
                </c:pt>
                <c:pt idx="15">
                  <c:v>0.12049419851973649</c:v>
                </c:pt>
                <c:pt idx="16">
                  <c:v>7.7926838211715269E-2</c:v>
                </c:pt>
                <c:pt idx="17">
                  <c:v>0.10110291344972207</c:v>
                </c:pt>
                <c:pt idx="18">
                  <c:v>0.15129444990307087</c:v>
                </c:pt>
                <c:pt idx="19">
                  <c:v>0.18533371686935421</c:v>
                </c:pt>
                <c:pt idx="20">
                  <c:v>0.20438121184706687</c:v>
                </c:pt>
                <c:pt idx="21">
                  <c:v>0.21226564012467861</c:v>
                </c:pt>
                <c:pt idx="22">
                  <c:v>0.16916189566254608</c:v>
                </c:pt>
                <c:pt idx="23">
                  <c:v>0.12228676519589503</c:v>
                </c:pt>
                <c:pt idx="24">
                  <c:v>9.9858472455525843E-2</c:v>
                </c:pt>
                <c:pt idx="25">
                  <c:v>0.10001627416349949</c:v>
                </c:pt>
                <c:pt idx="26">
                  <c:v>0.15381582546979197</c:v>
                </c:pt>
                <c:pt idx="27">
                  <c:v>0.20380719862878313</c:v>
                </c:pt>
                <c:pt idx="28">
                  <c:v>0.21742534935474395</c:v>
                </c:pt>
                <c:pt idx="29">
                  <c:v>0.22845296561718004</c:v>
                </c:pt>
                <c:pt idx="30">
                  <c:v>0.23809726946055906</c:v>
                </c:pt>
                <c:pt idx="31">
                  <c:v>0.22534364573657512</c:v>
                </c:pt>
                <c:pt idx="32">
                  <c:v>0.15163532905280583</c:v>
                </c:pt>
                <c:pt idx="33">
                  <c:v>9.998702369630344E-2</c:v>
                </c:pt>
                <c:pt idx="34">
                  <c:v>6.4491591206751797E-2</c:v>
                </c:pt>
                <c:pt idx="35">
                  <c:v>6.3919660029932809E-2</c:v>
                </c:pt>
                <c:pt idx="36">
                  <c:v>0.10876205340027809</c:v>
                </c:pt>
                <c:pt idx="37">
                  <c:v>0.18581059873104094</c:v>
                </c:pt>
                <c:pt idx="38">
                  <c:v>0.22130518723279247</c:v>
                </c:pt>
                <c:pt idx="39">
                  <c:v>0.25441549737006414</c:v>
                </c:pt>
                <c:pt idx="40">
                  <c:v>0.23634665757417675</c:v>
                </c:pt>
                <c:pt idx="41">
                  <c:v>0.19968807604163888</c:v>
                </c:pt>
                <c:pt idx="42">
                  <c:v>0.18138251886703077</c:v>
                </c:pt>
                <c:pt idx="43">
                  <c:v>0.17132558205630627</c:v>
                </c:pt>
                <c:pt idx="44">
                  <c:v>0.13705077706836161</c:v>
                </c:pt>
                <c:pt idx="45">
                  <c:v>0.10353046674281359</c:v>
                </c:pt>
                <c:pt idx="46">
                  <c:v>9.707277941051877E-2</c:v>
                </c:pt>
                <c:pt idx="47">
                  <c:v>0.12196348141878843</c:v>
                </c:pt>
                <c:pt idx="48">
                  <c:v>0.16154326796531676</c:v>
                </c:pt>
                <c:pt idx="49">
                  <c:v>0.1969144467264414</c:v>
                </c:pt>
                <c:pt idx="50">
                  <c:v>0.22831189688295109</c:v>
                </c:pt>
                <c:pt idx="51">
                  <c:v>0.2195350850000978</c:v>
                </c:pt>
                <c:pt idx="52">
                  <c:v>0.18084359392523755</c:v>
                </c:pt>
                <c:pt idx="53">
                  <c:v>0.20254704207181939</c:v>
                </c:pt>
                <c:pt idx="54">
                  <c:v>0.21609467267990107</c:v>
                </c:pt>
                <c:pt idx="55">
                  <c:v>0.18836865648627293</c:v>
                </c:pt>
                <c:pt idx="56">
                  <c:v>0.11882738610729575</c:v>
                </c:pt>
                <c:pt idx="57">
                  <c:v>7.6046207547187772E-2</c:v>
                </c:pt>
                <c:pt idx="58">
                  <c:v>9.7295332048088448E-2</c:v>
                </c:pt>
                <c:pt idx="59">
                  <c:v>0.13134364075958718</c:v>
                </c:pt>
                <c:pt idx="60">
                  <c:v>0.17871095761656741</c:v>
                </c:pt>
                <c:pt idx="61">
                  <c:v>0.2222701847553254</c:v>
                </c:pt>
                <c:pt idx="62">
                  <c:v>0.2534444667398929</c:v>
                </c:pt>
                <c:pt idx="63">
                  <c:v>0.2166812196373939</c:v>
                </c:pt>
                <c:pt idx="64">
                  <c:v>0.11941919950768345</c:v>
                </c:pt>
                <c:pt idx="65">
                  <c:v>8.5940605960786412E-2</c:v>
                </c:pt>
                <c:pt idx="66">
                  <c:v>8.5060879308730367E-2</c:v>
                </c:pt>
                <c:pt idx="67">
                  <c:v>0.14592936933040629</c:v>
                </c:pt>
                <c:pt idx="68">
                  <c:v>0.20394953414797778</c:v>
                </c:pt>
                <c:pt idx="69">
                  <c:v>0.20791666358709332</c:v>
                </c:pt>
                <c:pt idx="70">
                  <c:v>0.20550373271107683</c:v>
                </c:pt>
                <c:pt idx="71">
                  <c:v>0.18219968602061276</c:v>
                </c:pt>
                <c:pt idx="72">
                  <c:v>0.1539537569507958</c:v>
                </c:pt>
                <c:pt idx="73">
                  <c:v>0.1018376473337412</c:v>
                </c:pt>
                <c:pt idx="74">
                  <c:v>8.3786107506602842E-2</c:v>
                </c:pt>
                <c:pt idx="75">
                  <c:v>0.14124294575303792</c:v>
                </c:pt>
                <c:pt idx="76">
                  <c:v>0.19259860813617688</c:v>
                </c:pt>
                <c:pt idx="77">
                  <c:v>0.22732401564717275</c:v>
                </c:pt>
                <c:pt idx="78">
                  <c:v>0.2505876637995243</c:v>
                </c:pt>
                <c:pt idx="79">
                  <c:v>0.2395978607237339</c:v>
                </c:pt>
                <c:pt idx="80">
                  <c:v>0.23287797383964048</c:v>
                </c:pt>
                <c:pt idx="81">
                  <c:v>0.18435415700078003</c:v>
                </c:pt>
                <c:pt idx="82">
                  <c:v>0.18599668592214585</c:v>
                </c:pt>
                <c:pt idx="83">
                  <c:v>0.21916507482528677</c:v>
                </c:pt>
                <c:pt idx="84">
                  <c:v>0.26041388511657726</c:v>
                </c:pt>
                <c:pt idx="85">
                  <c:v>0.28295609951019279</c:v>
                </c:pt>
                <c:pt idx="86">
                  <c:v>0.20063404738903051</c:v>
                </c:pt>
                <c:pt idx="87">
                  <c:v>0.13758023795671753</c:v>
                </c:pt>
                <c:pt idx="88">
                  <c:v>0.12144354336196553</c:v>
                </c:pt>
                <c:pt idx="89">
                  <c:v>0.11949284803122276</c:v>
                </c:pt>
                <c:pt idx="90">
                  <c:v>0.16465121619403372</c:v>
                </c:pt>
                <c:pt idx="91">
                  <c:v>0.21482319310307516</c:v>
                </c:pt>
                <c:pt idx="92">
                  <c:v>0.18897129893302916</c:v>
                </c:pt>
                <c:pt idx="93">
                  <c:v>0.15234162732958806</c:v>
                </c:pt>
                <c:pt idx="94">
                  <c:v>0.15846704393625249</c:v>
                </c:pt>
                <c:pt idx="95">
                  <c:v>0.18533199504017822</c:v>
                </c:pt>
                <c:pt idx="96">
                  <c:v>0.1962091721594334</c:v>
                </c:pt>
                <c:pt idx="97">
                  <c:v>0.15169732309877876</c:v>
                </c:pt>
                <c:pt idx="98">
                  <c:v>0.10757349049672497</c:v>
                </c:pt>
                <c:pt idx="99">
                  <c:v>0.12815525904297845</c:v>
                </c:pt>
                <c:pt idx="100">
                  <c:v>0.15664778649806971</c:v>
                </c:pt>
                <c:pt idx="101">
                  <c:v>0.16556366942822939</c:v>
                </c:pt>
                <c:pt idx="102">
                  <c:v>0.17178717106580738</c:v>
                </c:pt>
                <c:pt idx="103">
                  <c:v>0.19717554003000259</c:v>
                </c:pt>
                <c:pt idx="104">
                  <c:v>0.21324591785669331</c:v>
                </c:pt>
                <c:pt idx="105">
                  <c:v>0.2162750735878943</c:v>
                </c:pt>
                <c:pt idx="106">
                  <c:v>0.19348954781889913</c:v>
                </c:pt>
                <c:pt idx="107">
                  <c:v>0.20999115779995914</c:v>
                </c:pt>
                <c:pt idx="108">
                  <c:v>0.21971091553568836</c:v>
                </c:pt>
                <c:pt idx="109">
                  <c:v>0.15133138840610633</c:v>
                </c:pt>
                <c:pt idx="110">
                  <c:v>9.9973192438483363E-2</c:v>
                </c:pt>
                <c:pt idx="111">
                  <c:v>2.0126869529485791E-2</c:v>
                </c:pt>
                <c:pt idx="112">
                  <c:v>3.2325147092342479E-2</c:v>
                </c:pt>
                <c:pt idx="113">
                  <c:v>0.1738118536770345</c:v>
                </c:pt>
                <c:pt idx="114">
                  <c:v>0.21305035799741739</c:v>
                </c:pt>
                <c:pt idx="115">
                  <c:v>0.21821046173572539</c:v>
                </c:pt>
                <c:pt idx="116">
                  <c:v>0.20403025783598419</c:v>
                </c:pt>
                <c:pt idx="117">
                  <c:v>0.15928735882043843</c:v>
                </c:pt>
                <c:pt idx="118">
                  <c:v>0.16998378783464435</c:v>
                </c:pt>
                <c:pt idx="119">
                  <c:v>0.19254846498370182</c:v>
                </c:pt>
                <c:pt idx="120">
                  <c:v>0.1937318973243238</c:v>
                </c:pt>
                <c:pt idx="121">
                  <c:v>0.17637658938765513</c:v>
                </c:pt>
                <c:pt idx="122">
                  <c:v>0.16775096803903586</c:v>
                </c:pt>
                <c:pt idx="123">
                  <c:v>0.16228870004415522</c:v>
                </c:pt>
                <c:pt idx="124">
                  <c:v>0.16012282520532603</c:v>
                </c:pt>
                <c:pt idx="125">
                  <c:v>0.18919904045760619</c:v>
                </c:pt>
                <c:pt idx="126">
                  <c:v>0.22109170816838747</c:v>
                </c:pt>
                <c:pt idx="127">
                  <c:v>0.14345992114394904</c:v>
                </c:pt>
                <c:pt idx="128">
                  <c:v>7.6874413341283768E-2</c:v>
                </c:pt>
                <c:pt idx="129">
                  <c:v>9.2840930074453348E-2</c:v>
                </c:pt>
                <c:pt idx="130">
                  <c:v>4.2811345681548221E-2</c:v>
                </c:pt>
                <c:pt idx="131">
                  <c:v>5.196731463074683E-2</c:v>
                </c:pt>
                <c:pt idx="132">
                  <c:v>0.18990178629755966</c:v>
                </c:pt>
                <c:pt idx="133">
                  <c:v>0.24396365508437151</c:v>
                </c:pt>
                <c:pt idx="134">
                  <c:v>0.23348065838217741</c:v>
                </c:pt>
                <c:pt idx="135">
                  <c:v>0.24575090818107137</c:v>
                </c:pt>
                <c:pt idx="136">
                  <c:v>0.20182168669998651</c:v>
                </c:pt>
                <c:pt idx="137">
                  <c:v>0.17374797835946068</c:v>
                </c:pt>
                <c:pt idx="138">
                  <c:v>0.16533961072564121</c:v>
                </c:pt>
                <c:pt idx="139">
                  <c:v>0.18918630033731459</c:v>
                </c:pt>
                <c:pt idx="140">
                  <c:v>0.17741657644510272</c:v>
                </c:pt>
                <c:pt idx="141">
                  <c:v>0.13496437780559062</c:v>
                </c:pt>
                <c:pt idx="142">
                  <c:v>0.14239465855062014</c:v>
                </c:pt>
                <c:pt idx="143">
                  <c:v>0.15030551273375747</c:v>
                </c:pt>
                <c:pt idx="144">
                  <c:v>0.13139767376705999</c:v>
                </c:pt>
                <c:pt idx="145">
                  <c:v>0.10169432433322079</c:v>
                </c:pt>
                <c:pt idx="146">
                  <c:v>7.7507014572620422E-2</c:v>
                </c:pt>
                <c:pt idx="147">
                  <c:v>0.10487280404195183</c:v>
                </c:pt>
                <c:pt idx="148">
                  <c:v>0.18233195841312394</c:v>
                </c:pt>
                <c:pt idx="149">
                  <c:v>0.23266412094235425</c:v>
                </c:pt>
                <c:pt idx="150">
                  <c:v>0.2469713360071181</c:v>
                </c:pt>
                <c:pt idx="151">
                  <c:v>0.2544075354933738</c:v>
                </c:pt>
                <c:pt idx="152">
                  <c:v>0.22306078076362615</c:v>
                </c:pt>
                <c:pt idx="153">
                  <c:v>0.11226539202034469</c:v>
                </c:pt>
                <c:pt idx="154">
                  <c:v>2.1936565823853026E-2</c:v>
                </c:pt>
                <c:pt idx="155">
                  <c:v>-4.1313283890485733E-2</c:v>
                </c:pt>
                <c:pt idx="156">
                  <c:v>7.9068243503562234E-4</c:v>
                </c:pt>
                <c:pt idx="157">
                  <c:v>0.15474248770624405</c:v>
                </c:pt>
                <c:pt idx="158">
                  <c:v>0.19385228529572476</c:v>
                </c:pt>
                <c:pt idx="159">
                  <c:v>0.21827280223369588</c:v>
                </c:pt>
                <c:pt idx="160">
                  <c:v>0.28078482933342475</c:v>
                </c:pt>
                <c:pt idx="161">
                  <c:v>0.2775102455168964</c:v>
                </c:pt>
                <c:pt idx="162">
                  <c:v>0.15806001126766214</c:v>
                </c:pt>
                <c:pt idx="163">
                  <c:v>8.8543159374967234E-2</c:v>
                </c:pt>
                <c:pt idx="164">
                  <c:v>0.10944772325456147</c:v>
                </c:pt>
                <c:pt idx="165">
                  <c:v>0.1361674890853464</c:v>
                </c:pt>
                <c:pt idx="166">
                  <c:v>0.12249699197709567</c:v>
                </c:pt>
                <c:pt idx="167">
                  <c:v>9.1637082677334475E-2</c:v>
                </c:pt>
                <c:pt idx="168">
                  <c:v>0.12344644255936141</c:v>
                </c:pt>
                <c:pt idx="169">
                  <c:v>0.14830874204635619</c:v>
                </c:pt>
                <c:pt idx="170">
                  <c:v>0.13849610313773147</c:v>
                </c:pt>
                <c:pt idx="171">
                  <c:v>0.13188239848241207</c:v>
                </c:pt>
                <c:pt idx="172">
                  <c:v>0.15065971091389652</c:v>
                </c:pt>
                <c:pt idx="173">
                  <c:v>0.18944155275821689</c:v>
                </c:pt>
                <c:pt idx="174">
                  <c:v>0.2116301506757737</c:v>
                </c:pt>
                <c:pt idx="175">
                  <c:v>0.20193670839071279</c:v>
                </c:pt>
                <c:pt idx="176">
                  <c:v>0.22006583809852601</c:v>
                </c:pt>
                <c:pt idx="177">
                  <c:v>0.21371297240257273</c:v>
                </c:pt>
                <c:pt idx="178">
                  <c:v>0.15138889476656908</c:v>
                </c:pt>
                <c:pt idx="179">
                  <c:v>0.10943485349416734</c:v>
                </c:pt>
                <c:pt idx="180">
                  <c:v>9.970987085253008E-2</c:v>
                </c:pt>
                <c:pt idx="181">
                  <c:v>0.11812834646552794</c:v>
                </c:pt>
                <c:pt idx="182">
                  <c:v>0.16065682424232353</c:v>
                </c:pt>
                <c:pt idx="183">
                  <c:v>0.16978827863931667</c:v>
                </c:pt>
                <c:pt idx="184">
                  <c:v>0.16460629478096958</c:v>
                </c:pt>
                <c:pt idx="185">
                  <c:v>0.18143739402294162</c:v>
                </c:pt>
                <c:pt idx="186">
                  <c:v>0.19628225639462463</c:v>
                </c:pt>
                <c:pt idx="187">
                  <c:v>0.19541968703269971</c:v>
                </c:pt>
                <c:pt idx="188">
                  <c:v>0.20123451426625261</c:v>
                </c:pt>
                <c:pt idx="189">
                  <c:v>0.20732328519225121</c:v>
                </c:pt>
                <c:pt idx="190">
                  <c:v>0.17320931479334822</c:v>
                </c:pt>
                <c:pt idx="191">
                  <c:v>0.13147419868037108</c:v>
                </c:pt>
                <c:pt idx="192">
                  <c:v>0.1121351581532509</c:v>
                </c:pt>
                <c:pt idx="193">
                  <c:v>0.10947352740913636</c:v>
                </c:pt>
                <c:pt idx="194">
                  <c:v>0.14879996702074993</c:v>
                </c:pt>
                <c:pt idx="195">
                  <c:v>0.1987371779978275</c:v>
                </c:pt>
                <c:pt idx="196">
                  <c:v>0.23589719608426113</c:v>
                </c:pt>
                <c:pt idx="197">
                  <c:v>0.25167242810130119</c:v>
                </c:pt>
                <c:pt idx="198">
                  <c:v>0.21142047196626662</c:v>
                </c:pt>
                <c:pt idx="199">
                  <c:v>0.14413527064025403</c:v>
                </c:pt>
                <c:pt idx="200">
                  <c:v>9.0419354476034663E-2</c:v>
                </c:pt>
                <c:pt idx="201">
                  <c:v>8.346472643315786E-2</c:v>
                </c:pt>
                <c:pt idx="202">
                  <c:v>0.10963770803064096</c:v>
                </c:pt>
                <c:pt idx="203">
                  <c:v>0.16796590276062484</c:v>
                </c:pt>
                <c:pt idx="204">
                  <c:v>0.21754017323255539</c:v>
                </c:pt>
                <c:pt idx="205">
                  <c:v>0.23607776090502736</c:v>
                </c:pt>
                <c:pt idx="206">
                  <c:v>0.22353284843266011</c:v>
                </c:pt>
                <c:pt idx="207">
                  <c:v>0.18319959938526159</c:v>
                </c:pt>
                <c:pt idx="208">
                  <c:v>0.14660583958029741</c:v>
                </c:pt>
                <c:pt idx="209">
                  <c:v>0.14891468957066539</c:v>
                </c:pt>
                <c:pt idx="210">
                  <c:v>0.16778702437877663</c:v>
                </c:pt>
                <c:pt idx="211">
                  <c:v>0.1618511954322458</c:v>
                </c:pt>
                <c:pt idx="212">
                  <c:v>0.16909779049456125</c:v>
                </c:pt>
                <c:pt idx="213">
                  <c:v>0.18677382580935956</c:v>
                </c:pt>
                <c:pt idx="214">
                  <c:v>0.17790556810796262</c:v>
                </c:pt>
                <c:pt idx="215">
                  <c:v>0.17297365590929972</c:v>
                </c:pt>
                <c:pt idx="216">
                  <c:v>0.19840237572789193</c:v>
                </c:pt>
                <c:pt idx="217">
                  <c:v>0.22154377847909917</c:v>
                </c:pt>
                <c:pt idx="218">
                  <c:v>0.22000824138522135</c:v>
                </c:pt>
                <c:pt idx="219">
                  <c:v>0.21718376949429508</c:v>
                </c:pt>
                <c:pt idx="220">
                  <c:v>0.22438860088586798</c:v>
                </c:pt>
                <c:pt idx="221">
                  <c:v>0.20159220322966559</c:v>
                </c:pt>
                <c:pt idx="222">
                  <c:v>0.16147334426641463</c:v>
                </c:pt>
                <c:pt idx="223">
                  <c:v>0.17834047861397262</c:v>
                </c:pt>
                <c:pt idx="224">
                  <c:v>0.16354824006557483</c:v>
                </c:pt>
                <c:pt idx="225">
                  <c:v>0.14798899069428434</c:v>
                </c:pt>
                <c:pt idx="226">
                  <c:v>0.15000746641308063</c:v>
                </c:pt>
                <c:pt idx="227">
                  <c:v>0.14002435849979517</c:v>
                </c:pt>
                <c:pt idx="228">
                  <c:v>0.15446569625928533</c:v>
                </c:pt>
                <c:pt idx="229">
                  <c:v>0.1855902090668678</c:v>
                </c:pt>
                <c:pt idx="230">
                  <c:v>0.1994200624525547</c:v>
                </c:pt>
                <c:pt idx="231">
                  <c:v>0.17437941581010818</c:v>
                </c:pt>
                <c:pt idx="232">
                  <c:v>0.17015981115400786</c:v>
                </c:pt>
                <c:pt idx="233">
                  <c:v>0.17806380800902827</c:v>
                </c:pt>
                <c:pt idx="234">
                  <c:v>0.19294328242540351</c:v>
                </c:pt>
                <c:pt idx="235">
                  <c:v>0.19357377588748942</c:v>
                </c:pt>
                <c:pt idx="236">
                  <c:v>0.19283765852451323</c:v>
                </c:pt>
                <c:pt idx="237">
                  <c:v>0.19620980098843574</c:v>
                </c:pt>
                <c:pt idx="238">
                  <c:v>0.2065860703587532</c:v>
                </c:pt>
                <c:pt idx="239">
                  <c:v>0.22255069911479958</c:v>
                </c:pt>
                <c:pt idx="240">
                  <c:v>0.22507657930254948</c:v>
                </c:pt>
                <c:pt idx="241">
                  <c:v>0.21005824431777009</c:v>
                </c:pt>
                <c:pt idx="242">
                  <c:v>0.17262305319309246</c:v>
                </c:pt>
                <c:pt idx="243">
                  <c:v>0.121351101063192</c:v>
                </c:pt>
                <c:pt idx="244">
                  <c:v>4.7842204011976662E-2</c:v>
                </c:pt>
                <c:pt idx="245">
                  <c:v>6.762318108230829E-2</c:v>
                </c:pt>
                <c:pt idx="246">
                  <c:v>0.13970520179718732</c:v>
                </c:pt>
                <c:pt idx="247">
                  <c:v>0.15678063295781625</c:v>
                </c:pt>
                <c:pt idx="248">
                  <c:v>0.17163036614656449</c:v>
                </c:pt>
                <c:pt idx="249">
                  <c:v>0.20901616811752319</c:v>
                </c:pt>
                <c:pt idx="250">
                  <c:v>0.26068795397877675</c:v>
                </c:pt>
                <c:pt idx="251">
                  <c:v>0.28450691848993309</c:v>
                </c:pt>
                <c:pt idx="252">
                  <c:v>0.21753098592162132</c:v>
                </c:pt>
                <c:pt idx="253">
                  <c:v>0.12436876099091024</c:v>
                </c:pt>
                <c:pt idx="254">
                  <c:v>9.3760769907385175E-2</c:v>
                </c:pt>
                <c:pt idx="255">
                  <c:v>9.4301653816364711E-2</c:v>
                </c:pt>
                <c:pt idx="256">
                  <c:v>0.12745667360723029</c:v>
                </c:pt>
                <c:pt idx="257">
                  <c:v>0.16855348423123359</c:v>
                </c:pt>
                <c:pt idx="258">
                  <c:v>0.1562704265117644</c:v>
                </c:pt>
                <c:pt idx="259">
                  <c:v>0.13410587981343261</c:v>
                </c:pt>
                <c:pt idx="260">
                  <c:v>0.15399816110730183</c:v>
                </c:pt>
                <c:pt idx="261">
                  <c:v>0.17841509282588958</c:v>
                </c:pt>
                <c:pt idx="262">
                  <c:v>0.19942644983530045</c:v>
                </c:pt>
                <c:pt idx="263">
                  <c:v>0.19214611202478415</c:v>
                </c:pt>
                <c:pt idx="264">
                  <c:v>0.16362488158047203</c:v>
                </c:pt>
                <c:pt idx="265">
                  <c:v>0.16520496532320969</c:v>
                </c:pt>
                <c:pt idx="266">
                  <c:v>0.1688680842518806</c:v>
                </c:pt>
                <c:pt idx="267">
                  <c:v>0.18086112365126611</c:v>
                </c:pt>
                <c:pt idx="268">
                  <c:v>0.20710811540484425</c:v>
                </c:pt>
                <c:pt idx="269">
                  <c:v>0.21442275419831286</c:v>
                </c:pt>
                <c:pt idx="270">
                  <c:v>0.18428657762706283</c:v>
                </c:pt>
                <c:pt idx="271">
                  <c:v>0.10808387100696563</c:v>
                </c:pt>
                <c:pt idx="272">
                  <c:v>7.2266994277015328E-2</c:v>
                </c:pt>
                <c:pt idx="273">
                  <c:v>0.10266213994473217</c:v>
                </c:pt>
                <c:pt idx="274">
                  <c:v>0.14831817857921117</c:v>
                </c:pt>
                <c:pt idx="275">
                  <c:v>0.18075895234942432</c:v>
                </c:pt>
                <c:pt idx="276">
                  <c:v>0.19553722888231287</c:v>
                </c:pt>
                <c:pt idx="277">
                  <c:v>0.20109742358326921</c:v>
                </c:pt>
                <c:pt idx="278">
                  <c:v>0.21584653258323669</c:v>
                </c:pt>
                <c:pt idx="279">
                  <c:v>0.21987698078155521</c:v>
                </c:pt>
                <c:pt idx="280">
                  <c:v>0.22459240406751632</c:v>
                </c:pt>
                <c:pt idx="281">
                  <c:v>0.19970714226365088</c:v>
                </c:pt>
                <c:pt idx="282">
                  <c:v>0.17165750972926624</c:v>
                </c:pt>
                <c:pt idx="283">
                  <c:v>0.14103071503341186</c:v>
                </c:pt>
                <c:pt idx="284">
                  <c:v>0.12375156208872791</c:v>
                </c:pt>
                <c:pt idx="285">
                  <c:v>0.12262902259826658</c:v>
                </c:pt>
                <c:pt idx="286">
                  <c:v>0.142090193927288</c:v>
                </c:pt>
                <c:pt idx="287">
                  <c:v>0.17635533735156078</c:v>
                </c:pt>
                <c:pt idx="288">
                  <c:v>0.19147906303405748</c:v>
                </c:pt>
                <c:pt idx="289">
                  <c:v>0.19706808775663381</c:v>
                </c:pt>
                <c:pt idx="290">
                  <c:v>0.21485121846199054</c:v>
                </c:pt>
                <c:pt idx="291">
                  <c:v>0.24261990487575527</c:v>
                </c:pt>
                <c:pt idx="292">
                  <c:v>0.23242318257689468</c:v>
                </c:pt>
                <c:pt idx="293">
                  <c:v>0.17772666253149499</c:v>
                </c:pt>
                <c:pt idx="294">
                  <c:v>0.14359444379806524</c:v>
                </c:pt>
                <c:pt idx="295">
                  <c:v>0.13092624880373477</c:v>
                </c:pt>
                <c:pt idx="296">
                  <c:v>9.5537107298150695E-2</c:v>
                </c:pt>
                <c:pt idx="297">
                  <c:v>0.10855759182013577</c:v>
                </c:pt>
                <c:pt idx="298">
                  <c:v>0.13609692137688395</c:v>
                </c:pt>
                <c:pt idx="299">
                  <c:v>0.17676638364791869</c:v>
                </c:pt>
                <c:pt idx="300">
                  <c:v>0.18291522935032861</c:v>
                </c:pt>
                <c:pt idx="301">
                  <c:v>0.18002749904990195</c:v>
                </c:pt>
                <c:pt idx="302">
                  <c:v>0.16058260723948478</c:v>
                </c:pt>
                <c:pt idx="303">
                  <c:v>0.13753699585795412</c:v>
                </c:pt>
                <c:pt idx="304">
                  <c:v>0.16394667588174344</c:v>
                </c:pt>
                <c:pt idx="305">
                  <c:v>0.16891819164156913</c:v>
                </c:pt>
                <c:pt idx="306">
                  <c:v>0.16323303803801531</c:v>
                </c:pt>
                <c:pt idx="307">
                  <c:v>0.145911280065775</c:v>
                </c:pt>
                <c:pt idx="308">
                  <c:v>0.1385455008596182</c:v>
                </c:pt>
                <c:pt idx="309">
                  <c:v>0.11147781107574713</c:v>
                </c:pt>
                <c:pt idx="310">
                  <c:v>6.8287572264671303E-2</c:v>
                </c:pt>
                <c:pt idx="311">
                  <c:v>0.11198036633431915</c:v>
                </c:pt>
                <c:pt idx="312">
                  <c:v>0.19875638112425803</c:v>
                </c:pt>
                <c:pt idx="313">
                  <c:v>0.18561266176402585</c:v>
                </c:pt>
                <c:pt idx="314">
                  <c:v>0.16060869228094804</c:v>
                </c:pt>
                <c:pt idx="315">
                  <c:v>0.16835201308131215</c:v>
                </c:pt>
                <c:pt idx="316">
                  <c:v>0.17823840826749807</c:v>
                </c:pt>
                <c:pt idx="317">
                  <c:v>0.13760422207415102</c:v>
                </c:pt>
                <c:pt idx="318">
                  <c:v>0.10701037961989643</c:v>
                </c:pt>
                <c:pt idx="319">
                  <c:v>9.2679904773831312E-2</c:v>
                </c:pt>
                <c:pt idx="320">
                  <c:v>9.001518525183197E-2</c:v>
                </c:pt>
                <c:pt idx="321">
                  <c:v>0.13243670202791696</c:v>
                </c:pt>
                <c:pt idx="322">
                  <c:v>0.16913679167628298</c:v>
                </c:pt>
                <c:pt idx="323">
                  <c:v>0.18678306490182886</c:v>
                </c:pt>
                <c:pt idx="324">
                  <c:v>0.19797995835542684</c:v>
                </c:pt>
                <c:pt idx="325">
                  <c:v>0.17759940773248661</c:v>
                </c:pt>
                <c:pt idx="326">
                  <c:v>0.14376912415027615</c:v>
                </c:pt>
                <c:pt idx="327">
                  <c:v>0.1211304455995558</c:v>
                </c:pt>
                <c:pt idx="328">
                  <c:v>9.6622459590435E-2</c:v>
                </c:pt>
                <c:pt idx="329">
                  <c:v>9.1657130443491025E-2</c:v>
                </c:pt>
                <c:pt idx="330">
                  <c:v>0.12401641570031643</c:v>
                </c:pt>
                <c:pt idx="331">
                  <c:v>0.17670819535851473</c:v>
                </c:pt>
                <c:pt idx="332">
                  <c:v>0.21284631937742216</c:v>
                </c:pt>
                <c:pt idx="333">
                  <c:v>0.23075991645455365</c:v>
                </c:pt>
                <c:pt idx="334">
                  <c:v>0.22369334325194354</c:v>
                </c:pt>
                <c:pt idx="335">
                  <c:v>0.17027937471866597</c:v>
                </c:pt>
                <c:pt idx="336">
                  <c:v>0.11883408017456532</c:v>
                </c:pt>
                <c:pt idx="337">
                  <c:v>9.2447953578084663E-2</c:v>
                </c:pt>
                <c:pt idx="338">
                  <c:v>9.8493780940771075E-2</c:v>
                </c:pt>
                <c:pt idx="339">
                  <c:v>9.2135694064199955E-2</c:v>
                </c:pt>
                <c:pt idx="340">
                  <c:v>0.12372322119772439</c:v>
                </c:pt>
                <c:pt idx="341">
                  <c:v>0.19163283556699739</c:v>
                </c:pt>
                <c:pt idx="342">
                  <c:v>0.2189743220806124</c:v>
                </c:pt>
                <c:pt idx="343">
                  <c:v>0.21935723870992674</c:v>
                </c:pt>
                <c:pt idx="344">
                  <c:v>0.20151897519826867</c:v>
                </c:pt>
                <c:pt idx="345">
                  <c:v>0.18382158204913135</c:v>
                </c:pt>
                <c:pt idx="346">
                  <c:v>0.17984022647142389</c:v>
                </c:pt>
                <c:pt idx="347">
                  <c:v>0.15634813159704208</c:v>
                </c:pt>
                <c:pt idx="348">
                  <c:v>0.14614578112959858</c:v>
                </c:pt>
                <c:pt idx="349">
                  <c:v>0.13845845460891731</c:v>
                </c:pt>
                <c:pt idx="350">
                  <c:v>0.12297144010663041</c:v>
                </c:pt>
                <c:pt idx="351">
                  <c:v>0.10170695350971068</c:v>
                </c:pt>
                <c:pt idx="352">
                  <c:v>7.0913957804441471E-2</c:v>
                </c:pt>
                <c:pt idx="353">
                  <c:v>6.3944769930094417E-2</c:v>
                </c:pt>
                <c:pt idx="354">
                  <c:v>0.11667438475415112</c:v>
                </c:pt>
                <c:pt idx="355">
                  <c:v>0.18134591802954672</c:v>
                </c:pt>
                <c:pt idx="356">
                  <c:v>0.22448404729366297</c:v>
                </c:pt>
                <c:pt idx="357">
                  <c:v>0.23409099653363227</c:v>
                </c:pt>
                <c:pt idx="358">
                  <c:v>0.1944460943341256</c:v>
                </c:pt>
                <c:pt idx="359">
                  <c:v>0.11248861961066718</c:v>
                </c:pt>
                <c:pt idx="360">
                  <c:v>7.2456519119441468E-2</c:v>
                </c:pt>
                <c:pt idx="361">
                  <c:v>4.6321899490430959E-2</c:v>
                </c:pt>
                <c:pt idx="362">
                  <c:v>4.0105028636753595E-2</c:v>
                </c:pt>
                <c:pt idx="363">
                  <c:v>9.8892697505652855E-2</c:v>
                </c:pt>
                <c:pt idx="364">
                  <c:v>0.14402977004647252</c:v>
                </c:pt>
                <c:pt idx="365">
                  <c:v>0.16102099418640156</c:v>
                </c:pt>
                <c:pt idx="366">
                  <c:v>0.17211392894387265</c:v>
                </c:pt>
                <c:pt idx="367">
                  <c:v>0.18990561254322511</c:v>
                </c:pt>
                <c:pt idx="368">
                  <c:v>0.18732282817363738</c:v>
                </c:pt>
                <c:pt idx="369">
                  <c:v>0.1693662017583846</c:v>
                </c:pt>
                <c:pt idx="370">
                  <c:v>0.16319332402199524</c:v>
                </c:pt>
                <c:pt idx="371">
                  <c:v>0.19340189248323442</c:v>
                </c:pt>
                <c:pt idx="372">
                  <c:v>0.1923922896385192</c:v>
                </c:pt>
                <c:pt idx="373">
                  <c:v>0.16354056596755978</c:v>
                </c:pt>
                <c:pt idx="374">
                  <c:v>0.11836976334452623</c:v>
                </c:pt>
                <c:pt idx="375">
                  <c:v>7.5608210591599334E-2</c:v>
                </c:pt>
                <c:pt idx="376">
                  <c:v>6.3911801390349923E-2</c:v>
                </c:pt>
                <c:pt idx="377">
                  <c:v>5.8846977259963774E-2</c:v>
                </c:pt>
                <c:pt idx="378">
                  <c:v>0.12936358428560196</c:v>
                </c:pt>
                <c:pt idx="379">
                  <c:v>0.20748511999845509</c:v>
                </c:pt>
                <c:pt idx="380">
                  <c:v>0.25629969164729133</c:v>
                </c:pt>
                <c:pt idx="381">
                  <c:v>0.26375325545668588</c:v>
                </c:pt>
                <c:pt idx="382">
                  <c:v>0.25563478991389277</c:v>
                </c:pt>
                <c:pt idx="383">
                  <c:v>0.19689991027116771</c:v>
                </c:pt>
                <c:pt idx="384">
                  <c:v>9.7839348763227418E-2</c:v>
                </c:pt>
                <c:pt idx="385">
                  <c:v>7.9855820164084407E-2</c:v>
                </c:pt>
                <c:pt idx="386">
                  <c:v>7.4484122730791608E-2</c:v>
                </c:pt>
                <c:pt idx="387">
                  <c:v>6.0978051833808486E-2</c:v>
                </c:pt>
                <c:pt idx="388">
                  <c:v>0.12075319634750495</c:v>
                </c:pt>
                <c:pt idx="389">
                  <c:v>0.20755887627601632</c:v>
                </c:pt>
                <c:pt idx="390">
                  <c:v>0.28081453889608382</c:v>
                </c:pt>
                <c:pt idx="391">
                  <c:v>0.25461262911558152</c:v>
                </c:pt>
                <c:pt idx="392">
                  <c:v>0.21589843332767486</c:v>
                </c:pt>
                <c:pt idx="393">
                  <c:v>0.20775008797645578</c:v>
                </c:pt>
                <c:pt idx="394">
                  <c:v>0.18516444042325</c:v>
                </c:pt>
                <c:pt idx="395">
                  <c:v>0.13661675304174417</c:v>
                </c:pt>
                <c:pt idx="396">
                  <c:v>0.10392253287136563</c:v>
                </c:pt>
                <c:pt idx="397">
                  <c:v>7.6731317117810199E-2</c:v>
                </c:pt>
                <c:pt idx="398">
                  <c:v>4.1383877862244962E-2</c:v>
                </c:pt>
                <c:pt idx="399">
                  <c:v>8.6671461071819195E-2</c:v>
                </c:pt>
                <c:pt idx="400">
                  <c:v>0.15872052097693093</c:v>
                </c:pt>
                <c:pt idx="401">
                  <c:v>0.20113569498062117</c:v>
                </c:pt>
                <c:pt idx="402">
                  <c:v>0.22498402148485169</c:v>
                </c:pt>
                <c:pt idx="403">
                  <c:v>0.23760205358266823</c:v>
                </c:pt>
                <c:pt idx="404">
                  <c:v>0.23509667962789541</c:v>
                </c:pt>
                <c:pt idx="405">
                  <c:v>0.19010711312294012</c:v>
                </c:pt>
                <c:pt idx="406">
                  <c:v>0.1197955034673214</c:v>
                </c:pt>
                <c:pt idx="407">
                  <c:v>7.1699717082083309E-2</c:v>
                </c:pt>
                <c:pt idx="408">
                  <c:v>4.0898285061121094E-2</c:v>
                </c:pt>
                <c:pt idx="409">
                  <c:v>3.3741442486643826E-2</c:v>
                </c:pt>
                <c:pt idx="410">
                  <c:v>2.4769046157598434E-2</c:v>
                </c:pt>
                <c:pt idx="411">
                  <c:v>8.107394874095919E-2</c:v>
                </c:pt>
                <c:pt idx="412">
                  <c:v>0.19833467379212369</c:v>
                </c:pt>
                <c:pt idx="413">
                  <c:v>0.26126194074749937</c:v>
                </c:pt>
                <c:pt idx="414">
                  <c:v>0.282923439145088</c:v>
                </c:pt>
                <c:pt idx="415">
                  <c:v>0.26177471242845052</c:v>
                </c:pt>
                <c:pt idx="416">
                  <c:v>0.19598708432167763</c:v>
                </c:pt>
                <c:pt idx="417">
                  <c:v>0.1288131214678287</c:v>
                </c:pt>
                <c:pt idx="418">
                  <c:v>9.3184899585321501E-2</c:v>
                </c:pt>
                <c:pt idx="419">
                  <c:v>0.10969237906392673</c:v>
                </c:pt>
                <c:pt idx="420">
                  <c:v>0.16744636148214345</c:v>
                </c:pt>
                <c:pt idx="421">
                  <c:v>0.2144881278276444</c:v>
                </c:pt>
                <c:pt idx="422">
                  <c:v>0.23017404079437273</c:v>
                </c:pt>
                <c:pt idx="423">
                  <c:v>0.22356843501329421</c:v>
                </c:pt>
                <c:pt idx="424">
                  <c:v>0.21765759587287897</c:v>
                </c:pt>
                <c:pt idx="425">
                  <c:v>0.18628253489732732</c:v>
                </c:pt>
                <c:pt idx="426">
                  <c:v>0.16694051139056681</c:v>
                </c:pt>
                <c:pt idx="427">
                  <c:v>0.17744509428739558</c:v>
                </c:pt>
                <c:pt idx="428">
                  <c:v>0.16458792984485635</c:v>
                </c:pt>
                <c:pt idx="429">
                  <c:v>0.15076775252819058</c:v>
                </c:pt>
                <c:pt idx="430">
                  <c:v>0.12917587086558333</c:v>
                </c:pt>
                <c:pt idx="431">
                  <c:v>0.14828739762306226</c:v>
                </c:pt>
                <c:pt idx="432">
                  <c:v>0.18004801124334327</c:v>
                </c:pt>
                <c:pt idx="433">
                  <c:v>0.18177172690629964</c:v>
                </c:pt>
                <c:pt idx="434">
                  <c:v>0.20609631016850463</c:v>
                </c:pt>
                <c:pt idx="435">
                  <c:v>0.22601379677653322</c:v>
                </c:pt>
                <c:pt idx="436">
                  <c:v>0.22231579050421718</c:v>
                </c:pt>
                <c:pt idx="437">
                  <c:v>0.21717330440878874</c:v>
                </c:pt>
                <c:pt idx="438">
                  <c:v>0.21037117689847951</c:v>
                </c:pt>
                <c:pt idx="439">
                  <c:v>0.17841467149555673</c:v>
                </c:pt>
                <c:pt idx="440">
                  <c:v>0.16779804117977618</c:v>
                </c:pt>
                <c:pt idx="441">
                  <c:v>0.13979254798032345</c:v>
                </c:pt>
                <c:pt idx="442">
                  <c:v>0.13753000625874842</c:v>
                </c:pt>
                <c:pt idx="443">
                  <c:v>0.15948777794837976</c:v>
                </c:pt>
                <c:pt idx="444">
                  <c:v>0.14122270047664653</c:v>
                </c:pt>
                <c:pt idx="445">
                  <c:v>9.4650346785783768E-2</c:v>
                </c:pt>
                <c:pt idx="446">
                  <c:v>9.0813279524445428E-2</c:v>
                </c:pt>
                <c:pt idx="447">
                  <c:v>0.15109228864312155</c:v>
                </c:pt>
                <c:pt idx="448">
                  <c:v>0.18981681764125838</c:v>
                </c:pt>
                <c:pt idx="449">
                  <c:v>0.19661132246255883</c:v>
                </c:pt>
                <c:pt idx="450">
                  <c:v>0.21804836094379429</c:v>
                </c:pt>
                <c:pt idx="451">
                  <c:v>0.21323346048593522</c:v>
                </c:pt>
                <c:pt idx="452">
                  <c:v>0.17401703298091892</c:v>
                </c:pt>
                <c:pt idx="453">
                  <c:v>0.14850663430988792</c:v>
                </c:pt>
                <c:pt idx="454">
                  <c:v>0.15877128951251521</c:v>
                </c:pt>
                <c:pt idx="455">
                  <c:v>0.16571343019604678</c:v>
                </c:pt>
                <c:pt idx="456">
                  <c:v>0.18444249257445322</c:v>
                </c:pt>
                <c:pt idx="457">
                  <c:v>0.23769713491201405</c:v>
                </c:pt>
                <c:pt idx="458">
                  <c:v>0.23928591310977931</c:v>
                </c:pt>
                <c:pt idx="459">
                  <c:v>0.20697436146438136</c:v>
                </c:pt>
                <c:pt idx="460">
                  <c:v>0.17966006398200987</c:v>
                </c:pt>
                <c:pt idx="461">
                  <c:v>0.15737332887947569</c:v>
                </c:pt>
                <c:pt idx="462">
                  <c:v>0.12696010358631593</c:v>
                </c:pt>
                <c:pt idx="463">
                  <c:v>0.12042548302561051</c:v>
                </c:pt>
                <c:pt idx="464">
                  <c:v>0.12763239610940222</c:v>
                </c:pt>
                <c:pt idx="465">
                  <c:v>0.15468626904621491</c:v>
                </c:pt>
                <c:pt idx="466">
                  <c:v>0.19782984107732784</c:v>
                </c:pt>
                <c:pt idx="467">
                  <c:v>0.22956534028053294</c:v>
                </c:pt>
                <c:pt idx="468">
                  <c:v>0.21557600498199458</c:v>
                </c:pt>
                <c:pt idx="469">
                  <c:v>0.18832254335284232</c:v>
                </c:pt>
                <c:pt idx="470">
                  <c:v>0.16697312071919443</c:v>
                </c:pt>
                <c:pt idx="471">
                  <c:v>0.14883277770131825</c:v>
                </c:pt>
                <c:pt idx="472">
                  <c:v>0.17027963176369676</c:v>
                </c:pt>
                <c:pt idx="473">
                  <c:v>0.21531548500061032</c:v>
                </c:pt>
                <c:pt idx="474">
                  <c:v>0.22833497673273087</c:v>
                </c:pt>
                <c:pt idx="475">
                  <c:v>0.20801791548728951</c:v>
                </c:pt>
                <c:pt idx="476">
                  <c:v>0.15394436046481122</c:v>
                </c:pt>
                <c:pt idx="477">
                  <c:v>0.12389259338378922</c:v>
                </c:pt>
                <c:pt idx="478">
                  <c:v>0.12440008446574206</c:v>
                </c:pt>
                <c:pt idx="479">
                  <c:v>0.16328103244304645</c:v>
                </c:pt>
                <c:pt idx="480">
                  <c:v>0.20638109669089327</c:v>
                </c:pt>
                <c:pt idx="481">
                  <c:v>0.20745346024632449</c:v>
                </c:pt>
                <c:pt idx="482">
                  <c:v>0.20548952668905257</c:v>
                </c:pt>
                <c:pt idx="483">
                  <c:v>0.20862170904874788</c:v>
                </c:pt>
                <c:pt idx="484">
                  <c:v>0.18622272238135343</c:v>
                </c:pt>
                <c:pt idx="485">
                  <c:v>0.16252642199397097</c:v>
                </c:pt>
                <c:pt idx="486">
                  <c:v>0.13647423312067991</c:v>
                </c:pt>
                <c:pt idx="487">
                  <c:v>0.13331470042467128</c:v>
                </c:pt>
                <c:pt idx="488">
                  <c:v>0.15460020080208775</c:v>
                </c:pt>
                <c:pt idx="489">
                  <c:v>0.15811671912670139</c:v>
                </c:pt>
                <c:pt idx="490">
                  <c:v>0.17171248160302627</c:v>
                </c:pt>
                <c:pt idx="491">
                  <c:v>0.17313306517899035</c:v>
                </c:pt>
                <c:pt idx="492">
                  <c:v>0.16178178321570169</c:v>
                </c:pt>
                <c:pt idx="493">
                  <c:v>0.14369780626147979</c:v>
                </c:pt>
                <c:pt idx="494">
                  <c:v>0.15039897318929427</c:v>
                </c:pt>
                <c:pt idx="495">
                  <c:v>0.17066937088966366</c:v>
                </c:pt>
                <c:pt idx="496">
                  <c:v>0.16632649600505828</c:v>
                </c:pt>
                <c:pt idx="497">
                  <c:v>0.16003942117094991</c:v>
                </c:pt>
                <c:pt idx="498">
                  <c:v>0.14527081772685041</c:v>
                </c:pt>
                <c:pt idx="499">
                  <c:v>0.13124479427933691</c:v>
                </c:pt>
                <c:pt idx="500">
                  <c:v>0.13615498348226535</c:v>
                </c:pt>
                <c:pt idx="501">
                  <c:v>0.15168586801737555</c:v>
                </c:pt>
                <c:pt idx="502">
                  <c:v>0.17003786806017165</c:v>
                </c:pt>
                <c:pt idx="503">
                  <c:v>0.16761445717420434</c:v>
                </c:pt>
                <c:pt idx="504">
                  <c:v>0.15300336219370364</c:v>
                </c:pt>
                <c:pt idx="505">
                  <c:v>0.1288313344120979</c:v>
                </c:pt>
                <c:pt idx="506">
                  <c:v>0.10078342333436012</c:v>
                </c:pt>
                <c:pt idx="507">
                  <c:v>0.10136952884495262</c:v>
                </c:pt>
                <c:pt idx="508">
                  <c:v>0.13929787352681167</c:v>
                </c:pt>
                <c:pt idx="509">
                  <c:v>0.1931727170944213</c:v>
                </c:pt>
                <c:pt idx="510">
                  <c:v>0.23073270842432966</c:v>
                </c:pt>
                <c:pt idx="511">
                  <c:v>0.24510333463549619</c:v>
                </c:pt>
                <c:pt idx="512">
                  <c:v>0.21172247081995002</c:v>
                </c:pt>
                <c:pt idx="513">
                  <c:v>0.17264408096671119</c:v>
                </c:pt>
                <c:pt idx="514">
                  <c:v>0.17138234972953809</c:v>
                </c:pt>
                <c:pt idx="515">
                  <c:v>0.18269623219966885</c:v>
                </c:pt>
                <c:pt idx="516">
                  <c:v>0.18315552771091453</c:v>
                </c:pt>
                <c:pt idx="517">
                  <c:v>0.16567352227866641</c:v>
                </c:pt>
                <c:pt idx="518">
                  <c:v>0.14298193268477918</c:v>
                </c:pt>
                <c:pt idx="519">
                  <c:v>0.16703249588608751</c:v>
                </c:pt>
                <c:pt idx="520">
                  <c:v>0.1867514573037625</c:v>
                </c:pt>
                <c:pt idx="521">
                  <c:v>0.18595774546265603</c:v>
                </c:pt>
                <c:pt idx="522">
                  <c:v>0.15637278035283103</c:v>
                </c:pt>
                <c:pt idx="523">
                  <c:v>0.1214170160703361</c:v>
                </c:pt>
                <c:pt idx="524">
                  <c:v>9.240397326648217E-2</c:v>
                </c:pt>
                <c:pt idx="525">
                  <c:v>7.1104456484317707E-2</c:v>
                </c:pt>
                <c:pt idx="526">
                  <c:v>0.11336203468963504</c:v>
                </c:pt>
                <c:pt idx="527">
                  <c:v>0.18578429743647581</c:v>
                </c:pt>
                <c:pt idx="528">
                  <c:v>0.22917795330286012</c:v>
                </c:pt>
                <c:pt idx="529">
                  <c:v>0.25646828114986431</c:v>
                </c:pt>
                <c:pt idx="530">
                  <c:v>0.26085607111454029</c:v>
                </c:pt>
                <c:pt idx="531">
                  <c:v>0.21780440658330913</c:v>
                </c:pt>
                <c:pt idx="532">
                  <c:v>0.16404934823513034</c:v>
                </c:pt>
                <c:pt idx="533">
                  <c:v>0.11466793676372618</c:v>
                </c:pt>
                <c:pt idx="534">
                  <c:v>8.5734741110354645E-2</c:v>
                </c:pt>
                <c:pt idx="535">
                  <c:v>7.6613668631762305E-2</c:v>
                </c:pt>
                <c:pt idx="536">
                  <c:v>0.11703151445835829</c:v>
                </c:pt>
                <c:pt idx="537">
                  <c:v>0.17965582162141808</c:v>
                </c:pt>
                <c:pt idx="538">
                  <c:v>0.20469117611646662</c:v>
                </c:pt>
                <c:pt idx="539">
                  <c:v>0.21725311726331711</c:v>
                </c:pt>
                <c:pt idx="540">
                  <c:v>0.20855886712670352</c:v>
                </c:pt>
                <c:pt idx="541">
                  <c:v>0.1818911999464034</c:v>
                </c:pt>
                <c:pt idx="542">
                  <c:v>0.15913576856255532</c:v>
                </c:pt>
                <c:pt idx="543">
                  <c:v>0.15390864014625549</c:v>
                </c:pt>
                <c:pt idx="544">
                  <c:v>0.15886577032506466</c:v>
                </c:pt>
                <c:pt idx="545">
                  <c:v>0.14053501375019545</c:v>
                </c:pt>
                <c:pt idx="546">
                  <c:v>0.11317875869572169</c:v>
                </c:pt>
                <c:pt idx="547">
                  <c:v>0.11937917172908785</c:v>
                </c:pt>
                <c:pt idx="548">
                  <c:v>0.16950399167835714</c:v>
                </c:pt>
                <c:pt idx="549">
                  <c:v>0.20998480096459379</c:v>
                </c:pt>
                <c:pt idx="550">
                  <c:v>0.22232505753636372</c:v>
                </c:pt>
                <c:pt idx="551">
                  <c:v>0.23486508950591095</c:v>
                </c:pt>
                <c:pt idx="552">
                  <c:v>0.20145717263221735</c:v>
                </c:pt>
                <c:pt idx="553">
                  <c:v>0.11874932167120282</c:v>
                </c:pt>
                <c:pt idx="554">
                  <c:v>5.1898961514234419E-2</c:v>
                </c:pt>
                <c:pt idx="555">
                  <c:v>5.8190757688134989E-2</c:v>
                </c:pt>
                <c:pt idx="556">
                  <c:v>0.14012698866426937</c:v>
                </c:pt>
                <c:pt idx="557">
                  <c:v>0.1883631721138955</c:v>
                </c:pt>
                <c:pt idx="558">
                  <c:v>0.2057795427739621</c:v>
                </c:pt>
                <c:pt idx="559">
                  <c:v>0.1867465436458588</c:v>
                </c:pt>
                <c:pt idx="560">
                  <c:v>0.16849875524640096</c:v>
                </c:pt>
                <c:pt idx="561">
                  <c:v>0.17796025499701495</c:v>
                </c:pt>
                <c:pt idx="562">
                  <c:v>0.19817872196435923</c:v>
                </c:pt>
                <c:pt idx="563">
                  <c:v>0.19615595191717153</c:v>
                </c:pt>
                <c:pt idx="564">
                  <c:v>0.18766355589032163</c:v>
                </c:pt>
                <c:pt idx="565">
                  <c:v>0.18179258480668073</c:v>
                </c:pt>
                <c:pt idx="566">
                  <c:v>0.17389262765645974</c:v>
                </c:pt>
                <c:pt idx="567">
                  <c:v>0.19265897423028949</c:v>
                </c:pt>
                <c:pt idx="568">
                  <c:v>0.18481248840689665</c:v>
                </c:pt>
                <c:pt idx="569">
                  <c:v>0.11166680082678786</c:v>
                </c:pt>
                <c:pt idx="570">
                  <c:v>6.9732275232672544E-2</c:v>
                </c:pt>
                <c:pt idx="571">
                  <c:v>8.3863890171050934E-2</c:v>
                </c:pt>
                <c:pt idx="572">
                  <c:v>0.11412747595459223</c:v>
                </c:pt>
                <c:pt idx="573">
                  <c:v>0.14006511270999911</c:v>
                </c:pt>
                <c:pt idx="574">
                  <c:v>0.17808704897761338</c:v>
                </c:pt>
                <c:pt idx="575">
                  <c:v>0.27489451617002481</c:v>
                </c:pt>
                <c:pt idx="576">
                  <c:v>0.27304863110184657</c:v>
                </c:pt>
                <c:pt idx="577">
                  <c:v>0.22127959951758386</c:v>
                </c:pt>
                <c:pt idx="578">
                  <c:v>0.19506381154060351</c:v>
                </c:pt>
                <c:pt idx="579">
                  <c:v>0.17243692651391032</c:v>
                </c:pt>
                <c:pt idx="580">
                  <c:v>0.14611765953013664</c:v>
                </c:pt>
                <c:pt idx="581">
                  <c:v>0.12824967708438642</c:v>
                </c:pt>
                <c:pt idx="582">
                  <c:v>0.15412455648183818</c:v>
                </c:pt>
                <c:pt idx="583">
                  <c:v>0.17408100143075</c:v>
                </c:pt>
                <c:pt idx="584">
                  <c:v>0.18500219807028773</c:v>
                </c:pt>
                <c:pt idx="585">
                  <c:v>0.22749494463205341</c:v>
                </c:pt>
                <c:pt idx="586">
                  <c:v>0.24644747450947771</c:v>
                </c:pt>
                <c:pt idx="587">
                  <c:v>0.22264838069677362</c:v>
                </c:pt>
                <c:pt idx="588">
                  <c:v>0.18483088612556461</c:v>
                </c:pt>
                <c:pt idx="589">
                  <c:v>0.1754745364189147</c:v>
                </c:pt>
                <c:pt idx="590">
                  <c:v>0.14980601742863645</c:v>
                </c:pt>
                <c:pt idx="591">
                  <c:v>0.11625292832031844</c:v>
                </c:pt>
                <c:pt idx="592">
                  <c:v>0.11032409481704231</c:v>
                </c:pt>
                <c:pt idx="593">
                  <c:v>0.13297880804166207</c:v>
                </c:pt>
                <c:pt idx="594">
                  <c:v>0.18458389267325409</c:v>
                </c:pt>
                <c:pt idx="595">
                  <c:v>0.22532974779605874</c:v>
                </c:pt>
                <c:pt idx="596">
                  <c:v>0.27437058389186869</c:v>
                </c:pt>
                <c:pt idx="597">
                  <c:v>0.28463418632745741</c:v>
                </c:pt>
                <c:pt idx="598">
                  <c:v>0.22650081142783168</c:v>
                </c:pt>
                <c:pt idx="599">
                  <c:v>0.16724724248051645</c:v>
                </c:pt>
                <c:pt idx="600">
                  <c:v>0.14536215465050206</c:v>
                </c:pt>
                <c:pt idx="601">
                  <c:v>0.1281578768044711</c:v>
                </c:pt>
                <c:pt idx="602">
                  <c:v>0.13910499773919588</c:v>
                </c:pt>
                <c:pt idx="603">
                  <c:v>0.15980516746640211</c:v>
                </c:pt>
                <c:pt idx="604">
                  <c:v>0.16784729957580574</c:v>
                </c:pt>
                <c:pt idx="605">
                  <c:v>0.16891325861215592</c:v>
                </c:pt>
                <c:pt idx="606">
                  <c:v>0.16663676947355277</c:v>
                </c:pt>
                <c:pt idx="607">
                  <c:v>0.18377194181084616</c:v>
                </c:pt>
                <c:pt idx="608">
                  <c:v>0.19006332606077192</c:v>
                </c:pt>
                <c:pt idx="609">
                  <c:v>0.17090029269456858</c:v>
                </c:pt>
                <c:pt idx="610">
                  <c:v>0.13795341388322394</c:v>
                </c:pt>
                <c:pt idx="611">
                  <c:v>0.11921305486466731</c:v>
                </c:pt>
                <c:pt idx="612">
                  <c:v>0.12336671818047759</c:v>
                </c:pt>
                <c:pt idx="613">
                  <c:v>0.14277982711791987</c:v>
                </c:pt>
                <c:pt idx="614">
                  <c:v>0.15980175659060475</c:v>
                </c:pt>
                <c:pt idx="615">
                  <c:v>0.1641632206737996</c:v>
                </c:pt>
                <c:pt idx="616">
                  <c:v>0.1789069123566151</c:v>
                </c:pt>
                <c:pt idx="617">
                  <c:v>0.18784248903393758</c:v>
                </c:pt>
                <c:pt idx="618">
                  <c:v>0.20063658505678178</c:v>
                </c:pt>
                <c:pt idx="619">
                  <c:v>0.19238819479942326</c:v>
                </c:pt>
                <c:pt idx="620">
                  <c:v>0.1735861122608186</c:v>
                </c:pt>
                <c:pt idx="621">
                  <c:v>0.17583874315023415</c:v>
                </c:pt>
                <c:pt idx="622">
                  <c:v>0.14824507422745214</c:v>
                </c:pt>
                <c:pt idx="623">
                  <c:v>0.12145204363914672</c:v>
                </c:pt>
                <c:pt idx="624">
                  <c:v>0.1077111381688155</c:v>
                </c:pt>
                <c:pt idx="625">
                  <c:v>0.12810411209939046</c:v>
                </c:pt>
                <c:pt idx="626">
                  <c:v>0.15260111503303037</c:v>
                </c:pt>
                <c:pt idx="627">
                  <c:v>0.16191129460930823</c:v>
                </c:pt>
                <c:pt idx="628">
                  <c:v>0.18087922409176821</c:v>
                </c:pt>
                <c:pt idx="629">
                  <c:v>0.19559422284364703</c:v>
                </c:pt>
                <c:pt idx="630">
                  <c:v>0.20451643988490101</c:v>
                </c:pt>
                <c:pt idx="631">
                  <c:v>0.20292643085122103</c:v>
                </c:pt>
                <c:pt idx="632">
                  <c:v>0.1887068472802638</c:v>
                </c:pt>
                <c:pt idx="633">
                  <c:v>0.17923236489295952</c:v>
                </c:pt>
                <c:pt idx="634">
                  <c:v>0.17836131975054728</c:v>
                </c:pt>
                <c:pt idx="635">
                  <c:v>0.15358837991952895</c:v>
                </c:pt>
                <c:pt idx="636">
                  <c:v>0.12562116067856549</c:v>
                </c:pt>
                <c:pt idx="637">
                  <c:v>0.1221331470645963</c:v>
                </c:pt>
                <c:pt idx="638">
                  <c:v>0.14560821577906594</c:v>
                </c:pt>
                <c:pt idx="639">
                  <c:v>0.19755007252097129</c:v>
                </c:pt>
                <c:pt idx="640">
                  <c:v>0.21252817139029517</c:v>
                </c:pt>
                <c:pt idx="641">
                  <c:v>0.21807784885168072</c:v>
                </c:pt>
                <c:pt idx="642">
                  <c:v>0.19814709126949309</c:v>
                </c:pt>
                <c:pt idx="643">
                  <c:v>0.15068178437650195</c:v>
                </c:pt>
                <c:pt idx="644">
                  <c:v>0.14266787245869639</c:v>
                </c:pt>
                <c:pt idx="645">
                  <c:v>0.13400881811976426</c:v>
                </c:pt>
                <c:pt idx="646">
                  <c:v>0.16711968183517459</c:v>
                </c:pt>
                <c:pt idx="647">
                  <c:v>0.20756517052650456</c:v>
                </c:pt>
                <c:pt idx="648">
                  <c:v>0.227221004664898</c:v>
                </c:pt>
                <c:pt idx="649">
                  <c:v>0.23804521337151519</c:v>
                </c:pt>
                <c:pt idx="650">
                  <c:v>0.20364674404263478</c:v>
                </c:pt>
                <c:pt idx="651">
                  <c:v>0.17259923368692387</c:v>
                </c:pt>
                <c:pt idx="652">
                  <c:v>0.13444700576365004</c:v>
                </c:pt>
                <c:pt idx="653">
                  <c:v>0.10384214911609882</c:v>
                </c:pt>
                <c:pt idx="654">
                  <c:v>0.11299620401114226</c:v>
                </c:pt>
                <c:pt idx="655">
                  <c:v>0.14219522252678879</c:v>
                </c:pt>
                <c:pt idx="656">
                  <c:v>0.16639753654599185</c:v>
                </c:pt>
                <c:pt idx="657">
                  <c:v>0.18616761267185217</c:v>
                </c:pt>
                <c:pt idx="658">
                  <c:v>0.21329318210482601</c:v>
                </c:pt>
                <c:pt idx="659">
                  <c:v>0.22247219234704971</c:v>
                </c:pt>
                <c:pt idx="660">
                  <c:v>0.22904181182384478</c:v>
                </c:pt>
                <c:pt idx="661">
                  <c:v>0.21875876262784005</c:v>
                </c:pt>
                <c:pt idx="662">
                  <c:v>0.16298452988266948</c:v>
                </c:pt>
                <c:pt idx="663">
                  <c:v>0.10353120937943454</c:v>
                </c:pt>
                <c:pt idx="664">
                  <c:v>9.1474373824894498E-2</c:v>
                </c:pt>
                <c:pt idx="665">
                  <c:v>0.10369966570287956</c:v>
                </c:pt>
                <c:pt idx="666">
                  <c:v>0.11410168316215286</c:v>
                </c:pt>
                <c:pt idx="667">
                  <c:v>0.15933756679296499</c:v>
                </c:pt>
                <c:pt idx="668">
                  <c:v>0.22348755151033398</c:v>
                </c:pt>
                <c:pt idx="669">
                  <c:v>0.28023430034518243</c:v>
                </c:pt>
                <c:pt idx="670">
                  <c:v>0.2736196100711823</c:v>
                </c:pt>
                <c:pt idx="671">
                  <c:v>0.18917919695377344</c:v>
                </c:pt>
                <c:pt idx="672">
                  <c:v>0.12038055714219817</c:v>
                </c:pt>
                <c:pt idx="673">
                  <c:v>9.5790147781372043E-2</c:v>
                </c:pt>
                <c:pt idx="674">
                  <c:v>0.1129370763897896</c:v>
                </c:pt>
                <c:pt idx="675">
                  <c:v>0.1554657056927681</c:v>
                </c:pt>
                <c:pt idx="676">
                  <c:v>0.19098206385970112</c:v>
                </c:pt>
                <c:pt idx="677">
                  <c:v>0.21662326306104659</c:v>
                </c:pt>
                <c:pt idx="678">
                  <c:v>0.22613233551383011</c:v>
                </c:pt>
                <c:pt idx="679">
                  <c:v>0.2209691360592842</c:v>
                </c:pt>
                <c:pt idx="680">
                  <c:v>0.19866307601332672</c:v>
                </c:pt>
                <c:pt idx="681">
                  <c:v>0.16906579062342647</c:v>
                </c:pt>
                <c:pt idx="682">
                  <c:v>0.16169722191989422</c:v>
                </c:pt>
                <c:pt idx="683">
                  <c:v>0.16288348957896234</c:v>
                </c:pt>
                <c:pt idx="684">
                  <c:v>0.1460053432732821</c:v>
                </c:pt>
                <c:pt idx="685">
                  <c:v>0.12358007770963002</c:v>
                </c:pt>
                <c:pt idx="686">
                  <c:v>0.14620765596628185</c:v>
                </c:pt>
                <c:pt idx="687">
                  <c:v>0.19513772428035744</c:v>
                </c:pt>
                <c:pt idx="688">
                  <c:v>0.22581174969673165</c:v>
                </c:pt>
                <c:pt idx="689">
                  <c:v>0.23172889202833172</c:v>
                </c:pt>
                <c:pt idx="690">
                  <c:v>0.23295171335339543</c:v>
                </c:pt>
                <c:pt idx="691">
                  <c:v>0.23367078974843025</c:v>
                </c:pt>
                <c:pt idx="692">
                  <c:v>0.20337943956255913</c:v>
                </c:pt>
                <c:pt idx="693">
                  <c:v>0.15976164191961298</c:v>
                </c:pt>
                <c:pt idx="694">
                  <c:v>0.13958300240337856</c:v>
                </c:pt>
                <c:pt idx="695">
                  <c:v>0.13836083225905907</c:v>
                </c:pt>
                <c:pt idx="696">
                  <c:v>0.14445682577788835</c:v>
                </c:pt>
                <c:pt idx="697">
                  <c:v>0.15809335187077528</c:v>
                </c:pt>
                <c:pt idx="698">
                  <c:v>0.18177909851074231</c:v>
                </c:pt>
                <c:pt idx="699">
                  <c:v>0.19131053201854215</c:v>
                </c:pt>
                <c:pt idx="700">
                  <c:v>0.19705352559685699</c:v>
                </c:pt>
                <c:pt idx="701">
                  <c:v>0.20346415340900426</c:v>
                </c:pt>
                <c:pt idx="702">
                  <c:v>0.19174042642116557</c:v>
                </c:pt>
                <c:pt idx="703">
                  <c:v>0.17864012271165847</c:v>
                </c:pt>
                <c:pt idx="704">
                  <c:v>0.1529854986816645</c:v>
                </c:pt>
                <c:pt idx="705">
                  <c:v>0.13193323016166686</c:v>
                </c:pt>
                <c:pt idx="706">
                  <c:v>0.13142928220331673</c:v>
                </c:pt>
                <c:pt idx="707">
                  <c:v>0.1650031179189681</c:v>
                </c:pt>
                <c:pt idx="708">
                  <c:v>0.206605391204357</c:v>
                </c:pt>
                <c:pt idx="709">
                  <c:v>0.21514149680733677</c:v>
                </c:pt>
                <c:pt idx="710">
                  <c:v>0.20343984588980688</c:v>
                </c:pt>
                <c:pt idx="711">
                  <c:v>0.19631918445229535</c:v>
                </c:pt>
                <c:pt idx="712">
                  <c:v>0.19843635708093643</c:v>
                </c:pt>
                <c:pt idx="713">
                  <c:v>0.20683307051658611</c:v>
                </c:pt>
                <c:pt idx="714">
                  <c:v>0.19032442569732658</c:v>
                </c:pt>
                <c:pt idx="715">
                  <c:v>0.14924174416810268</c:v>
                </c:pt>
                <c:pt idx="716">
                  <c:v>0.11745448624715218</c:v>
                </c:pt>
                <c:pt idx="717">
                  <c:v>0.13075064364820704</c:v>
                </c:pt>
                <c:pt idx="718">
                  <c:v>0.16235036998987187</c:v>
                </c:pt>
                <c:pt idx="719">
                  <c:v>0.19441710859537123</c:v>
                </c:pt>
                <c:pt idx="720">
                  <c:v>0.22133119851350788</c:v>
                </c:pt>
                <c:pt idx="721">
                  <c:v>0.22354608997702602</c:v>
                </c:pt>
                <c:pt idx="722">
                  <c:v>0.19993615448474883</c:v>
                </c:pt>
                <c:pt idx="723">
                  <c:v>0.16450936496257779</c:v>
                </c:pt>
                <c:pt idx="724">
                  <c:v>0.15025261044502258</c:v>
                </c:pt>
                <c:pt idx="725">
                  <c:v>0.15953670069575318</c:v>
                </c:pt>
                <c:pt idx="726">
                  <c:v>0.16462105624377735</c:v>
                </c:pt>
                <c:pt idx="727">
                  <c:v>0.16838481342419981</c:v>
                </c:pt>
                <c:pt idx="728">
                  <c:v>0.17533242851495751</c:v>
                </c:pt>
                <c:pt idx="729">
                  <c:v>0.16032252945005909</c:v>
                </c:pt>
                <c:pt idx="730">
                  <c:v>0.13265491351485253</c:v>
                </c:pt>
                <c:pt idx="731">
                  <c:v>0.13004481196403508</c:v>
                </c:pt>
                <c:pt idx="732">
                  <c:v>0.13253350481390946</c:v>
                </c:pt>
                <c:pt idx="733">
                  <c:v>0.14463950172066672</c:v>
                </c:pt>
                <c:pt idx="734">
                  <c:v>0.18074926361441609</c:v>
                </c:pt>
                <c:pt idx="735">
                  <c:v>0.1889440245926382</c:v>
                </c:pt>
                <c:pt idx="736">
                  <c:v>0.18847524151206005</c:v>
                </c:pt>
                <c:pt idx="737">
                  <c:v>0.17209616675972936</c:v>
                </c:pt>
                <c:pt idx="738">
                  <c:v>0.12797916363051626</c:v>
                </c:pt>
                <c:pt idx="739">
                  <c:v>0.1024183006025851</c:v>
                </c:pt>
                <c:pt idx="740">
                  <c:v>0.10646027682814752</c:v>
                </c:pt>
                <c:pt idx="741">
                  <c:v>0.14320865608751768</c:v>
                </c:pt>
                <c:pt idx="742">
                  <c:v>0.17135116085410132</c:v>
                </c:pt>
                <c:pt idx="743">
                  <c:v>0.18478445485234268</c:v>
                </c:pt>
                <c:pt idx="744">
                  <c:v>0.19737266153097158</c:v>
                </c:pt>
                <c:pt idx="745">
                  <c:v>0.1963353581726551</c:v>
                </c:pt>
                <c:pt idx="746">
                  <c:v>0.16467094197869306</c:v>
                </c:pt>
                <c:pt idx="747">
                  <c:v>0.13154565580189231</c:v>
                </c:pt>
                <c:pt idx="748">
                  <c:v>0.11183131821453582</c:v>
                </c:pt>
                <c:pt idx="749">
                  <c:v>0.10871752332895993</c:v>
                </c:pt>
                <c:pt idx="750">
                  <c:v>0.12579497676342732</c:v>
                </c:pt>
                <c:pt idx="751">
                  <c:v>0.16249814275652169</c:v>
                </c:pt>
                <c:pt idx="752">
                  <c:v>0.19009521454572678</c:v>
                </c:pt>
                <c:pt idx="753">
                  <c:v>0.21539115160703654</c:v>
                </c:pt>
                <c:pt idx="754">
                  <c:v>0.23478179946541786</c:v>
                </c:pt>
                <c:pt idx="755">
                  <c:v>0.22024858221411692</c:v>
                </c:pt>
                <c:pt idx="756">
                  <c:v>0.17501359060406663</c:v>
                </c:pt>
                <c:pt idx="757">
                  <c:v>0.13705221815034749</c:v>
                </c:pt>
                <c:pt idx="758">
                  <c:v>0.10357855688780546</c:v>
                </c:pt>
                <c:pt idx="759">
                  <c:v>6.4603338018059925E-2</c:v>
                </c:pt>
                <c:pt idx="760">
                  <c:v>7.0890436088666312E-2</c:v>
                </c:pt>
                <c:pt idx="761">
                  <c:v>0.14083518385887145</c:v>
                </c:pt>
                <c:pt idx="762">
                  <c:v>0.20165612176060668</c:v>
                </c:pt>
                <c:pt idx="763">
                  <c:v>0.21389579772949205</c:v>
                </c:pt>
                <c:pt idx="764">
                  <c:v>0.21899139359593392</c:v>
                </c:pt>
                <c:pt idx="765">
                  <c:v>0.22660082653164867</c:v>
                </c:pt>
                <c:pt idx="766">
                  <c:v>0.23222760260105116</c:v>
                </c:pt>
                <c:pt idx="767">
                  <c:v>0.20491576641798007</c:v>
                </c:pt>
                <c:pt idx="768">
                  <c:v>0.15765357427299009</c:v>
                </c:pt>
                <c:pt idx="769">
                  <c:v>0.11649633273482322</c:v>
                </c:pt>
                <c:pt idx="770">
                  <c:v>0.13130243159830574</c:v>
                </c:pt>
                <c:pt idx="771">
                  <c:v>0.16857210360467462</c:v>
                </c:pt>
                <c:pt idx="772">
                  <c:v>0.17925311177968986</c:v>
                </c:pt>
                <c:pt idx="773">
                  <c:v>0.18680213615298283</c:v>
                </c:pt>
                <c:pt idx="774">
                  <c:v>0.20811332464218127</c:v>
                </c:pt>
                <c:pt idx="775">
                  <c:v>0.2192710861563682</c:v>
                </c:pt>
                <c:pt idx="776">
                  <c:v>0.20619769766926774</c:v>
                </c:pt>
                <c:pt idx="777">
                  <c:v>0.18781071826815604</c:v>
                </c:pt>
                <c:pt idx="778">
                  <c:v>0.15535805709660039</c:v>
                </c:pt>
                <c:pt idx="779">
                  <c:v>0.139231352135539</c:v>
                </c:pt>
                <c:pt idx="780">
                  <c:v>0.12232897151261564</c:v>
                </c:pt>
                <c:pt idx="781">
                  <c:v>0.11938418260542667</c:v>
                </c:pt>
                <c:pt idx="782">
                  <c:v>0.14364014081656937</c:v>
                </c:pt>
                <c:pt idx="783">
                  <c:v>0.17023997232317931</c:v>
                </c:pt>
                <c:pt idx="784">
                  <c:v>0.20923102647066111</c:v>
                </c:pt>
                <c:pt idx="785">
                  <c:v>0.21293472573161121</c:v>
                </c:pt>
                <c:pt idx="786">
                  <c:v>0.19262513443827634</c:v>
                </c:pt>
                <c:pt idx="787">
                  <c:v>0.2010480061173438</c:v>
                </c:pt>
                <c:pt idx="788">
                  <c:v>0.18132253438234314</c:v>
                </c:pt>
                <c:pt idx="789">
                  <c:v>0.15736515056341899</c:v>
                </c:pt>
                <c:pt idx="790">
                  <c:v>0.14558144044131047</c:v>
                </c:pt>
                <c:pt idx="791">
                  <c:v>0.14548856057226661</c:v>
                </c:pt>
                <c:pt idx="792">
                  <c:v>0.1672123536467553</c:v>
                </c:pt>
                <c:pt idx="793">
                  <c:v>0.17456723973155022</c:v>
                </c:pt>
                <c:pt idx="794">
                  <c:v>0.17908399328589444</c:v>
                </c:pt>
                <c:pt idx="795">
                  <c:v>0.1812974579632283</c:v>
                </c:pt>
                <c:pt idx="796">
                  <c:v>0.18805665448308007</c:v>
                </c:pt>
                <c:pt idx="797">
                  <c:v>0.1828976660966872</c:v>
                </c:pt>
                <c:pt idx="798">
                  <c:v>0.16558796130120748</c:v>
                </c:pt>
                <c:pt idx="799">
                  <c:v>0.16220251917839046</c:v>
                </c:pt>
                <c:pt idx="800">
                  <c:v>0.14542247131466859</c:v>
                </c:pt>
                <c:pt idx="801">
                  <c:v>0.13832883797585954</c:v>
                </c:pt>
                <c:pt idx="802">
                  <c:v>0.13536227047443383</c:v>
                </c:pt>
                <c:pt idx="803">
                  <c:v>0.15585661008954044</c:v>
                </c:pt>
                <c:pt idx="804">
                  <c:v>0.17310951799154278</c:v>
                </c:pt>
                <c:pt idx="805">
                  <c:v>0.18455727025866525</c:v>
                </c:pt>
                <c:pt idx="806">
                  <c:v>0.21376881301403033</c:v>
                </c:pt>
                <c:pt idx="807">
                  <c:v>0.23192240819334969</c:v>
                </c:pt>
                <c:pt idx="808">
                  <c:v>0.223307541757822</c:v>
                </c:pt>
                <c:pt idx="809">
                  <c:v>0.16189433038234716</c:v>
                </c:pt>
                <c:pt idx="810">
                  <c:v>9.942369852215048E-2</c:v>
                </c:pt>
                <c:pt idx="811">
                  <c:v>9.573192857205863E-2</c:v>
                </c:pt>
                <c:pt idx="812">
                  <c:v>0.12997124977409835</c:v>
                </c:pt>
                <c:pt idx="813">
                  <c:v>0.1689102336764336</c:v>
                </c:pt>
                <c:pt idx="814">
                  <c:v>0.17185971736907973</c:v>
                </c:pt>
                <c:pt idx="815">
                  <c:v>0.17756983116269109</c:v>
                </c:pt>
                <c:pt idx="816">
                  <c:v>0.18104107156395916</c:v>
                </c:pt>
                <c:pt idx="817">
                  <c:v>0.1716583102941513</c:v>
                </c:pt>
                <c:pt idx="818">
                  <c:v>0.16616384759545322</c:v>
                </c:pt>
                <c:pt idx="819">
                  <c:v>0.16814936771988875</c:v>
                </c:pt>
                <c:pt idx="820">
                  <c:v>0.17415468171238918</c:v>
                </c:pt>
                <c:pt idx="821">
                  <c:v>0.16632634103298186</c:v>
                </c:pt>
                <c:pt idx="822">
                  <c:v>0.15754201002418991</c:v>
                </c:pt>
                <c:pt idx="823">
                  <c:v>0.16670934036374088</c:v>
                </c:pt>
                <c:pt idx="824">
                  <c:v>0.18417547047138222</c:v>
                </c:pt>
                <c:pt idx="825">
                  <c:v>0.19067181386053544</c:v>
                </c:pt>
                <c:pt idx="826">
                  <c:v>0.18121577575802808</c:v>
                </c:pt>
                <c:pt idx="827">
                  <c:v>0.14922415837645533</c:v>
                </c:pt>
                <c:pt idx="828">
                  <c:v>0.12403344134800134</c:v>
                </c:pt>
                <c:pt idx="829">
                  <c:v>0.12215358540415773</c:v>
                </c:pt>
                <c:pt idx="830">
                  <c:v>0.15703499503433702</c:v>
                </c:pt>
                <c:pt idx="831">
                  <c:v>0.19184467345476147</c:v>
                </c:pt>
                <c:pt idx="832">
                  <c:v>0.17243856862187373</c:v>
                </c:pt>
                <c:pt idx="833">
                  <c:v>0.15949700176715847</c:v>
                </c:pt>
                <c:pt idx="834">
                  <c:v>0.14154771342873579</c:v>
                </c:pt>
                <c:pt idx="835">
                  <c:v>0.15709596872329709</c:v>
                </c:pt>
                <c:pt idx="836">
                  <c:v>0.20140835791826253</c:v>
                </c:pt>
                <c:pt idx="837">
                  <c:v>0.23267134875059123</c:v>
                </c:pt>
                <c:pt idx="838">
                  <c:v>0.25635648965835567</c:v>
                </c:pt>
                <c:pt idx="839">
                  <c:v>0.21892895027995118</c:v>
                </c:pt>
                <c:pt idx="840">
                  <c:v>0.14977179095149051</c:v>
                </c:pt>
                <c:pt idx="841">
                  <c:v>0.13823028448969138</c:v>
                </c:pt>
                <c:pt idx="842">
                  <c:v>0.14324600361287593</c:v>
                </c:pt>
                <c:pt idx="843">
                  <c:v>0.15576773285865772</c:v>
                </c:pt>
                <c:pt idx="844">
                  <c:v>0.16301771253347402</c:v>
                </c:pt>
                <c:pt idx="845">
                  <c:v>0.15638219751417642</c:v>
                </c:pt>
                <c:pt idx="846">
                  <c:v>0.15232362560927873</c:v>
                </c:pt>
                <c:pt idx="847">
                  <c:v>0.15892667956650258</c:v>
                </c:pt>
                <c:pt idx="848">
                  <c:v>0.16240210160613047</c:v>
                </c:pt>
                <c:pt idx="849">
                  <c:v>0.16226852759718893</c:v>
                </c:pt>
                <c:pt idx="850">
                  <c:v>0.16307291314005848</c:v>
                </c:pt>
                <c:pt idx="851">
                  <c:v>0.17914495691657065</c:v>
                </c:pt>
                <c:pt idx="852">
                  <c:v>0.19648516103625294</c:v>
                </c:pt>
                <c:pt idx="853">
                  <c:v>0.20231864675879482</c:v>
                </c:pt>
                <c:pt idx="854">
                  <c:v>0.20445483028888717</c:v>
                </c:pt>
                <c:pt idx="855">
                  <c:v>0.17983402013778674</c:v>
                </c:pt>
                <c:pt idx="856">
                  <c:v>0.14284885078668594</c:v>
                </c:pt>
                <c:pt idx="857">
                  <c:v>0.14320538714528092</c:v>
                </c:pt>
                <c:pt idx="858">
                  <c:v>0.14099725335836427</c:v>
                </c:pt>
                <c:pt idx="859">
                  <c:v>0.14649628773331641</c:v>
                </c:pt>
                <c:pt idx="860">
                  <c:v>0.15198995545506486</c:v>
                </c:pt>
                <c:pt idx="861">
                  <c:v>0.16801144406199456</c:v>
                </c:pt>
                <c:pt idx="862">
                  <c:v>0.17905777692794783</c:v>
                </c:pt>
                <c:pt idx="863">
                  <c:v>0.17662620618939412</c:v>
                </c:pt>
                <c:pt idx="864">
                  <c:v>0.18635711818933501</c:v>
                </c:pt>
                <c:pt idx="865">
                  <c:v>0.20029855333268648</c:v>
                </c:pt>
                <c:pt idx="866">
                  <c:v>0.19986688233911992</c:v>
                </c:pt>
                <c:pt idx="867">
                  <c:v>0.17602578774094593</c:v>
                </c:pt>
                <c:pt idx="868">
                  <c:v>0.14839731976389886</c:v>
                </c:pt>
                <c:pt idx="869">
                  <c:v>0.12923266738653191</c:v>
                </c:pt>
                <c:pt idx="870">
                  <c:v>0.13397682048380383</c:v>
                </c:pt>
                <c:pt idx="871">
                  <c:v>0.14599293991923332</c:v>
                </c:pt>
                <c:pt idx="872">
                  <c:v>0.16854643896222116</c:v>
                </c:pt>
                <c:pt idx="873">
                  <c:v>0.17885937094688414</c:v>
                </c:pt>
                <c:pt idx="874">
                  <c:v>0.17983355820178987</c:v>
                </c:pt>
                <c:pt idx="875">
                  <c:v>0.17889511957764612</c:v>
                </c:pt>
                <c:pt idx="876">
                  <c:v>0.17214015908539287</c:v>
                </c:pt>
                <c:pt idx="877">
                  <c:v>0.18009459301829323</c:v>
                </c:pt>
                <c:pt idx="878">
                  <c:v>0.17072206139564514</c:v>
                </c:pt>
                <c:pt idx="879">
                  <c:v>0.14891396760940559</c:v>
                </c:pt>
                <c:pt idx="880">
                  <c:v>0.14220287725329389</c:v>
                </c:pt>
                <c:pt idx="881">
                  <c:v>0.12150069377385082</c:v>
                </c:pt>
                <c:pt idx="882">
                  <c:v>0.1116082877037116</c:v>
                </c:pt>
                <c:pt idx="883">
                  <c:v>0.12404389013536288</c:v>
                </c:pt>
                <c:pt idx="884">
                  <c:v>0.15930840596556659</c:v>
                </c:pt>
                <c:pt idx="885">
                  <c:v>0.18680924475193023</c:v>
                </c:pt>
                <c:pt idx="886">
                  <c:v>0.1958625219762325</c:v>
                </c:pt>
                <c:pt idx="887">
                  <c:v>0.19250942319631575</c:v>
                </c:pt>
                <c:pt idx="888">
                  <c:v>0.16403295844793328</c:v>
                </c:pt>
                <c:pt idx="889">
                  <c:v>0.15302481353282943</c:v>
                </c:pt>
                <c:pt idx="890">
                  <c:v>0.17315004840493201</c:v>
                </c:pt>
                <c:pt idx="891">
                  <c:v>0.20283093973994265</c:v>
                </c:pt>
                <c:pt idx="892">
                  <c:v>0.20526442378759374</c:v>
                </c:pt>
                <c:pt idx="893">
                  <c:v>0.17981659173965436</c:v>
                </c:pt>
                <c:pt idx="894">
                  <c:v>0.14570903489366169</c:v>
                </c:pt>
                <c:pt idx="895">
                  <c:v>0.12447544746100909</c:v>
                </c:pt>
                <c:pt idx="896">
                  <c:v>0.13020461453124882</c:v>
                </c:pt>
                <c:pt idx="897">
                  <c:v>0.17820995002984991</c:v>
                </c:pt>
                <c:pt idx="898">
                  <c:v>0.21297743543982506</c:v>
                </c:pt>
                <c:pt idx="899">
                  <c:v>0.22295655161142366</c:v>
                </c:pt>
                <c:pt idx="900">
                  <c:v>0.20140854530036451</c:v>
                </c:pt>
                <c:pt idx="901">
                  <c:v>0.17724181395024055</c:v>
                </c:pt>
                <c:pt idx="902">
                  <c:v>0.16494627632200717</c:v>
                </c:pt>
                <c:pt idx="903">
                  <c:v>0.14469968900084496</c:v>
                </c:pt>
                <c:pt idx="904">
                  <c:v>0.16499254629015916</c:v>
                </c:pt>
                <c:pt idx="905">
                  <c:v>0.19760181829333295</c:v>
                </c:pt>
                <c:pt idx="906">
                  <c:v>0.23058413267135638</c:v>
                </c:pt>
                <c:pt idx="907">
                  <c:v>0.23971787542104731</c:v>
                </c:pt>
                <c:pt idx="908">
                  <c:v>0.19982786029577251</c:v>
                </c:pt>
                <c:pt idx="909">
                  <c:v>0.1643873145338148</c:v>
                </c:pt>
                <c:pt idx="910">
                  <c:v>0.14854025188833464</c:v>
                </c:pt>
                <c:pt idx="911">
                  <c:v>0.12806437113322305</c:v>
                </c:pt>
                <c:pt idx="912">
                  <c:v>0.11091030812822282</c:v>
                </c:pt>
                <c:pt idx="913">
                  <c:v>0.11295478828251368</c:v>
                </c:pt>
                <c:pt idx="914">
                  <c:v>0.13491585999727246</c:v>
                </c:pt>
                <c:pt idx="915">
                  <c:v>0.15350651070475579</c:v>
                </c:pt>
                <c:pt idx="916">
                  <c:v>0.16461949869990361</c:v>
                </c:pt>
                <c:pt idx="917">
                  <c:v>0.18949711918830875</c:v>
                </c:pt>
                <c:pt idx="918">
                  <c:v>0.22169762998819348</c:v>
                </c:pt>
                <c:pt idx="919">
                  <c:v>0.23843635395169258</c:v>
                </c:pt>
                <c:pt idx="920">
                  <c:v>0.22433066889643674</c:v>
                </c:pt>
                <c:pt idx="921">
                  <c:v>0.18644344061613086</c:v>
                </c:pt>
                <c:pt idx="922">
                  <c:v>0.13605730719864378</c:v>
                </c:pt>
                <c:pt idx="923">
                  <c:v>0.10142943365499373</c:v>
                </c:pt>
                <c:pt idx="924">
                  <c:v>6.9740993902087364E-2</c:v>
                </c:pt>
                <c:pt idx="925">
                  <c:v>5.3167837706860191E-2</c:v>
                </c:pt>
                <c:pt idx="926">
                  <c:v>0.10936123039573427</c:v>
                </c:pt>
                <c:pt idx="927">
                  <c:v>0.1840115942060947</c:v>
                </c:pt>
                <c:pt idx="928">
                  <c:v>0.22586759030818954</c:v>
                </c:pt>
                <c:pt idx="929">
                  <c:v>0.20812597945332509</c:v>
                </c:pt>
                <c:pt idx="930">
                  <c:v>0.16693760454654685</c:v>
                </c:pt>
                <c:pt idx="931">
                  <c:v>0.14141020551323899</c:v>
                </c:pt>
                <c:pt idx="932">
                  <c:v>0.13851298391819003</c:v>
                </c:pt>
                <c:pt idx="933">
                  <c:v>0.15128159523010268</c:v>
                </c:pt>
                <c:pt idx="934">
                  <c:v>0.17142807170748725</c:v>
                </c:pt>
                <c:pt idx="935">
                  <c:v>0.18056318722665321</c:v>
                </c:pt>
                <c:pt idx="936">
                  <c:v>0.17855105698108686</c:v>
                </c:pt>
                <c:pt idx="937">
                  <c:v>0.15025829076766961</c:v>
                </c:pt>
                <c:pt idx="938">
                  <c:v>0.11541995629668231</c:v>
                </c:pt>
                <c:pt idx="939">
                  <c:v>0.11587518504820762</c:v>
                </c:pt>
                <c:pt idx="940">
                  <c:v>0.14561219774186615</c:v>
                </c:pt>
                <c:pt idx="941">
                  <c:v>0.17065187171101562</c:v>
                </c:pt>
                <c:pt idx="942">
                  <c:v>0.1754810653626919</c:v>
                </c:pt>
                <c:pt idx="943">
                  <c:v>0.19762367606163023</c:v>
                </c:pt>
                <c:pt idx="944">
                  <c:v>0.1950287967920302</c:v>
                </c:pt>
                <c:pt idx="945">
                  <c:v>0.13987136743962755</c:v>
                </c:pt>
                <c:pt idx="946">
                  <c:v>9.6364564634859567E-2</c:v>
                </c:pt>
                <c:pt idx="947">
                  <c:v>0.10931043819291517</c:v>
                </c:pt>
                <c:pt idx="948">
                  <c:v>0.1544226042926311</c:v>
                </c:pt>
                <c:pt idx="949">
                  <c:v>0.17760385274887089</c:v>
                </c:pt>
                <c:pt idx="950">
                  <c:v>0.15330040883272897</c:v>
                </c:pt>
                <c:pt idx="951">
                  <c:v>0.13649217635393138</c:v>
                </c:pt>
                <c:pt idx="952">
                  <c:v>0.14808750110678368</c:v>
                </c:pt>
                <c:pt idx="953">
                  <c:v>0.17970933839678771</c:v>
                </c:pt>
                <c:pt idx="954">
                  <c:v>0.20667867511510826</c:v>
                </c:pt>
                <c:pt idx="955">
                  <c:v>0.20172498598694802</c:v>
                </c:pt>
                <c:pt idx="956">
                  <c:v>0.1878111120313406</c:v>
                </c:pt>
                <c:pt idx="957">
                  <c:v>0.1525424413383008</c:v>
                </c:pt>
                <c:pt idx="958">
                  <c:v>9.1945732012391132E-2</c:v>
                </c:pt>
                <c:pt idx="959">
                  <c:v>9.701154213398698E-2</c:v>
                </c:pt>
                <c:pt idx="960">
                  <c:v>0.14611972793936728</c:v>
                </c:pt>
                <c:pt idx="961">
                  <c:v>0.18032207600772382</c:v>
                </c:pt>
                <c:pt idx="962">
                  <c:v>0.18832785189151754</c:v>
                </c:pt>
                <c:pt idx="963">
                  <c:v>0.1804183632135391</c:v>
                </c:pt>
                <c:pt idx="964">
                  <c:v>0.17497953847050676</c:v>
                </c:pt>
                <c:pt idx="965">
                  <c:v>0.16493172235786902</c:v>
                </c:pt>
                <c:pt idx="966">
                  <c:v>0.14646852277219291</c:v>
                </c:pt>
                <c:pt idx="967">
                  <c:v>0.15237927772104734</c:v>
                </c:pt>
                <c:pt idx="968">
                  <c:v>0.15508408546447744</c:v>
                </c:pt>
                <c:pt idx="969">
                  <c:v>0.1330520729534328</c:v>
                </c:pt>
                <c:pt idx="970">
                  <c:v>0.10274105556309225</c:v>
                </c:pt>
                <c:pt idx="971">
                  <c:v>9.2105245962738932E-2</c:v>
                </c:pt>
                <c:pt idx="972">
                  <c:v>0.11436600051820282</c:v>
                </c:pt>
                <c:pt idx="973">
                  <c:v>0.13578097224235533</c:v>
                </c:pt>
                <c:pt idx="974">
                  <c:v>0.15450538843870162</c:v>
                </c:pt>
                <c:pt idx="975">
                  <c:v>0.16502146497368819</c:v>
                </c:pt>
                <c:pt idx="976">
                  <c:v>0.16127350889146325</c:v>
                </c:pt>
                <c:pt idx="977">
                  <c:v>0.16738514266908164</c:v>
                </c:pt>
                <c:pt idx="978">
                  <c:v>0.19258436560630801</c:v>
                </c:pt>
                <c:pt idx="979">
                  <c:v>0.1873359948396682</c:v>
                </c:pt>
                <c:pt idx="980">
                  <c:v>0.16168973408639425</c:v>
                </c:pt>
                <c:pt idx="981">
                  <c:v>0.13686734363436709</c:v>
                </c:pt>
                <c:pt idx="982">
                  <c:v>0.10042122006416317</c:v>
                </c:pt>
                <c:pt idx="983">
                  <c:v>6.4770165551453804E-2</c:v>
                </c:pt>
                <c:pt idx="984">
                  <c:v>2.4505246523767753E-2</c:v>
                </c:pt>
                <c:pt idx="985">
                  <c:v>1.6612527705728946E-2</c:v>
                </c:pt>
                <c:pt idx="986">
                  <c:v>0.10032957512885329</c:v>
                </c:pt>
                <c:pt idx="987">
                  <c:v>0.20338126122951516</c:v>
                </c:pt>
                <c:pt idx="988">
                  <c:v>0.23537753000855441</c:v>
                </c:pt>
                <c:pt idx="989">
                  <c:v>0.24768159985542307</c:v>
                </c:pt>
                <c:pt idx="990">
                  <c:v>0.26140741668641565</c:v>
                </c:pt>
                <c:pt idx="991">
                  <c:v>0.16004404164850708</c:v>
                </c:pt>
                <c:pt idx="992">
                  <c:v>6.3176844455301709E-2</c:v>
                </c:pt>
                <c:pt idx="993">
                  <c:v>-1.0414209589362145E-2</c:v>
                </c:pt>
                <c:pt idx="994">
                  <c:v>-2.2308573266491279E-2</c:v>
                </c:pt>
                <c:pt idx="995">
                  <c:v>0.11397411921061576</c:v>
                </c:pt>
                <c:pt idx="996">
                  <c:v>0.20718147754669211</c:v>
                </c:pt>
                <c:pt idx="997">
                  <c:v>0.25526212155818928</c:v>
                </c:pt>
                <c:pt idx="998">
                  <c:v>0.28824840635061266</c:v>
                </c:pt>
                <c:pt idx="999">
                  <c:v>0.27430089414119713</c:v>
                </c:pt>
                <c:pt idx="1000">
                  <c:v>0.25501482784748086</c:v>
                </c:pt>
                <c:pt idx="1001">
                  <c:v>0.21878119856119152</c:v>
                </c:pt>
              </c:numCache>
            </c:numRef>
          </c:val>
          <c:smooth val="0"/>
        </c:ser>
        <c:ser>
          <c:idx val="2"/>
          <c:order val="2"/>
          <c:tx>
            <c:strRef>
              <c:f>Run_TRS!$D$1</c:f>
              <c:strCache>
                <c:ptCount val="1"/>
                <c:pt idx="0">
                  <c:v>Average of ERRORTRS</c:v>
                </c:pt>
              </c:strCache>
            </c:strRef>
          </c:tx>
          <c:spPr>
            <a:ln w="28575" cap="rnd">
              <a:solidFill>
                <a:schemeClr val="accent3"/>
              </a:solidFill>
              <a:round/>
            </a:ln>
            <a:effectLst/>
          </c:spPr>
          <c:marker>
            <c:symbol val="none"/>
          </c:marker>
          <c:cat>
            <c:strRef>
              <c:f>Run_TRS!$A$2:$A$1004</c:f>
              <c:strCache>
                <c:ptCount val="1002"/>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pt idx="1000">
                  <c:v>1000</c:v>
                </c:pt>
                <c:pt idx="1001">
                  <c:v>1001</c:v>
                </c:pt>
              </c:strCache>
            </c:strRef>
          </c:cat>
          <c:val>
            <c:numRef>
              <c:f>Run_TRS!$D$2:$D$1004</c:f>
              <c:numCache>
                <c:formatCode>0.0000</c:formatCode>
                <c:ptCount val="100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7.9665090423077317E-2</c:v>
                </c:pt>
                <c:pt idx="16">
                  <c:v>8.2442551292478961E-2</c:v>
                </c:pt>
                <c:pt idx="17">
                  <c:v>9.8818313983065148E-2</c:v>
                </c:pt>
                <c:pt idx="18">
                  <c:v>8.5813187807798466E-2</c:v>
                </c:pt>
                <c:pt idx="19">
                  <c:v>0.10762114245444535</c:v>
                </c:pt>
                <c:pt idx="20">
                  <c:v>0.10072791576385505</c:v>
                </c:pt>
                <c:pt idx="21">
                  <c:v>0.11468207687139509</c:v>
                </c:pt>
                <c:pt idx="22">
                  <c:v>0.12940188553184256</c:v>
                </c:pt>
                <c:pt idx="23">
                  <c:v>0.11233762063784528</c:v>
                </c:pt>
                <c:pt idx="24">
                  <c:v>8.4453372802818102E-2</c:v>
                </c:pt>
                <c:pt idx="25">
                  <c:v>0.14269875637255597</c:v>
                </c:pt>
                <c:pt idx="26">
                  <c:v>0.10508613456040623</c:v>
                </c:pt>
                <c:pt idx="27">
                  <c:v>9.5351826399564674E-2</c:v>
                </c:pt>
                <c:pt idx="28">
                  <c:v>0.12540391553193328</c:v>
                </c:pt>
                <c:pt idx="29">
                  <c:v>0.10942273437976842</c:v>
                </c:pt>
                <c:pt idx="30">
                  <c:v>0.12703503668308253</c:v>
                </c:pt>
                <c:pt idx="31">
                  <c:v>0.17588182874023914</c:v>
                </c:pt>
                <c:pt idx="32">
                  <c:v>0.12313313372433184</c:v>
                </c:pt>
                <c:pt idx="33">
                  <c:v>8.2270764186978262E-2</c:v>
                </c:pt>
                <c:pt idx="34">
                  <c:v>0.11811623650137333</c:v>
                </c:pt>
                <c:pt idx="35">
                  <c:v>0.17932712049223481</c:v>
                </c:pt>
                <c:pt idx="36">
                  <c:v>0.10680146701633927</c:v>
                </c:pt>
                <c:pt idx="37">
                  <c:v>0.12818031292408696</c:v>
                </c:pt>
                <c:pt idx="38">
                  <c:v>0.20149326566606751</c:v>
                </c:pt>
                <c:pt idx="39">
                  <c:v>0.14452936071902522</c:v>
                </c:pt>
                <c:pt idx="40">
                  <c:v>0.10043236091732981</c:v>
                </c:pt>
                <c:pt idx="41">
                  <c:v>7.2129433415830141E-2</c:v>
                </c:pt>
                <c:pt idx="42">
                  <c:v>8.4377760766074145E-2</c:v>
                </c:pt>
                <c:pt idx="43">
                  <c:v>0.11032774841878565</c:v>
                </c:pt>
                <c:pt idx="44">
                  <c:v>0.10494073876179769</c:v>
                </c:pt>
                <c:pt idx="45">
                  <c:v>0.10751166604459286</c:v>
                </c:pt>
                <c:pt idx="46">
                  <c:v>4.6630556904710962E-2</c:v>
                </c:pt>
                <c:pt idx="47">
                  <c:v>5.5863334052264603E-2</c:v>
                </c:pt>
                <c:pt idx="48">
                  <c:v>0.10299297682940955</c:v>
                </c:pt>
                <c:pt idx="49">
                  <c:v>0.12270676307380193</c:v>
                </c:pt>
                <c:pt idx="50">
                  <c:v>0.1354448633268476</c:v>
                </c:pt>
                <c:pt idx="51">
                  <c:v>0.12799885068088773</c:v>
                </c:pt>
                <c:pt idx="52">
                  <c:v>4.059752002358432E-2</c:v>
                </c:pt>
                <c:pt idx="53">
                  <c:v>6.0269992053508879E-2</c:v>
                </c:pt>
                <c:pt idx="54">
                  <c:v>6.2962076067924339E-2</c:v>
                </c:pt>
                <c:pt idx="55">
                  <c:v>0.12055609896779051</c:v>
                </c:pt>
                <c:pt idx="56">
                  <c:v>0.11459328075870875</c:v>
                </c:pt>
                <c:pt idx="57">
                  <c:v>0.15239330902695644</c:v>
                </c:pt>
                <c:pt idx="58">
                  <c:v>0.19747215686365954</c:v>
                </c:pt>
                <c:pt idx="59">
                  <c:v>9.7681744024157732E-2</c:v>
                </c:pt>
                <c:pt idx="60">
                  <c:v>8.8903061300516201E-2</c:v>
                </c:pt>
                <c:pt idx="61">
                  <c:v>8.3184372633695519E-2</c:v>
                </c:pt>
                <c:pt idx="62">
                  <c:v>0.16013310179114359</c:v>
                </c:pt>
                <c:pt idx="63">
                  <c:v>0.14240973927080641</c:v>
                </c:pt>
                <c:pt idx="64">
                  <c:v>7.2385948617011434E-2</c:v>
                </c:pt>
                <c:pt idx="65">
                  <c:v>4.567920099943875E-2</c:v>
                </c:pt>
                <c:pt idx="66">
                  <c:v>4.0092453826218837E-2</c:v>
                </c:pt>
                <c:pt idx="67">
                  <c:v>7.1822750195861013E-2</c:v>
                </c:pt>
                <c:pt idx="68">
                  <c:v>0.13039956837892519</c:v>
                </c:pt>
                <c:pt idx="69">
                  <c:v>0.10272874869406232</c:v>
                </c:pt>
                <c:pt idx="70">
                  <c:v>8.9476171135902588E-2</c:v>
                </c:pt>
                <c:pt idx="71">
                  <c:v>6.4195435494184466E-2</c:v>
                </c:pt>
                <c:pt idx="72">
                  <c:v>4.9121820740401799E-2</c:v>
                </c:pt>
                <c:pt idx="73">
                  <c:v>0.12219089306890962</c:v>
                </c:pt>
                <c:pt idx="74">
                  <c:v>0.11534322639927255</c:v>
                </c:pt>
                <c:pt idx="75">
                  <c:v>0.12006910927593706</c:v>
                </c:pt>
                <c:pt idx="76">
                  <c:v>0.11503994427621363</c:v>
                </c:pt>
                <c:pt idx="77">
                  <c:v>0.11452760696411139</c:v>
                </c:pt>
                <c:pt idx="78">
                  <c:v>0.13635275438427921</c:v>
                </c:pt>
                <c:pt idx="79">
                  <c:v>9.116476848721497E-2</c:v>
                </c:pt>
                <c:pt idx="80">
                  <c:v>0.17515991441905482</c:v>
                </c:pt>
                <c:pt idx="81">
                  <c:v>0.17800447419285789</c:v>
                </c:pt>
                <c:pt idx="82">
                  <c:v>0.19026527255773534</c:v>
                </c:pt>
                <c:pt idx="83">
                  <c:v>0.14110771156847463</c:v>
                </c:pt>
                <c:pt idx="84">
                  <c:v>0.23427692204713818</c:v>
                </c:pt>
                <c:pt idx="85">
                  <c:v>0.20464173406362543</c:v>
                </c:pt>
                <c:pt idx="86">
                  <c:v>0.11342498399317238</c:v>
                </c:pt>
                <c:pt idx="87">
                  <c:v>9.4459857372567235E-2</c:v>
                </c:pt>
                <c:pt idx="88">
                  <c:v>0.10600133783882479</c:v>
                </c:pt>
                <c:pt idx="89">
                  <c:v>7.9927841015160025E-2</c:v>
                </c:pt>
                <c:pt idx="90">
                  <c:v>9.4271244481205996E-2</c:v>
                </c:pt>
                <c:pt idx="91">
                  <c:v>0.13320310041308389</c:v>
                </c:pt>
                <c:pt idx="92">
                  <c:v>9.085547551512721E-2</c:v>
                </c:pt>
                <c:pt idx="93">
                  <c:v>8.3546813577413628E-2</c:v>
                </c:pt>
                <c:pt idx="94">
                  <c:v>8.8022080063819799E-2</c:v>
                </c:pt>
                <c:pt idx="95">
                  <c:v>8.1663284450769452E-2</c:v>
                </c:pt>
                <c:pt idx="96">
                  <c:v>0.17898737564682959</c:v>
                </c:pt>
                <c:pt idx="97">
                  <c:v>9.745706282556052E-2</c:v>
                </c:pt>
                <c:pt idx="98">
                  <c:v>8.4044411312788697E-2</c:v>
                </c:pt>
                <c:pt idx="99">
                  <c:v>0.10453412830829616</c:v>
                </c:pt>
                <c:pt idx="100">
                  <c:v>7.2705157101154091E-2</c:v>
                </c:pt>
                <c:pt idx="101">
                  <c:v>9.3972196057438714E-2</c:v>
                </c:pt>
                <c:pt idx="102">
                  <c:v>0.11573769412934776</c:v>
                </c:pt>
                <c:pt idx="103">
                  <c:v>0.13628797233104689</c:v>
                </c:pt>
                <c:pt idx="104">
                  <c:v>0.15139122754335416</c:v>
                </c:pt>
                <c:pt idx="105">
                  <c:v>0.14322861582040786</c:v>
                </c:pt>
                <c:pt idx="106">
                  <c:v>0.16169713810086261</c:v>
                </c:pt>
                <c:pt idx="107">
                  <c:v>0.12675003185868286</c:v>
                </c:pt>
                <c:pt idx="108">
                  <c:v>0.10470618382096304</c:v>
                </c:pt>
                <c:pt idx="109">
                  <c:v>9.9256095089367544E-2</c:v>
                </c:pt>
                <c:pt idx="110">
                  <c:v>9.8504205420613195E-2</c:v>
                </c:pt>
                <c:pt idx="111">
                  <c:v>0.26053638309240335</c:v>
                </c:pt>
                <c:pt idx="112">
                  <c:v>0.23685771077871326</c:v>
                </c:pt>
                <c:pt idx="113">
                  <c:v>8.5298191383481103E-2</c:v>
                </c:pt>
                <c:pt idx="114">
                  <c:v>7.5385762751102481E-2</c:v>
                </c:pt>
                <c:pt idx="115">
                  <c:v>7.52281963825224E-2</c:v>
                </c:pt>
                <c:pt idx="116">
                  <c:v>8.884603418409831E-2</c:v>
                </c:pt>
                <c:pt idx="117">
                  <c:v>4.4695208221673659E-2</c:v>
                </c:pt>
                <c:pt idx="118">
                  <c:v>7.9820788279175908E-2</c:v>
                </c:pt>
                <c:pt idx="119">
                  <c:v>8.4580511599779057E-2</c:v>
                </c:pt>
                <c:pt idx="120">
                  <c:v>8.3694925904273826E-2</c:v>
                </c:pt>
                <c:pt idx="121">
                  <c:v>8.1449511647224276E-2</c:v>
                </c:pt>
                <c:pt idx="122">
                  <c:v>5.5682007968425665E-2</c:v>
                </c:pt>
                <c:pt idx="123">
                  <c:v>6.7567896842956429E-2</c:v>
                </c:pt>
                <c:pt idx="124">
                  <c:v>0.1466618634760378</c:v>
                </c:pt>
                <c:pt idx="125">
                  <c:v>0.1316091690212487</c:v>
                </c:pt>
                <c:pt idx="126">
                  <c:v>0.15756477601826202</c:v>
                </c:pt>
                <c:pt idx="127">
                  <c:v>0.19358478393405687</c:v>
                </c:pt>
                <c:pt idx="128">
                  <c:v>0.15969354547560202</c:v>
                </c:pt>
                <c:pt idx="129">
                  <c:v>0.11367527991533259</c:v>
                </c:pt>
                <c:pt idx="130">
                  <c:v>0.18252934329211695</c:v>
                </c:pt>
                <c:pt idx="131">
                  <c:v>0.30161433890461942</c:v>
                </c:pt>
                <c:pt idx="132">
                  <c:v>0.1407099720090626</c:v>
                </c:pt>
                <c:pt idx="133">
                  <c:v>0.17288574576377885</c:v>
                </c:pt>
                <c:pt idx="134">
                  <c:v>9.3922502547502631E-2</c:v>
                </c:pt>
                <c:pt idx="135">
                  <c:v>0.10953055992722516</c:v>
                </c:pt>
                <c:pt idx="136">
                  <c:v>5.0062414631247595E-2</c:v>
                </c:pt>
                <c:pt idx="137">
                  <c:v>5.2817155420780047E-2</c:v>
                </c:pt>
                <c:pt idx="138">
                  <c:v>7.8817217424511851E-2</c:v>
                </c:pt>
                <c:pt idx="139">
                  <c:v>6.6901837289333493E-2</c:v>
                </c:pt>
                <c:pt idx="140">
                  <c:v>9.1102659329771934E-2</c:v>
                </c:pt>
                <c:pt idx="141">
                  <c:v>4.895588047802453E-2</c:v>
                </c:pt>
                <c:pt idx="142">
                  <c:v>7.3878753557801394E-2</c:v>
                </c:pt>
                <c:pt idx="143">
                  <c:v>6.6180563159286873E-2</c:v>
                </c:pt>
                <c:pt idx="144">
                  <c:v>0.11203755335882279</c:v>
                </c:pt>
                <c:pt idx="145">
                  <c:v>0.14402996478602287</c:v>
                </c:pt>
                <c:pt idx="146">
                  <c:v>8.5641580820083454E-2</c:v>
                </c:pt>
                <c:pt idx="147">
                  <c:v>6.6316574905067649E-2</c:v>
                </c:pt>
                <c:pt idx="148">
                  <c:v>8.1282706558704398E-2</c:v>
                </c:pt>
                <c:pt idx="149">
                  <c:v>0.18593068048357969</c:v>
                </c:pt>
                <c:pt idx="150">
                  <c:v>0.11139995604753491</c:v>
                </c:pt>
                <c:pt idx="151">
                  <c:v>0.13268955945968611</c:v>
                </c:pt>
                <c:pt idx="152">
                  <c:v>0.10603360086679463</c:v>
                </c:pt>
                <c:pt idx="153">
                  <c:v>0.17646150700747948</c:v>
                </c:pt>
                <c:pt idx="154">
                  <c:v>0.17203251775354161</c:v>
                </c:pt>
                <c:pt idx="155">
                  <c:v>0.2384795390069486</c:v>
                </c:pt>
                <c:pt idx="156">
                  <c:v>0.24968308843672266</c:v>
                </c:pt>
                <c:pt idx="157">
                  <c:v>9.2941020242869835E-2</c:v>
                </c:pt>
                <c:pt idx="158">
                  <c:v>5.1165869832038788E-2</c:v>
                </c:pt>
                <c:pt idx="159">
                  <c:v>0.11095541864633554</c:v>
                </c:pt>
                <c:pt idx="160">
                  <c:v>0.18137835077941405</c:v>
                </c:pt>
                <c:pt idx="161">
                  <c:v>0.17018046639859649</c:v>
                </c:pt>
                <c:pt idx="162">
                  <c:v>0.143382490426302</c:v>
                </c:pt>
                <c:pt idx="163">
                  <c:v>0.12933409302495424</c:v>
                </c:pt>
                <c:pt idx="164">
                  <c:v>0.1478678103536368</c:v>
                </c:pt>
                <c:pt idx="165">
                  <c:v>0.13680612882599244</c:v>
                </c:pt>
                <c:pt idx="166">
                  <c:v>0.14686916805803771</c:v>
                </c:pt>
                <c:pt idx="167">
                  <c:v>0.11136336391791697</c:v>
                </c:pt>
                <c:pt idx="168">
                  <c:v>0.1332063626497984</c:v>
                </c:pt>
                <c:pt idx="169">
                  <c:v>8.2765791565180047E-2</c:v>
                </c:pt>
                <c:pt idx="170">
                  <c:v>8.6878993362188406E-2</c:v>
                </c:pt>
                <c:pt idx="171">
                  <c:v>5.5642792303115217E-2</c:v>
                </c:pt>
                <c:pt idx="172">
                  <c:v>0.10952951759099967</c:v>
                </c:pt>
                <c:pt idx="173">
                  <c:v>0.14861099347472181</c:v>
                </c:pt>
                <c:pt idx="174">
                  <c:v>0.1893895879387858</c:v>
                </c:pt>
                <c:pt idx="175">
                  <c:v>0.20509939938783656</c:v>
                </c:pt>
                <c:pt idx="176">
                  <c:v>0.1842368647456169</c:v>
                </c:pt>
                <c:pt idx="177">
                  <c:v>9.2864842712879161E-2</c:v>
                </c:pt>
                <c:pt idx="178">
                  <c:v>0.11068421304225917</c:v>
                </c:pt>
                <c:pt idx="179">
                  <c:v>0.11396501660346976</c:v>
                </c:pt>
                <c:pt idx="180">
                  <c:v>0.26946943532675521</c:v>
                </c:pt>
                <c:pt idx="181">
                  <c:v>0.16680418383330106</c:v>
                </c:pt>
                <c:pt idx="182">
                  <c:v>7.9854874033481127E-2</c:v>
                </c:pt>
                <c:pt idx="183">
                  <c:v>9.8921035230159632E-2</c:v>
                </c:pt>
                <c:pt idx="184">
                  <c:v>7.0681967586279065E-2</c:v>
                </c:pt>
                <c:pt idx="185">
                  <c:v>6.6365869343280787E-2</c:v>
                </c:pt>
                <c:pt idx="186">
                  <c:v>6.5019339323043754E-2</c:v>
                </c:pt>
                <c:pt idx="187">
                  <c:v>5.618295967578886E-2</c:v>
                </c:pt>
                <c:pt idx="188">
                  <c:v>5.3354253619909309E-2</c:v>
                </c:pt>
                <c:pt idx="189">
                  <c:v>7.5681061297655158E-2</c:v>
                </c:pt>
                <c:pt idx="190">
                  <c:v>5.8231852203607694E-2</c:v>
                </c:pt>
                <c:pt idx="191">
                  <c:v>5.4143489804118893E-2</c:v>
                </c:pt>
                <c:pt idx="192">
                  <c:v>9.0641403524205272E-2</c:v>
                </c:pt>
                <c:pt idx="193">
                  <c:v>0.10199639294296478</c:v>
                </c:pt>
                <c:pt idx="194">
                  <c:v>0.13998061642050758</c:v>
                </c:pt>
                <c:pt idx="195">
                  <c:v>0.1271511573344469</c:v>
                </c:pt>
                <c:pt idx="196">
                  <c:v>0.13293625488877306</c:v>
                </c:pt>
                <c:pt idx="197">
                  <c:v>0.14161142036318788</c:v>
                </c:pt>
                <c:pt idx="198">
                  <c:v>0.160536041855812</c:v>
                </c:pt>
                <c:pt idx="199">
                  <c:v>0.12673765234649204</c:v>
                </c:pt>
                <c:pt idx="200">
                  <c:v>6.2156841345131331E-2</c:v>
                </c:pt>
                <c:pt idx="201">
                  <c:v>8.147799782454973E-2</c:v>
                </c:pt>
                <c:pt idx="202">
                  <c:v>7.2949089296162006E-2</c:v>
                </c:pt>
                <c:pt idx="203">
                  <c:v>0.14256524331867701</c:v>
                </c:pt>
                <c:pt idx="204">
                  <c:v>6.6257140040397566E-2</c:v>
                </c:pt>
                <c:pt idx="205">
                  <c:v>7.1088701486587524E-2</c:v>
                </c:pt>
                <c:pt idx="206">
                  <c:v>4.8368446156382632E-2</c:v>
                </c:pt>
                <c:pt idx="207">
                  <c:v>5.2749819308519276E-2</c:v>
                </c:pt>
                <c:pt idx="208">
                  <c:v>0.1809756122529505</c:v>
                </c:pt>
                <c:pt idx="209">
                  <c:v>8.4447973594069442E-2</c:v>
                </c:pt>
                <c:pt idx="210">
                  <c:v>4.3982919678091974E-2</c:v>
                </c:pt>
                <c:pt idx="211">
                  <c:v>4.7098388336598782E-2</c:v>
                </c:pt>
                <c:pt idx="212">
                  <c:v>7.0760416984558178E-2</c:v>
                </c:pt>
                <c:pt idx="213">
                  <c:v>5.916579961776719E-2</c:v>
                </c:pt>
                <c:pt idx="214">
                  <c:v>5.0922450050711665E-2</c:v>
                </c:pt>
                <c:pt idx="215">
                  <c:v>6.4932580664753964E-2</c:v>
                </c:pt>
                <c:pt idx="216">
                  <c:v>0.12164135314524158</c:v>
                </c:pt>
                <c:pt idx="217">
                  <c:v>0.15014892518520381</c:v>
                </c:pt>
                <c:pt idx="218">
                  <c:v>0.14620937183499325</c:v>
                </c:pt>
                <c:pt idx="219">
                  <c:v>5.6412944197654732E-2</c:v>
                </c:pt>
                <c:pt idx="220">
                  <c:v>0.12692433372139938</c:v>
                </c:pt>
                <c:pt idx="221">
                  <c:v>0.16542474702000631</c:v>
                </c:pt>
                <c:pt idx="222">
                  <c:v>6.623535752296443E-2</c:v>
                </c:pt>
                <c:pt idx="223">
                  <c:v>6.0992469266057024E-2</c:v>
                </c:pt>
                <c:pt idx="224">
                  <c:v>0.11303910203278042</c:v>
                </c:pt>
                <c:pt idx="225">
                  <c:v>0.11625655777752394</c:v>
                </c:pt>
                <c:pt idx="226">
                  <c:v>0.11981271412223582</c:v>
                </c:pt>
                <c:pt idx="227">
                  <c:v>0.10115511799231162</c:v>
                </c:pt>
                <c:pt idx="228">
                  <c:v>8.3318045779015054E-2</c:v>
                </c:pt>
                <c:pt idx="229">
                  <c:v>0.12700840011239048</c:v>
                </c:pt>
                <c:pt idx="230">
                  <c:v>8.0609593912959368E-2</c:v>
                </c:pt>
                <c:pt idx="231">
                  <c:v>5.9392446279525522E-2</c:v>
                </c:pt>
                <c:pt idx="232">
                  <c:v>4.9994545802474137E-2</c:v>
                </c:pt>
                <c:pt idx="233">
                  <c:v>3.9195729419588876E-2</c:v>
                </c:pt>
                <c:pt idx="234">
                  <c:v>4.9041695892810801E-2</c:v>
                </c:pt>
                <c:pt idx="235">
                  <c:v>3.6863927915692291E-2</c:v>
                </c:pt>
                <c:pt idx="236">
                  <c:v>5.6462987512350141E-2</c:v>
                </c:pt>
                <c:pt idx="237">
                  <c:v>5.9543095901608355E-2</c:v>
                </c:pt>
                <c:pt idx="238">
                  <c:v>6.8436655402183508E-2</c:v>
                </c:pt>
                <c:pt idx="239">
                  <c:v>4.650382548570646E-2</c:v>
                </c:pt>
                <c:pt idx="240">
                  <c:v>5.5587056279182367E-2</c:v>
                </c:pt>
                <c:pt idx="241">
                  <c:v>7.3019878566265115E-2</c:v>
                </c:pt>
                <c:pt idx="242">
                  <c:v>0.18407488465309144</c:v>
                </c:pt>
                <c:pt idx="243">
                  <c:v>0.14066284988075495</c:v>
                </c:pt>
                <c:pt idx="244">
                  <c:v>0.16108452174812565</c:v>
                </c:pt>
                <c:pt idx="245">
                  <c:v>0.15645605046302088</c:v>
                </c:pt>
                <c:pt idx="246">
                  <c:v>0.10757363680750118</c:v>
                </c:pt>
                <c:pt idx="247">
                  <c:v>0.13472528643906106</c:v>
                </c:pt>
                <c:pt idx="248">
                  <c:v>7.6762584224343247E-2</c:v>
                </c:pt>
                <c:pt idx="249">
                  <c:v>0.16933650113642212</c:v>
                </c:pt>
                <c:pt idx="250">
                  <c:v>0.16842511370778063</c:v>
                </c:pt>
                <c:pt idx="251">
                  <c:v>0.21132888570427899</c:v>
                </c:pt>
                <c:pt idx="252">
                  <c:v>8.7950676679611275E-2</c:v>
                </c:pt>
                <c:pt idx="253">
                  <c:v>4.8961693909950518E-2</c:v>
                </c:pt>
                <c:pt idx="254">
                  <c:v>5.2797811385244052E-2</c:v>
                </c:pt>
                <c:pt idx="255">
                  <c:v>3.8539208634756475E-2</c:v>
                </c:pt>
                <c:pt idx="256">
                  <c:v>5.7988307252526461E-2</c:v>
                </c:pt>
                <c:pt idx="257">
                  <c:v>5.9747552126646106E-2</c:v>
                </c:pt>
                <c:pt idx="258">
                  <c:v>7.4397648125886839E-2</c:v>
                </c:pt>
                <c:pt idx="259">
                  <c:v>5.4578183963894897E-2</c:v>
                </c:pt>
                <c:pt idx="260">
                  <c:v>5.3089542686939148E-2</c:v>
                </c:pt>
                <c:pt idx="261">
                  <c:v>4.8918782547116298E-2</c:v>
                </c:pt>
                <c:pt idx="262">
                  <c:v>4.9080590903758887E-2</c:v>
                </c:pt>
                <c:pt idx="263">
                  <c:v>4.9321280792355551E-2</c:v>
                </c:pt>
                <c:pt idx="264">
                  <c:v>7.1032002940773845E-2</c:v>
                </c:pt>
                <c:pt idx="265">
                  <c:v>0.11176088601350805</c:v>
                </c:pt>
                <c:pt idx="266">
                  <c:v>0.12660914808511747</c:v>
                </c:pt>
                <c:pt idx="267">
                  <c:v>0.11084648072719565</c:v>
                </c:pt>
                <c:pt idx="268">
                  <c:v>7.8237603604793385E-2</c:v>
                </c:pt>
                <c:pt idx="269">
                  <c:v>8.1425034999847629E-2</c:v>
                </c:pt>
                <c:pt idx="270">
                  <c:v>0.1209071379154919</c:v>
                </c:pt>
                <c:pt idx="271">
                  <c:v>7.3575872927904323E-2</c:v>
                </c:pt>
                <c:pt idx="272">
                  <c:v>8.9383056154474644E-2</c:v>
                </c:pt>
                <c:pt idx="273">
                  <c:v>9.9151187576353522E-2</c:v>
                </c:pt>
                <c:pt idx="274">
                  <c:v>6.8725631013512492E-2</c:v>
                </c:pt>
                <c:pt idx="275">
                  <c:v>9.958109185099609E-2</c:v>
                </c:pt>
                <c:pt idx="276">
                  <c:v>8.5588494688272537E-2</c:v>
                </c:pt>
                <c:pt idx="277">
                  <c:v>8.4584660083055568E-2</c:v>
                </c:pt>
                <c:pt idx="278">
                  <c:v>7.9271502792835208E-2</c:v>
                </c:pt>
                <c:pt idx="279">
                  <c:v>5.3325986117124545E-2</c:v>
                </c:pt>
                <c:pt idx="280">
                  <c:v>5.7092040032148586E-2</c:v>
                </c:pt>
                <c:pt idx="281">
                  <c:v>3.7037528306245911E-2</c:v>
                </c:pt>
                <c:pt idx="282">
                  <c:v>4.0879278257489021E-2</c:v>
                </c:pt>
                <c:pt idx="283">
                  <c:v>7.5418026372790464E-2</c:v>
                </c:pt>
                <c:pt idx="284">
                  <c:v>7.9921308159828078E-2</c:v>
                </c:pt>
                <c:pt idx="285">
                  <c:v>3.6773335561156306E-2</c:v>
                </c:pt>
                <c:pt idx="286">
                  <c:v>7.3060411959886704E-2</c:v>
                </c:pt>
                <c:pt idx="287">
                  <c:v>4.7296775132417618E-2</c:v>
                </c:pt>
                <c:pt idx="288">
                  <c:v>5.0218050554394725E-2</c:v>
                </c:pt>
                <c:pt idx="289">
                  <c:v>8.2150538265705036E-2</c:v>
                </c:pt>
                <c:pt idx="290">
                  <c:v>8.9765041321516123E-2</c:v>
                </c:pt>
                <c:pt idx="291">
                  <c:v>9.0903614833950971E-2</c:v>
                </c:pt>
                <c:pt idx="292">
                  <c:v>8.5668753832578701E-2</c:v>
                </c:pt>
                <c:pt idx="293">
                  <c:v>7.3059640452265637E-2</c:v>
                </c:pt>
                <c:pt idx="294">
                  <c:v>8.1960508227348197E-2</c:v>
                </c:pt>
                <c:pt idx="295">
                  <c:v>5.6321461126208228E-2</c:v>
                </c:pt>
                <c:pt idx="296">
                  <c:v>0.10261299996636819</c:v>
                </c:pt>
                <c:pt idx="297">
                  <c:v>7.5937871215864997E-2</c:v>
                </c:pt>
                <c:pt idx="298">
                  <c:v>6.319140512496231E-2</c:v>
                </c:pt>
                <c:pt idx="299">
                  <c:v>6.4870310202241072E-2</c:v>
                </c:pt>
                <c:pt idx="300">
                  <c:v>7.1279396861791203E-2</c:v>
                </c:pt>
                <c:pt idx="301">
                  <c:v>7.0111184567213145E-2</c:v>
                </c:pt>
                <c:pt idx="302">
                  <c:v>5.1870211213827067E-2</c:v>
                </c:pt>
                <c:pt idx="303">
                  <c:v>3.9911245182156475E-2</c:v>
                </c:pt>
                <c:pt idx="304">
                  <c:v>7.2639248892664973E-2</c:v>
                </c:pt>
                <c:pt idx="305">
                  <c:v>5.8743405342102081E-2</c:v>
                </c:pt>
                <c:pt idx="306">
                  <c:v>4.4670709967613229E-2</c:v>
                </c:pt>
                <c:pt idx="307">
                  <c:v>8.097236081957826E-2</c:v>
                </c:pt>
                <c:pt idx="308">
                  <c:v>0.11066600419580927</c:v>
                </c:pt>
                <c:pt idx="309">
                  <c:v>0.13818149324506523</c:v>
                </c:pt>
                <c:pt idx="310">
                  <c:v>0.45935492515563975</c:v>
                </c:pt>
                <c:pt idx="311">
                  <c:v>5.0407339259982087E-2</c:v>
                </c:pt>
                <c:pt idx="312">
                  <c:v>9.6983612328767857E-2</c:v>
                </c:pt>
                <c:pt idx="313">
                  <c:v>0.12728489302098742</c:v>
                </c:pt>
                <c:pt idx="314">
                  <c:v>0.11471040677279221</c:v>
                </c:pt>
                <c:pt idx="315">
                  <c:v>0.10790253505110745</c:v>
                </c:pt>
                <c:pt idx="316">
                  <c:v>9.1313609853386976E-2</c:v>
                </c:pt>
                <c:pt idx="317">
                  <c:v>7.0899584516882719E-2</c:v>
                </c:pt>
                <c:pt idx="318">
                  <c:v>9.8968217708170353E-2</c:v>
                </c:pt>
                <c:pt idx="319">
                  <c:v>7.3975424095988257E-2</c:v>
                </c:pt>
                <c:pt idx="320">
                  <c:v>5.4516667500138373E-2</c:v>
                </c:pt>
                <c:pt idx="321">
                  <c:v>0.17597403936088091</c:v>
                </c:pt>
                <c:pt idx="322">
                  <c:v>0.1280653201043607</c:v>
                </c:pt>
                <c:pt idx="323">
                  <c:v>7.7549980580806518E-2</c:v>
                </c:pt>
                <c:pt idx="324">
                  <c:v>4.5640387386083399E-2</c:v>
                </c:pt>
                <c:pt idx="325">
                  <c:v>3.0623187124728939E-2</c:v>
                </c:pt>
                <c:pt idx="326">
                  <c:v>4.2693179845809767E-2</c:v>
                </c:pt>
                <c:pt idx="327">
                  <c:v>3.4237522631883774E-2</c:v>
                </c:pt>
                <c:pt idx="328">
                  <c:v>4.4772996008396244E-2</c:v>
                </c:pt>
                <c:pt idx="329">
                  <c:v>6.0302393115125509E-2</c:v>
                </c:pt>
                <c:pt idx="330">
                  <c:v>7.2379378601908587E-2</c:v>
                </c:pt>
                <c:pt idx="331">
                  <c:v>6.4251779764890618E-2</c:v>
                </c:pt>
                <c:pt idx="332">
                  <c:v>7.7380874007940331E-2</c:v>
                </c:pt>
                <c:pt idx="333">
                  <c:v>8.0138072371482766E-2</c:v>
                </c:pt>
                <c:pt idx="334">
                  <c:v>6.593332700431348E-2</c:v>
                </c:pt>
                <c:pt idx="335">
                  <c:v>3.8558425754308664E-2</c:v>
                </c:pt>
                <c:pt idx="336">
                  <c:v>6.5700829029083169E-2</c:v>
                </c:pt>
                <c:pt idx="337">
                  <c:v>9.4370544981211474E-2</c:v>
                </c:pt>
                <c:pt idx="338">
                  <c:v>0.13020807877182949</c:v>
                </c:pt>
                <c:pt idx="339">
                  <c:v>0.11447112094610931</c:v>
                </c:pt>
                <c:pt idx="340">
                  <c:v>8.019492700695989E-2</c:v>
                </c:pt>
                <c:pt idx="341">
                  <c:v>7.1499379724264192E-2</c:v>
                </c:pt>
                <c:pt idx="342">
                  <c:v>6.3269675523042662E-2</c:v>
                </c:pt>
                <c:pt idx="343">
                  <c:v>0.11113125085830659</c:v>
                </c:pt>
                <c:pt idx="344">
                  <c:v>0.12072537094354614</c:v>
                </c:pt>
                <c:pt idx="345">
                  <c:v>7.7270317077636694E-2</c:v>
                </c:pt>
                <c:pt idx="346">
                  <c:v>8.7270238995552168E-2</c:v>
                </c:pt>
                <c:pt idx="347">
                  <c:v>5.9938648343086307E-2</c:v>
                </c:pt>
                <c:pt idx="348">
                  <c:v>6.8787266314029455E-2</c:v>
                </c:pt>
                <c:pt idx="349">
                  <c:v>5.7425659149885157E-2</c:v>
                </c:pt>
                <c:pt idx="350">
                  <c:v>4.0718350186944141E-2</c:v>
                </c:pt>
                <c:pt idx="351">
                  <c:v>0.11822325123939652</c:v>
                </c:pt>
                <c:pt idx="352">
                  <c:v>0.10830399207770831</c:v>
                </c:pt>
                <c:pt idx="353">
                  <c:v>4.6122325304895684E-2</c:v>
                </c:pt>
                <c:pt idx="354">
                  <c:v>6.6197444777935766E-2</c:v>
                </c:pt>
                <c:pt idx="355">
                  <c:v>6.7390172183513522E-2</c:v>
                </c:pt>
                <c:pt idx="356">
                  <c:v>7.120076045393961E-2</c:v>
                </c:pt>
                <c:pt idx="357">
                  <c:v>4.5219413936138271E-2</c:v>
                </c:pt>
                <c:pt idx="358">
                  <c:v>3.5300084576010707E-2</c:v>
                </c:pt>
                <c:pt idx="359">
                  <c:v>6.3433025032281834E-2</c:v>
                </c:pt>
                <c:pt idx="360">
                  <c:v>9.041709396988154E-2</c:v>
                </c:pt>
                <c:pt idx="361">
                  <c:v>8.1348728528246289E-2</c:v>
                </c:pt>
                <c:pt idx="362">
                  <c:v>0.12297432441264396</c:v>
                </c:pt>
                <c:pt idx="363">
                  <c:v>0.15009895246475941</c:v>
                </c:pt>
                <c:pt idx="364">
                  <c:v>0.13070634976029388</c:v>
                </c:pt>
                <c:pt idx="365">
                  <c:v>0.12208026796579356</c:v>
                </c:pt>
                <c:pt idx="366">
                  <c:v>0.13534177318215349</c:v>
                </c:pt>
                <c:pt idx="367">
                  <c:v>9.6210097149014448E-2</c:v>
                </c:pt>
                <c:pt idx="368">
                  <c:v>0.17071452960371961</c:v>
                </c:pt>
                <c:pt idx="369">
                  <c:v>0.1102793462574481</c:v>
                </c:pt>
                <c:pt idx="370">
                  <c:v>0.10408407468348742</c:v>
                </c:pt>
                <c:pt idx="371">
                  <c:v>7.2711629420518703E-2</c:v>
                </c:pt>
                <c:pt idx="372">
                  <c:v>8.5821769014000959E-2</c:v>
                </c:pt>
                <c:pt idx="373">
                  <c:v>6.4585202932357769E-2</c:v>
                </c:pt>
                <c:pt idx="374">
                  <c:v>8.3435372263192947E-2</c:v>
                </c:pt>
                <c:pt idx="375">
                  <c:v>9.3581873597577317E-2</c:v>
                </c:pt>
                <c:pt idx="376">
                  <c:v>5.7275431416928771E-2</c:v>
                </c:pt>
                <c:pt idx="377">
                  <c:v>6.456472286954501E-2</c:v>
                </c:pt>
                <c:pt idx="378">
                  <c:v>0.13112066271714876</c:v>
                </c:pt>
                <c:pt idx="379">
                  <c:v>0.10715380907058716</c:v>
                </c:pt>
                <c:pt idx="380">
                  <c:v>0.11302525550127036</c:v>
                </c:pt>
                <c:pt idx="381">
                  <c:v>5.3688977286219505E-2</c:v>
                </c:pt>
                <c:pt idx="382">
                  <c:v>3.7129186838865222E-2</c:v>
                </c:pt>
                <c:pt idx="383">
                  <c:v>0.12729232087731346</c:v>
                </c:pt>
                <c:pt idx="384">
                  <c:v>0.11452598199248318</c:v>
                </c:pt>
                <c:pt idx="385">
                  <c:v>0.18831655345857143</c:v>
                </c:pt>
                <c:pt idx="386">
                  <c:v>0.13416049797087898</c:v>
                </c:pt>
                <c:pt idx="387">
                  <c:v>0.16075013857334833</c:v>
                </c:pt>
                <c:pt idx="388">
                  <c:v>0.24686969825997945</c:v>
                </c:pt>
                <c:pt idx="389">
                  <c:v>0.16456247568130491</c:v>
                </c:pt>
                <c:pt idx="390">
                  <c:v>0.21938390731811541</c:v>
                </c:pt>
                <c:pt idx="391">
                  <c:v>9.7591548040509221E-2</c:v>
                </c:pt>
                <c:pt idx="392">
                  <c:v>5.612911283969868E-2</c:v>
                </c:pt>
                <c:pt idx="393">
                  <c:v>5.5768989771604563E-2</c:v>
                </c:pt>
                <c:pt idx="394">
                  <c:v>9.3336983397603074E-2</c:v>
                </c:pt>
                <c:pt idx="395">
                  <c:v>9.499488659203062E-2</c:v>
                </c:pt>
                <c:pt idx="396">
                  <c:v>0.12515214756131154</c:v>
                </c:pt>
                <c:pt idx="397">
                  <c:v>4.9323989078402609E-2</c:v>
                </c:pt>
                <c:pt idx="398">
                  <c:v>0.12153856409713641</c:v>
                </c:pt>
                <c:pt idx="399">
                  <c:v>0.152602138463408</c:v>
                </c:pt>
                <c:pt idx="400">
                  <c:v>5.1744596939534107E-2</c:v>
                </c:pt>
                <c:pt idx="401">
                  <c:v>5.9326614439487668E-2</c:v>
                </c:pt>
                <c:pt idx="402">
                  <c:v>6.4182227849960319E-2</c:v>
                </c:pt>
                <c:pt idx="403">
                  <c:v>6.3756518438458393E-2</c:v>
                </c:pt>
                <c:pt idx="404">
                  <c:v>0.16643421500921241</c:v>
                </c:pt>
                <c:pt idx="405">
                  <c:v>6.9847795739769999E-2</c:v>
                </c:pt>
                <c:pt idx="406">
                  <c:v>7.4388343468308471E-2</c:v>
                </c:pt>
                <c:pt idx="407">
                  <c:v>0.17017562109977005</c:v>
                </c:pt>
                <c:pt idx="408">
                  <c:v>8.3083483576774503E-2</c:v>
                </c:pt>
                <c:pt idx="409">
                  <c:v>9.308639280498035E-2</c:v>
                </c:pt>
                <c:pt idx="410">
                  <c:v>0.13469379022717476</c:v>
                </c:pt>
                <c:pt idx="411">
                  <c:v>0.2462411701679231</c:v>
                </c:pt>
                <c:pt idx="412">
                  <c:v>0.18620928898453706</c:v>
                </c:pt>
                <c:pt idx="413">
                  <c:v>0.1089769490063192</c:v>
                </c:pt>
                <c:pt idx="414">
                  <c:v>0.13149351850152013</c:v>
                </c:pt>
                <c:pt idx="415">
                  <c:v>0.12219462282955618</c:v>
                </c:pt>
                <c:pt idx="416">
                  <c:v>0.10903642755001779</c:v>
                </c:pt>
                <c:pt idx="417">
                  <c:v>9.9840483814477826E-2</c:v>
                </c:pt>
                <c:pt idx="418">
                  <c:v>0.10939240013249221</c:v>
                </c:pt>
                <c:pt idx="419">
                  <c:v>0.12071923005860297</c:v>
                </c:pt>
                <c:pt idx="420">
                  <c:v>0.10743953585624699</c:v>
                </c:pt>
                <c:pt idx="421">
                  <c:v>5.2956247702241208E-2</c:v>
                </c:pt>
                <c:pt idx="422">
                  <c:v>9.7339069843292242E-2</c:v>
                </c:pt>
                <c:pt idx="423">
                  <c:v>6.5794325619935826E-2</c:v>
                </c:pt>
                <c:pt idx="424">
                  <c:v>7.2001601010560912E-2</c:v>
                </c:pt>
                <c:pt idx="425">
                  <c:v>0.11815051473677156</c:v>
                </c:pt>
                <c:pt idx="426">
                  <c:v>0.12706816047430033</c:v>
                </c:pt>
                <c:pt idx="427">
                  <c:v>0.12129876539111131</c:v>
                </c:pt>
                <c:pt idx="428">
                  <c:v>0.15531532317399982</c:v>
                </c:pt>
                <c:pt idx="429">
                  <c:v>8.1654030829668031E-2</c:v>
                </c:pt>
                <c:pt idx="430">
                  <c:v>0.14553888440132162</c:v>
                </c:pt>
                <c:pt idx="431">
                  <c:v>0.12844991758465749</c:v>
                </c:pt>
                <c:pt idx="432">
                  <c:v>0.1620981425046919</c:v>
                </c:pt>
                <c:pt idx="433">
                  <c:v>0.11368653513491152</c:v>
                </c:pt>
                <c:pt idx="434">
                  <c:v>7.6230152696371081E-2</c:v>
                </c:pt>
                <c:pt idx="435">
                  <c:v>0.12392887845635421</c:v>
                </c:pt>
                <c:pt idx="436">
                  <c:v>9.7073888033628486E-2</c:v>
                </c:pt>
                <c:pt idx="437">
                  <c:v>0.12086591869592647</c:v>
                </c:pt>
                <c:pt idx="438">
                  <c:v>0.11790032833814601</c:v>
                </c:pt>
                <c:pt idx="439">
                  <c:v>9.7935536131262782E-2</c:v>
                </c:pt>
                <c:pt idx="440">
                  <c:v>0.19674987867474558</c:v>
                </c:pt>
                <c:pt idx="441">
                  <c:v>0.17951874299906206</c:v>
                </c:pt>
                <c:pt idx="442">
                  <c:v>9.7142164246179122E-2</c:v>
                </c:pt>
                <c:pt idx="443">
                  <c:v>5.160273537039746E-2</c:v>
                </c:pt>
                <c:pt idx="444">
                  <c:v>0.11820576563477522</c:v>
                </c:pt>
                <c:pt idx="445">
                  <c:v>9.5181040465831604E-2</c:v>
                </c:pt>
                <c:pt idx="446">
                  <c:v>0.16900206916034222</c:v>
                </c:pt>
                <c:pt idx="447">
                  <c:v>7.1213265880942428E-2</c:v>
                </c:pt>
                <c:pt idx="448">
                  <c:v>8.6189714819193006E-2</c:v>
                </c:pt>
                <c:pt idx="449">
                  <c:v>8.501237407326688E-2</c:v>
                </c:pt>
                <c:pt idx="450">
                  <c:v>8.7515958398580493E-2</c:v>
                </c:pt>
                <c:pt idx="451">
                  <c:v>9.8398887366056592E-2</c:v>
                </c:pt>
                <c:pt idx="452">
                  <c:v>6.2038753181695827E-2</c:v>
                </c:pt>
                <c:pt idx="453">
                  <c:v>9.058285877108567E-2</c:v>
                </c:pt>
                <c:pt idx="454">
                  <c:v>0.11550987400114539</c:v>
                </c:pt>
                <c:pt idx="455">
                  <c:v>0.11272582411766066</c:v>
                </c:pt>
                <c:pt idx="456">
                  <c:v>0.13146145418286334</c:v>
                </c:pt>
                <c:pt idx="457">
                  <c:v>0.1463203266263009</c:v>
                </c:pt>
                <c:pt idx="458">
                  <c:v>9.4888469576835596E-2</c:v>
                </c:pt>
                <c:pt idx="459">
                  <c:v>0.12512733303010459</c:v>
                </c:pt>
                <c:pt idx="460">
                  <c:v>8.4512625634669963E-2</c:v>
                </c:pt>
                <c:pt idx="461">
                  <c:v>0.14946747012436373</c:v>
                </c:pt>
                <c:pt idx="462">
                  <c:v>0.11799851544201387</c:v>
                </c:pt>
                <c:pt idx="463">
                  <c:v>8.2735635526478252E-2</c:v>
                </c:pt>
                <c:pt idx="464">
                  <c:v>0.13818234372884022</c:v>
                </c:pt>
                <c:pt idx="465">
                  <c:v>9.5136579616519168E-2</c:v>
                </c:pt>
                <c:pt idx="466">
                  <c:v>4.719662442803392E-2</c:v>
                </c:pt>
                <c:pt idx="467">
                  <c:v>3.22845347225666E-2</c:v>
                </c:pt>
                <c:pt idx="468">
                  <c:v>6.8329612910747489E-2</c:v>
                </c:pt>
                <c:pt idx="469">
                  <c:v>8.7093663960695247E-2</c:v>
                </c:pt>
                <c:pt idx="470">
                  <c:v>8.5701601952314174E-2</c:v>
                </c:pt>
                <c:pt idx="471">
                  <c:v>4.1572003625333212E-2</c:v>
                </c:pt>
                <c:pt idx="472">
                  <c:v>4.8297271132469011E-2</c:v>
                </c:pt>
                <c:pt idx="473">
                  <c:v>5.2567496523260884E-2</c:v>
                </c:pt>
                <c:pt idx="474">
                  <c:v>0.13185548484325421</c:v>
                </c:pt>
                <c:pt idx="475">
                  <c:v>8.6445042118430446E-2</c:v>
                </c:pt>
                <c:pt idx="476">
                  <c:v>7.4416176229715497E-2</c:v>
                </c:pt>
                <c:pt idx="477">
                  <c:v>8.7112303078174289E-2</c:v>
                </c:pt>
                <c:pt idx="478">
                  <c:v>0.12766130119562161</c:v>
                </c:pt>
                <c:pt idx="479">
                  <c:v>9.7812726348638551E-2</c:v>
                </c:pt>
                <c:pt idx="480">
                  <c:v>5.7305488735437338E-2</c:v>
                </c:pt>
                <c:pt idx="481">
                  <c:v>9.8171720653772457E-2</c:v>
                </c:pt>
                <c:pt idx="482">
                  <c:v>7.1912251785397549E-2</c:v>
                </c:pt>
                <c:pt idx="483">
                  <c:v>6.353837586939319E-2</c:v>
                </c:pt>
                <c:pt idx="484">
                  <c:v>6.6388354450464315E-2</c:v>
                </c:pt>
                <c:pt idx="485">
                  <c:v>0.10415213331580149</c:v>
                </c:pt>
                <c:pt idx="486">
                  <c:v>0.10267861858010277</c:v>
                </c:pt>
                <c:pt idx="487">
                  <c:v>7.2277157753706023E-2</c:v>
                </c:pt>
                <c:pt idx="488">
                  <c:v>0.10192474350333211</c:v>
                </c:pt>
                <c:pt idx="489">
                  <c:v>9.4560913741588454E-2</c:v>
                </c:pt>
                <c:pt idx="490">
                  <c:v>9.6940249577164433E-2</c:v>
                </c:pt>
                <c:pt idx="491">
                  <c:v>6.2249456718563877E-2</c:v>
                </c:pt>
                <c:pt idx="492">
                  <c:v>6.7034796811640526E-2</c:v>
                </c:pt>
                <c:pt idx="493">
                  <c:v>7.3582880757748964E-2</c:v>
                </c:pt>
                <c:pt idx="494">
                  <c:v>6.1705532111227569E-2</c:v>
                </c:pt>
                <c:pt idx="495">
                  <c:v>4.5542575418949086E-2</c:v>
                </c:pt>
                <c:pt idx="496">
                  <c:v>6.4316006004810217E-2</c:v>
                </c:pt>
                <c:pt idx="497">
                  <c:v>6.3991488516330658E-2</c:v>
                </c:pt>
                <c:pt idx="498">
                  <c:v>9.5928763225674729E-2</c:v>
                </c:pt>
                <c:pt idx="499">
                  <c:v>5.8125361055135639E-2</c:v>
                </c:pt>
                <c:pt idx="500">
                  <c:v>0.14099316456267846</c:v>
                </c:pt>
                <c:pt idx="501">
                  <c:v>0.1115406112745406</c:v>
                </c:pt>
                <c:pt idx="502">
                  <c:v>0.17848271895200035</c:v>
                </c:pt>
                <c:pt idx="503">
                  <c:v>0.11719647811260085</c:v>
                </c:pt>
                <c:pt idx="504">
                  <c:v>8.4858015552162908E-2</c:v>
                </c:pt>
                <c:pt idx="505">
                  <c:v>7.2350586950779075E-2</c:v>
                </c:pt>
                <c:pt idx="506">
                  <c:v>0.12953181788325294</c:v>
                </c:pt>
                <c:pt idx="507">
                  <c:v>0.12888259217143055</c:v>
                </c:pt>
                <c:pt idx="508">
                  <c:v>5.0859225541353248E-2</c:v>
                </c:pt>
                <c:pt idx="509">
                  <c:v>8.5327107459306717E-2</c:v>
                </c:pt>
                <c:pt idx="510">
                  <c:v>7.0478699356317703E-2</c:v>
                </c:pt>
                <c:pt idx="511">
                  <c:v>9.2258300632238346E-2</c:v>
                </c:pt>
                <c:pt idx="512">
                  <c:v>0.1071935802698134</c:v>
                </c:pt>
                <c:pt idx="513">
                  <c:v>6.6340027004480454E-2</c:v>
                </c:pt>
                <c:pt idx="514">
                  <c:v>8.3232414349913714E-2</c:v>
                </c:pt>
                <c:pt idx="515">
                  <c:v>8.9944391697645204E-2</c:v>
                </c:pt>
                <c:pt idx="516">
                  <c:v>0.17516176477074635</c:v>
                </c:pt>
                <c:pt idx="517">
                  <c:v>6.6766765713691639E-2</c:v>
                </c:pt>
                <c:pt idx="518">
                  <c:v>6.0290706530213491E-2</c:v>
                </c:pt>
                <c:pt idx="519">
                  <c:v>0.11871554628014572</c:v>
                </c:pt>
                <c:pt idx="520">
                  <c:v>8.1287292391061722E-2</c:v>
                </c:pt>
                <c:pt idx="521">
                  <c:v>3.5893297195434631E-2</c:v>
                </c:pt>
                <c:pt idx="522">
                  <c:v>4.7658482939004855E-2</c:v>
                </c:pt>
                <c:pt idx="523">
                  <c:v>6.2342161778360571E-2</c:v>
                </c:pt>
                <c:pt idx="524">
                  <c:v>0.10854192264378089</c:v>
                </c:pt>
                <c:pt idx="525">
                  <c:v>6.4131759107113009E-2</c:v>
                </c:pt>
                <c:pt idx="526">
                  <c:v>6.664695320650936E-2</c:v>
                </c:pt>
                <c:pt idx="527">
                  <c:v>5.7600697129964872E-2</c:v>
                </c:pt>
                <c:pt idx="528">
                  <c:v>7.6219801604747728E-2</c:v>
                </c:pt>
                <c:pt idx="529">
                  <c:v>0.13082420229911812</c:v>
                </c:pt>
                <c:pt idx="530">
                  <c:v>0.10973605066537861</c:v>
                </c:pt>
                <c:pt idx="531">
                  <c:v>6.8079555034637501E-2</c:v>
                </c:pt>
                <c:pt idx="532">
                  <c:v>5.927742049098015E-2</c:v>
                </c:pt>
                <c:pt idx="533">
                  <c:v>6.4582174667157391E-2</c:v>
                </c:pt>
                <c:pt idx="534">
                  <c:v>8.849608143791568E-2</c:v>
                </c:pt>
                <c:pt idx="535">
                  <c:v>0.12958754273131493</c:v>
                </c:pt>
                <c:pt idx="536">
                  <c:v>0.12837862689048046</c:v>
                </c:pt>
                <c:pt idx="537">
                  <c:v>3.6263485997915276E-2</c:v>
                </c:pt>
                <c:pt idx="538">
                  <c:v>6.6441038250922929E-2</c:v>
                </c:pt>
                <c:pt idx="539">
                  <c:v>6.8263433128595313E-2</c:v>
                </c:pt>
                <c:pt idx="540">
                  <c:v>0.1467962093651296</c:v>
                </c:pt>
                <c:pt idx="541">
                  <c:v>0.111178433150053</c:v>
                </c:pt>
                <c:pt idx="542">
                  <c:v>8.147042319178581E-2</c:v>
                </c:pt>
                <c:pt idx="543">
                  <c:v>7.3573718219995449E-2</c:v>
                </c:pt>
                <c:pt idx="544">
                  <c:v>6.8276955559849847E-2</c:v>
                </c:pt>
                <c:pt idx="545">
                  <c:v>5.5960528552532161E-2</c:v>
                </c:pt>
                <c:pt idx="546">
                  <c:v>8.5438927635550471E-2</c:v>
                </c:pt>
                <c:pt idx="547">
                  <c:v>0.10212674885988227</c:v>
                </c:pt>
                <c:pt idx="548">
                  <c:v>9.8264266923069749E-2</c:v>
                </c:pt>
                <c:pt idx="549">
                  <c:v>0.10117978081107118</c:v>
                </c:pt>
                <c:pt idx="550">
                  <c:v>7.7535893023014252E-2</c:v>
                </c:pt>
                <c:pt idx="551">
                  <c:v>8.8616841286420861E-2</c:v>
                </c:pt>
                <c:pt idx="552">
                  <c:v>6.7158938944339691E-2</c:v>
                </c:pt>
                <c:pt idx="553">
                  <c:v>9.9911392061039758E-2</c:v>
                </c:pt>
                <c:pt idx="554">
                  <c:v>0.14955766946077359</c:v>
                </c:pt>
                <c:pt idx="555">
                  <c:v>0.14254745757207254</c:v>
                </c:pt>
                <c:pt idx="556">
                  <c:v>0.10327194593846807</c:v>
                </c:pt>
                <c:pt idx="557">
                  <c:v>6.8674591928720358E-2</c:v>
                </c:pt>
                <c:pt idx="558">
                  <c:v>7.5222832337021567E-2</c:v>
                </c:pt>
                <c:pt idx="559">
                  <c:v>6.7156736552715118E-2</c:v>
                </c:pt>
                <c:pt idx="560">
                  <c:v>7.1279056370258387E-2</c:v>
                </c:pt>
                <c:pt idx="561">
                  <c:v>5.2990231290459808E-2</c:v>
                </c:pt>
                <c:pt idx="562">
                  <c:v>0.10214100331068025</c:v>
                </c:pt>
                <c:pt idx="563">
                  <c:v>5.4896623641252494E-2</c:v>
                </c:pt>
                <c:pt idx="564">
                  <c:v>0.14768317714333501</c:v>
                </c:pt>
                <c:pt idx="565">
                  <c:v>9.1469375044107321E-2</c:v>
                </c:pt>
                <c:pt idx="566">
                  <c:v>5.2345626801252251E-2</c:v>
                </c:pt>
                <c:pt idx="567">
                  <c:v>7.196134701371204E-2</c:v>
                </c:pt>
                <c:pt idx="568">
                  <c:v>4.8570077866316022E-2</c:v>
                </c:pt>
                <c:pt idx="569">
                  <c:v>6.8912157788872816E-2</c:v>
                </c:pt>
                <c:pt idx="570">
                  <c:v>9.8819366842508291E-2</c:v>
                </c:pt>
                <c:pt idx="571">
                  <c:v>0.12657699026167396</c:v>
                </c:pt>
                <c:pt idx="572">
                  <c:v>0.12263218145817525</c:v>
                </c:pt>
                <c:pt idx="573">
                  <c:v>0.19882080629467977</c:v>
                </c:pt>
                <c:pt idx="574">
                  <c:v>0.1759215295314788</c:v>
                </c:pt>
                <c:pt idx="575">
                  <c:v>0.1433787614107131</c:v>
                </c:pt>
                <c:pt idx="576">
                  <c:v>0.19263451620936359</c:v>
                </c:pt>
                <c:pt idx="577">
                  <c:v>8.3486972749233307E-2</c:v>
                </c:pt>
                <c:pt idx="578">
                  <c:v>5.7104698941111531E-2</c:v>
                </c:pt>
                <c:pt idx="579">
                  <c:v>9.8235998302698121E-2</c:v>
                </c:pt>
                <c:pt idx="580">
                  <c:v>8.6465694883372773E-2</c:v>
                </c:pt>
                <c:pt idx="581">
                  <c:v>6.8476252816617483E-2</c:v>
                </c:pt>
                <c:pt idx="582">
                  <c:v>9.5441206544637627E-2</c:v>
                </c:pt>
                <c:pt idx="583">
                  <c:v>0.15775372460484513</c:v>
                </c:pt>
                <c:pt idx="584">
                  <c:v>0.11456954963505268</c:v>
                </c:pt>
                <c:pt idx="585">
                  <c:v>5.5981713533401381E-2</c:v>
                </c:pt>
                <c:pt idx="586">
                  <c:v>9.4034274667501472E-2</c:v>
                </c:pt>
                <c:pt idx="587">
                  <c:v>8.3245882391929482E-2</c:v>
                </c:pt>
                <c:pt idx="588">
                  <c:v>0.10225225090980561</c:v>
                </c:pt>
                <c:pt idx="589">
                  <c:v>7.3049184307456078E-2</c:v>
                </c:pt>
                <c:pt idx="590">
                  <c:v>7.4082424119115059E-2</c:v>
                </c:pt>
                <c:pt idx="591">
                  <c:v>5.0129104685038214E-2</c:v>
                </c:pt>
                <c:pt idx="592">
                  <c:v>8.9024717733264008E-2</c:v>
                </c:pt>
                <c:pt idx="593">
                  <c:v>3.1820667255669843E-2</c:v>
                </c:pt>
                <c:pt idx="594">
                  <c:v>8.520848080515861E-2</c:v>
                </c:pt>
                <c:pt idx="595">
                  <c:v>0.12142026349902149</c:v>
                </c:pt>
                <c:pt idx="596">
                  <c:v>0.14255510866642004</c:v>
                </c:pt>
                <c:pt idx="597">
                  <c:v>0.10965829528868207</c:v>
                </c:pt>
                <c:pt idx="598">
                  <c:v>7.0034988969564574E-2</c:v>
                </c:pt>
                <c:pt idx="599">
                  <c:v>0.10750728026032445</c:v>
                </c:pt>
                <c:pt idx="600">
                  <c:v>0.13541423578280945</c:v>
                </c:pt>
                <c:pt idx="601">
                  <c:v>7.4309533834457472E-2</c:v>
                </c:pt>
                <c:pt idx="602">
                  <c:v>7.7102953568100902E-2</c:v>
                </c:pt>
                <c:pt idx="603">
                  <c:v>6.3580147176980809E-2</c:v>
                </c:pt>
                <c:pt idx="604">
                  <c:v>0.10160928741097471</c:v>
                </c:pt>
                <c:pt idx="605">
                  <c:v>0.11019034683704379</c:v>
                </c:pt>
                <c:pt idx="606">
                  <c:v>2.0492187514901387E-2</c:v>
                </c:pt>
                <c:pt idx="607">
                  <c:v>5.4322750866413194E-2</c:v>
                </c:pt>
                <c:pt idx="608">
                  <c:v>5.1258052140474478E-2</c:v>
                </c:pt>
                <c:pt idx="609">
                  <c:v>5.5563731491565772E-2</c:v>
                </c:pt>
                <c:pt idx="610">
                  <c:v>7.4241884937509897E-2</c:v>
                </c:pt>
                <c:pt idx="611">
                  <c:v>3.2584597333334443E-2</c:v>
                </c:pt>
                <c:pt idx="612">
                  <c:v>3.124415408819926E-2</c:v>
                </c:pt>
                <c:pt idx="613">
                  <c:v>3.8123728334903677E-2</c:v>
                </c:pt>
                <c:pt idx="614">
                  <c:v>3.2577530294656896E-2</c:v>
                </c:pt>
                <c:pt idx="615">
                  <c:v>2.520461827516559E-2</c:v>
                </c:pt>
                <c:pt idx="616">
                  <c:v>4.2896527051925787E-2</c:v>
                </c:pt>
                <c:pt idx="617">
                  <c:v>7.2495728358626499E-2</c:v>
                </c:pt>
                <c:pt idx="618">
                  <c:v>8.4891897067427585E-2</c:v>
                </c:pt>
                <c:pt idx="619">
                  <c:v>8.024193644523625E-2</c:v>
                </c:pt>
                <c:pt idx="620">
                  <c:v>7.2964029759168686E-2</c:v>
                </c:pt>
                <c:pt idx="621">
                  <c:v>1.899775788187974E-2</c:v>
                </c:pt>
                <c:pt idx="622">
                  <c:v>5.7621548324823468E-2</c:v>
                </c:pt>
                <c:pt idx="623">
                  <c:v>8.0958746434771536E-2</c:v>
                </c:pt>
                <c:pt idx="624">
                  <c:v>9.9867003934923759E-2</c:v>
                </c:pt>
                <c:pt idx="625">
                  <c:v>6.7639051575679482E-2</c:v>
                </c:pt>
                <c:pt idx="626">
                  <c:v>6.946231313049793E-2</c:v>
                </c:pt>
                <c:pt idx="627">
                  <c:v>7.7956335991621106E-2</c:v>
                </c:pt>
                <c:pt idx="628">
                  <c:v>4.6210126578807763E-2</c:v>
                </c:pt>
                <c:pt idx="629">
                  <c:v>5.072349831461892E-2</c:v>
                </c:pt>
                <c:pt idx="630">
                  <c:v>2.5265426188707401E-2</c:v>
                </c:pt>
                <c:pt idx="631">
                  <c:v>0.10097529813647248</c:v>
                </c:pt>
                <c:pt idx="632">
                  <c:v>9.1173861548304716E-2</c:v>
                </c:pt>
                <c:pt idx="633">
                  <c:v>4.9704349040985148E-2</c:v>
                </c:pt>
                <c:pt idx="634">
                  <c:v>7.6308692991733568E-2</c:v>
                </c:pt>
                <c:pt idx="635">
                  <c:v>4.2256596684455951E-2</c:v>
                </c:pt>
                <c:pt idx="636">
                  <c:v>4.7112032584846156E-2</c:v>
                </c:pt>
                <c:pt idx="637">
                  <c:v>8.0045688245445584E-2</c:v>
                </c:pt>
                <c:pt idx="638">
                  <c:v>5.706124119460574E-2</c:v>
                </c:pt>
                <c:pt idx="639">
                  <c:v>6.3811708986759183E-2</c:v>
                </c:pt>
                <c:pt idx="640">
                  <c:v>5.762406997382654E-2</c:v>
                </c:pt>
                <c:pt idx="641">
                  <c:v>3.8152720406651443E-2</c:v>
                </c:pt>
                <c:pt idx="642">
                  <c:v>0.10928874053061011</c:v>
                </c:pt>
                <c:pt idx="643">
                  <c:v>0.12398041673004614</c:v>
                </c:pt>
                <c:pt idx="644">
                  <c:v>0.1003079608082772</c:v>
                </c:pt>
                <c:pt idx="645">
                  <c:v>5.4254230111837484E-2</c:v>
                </c:pt>
                <c:pt idx="646">
                  <c:v>3.4400599449872948E-2</c:v>
                </c:pt>
                <c:pt idx="647">
                  <c:v>7.7908357232809033E-2</c:v>
                </c:pt>
                <c:pt idx="648">
                  <c:v>9.5157569646835444E-2</c:v>
                </c:pt>
                <c:pt idx="649">
                  <c:v>0.12638139650225627</c:v>
                </c:pt>
                <c:pt idx="650">
                  <c:v>8.2757472246885205E-2</c:v>
                </c:pt>
                <c:pt idx="651">
                  <c:v>9.9192089587450114E-2</c:v>
                </c:pt>
                <c:pt idx="652">
                  <c:v>0.10403215400874614</c:v>
                </c:pt>
                <c:pt idx="653">
                  <c:v>0.11739578302949676</c:v>
                </c:pt>
                <c:pt idx="654">
                  <c:v>5.9946028329432154E-2</c:v>
                </c:pt>
                <c:pt idx="655">
                  <c:v>6.9394897669554034E-2</c:v>
                </c:pt>
                <c:pt idx="656">
                  <c:v>7.6394295692443812E-2</c:v>
                </c:pt>
                <c:pt idx="657">
                  <c:v>5.5645546317100503E-2</c:v>
                </c:pt>
                <c:pt idx="658">
                  <c:v>6.1863385885953824E-2</c:v>
                </c:pt>
                <c:pt idx="659">
                  <c:v>9.5315208658575984E-2</c:v>
                </c:pt>
                <c:pt idx="660">
                  <c:v>8.2206507772207296E-2</c:v>
                </c:pt>
                <c:pt idx="661">
                  <c:v>6.3478385657072089E-2</c:v>
                </c:pt>
                <c:pt idx="662">
                  <c:v>5.2856938540935594E-2</c:v>
                </c:pt>
                <c:pt idx="663">
                  <c:v>5.6812422350048908E-2</c:v>
                </c:pt>
                <c:pt idx="664">
                  <c:v>5.8888803236186581E-2</c:v>
                </c:pt>
                <c:pt idx="665">
                  <c:v>8.280679751187546E-2</c:v>
                </c:pt>
                <c:pt idx="666">
                  <c:v>5.8972915820777426E-2</c:v>
                </c:pt>
                <c:pt idx="667">
                  <c:v>0.12162783965468424</c:v>
                </c:pt>
                <c:pt idx="668">
                  <c:v>0.14117888733744616</c:v>
                </c:pt>
                <c:pt idx="669">
                  <c:v>0.10142070874571811</c:v>
                </c:pt>
                <c:pt idx="670">
                  <c:v>8.8805773109197725E-2</c:v>
                </c:pt>
                <c:pt idx="671">
                  <c:v>5.266152918338779E-2</c:v>
                </c:pt>
                <c:pt idx="672">
                  <c:v>5.3041412122547572E-2</c:v>
                </c:pt>
                <c:pt idx="673">
                  <c:v>0.10260019302368165</c:v>
                </c:pt>
                <c:pt idx="674">
                  <c:v>6.4392636716365845E-2</c:v>
                </c:pt>
                <c:pt idx="675">
                  <c:v>8.7193845212459653E-2</c:v>
                </c:pt>
                <c:pt idx="676">
                  <c:v>4.7434238344430835E-2</c:v>
                </c:pt>
                <c:pt idx="677">
                  <c:v>5.6786949932575284E-2</c:v>
                </c:pt>
                <c:pt idx="678">
                  <c:v>0.11983351334929451</c:v>
                </c:pt>
                <c:pt idx="679">
                  <c:v>0.12839921936392787</c:v>
                </c:pt>
                <c:pt idx="680">
                  <c:v>0.12428946867585181</c:v>
                </c:pt>
                <c:pt idx="681">
                  <c:v>4.9365439265966336E-2</c:v>
                </c:pt>
                <c:pt idx="682">
                  <c:v>8.4460574015974843E-2</c:v>
                </c:pt>
                <c:pt idx="683">
                  <c:v>8.1332379579544062E-2</c:v>
                </c:pt>
                <c:pt idx="684">
                  <c:v>5.9106656536459745E-2</c:v>
                </c:pt>
                <c:pt idx="685">
                  <c:v>4.6592375217005724E-2</c:v>
                </c:pt>
                <c:pt idx="686">
                  <c:v>4.3354916572570748E-2</c:v>
                </c:pt>
                <c:pt idx="687">
                  <c:v>4.7417660057544921E-2</c:v>
                </c:pt>
                <c:pt idx="688">
                  <c:v>2.2283578664064517E-2</c:v>
                </c:pt>
                <c:pt idx="689">
                  <c:v>2.3313026130199137E-2</c:v>
                </c:pt>
                <c:pt idx="690">
                  <c:v>4.3774510547518783E-2</c:v>
                </c:pt>
                <c:pt idx="691">
                  <c:v>4.2843093723058764E-2</c:v>
                </c:pt>
                <c:pt idx="692">
                  <c:v>0.11854754909873019</c:v>
                </c:pt>
                <c:pt idx="693">
                  <c:v>7.4435388669371438E-2</c:v>
                </c:pt>
                <c:pt idx="694">
                  <c:v>7.4871515110134984E-2</c:v>
                </c:pt>
                <c:pt idx="695">
                  <c:v>0.10287839956581597</c:v>
                </c:pt>
                <c:pt idx="696">
                  <c:v>6.4310257881879579E-2</c:v>
                </c:pt>
                <c:pt idx="697">
                  <c:v>8.703381344676013E-2</c:v>
                </c:pt>
                <c:pt idx="698">
                  <c:v>7.8288520127534816E-2</c:v>
                </c:pt>
                <c:pt idx="699">
                  <c:v>3.8564536347985248E-2</c:v>
                </c:pt>
                <c:pt idx="700">
                  <c:v>6.7319742590189163E-2</c:v>
                </c:pt>
                <c:pt idx="701">
                  <c:v>4.8880364000797191E-2</c:v>
                </c:pt>
                <c:pt idx="702">
                  <c:v>4.9608562886715037E-2</c:v>
                </c:pt>
                <c:pt idx="703">
                  <c:v>6.8479488044977235E-2</c:v>
                </c:pt>
                <c:pt idx="704">
                  <c:v>4.7243946418166261E-2</c:v>
                </c:pt>
                <c:pt idx="705">
                  <c:v>7.1649213880300405E-2</c:v>
                </c:pt>
                <c:pt idx="706">
                  <c:v>9.4192053005099363E-2</c:v>
                </c:pt>
                <c:pt idx="707">
                  <c:v>7.5214926153421416E-2</c:v>
                </c:pt>
                <c:pt idx="708">
                  <c:v>7.3878885805606628E-2</c:v>
                </c:pt>
                <c:pt idx="709">
                  <c:v>7.8240043669939058E-2</c:v>
                </c:pt>
                <c:pt idx="710">
                  <c:v>5.4082892835139992E-2</c:v>
                </c:pt>
                <c:pt idx="711">
                  <c:v>4.3099855631589856E-2</c:v>
                </c:pt>
                <c:pt idx="712">
                  <c:v>5.4284909740090481E-2</c:v>
                </c:pt>
                <c:pt idx="713">
                  <c:v>6.5589852258563133E-2</c:v>
                </c:pt>
                <c:pt idx="714">
                  <c:v>0.1149723038077354</c:v>
                </c:pt>
                <c:pt idx="715">
                  <c:v>8.2059488724917168E-2</c:v>
                </c:pt>
                <c:pt idx="716">
                  <c:v>4.2355753388255715E-2</c:v>
                </c:pt>
                <c:pt idx="717">
                  <c:v>4.8858464695513401E-2</c:v>
                </c:pt>
                <c:pt idx="718">
                  <c:v>3.8646697252989012E-2</c:v>
                </c:pt>
                <c:pt idx="719">
                  <c:v>6.215787865221499E-2</c:v>
                </c:pt>
                <c:pt idx="720">
                  <c:v>5.8052758872509012E-2</c:v>
                </c:pt>
                <c:pt idx="721">
                  <c:v>8.9919232577085589E-2</c:v>
                </c:pt>
                <c:pt idx="722">
                  <c:v>0.10054027102887637</c:v>
                </c:pt>
                <c:pt idx="723">
                  <c:v>4.6082535386085553E-2</c:v>
                </c:pt>
                <c:pt idx="724">
                  <c:v>4.8646610230207291E-2</c:v>
                </c:pt>
                <c:pt idx="725">
                  <c:v>7.9580064862966704E-2</c:v>
                </c:pt>
                <c:pt idx="726">
                  <c:v>7.7478837966919206E-2</c:v>
                </c:pt>
                <c:pt idx="727">
                  <c:v>9.5647723320871555E-2</c:v>
                </c:pt>
                <c:pt idx="728">
                  <c:v>7.9831426218152035E-2</c:v>
                </c:pt>
                <c:pt idx="729">
                  <c:v>9.6454245969653005E-2</c:v>
                </c:pt>
                <c:pt idx="730">
                  <c:v>5.7404451444745E-2</c:v>
                </c:pt>
                <c:pt idx="731">
                  <c:v>4.8808869719505231E-2</c:v>
                </c:pt>
                <c:pt idx="732">
                  <c:v>7.9168102145195166E-2</c:v>
                </c:pt>
                <c:pt idx="733">
                  <c:v>2.4340689554810609E-2</c:v>
                </c:pt>
                <c:pt idx="734">
                  <c:v>6.9882331416010912E-2</c:v>
                </c:pt>
                <c:pt idx="735">
                  <c:v>6.9540759176015987E-2</c:v>
                </c:pt>
                <c:pt idx="736">
                  <c:v>6.1798838898539585E-2</c:v>
                </c:pt>
                <c:pt idx="737">
                  <c:v>5.0300411134958325E-2</c:v>
                </c:pt>
                <c:pt idx="738">
                  <c:v>4.5244428710430093E-2</c:v>
                </c:pt>
                <c:pt idx="739">
                  <c:v>3.4172431286424415E-2</c:v>
                </c:pt>
                <c:pt idx="740">
                  <c:v>6.6812163940630748E-2</c:v>
                </c:pt>
                <c:pt idx="741">
                  <c:v>3.4104416146874338E-2</c:v>
                </c:pt>
                <c:pt idx="742">
                  <c:v>5.75934976339341E-2</c:v>
                </c:pt>
                <c:pt idx="743">
                  <c:v>5.6803024560213022E-2</c:v>
                </c:pt>
                <c:pt idx="744">
                  <c:v>7.0022856444120568E-2</c:v>
                </c:pt>
                <c:pt idx="745">
                  <c:v>6.2426256388425985E-2</c:v>
                </c:pt>
                <c:pt idx="746">
                  <c:v>5.3963002562522878E-2</c:v>
                </c:pt>
                <c:pt idx="747">
                  <c:v>3.7965235859155608E-2</c:v>
                </c:pt>
                <c:pt idx="748">
                  <c:v>5.9149660542607341E-2</c:v>
                </c:pt>
                <c:pt idx="749">
                  <c:v>0.12883128300309193</c:v>
                </c:pt>
                <c:pt idx="750">
                  <c:v>0.15992806125432271</c:v>
                </c:pt>
                <c:pt idx="751">
                  <c:v>0.15310815628617988</c:v>
                </c:pt>
                <c:pt idx="752">
                  <c:v>8.5412527620792364E-2</c:v>
                </c:pt>
                <c:pt idx="753">
                  <c:v>0.12188499793410301</c:v>
                </c:pt>
                <c:pt idx="754">
                  <c:v>5.371019542217248E-2</c:v>
                </c:pt>
                <c:pt idx="755">
                  <c:v>9.8930258303880539E-2</c:v>
                </c:pt>
                <c:pt idx="756">
                  <c:v>8.0251222103834105E-2</c:v>
                </c:pt>
                <c:pt idx="757">
                  <c:v>7.0798579324036839E-2</c:v>
                </c:pt>
                <c:pt idx="758">
                  <c:v>5.4796134121715967E-2</c:v>
                </c:pt>
                <c:pt idx="759">
                  <c:v>9.7786116972565715E-2</c:v>
                </c:pt>
                <c:pt idx="760">
                  <c:v>9.6451487159356405E-2</c:v>
                </c:pt>
                <c:pt idx="761">
                  <c:v>9.6631822735071357E-2</c:v>
                </c:pt>
                <c:pt idx="762">
                  <c:v>8.6342223733663584E-2</c:v>
                </c:pt>
                <c:pt idx="763">
                  <c:v>5.9081811457872294E-2</c:v>
                </c:pt>
                <c:pt idx="764">
                  <c:v>8.7057945132255538E-2</c:v>
                </c:pt>
                <c:pt idx="765">
                  <c:v>6.5169288963079455E-2</c:v>
                </c:pt>
                <c:pt idx="766">
                  <c:v>5.1766445487737719E-2</c:v>
                </c:pt>
                <c:pt idx="767">
                  <c:v>7.8863155841827431E-2</c:v>
                </c:pt>
                <c:pt idx="768">
                  <c:v>5.9734376147389343E-2</c:v>
                </c:pt>
                <c:pt idx="769">
                  <c:v>8.9402187615633066E-2</c:v>
                </c:pt>
                <c:pt idx="770">
                  <c:v>5.8234876394271662E-2</c:v>
                </c:pt>
                <c:pt idx="771">
                  <c:v>7.8404871746897475E-2</c:v>
                </c:pt>
                <c:pt idx="772">
                  <c:v>9.1012762486934434E-2</c:v>
                </c:pt>
                <c:pt idx="773">
                  <c:v>7.2536319121718373E-2</c:v>
                </c:pt>
                <c:pt idx="774">
                  <c:v>4.7732275724411008E-2</c:v>
                </c:pt>
                <c:pt idx="775">
                  <c:v>5.632269680500035E-2</c:v>
                </c:pt>
                <c:pt idx="776">
                  <c:v>9.2455469816922986E-2</c:v>
                </c:pt>
                <c:pt idx="777">
                  <c:v>0.11776409707963467</c:v>
                </c:pt>
                <c:pt idx="778">
                  <c:v>0.12317548207938682</c:v>
                </c:pt>
                <c:pt idx="779">
                  <c:v>9.3668640777468767E-2</c:v>
                </c:pt>
                <c:pt idx="780">
                  <c:v>3.108657505363225E-2</c:v>
                </c:pt>
                <c:pt idx="781">
                  <c:v>7.2609874990303219E-2</c:v>
                </c:pt>
                <c:pt idx="782">
                  <c:v>6.8057040497660537E-2</c:v>
                </c:pt>
                <c:pt idx="783">
                  <c:v>8.8833384588360598E-2</c:v>
                </c:pt>
                <c:pt idx="784">
                  <c:v>0.11696238964796069</c:v>
                </c:pt>
                <c:pt idx="785">
                  <c:v>0.11692173108458512</c:v>
                </c:pt>
                <c:pt idx="786">
                  <c:v>7.2649774327874297E-2</c:v>
                </c:pt>
                <c:pt idx="787">
                  <c:v>9.7241348028183114E-2</c:v>
                </c:pt>
                <c:pt idx="788">
                  <c:v>0.11849543899297714</c:v>
                </c:pt>
                <c:pt idx="789">
                  <c:v>7.6764911599457128E-2</c:v>
                </c:pt>
                <c:pt idx="790">
                  <c:v>5.4061201773583908E-2</c:v>
                </c:pt>
                <c:pt idx="791">
                  <c:v>6.5706755593419069E-2</c:v>
                </c:pt>
                <c:pt idx="792">
                  <c:v>7.0973836630582793E-2</c:v>
                </c:pt>
                <c:pt idx="793">
                  <c:v>2.7424854785204001E-2</c:v>
                </c:pt>
                <c:pt idx="794">
                  <c:v>6.5025930851698027E-2</c:v>
                </c:pt>
                <c:pt idx="795">
                  <c:v>6.5713524073362228E-2</c:v>
                </c:pt>
                <c:pt idx="796">
                  <c:v>0.10233279466629053</c:v>
                </c:pt>
                <c:pt idx="797">
                  <c:v>9.0533894300460785E-2</c:v>
                </c:pt>
                <c:pt idx="798">
                  <c:v>4.5250274240970813E-2</c:v>
                </c:pt>
                <c:pt idx="799">
                  <c:v>3.7321300804614883E-2</c:v>
                </c:pt>
                <c:pt idx="800">
                  <c:v>9.0962223708629705E-2</c:v>
                </c:pt>
                <c:pt idx="801">
                  <c:v>4.8861688748002126E-2</c:v>
                </c:pt>
                <c:pt idx="802">
                  <c:v>5.1364230737090157E-2</c:v>
                </c:pt>
                <c:pt idx="803">
                  <c:v>4.6099548041820496E-2</c:v>
                </c:pt>
                <c:pt idx="804">
                  <c:v>3.3245477825403241E-2</c:v>
                </c:pt>
                <c:pt idx="805">
                  <c:v>3.1023930758237887E-2</c:v>
                </c:pt>
                <c:pt idx="806">
                  <c:v>4.9132532626390321E-2</c:v>
                </c:pt>
                <c:pt idx="807">
                  <c:v>7.4035119265317806E-2</c:v>
                </c:pt>
                <c:pt idx="808">
                  <c:v>9.1602564603090311E-2</c:v>
                </c:pt>
                <c:pt idx="809">
                  <c:v>9.85213272273541E-2</c:v>
                </c:pt>
                <c:pt idx="810">
                  <c:v>4.8559985496103769E-2</c:v>
                </c:pt>
                <c:pt idx="811">
                  <c:v>6.3615502789616585E-2</c:v>
                </c:pt>
                <c:pt idx="812">
                  <c:v>8.4075573459267666E-2</c:v>
                </c:pt>
                <c:pt idx="813">
                  <c:v>8.4415579214692033E-2</c:v>
                </c:pt>
                <c:pt idx="814">
                  <c:v>6.0202833637595335E-2</c:v>
                </c:pt>
                <c:pt idx="815">
                  <c:v>7.2216498851776084E-2</c:v>
                </c:pt>
                <c:pt idx="816">
                  <c:v>5.4529383406042964E-2</c:v>
                </c:pt>
                <c:pt idx="817">
                  <c:v>7.4319034814834706E-2</c:v>
                </c:pt>
                <c:pt idx="818">
                  <c:v>6.695468500256542E-2</c:v>
                </c:pt>
                <c:pt idx="819">
                  <c:v>7.8157059103250465E-2</c:v>
                </c:pt>
                <c:pt idx="820">
                  <c:v>6.6684179753064995E-2</c:v>
                </c:pt>
                <c:pt idx="821">
                  <c:v>2.3184867948293726E-2</c:v>
                </c:pt>
                <c:pt idx="822">
                  <c:v>4.6535703167319122E-2</c:v>
                </c:pt>
                <c:pt idx="823">
                  <c:v>5.4306229203939481E-2</c:v>
                </c:pt>
                <c:pt idx="824">
                  <c:v>7.1474360674619666E-2</c:v>
                </c:pt>
                <c:pt idx="825">
                  <c:v>0.11118491217494005</c:v>
                </c:pt>
                <c:pt idx="826">
                  <c:v>5.6180904060602235E-2</c:v>
                </c:pt>
                <c:pt idx="827">
                  <c:v>3.5021852701902265E-2</c:v>
                </c:pt>
                <c:pt idx="828">
                  <c:v>3.0334680294617965E-2</c:v>
                </c:pt>
                <c:pt idx="829">
                  <c:v>6.0984795913100298E-2</c:v>
                </c:pt>
                <c:pt idx="830">
                  <c:v>5.605484284460531E-2</c:v>
                </c:pt>
                <c:pt idx="831">
                  <c:v>6.8792735785246001E-2</c:v>
                </c:pt>
                <c:pt idx="832">
                  <c:v>6.4978910982608773E-2</c:v>
                </c:pt>
                <c:pt idx="833">
                  <c:v>5.0371646508574584E-2</c:v>
                </c:pt>
                <c:pt idx="834">
                  <c:v>5.7815708592534168E-2</c:v>
                </c:pt>
                <c:pt idx="835">
                  <c:v>4.2280824482441012E-2</c:v>
                </c:pt>
                <c:pt idx="836">
                  <c:v>4.6180627495050523E-2</c:v>
                </c:pt>
                <c:pt idx="837">
                  <c:v>9.0775251388549805E-2</c:v>
                </c:pt>
                <c:pt idx="838">
                  <c:v>0.19614853784441938</c:v>
                </c:pt>
                <c:pt idx="839">
                  <c:v>9.8406962305307474E-2</c:v>
                </c:pt>
                <c:pt idx="840">
                  <c:v>6.3678339868783865E-2</c:v>
                </c:pt>
                <c:pt idx="841">
                  <c:v>6.8602905981242815E-2</c:v>
                </c:pt>
                <c:pt idx="842">
                  <c:v>5.7730958238244034E-2</c:v>
                </c:pt>
                <c:pt idx="843">
                  <c:v>5.1206525042652981E-2</c:v>
                </c:pt>
                <c:pt idx="844">
                  <c:v>4.3966686725616419E-2</c:v>
                </c:pt>
                <c:pt idx="845">
                  <c:v>2.2688420116901486E-2</c:v>
                </c:pt>
                <c:pt idx="846">
                  <c:v>5.9187592193484372E-2</c:v>
                </c:pt>
                <c:pt idx="847">
                  <c:v>6.2375803291797385E-2</c:v>
                </c:pt>
                <c:pt idx="848">
                  <c:v>7.5147544592618826E-2</c:v>
                </c:pt>
                <c:pt idx="849">
                  <c:v>6.519032120704657E-2</c:v>
                </c:pt>
                <c:pt idx="850">
                  <c:v>5.952581465244304E-2</c:v>
                </c:pt>
                <c:pt idx="851">
                  <c:v>2.9108080267906254E-2</c:v>
                </c:pt>
                <c:pt idx="852">
                  <c:v>5.0420913472771667E-2</c:v>
                </c:pt>
                <c:pt idx="853">
                  <c:v>0.10398044362664238</c:v>
                </c:pt>
                <c:pt idx="854">
                  <c:v>8.2668724656104878E-2</c:v>
                </c:pt>
                <c:pt idx="855">
                  <c:v>9.9408587813377483E-2</c:v>
                </c:pt>
                <c:pt idx="856">
                  <c:v>7.2098954766988757E-2</c:v>
                </c:pt>
                <c:pt idx="857">
                  <c:v>5.2387498319149052E-2</c:v>
                </c:pt>
                <c:pt idx="858">
                  <c:v>7.5698585808276972E-2</c:v>
                </c:pt>
                <c:pt idx="859">
                  <c:v>6.0883721709251312E-2</c:v>
                </c:pt>
                <c:pt idx="860">
                  <c:v>6.0375023633241487E-2</c:v>
                </c:pt>
                <c:pt idx="861">
                  <c:v>5.1620263606309801E-2</c:v>
                </c:pt>
                <c:pt idx="862">
                  <c:v>5.9646479040384073E-2</c:v>
                </c:pt>
                <c:pt idx="863">
                  <c:v>1.9267202168702906E-2</c:v>
                </c:pt>
                <c:pt idx="864">
                  <c:v>6.0228744894266183E-2</c:v>
                </c:pt>
                <c:pt idx="865">
                  <c:v>8.3472736552357707E-2</c:v>
                </c:pt>
                <c:pt idx="866">
                  <c:v>0.12301994673907748</c:v>
                </c:pt>
                <c:pt idx="867">
                  <c:v>5.0351932644844243E-2</c:v>
                </c:pt>
                <c:pt idx="868">
                  <c:v>6.9123393297195468E-2</c:v>
                </c:pt>
                <c:pt idx="869">
                  <c:v>4.7314185649156661E-2</c:v>
                </c:pt>
                <c:pt idx="870">
                  <c:v>9.8011717572808382E-2</c:v>
                </c:pt>
                <c:pt idx="871">
                  <c:v>5.9536040574312075E-2</c:v>
                </c:pt>
                <c:pt idx="872">
                  <c:v>5.81709481775761E-2</c:v>
                </c:pt>
                <c:pt idx="873">
                  <c:v>5.5829409509897232E-2</c:v>
                </c:pt>
                <c:pt idx="874">
                  <c:v>4.450364261865606E-2</c:v>
                </c:pt>
                <c:pt idx="875">
                  <c:v>3.6739206314086982E-2</c:v>
                </c:pt>
                <c:pt idx="876">
                  <c:v>3.4408640488982324E-2</c:v>
                </c:pt>
                <c:pt idx="877">
                  <c:v>6.7712556570768398E-2</c:v>
                </c:pt>
                <c:pt idx="878">
                  <c:v>5.1444502919912274E-2</c:v>
                </c:pt>
                <c:pt idx="879">
                  <c:v>5.4783768206834761E-2</c:v>
                </c:pt>
                <c:pt idx="880">
                  <c:v>4.1896846517920708E-2</c:v>
                </c:pt>
                <c:pt idx="881">
                  <c:v>6.547041931189615E-2</c:v>
                </c:pt>
                <c:pt idx="882">
                  <c:v>6.243280096678059E-2</c:v>
                </c:pt>
                <c:pt idx="883">
                  <c:v>0.10445920755155383</c:v>
                </c:pt>
                <c:pt idx="884">
                  <c:v>0.10667419508099571</c:v>
                </c:pt>
                <c:pt idx="885">
                  <c:v>5.3386976569890901E-2</c:v>
                </c:pt>
                <c:pt idx="886">
                  <c:v>7.03819230198858E-2</c:v>
                </c:pt>
                <c:pt idx="887">
                  <c:v>2.6160289719700795E-2</c:v>
                </c:pt>
                <c:pt idx="888">
                  <c:v>3.618432395160194E-2</c:v>
                </c:pt>
                <c:pt idx="889">
                  <c:v>0.15032409653067572</c:v>
                </c:pt>
                <c:pt idx="890">
                  <c:v>0.16383577510714523</c:v>
                </c:pt>
                <c:pt idx="891">
                  <c:v>0.11850017085671424</c:v>
                </c:pt>
                <c:pt idx="892">
                  <c:v>6.8027395755052469E-2</c:v>
                </c:pt>
                <c:pt idx="893">
                  <c:v>9.5794389396905738E-2</c:v>
                </c:pt>
                <c:pt idx="894">
                  <c:v>4.503358816727987E-2</c:v>
                </c:pt>
                <c:pt idx="895">
                  <c:v>8.017975911498057E-2</c:v>
                </c:pt>
                <c:pt idx="896">
                  <c:v>9.4402463641017759E-2</c:v>
                </c:pt>
                <c:pt idx="897">
                  <c:v>9.1259589791297849E-2</c:v>
                </c:pt>
                <c:pt idx="898">
                  <c:v>6.9355440884828506E-2</c:v>
                </c:pt>
                <c:pt idx="899">
                  <c:v>0.13812624663114553</c:v>
                </c:pt>
                <c:pt idx="900">
                  <c:v>6.9712091609835533E-2</c:v>
                </c:pt>
                <c:pt idx="901">
                  <c:v>0.10218764375895287</c:v>
                </c:pt>
                <c:pt idx="902">
                  <c:v>8.6238578334450672E-2</c:v>
                </c:pt>
                <c:pt idx="903">
                  <c:v>5.0194591283798232E-2</c:v>
                </c:pt>
                <c:pt idx="904">
                  <c:v>6.9704910740256434E-2</c:v>
                </c:pt>
                <c:pt idx="905">
                  <c:v>7.862767726182926E-2</c:v>
                </c:pt>
                <c:pt idx="906">
                  <c:v>9.8366443067789341E-2</c:v>
                </c:pt>
                <c:pt idx="907">
                  <c:v>0.12075124010443686</c:v>
                </c:pt>
                <c:pt idx="908">
                  <c:v>5.9619867056608253E-2</c:v>
                </c:pt>
                <c:pt idx="909">
                  <c:v>0.10461633005179456</c:v>
                </c:pt>
                <c:pt idx="910">
                  <c:v>8.1781031750142646E-2</c:v>
                </c:pt>
                <c:pt idx="911">
                  <c:v>9.8967496445402509E-2</c:v>
                </c:pt>
                <c:pt idx="912">
                  <c:v>8.5986716905608773E-2</c:v>
                </c:pt>
                <c:pt idx="913">
                  <c:v>0.110003912821412</c:v>
                </c:pt>
                <c:pt idx="914">
                  <c:v>7.6742315292358504E-2</c:v>
                </c:pt>
                <c:pt idx="915">
                  <c:v>7.3565775901079017E-2</c:v>
                </c:pt>
                <c:pt idx="916">
                  <c:v>7.1773932129144874E-2</c:v>
                </c:pt>
                <c:pt idx="917">
                  <c:v>6.9688144326209969E-2</c:v>
                </c:pt>
                <c:pt idx="918">
                  <c:v>8.1629079580307101E-2</c:v>
                </c:pt>
                <c:pt idx="919">
                  <c:v>2.4826788902282702E-2</c:v>
                </c:pt>
                <c:pt idx="920">
                  <c:v>7.7523662894963999E-2</c:v>
                </c:pt>
                <c:pt idx="921">
                  <c:v>6.9208525493741013E-2</c:v>
                </c:pt>
                <c:pt idx="922">
                  <c:v>4.1163321956992169E-2</c:v>
                </c:pt>
                <c:pt idx="923">
                  <c:v>7.8649493027478506E-2</c:v>
                </c:pt>
                <c:pt idx="924">
                  <c:v>7.8080074489116441E-2</c:v>
                </c:pt>
                <c:pt idx="925">
                  <c:v>0.10582065001362936</c:v>
                </c:pt>
                <c:pt idx="926">
                  <c:v>0.11642304714769143</c:v>
                </c:pt>
                <c:pt idx="927">
                  <c:v>9.0103768557310199E-2</c:v>
                </c:pt>
                <c:pt idx="928">
                  <c:v>9.8434977978468063E-2</c:v>
                </c:pt>
                <c:pt idx="929">
                  <c:v>3.5300665348768225E-2</c:v>
                </c:pt>
                <c:pt idx="930">
                  <c:v>4.6409883722663095E-2</c:v>
                </c:pt>
                <c:pt idx="931">
                  <c:v>6.9728719443082732E-2</c:v>
                </c:pt>
                <c:pt idx="932">
                  <c:v>5.7027752697467779E-2</c:v>
                </c:pt>
                <c:pt idx="933">
                  <c:v>4.5517995953559973E-2</c:v>
                </c:pt>
                <c:pt idx="934">
                  <c:v>1.6261490434408072E-2</c:v>
                </c:pt>
                <c:pt idx="935">
                  <c:v>3.1827026978135109E-2</c:v>
                </c:pt>
                <c:pt idx="936">
                  <c:v>4.7725547850131958E-2</c:v>
                </c:pt>
                <c:pt idx="937">
                  <c:v>8.9181125536560962E-2</c:v>
                </c:pt>
                <c:pt idx="938">
                  <c:v>0.13416126742959028</c:v>
                </c:pt>
                <c:pt idx="939">
                  <c:v>0.14033672832883898</c:v>
                </c:pt>
                <c:pt idx="940">
                  <c:v>6.899580247700221E-2</c:v>
                </c:pt>
                <c:pt idx="941">
                  <c:v>0.14094388484954826</c:v>
                </c:pt>
                <c:pt idx="942">
                  <c:v>0.12278365045785908</c:v>
                </c:pt>
                <c:pt idx="943">
                  <c:v>0.10979769304394738</c:v>
                </c:pt>
                <c:pt idx="944">
                  <c:v>5.5231080949306524E-2</c:v>
                </c:pt>
                <c:pt idx="945">
                  <c:v>5.8807266503572396E-2</c:v>
                </c:pt>
                <c:pt idx="946">
                  <c:v>9.851694013923401E-2</c:v>
                </c:pt>
                <c:pt idx="947">
                  <c:v>0.11727556631667543</c:v>
                </c:pt>
                <c:pt idx="948">
                  <c:v>5.115619748830795E-2</c:v>
                </c:pt>
                <c:pt idx="949">
                  <c:v>6.157196536660188E-2</c:v>
                </c:pt>
                <c:pt idx="950">
                  <c:v>8.8805177249014308E-2</c:v>
                </c:pt>
                <c:pt idx="951">
                  <c:v>0.18370697163045396</c:v>
                </c:pt>
                <c:pt idx="952">
                  <c:v>2.3408533027395532E-2</c:v>
                </c:pt>
                <c:pt idx="953">
                  <c:v>7.4781443551182658E-2</c:v>
                </c:pt>
                <c:pt idx="954">
                  <c:v>7.2155328094959365E-2</c:v>
                </c:pt>
                <c:pt idx="955">
                  <c:v>8.4578526020050088E-2</c:v>
                </c:pt>
                <c:pt idx="956">
                  <c:v>8.3040816709399182E-2</c:v>
                </c:pt>
                <c:pt idx="957">
                  <c:v>6.947180852293984E-2</c:v>
                </c:pt>
                <c:pt idx="958">
                  <c:v>8.7779434397816436E-2</c:v>
                </c:pt>
                <c:pt idx="959">
                  <c:v>0.12749511878937492</c:v>
                </c:pt>
                <c:pt idx="960">
                  <c:v>9.4807940721511691E-2</c:v>
                </c:pt>
                <c:pt idx="961">
                  <c:v>8.5886843129992715E-2</c:v>
                </c:pt>
                <c:pt idx="962">
                  <c:v>5.0618284940719363E-2</c:v>
                </c:pt>
                <c:pt idx="963">
                  <c:v>8.3040030300616963E-2</c:v>
                </c:pt>
                <c:pt idx="964">
                  <c:v>7.6051584631204677E-2</c:v>
                </c:pt>
                <c:pt idx="965">
                  <c:v>5.227748565375815E-2</c:v>
                </c:pt>
                <c:pt idx="966">
                  <c:v>0.13190481252968306</c:v>
                </c:pt>
                <c:pt idx="967">
                  <c:v>7.7015146240592067E-2</c:v>
                </c:pt>
                <c:pt idx="968">
                  <c:v>0.13316788524389278</c:v>
                </c:pt>
                <c:pt idx="969">
                  <c:v>6.1640512850135686E-2</c:v>
                </c:pt>
                <c:pt idx="970">
                  <c:v>5.548016317188742E-2</c:v>
                </c:pt>
                <c:pt idx="971">
                  <c:v>5.0780767574906474E-2</c:v>
                </c:pt>
                <c:pt idx="972">
                  <c:v>0.11799472831189639</c:v>
                </c:pt>
                <c:pt idx="973">
                  <c:v>7.67847750335931E-2</c:v>
                </c:pt>
                <c:pt idx="974">
                  <c:v>6.4252964407205529E-2</c:v>
                </c:pt>
                <c:pt idx="975">
                  <c:v>6.5482489019632426E-2</c:v>
                </c:pt>
                <c:pt idx="976">
                  <c:v>8.1667898967862085E-2</c:v>
                </c:pt>
                <c:pt idx="977">
                  <c:v>7.2339045628905335E-2</c:v>
                </c:pt>
                <c:pt idx="978">
                  <c:v>3.1510538607835814E-2</c:v>
                </c:pt>
                <c:pt idx="979">
                  <c:v>0.18978391773998757</c:v>
                </c:pt>
                <c:pt idx="980">
                  <c:v>9.3440490588545699E-2</c:v>
                </c:pt>
                <c:pt idx="981">
                  <c:v>4.5602279156446185E-2</c:v>
                </c:pt>
                <c:pt idx="982">
                  <c:v>3.8492520898580455E-2</c:v>
                </c:pt>
                <c:pt idx="983">
                  <c:v>6.0650497954338946E-2</c:v>
                </c:pt>
                <c:pt idx="984">
                  <c:v>0.15067144064232713</c:v>
                </c:pt>
                <c:pt idx="985">
                  <c:v>0.15779706928879028</c:v>
                </c:pt>
                <c:pt idx="986">
                  <c:v>0.19956612307578347</c:v>
                </c:pt>
                <c:pt idx="987">
                  <c:v>0.14623393118381503</c:v>
                </c:pt>
                <c:pt idx="988">
                  <c:v>0.1755013175308705</c:v>
                </c:pt>
                <c:pt idx="989">
                  <c:v>0.15984461084008211</c:v>
                </c:pt>
                <c:pt idx="990">
                  <c:v>9.4415650144219349E-2</c:v>
                </c:pt>
                <c:pt idx="991">
                  <c:v>8.733620271086702E-2</c:v>
                </c:pt>
                <c:pt idx="992">
                  <c:v>0.13133238460868601</c:v>
                </c:pt>
                <c:pt idx="993">
                  <c:v>0.23129255957901479</c:v>
                </c:pt>
                <c:pt idx="994">
                  <c:v>0.18524074791930617</c:v>
                </c:pt>
                <c:pt idx="995">
                  <c:v>0.24456390193663524</c:v>
                </c:pt>
                <c:pt idx="996">
                  <c:v>0.12845333963632591</c:v>
                </c:pt>
                <c:pt idx="997">
                  <c:v>0.1268902510404587</c:v>
                </c:pt>
                <c:pt idx="998">
                  <c:v>0.15285556353628654</c:v>
                </c:pt>
                <c:pt idx="999">
                  <c:v>6.1091633141040894E-2</c:v>
                </c:pt>
                <c:pt idx="1000">
                  <c:v>7.8320585563778938E-2</c:v>
                </c:pt>
                <c:pt idx="1001">
                  <c:v>0.10047757178544992</c:v>
                </c:pt>
              </c:numCache>
            </c:numRef>
          </c:val>
          <c:smooth val="0"/>
        </c:ser>
        <c:dLbls>
          <c:showLegendKey val="0"/>
          <c:showVal val="0"/>
          <c:showCatName val="0"/>
          <c:showSerName val="0"/>
          <c:showPercent val="0"/>
          <c:showBubbleSize val="0"/>
        </c:dLbls>
        <c:smooth val="0"/>
        <c:axId val="1649019664"/>
        <c:axId val="1649019120"/>
      </c:lineChart>
      <c:catAx>
        <c:axId val="16490196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019120"/>
        <c:crosses val="autoZero"/>
        <c:auto val="1"/>
        <c:lblAlgn val="ctr"/>
        <c:lblOffset val="100"/>
        <c:noMultiLvlLbl val="0"/>
      </c:catAx>
      <c:valAx>
        <c:axId val="16490191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01966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[Tester.xlsm]Run_TR!PivotTable1</c:name>
    <c:fmtId val="5"/>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ln w="28575" cap="rnd">
            <a:solidFill>
              <a:schemeClr val="accent1"/>
            </a:solidFill>
            <a:round/>
          </a:ln>
          <a:effectLst/>
        </c:spPr>
        <c:marker>
          <c:symbol val="none"/>
        </c:marker>
      </c:pivotFmt>
      <c:pivotFmt>
        <c:idx val="13"/>
        <c:spPr>
          <a:ln w="28575" cap="rnd">
            <a:solidFill>
              <a:schemeClr val="accent1"/>
            </a:solidFill>
            <a:round/>
          </a:ln>
          <a:effectLst/>
        </c:spPr>
        <c:marker>
          <c:symbol val="none"/>
        </c:marker>
      </c:pivotFmt>
      <c:pivotFmt>
        <c:idx val="14"/>
        <c:spPr>
          <a:ln w="28575" cap="rnd">
            <a:solidFill>
              <a:schemeClr val="accent1"/>
            </a:solidFill>
            <a:round/>
          </a:ln>
          <a:effectLst/>
        </c:spPr>
        <c:marker>
          <c:symbol val="none"/>
        </c:marker>
      </c:pivotFmt>
    </c:pivotFmts>
    <c:plotArea>
      <c:layout/>
      <c:lineChart>
        <c:grouping val="standard"/>
        <c:varyColors val="0"/>
        <c:ser>
          <c:idx val="0"/>
          <c:order val="0"/>
          <c:tx>
            <c:strRef>
              <c:f>Run_TR!$B$1</c:f>
              <c:strCache>
                <c:ptCount val="1"/>
                <c:pt idx="0">
                  <c:v>Average of ACTUALTR</c:v>
                </c:pt>
              </c:strCache>
            </c:strRef>
          </c:tx>
          <c:spPr>
            <a:ln w="28575" cap="rnd">
              <a:solidFill>
                <a:schemeClr val="accent1"/>
              </a:solidFill>
              <a:round/>
            </a:ln>
            <a:effectLst/>
          </c:spPr>
          <c:marker>
            <c:symbol val="none"/>
          </c:marker>
          <c:cat>
            <c:strRef>
              <c:f>Run_TR!$A$2:$A$1004</c:f>
              <c:strCache>
                <c:ptCount val="1002"/>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pt idx="1000">
                  <c:v>1000</c:v>
                </c:pt>
                <c:pt idx="1001">
                  <c:v>1001</c:v>
                </c:pt>
              </c:strCache>
            </c:strRef>
          </c:cat>
          <c:val>
            <c:numRef>
              <c:f>Run_TR!$B$2:$B$1004</c:f>
              <c:numCache>
                <c:formatCode>General</c:formatCode>
                <c:ptCount val="1002"/>
                <c:pt idx="0">
                  <c:v>-1.5334292766056005E-4</c:v>
                </c:pt>
                <c:pt idx="1">
                  <c:v>9.8835174867417555E-5</c:v>
                </c:pt>
                <c:pt idx="2">
                  <c:v>9.6187994495266853E-4</c:v>
                </c:pt>
                <c:pt idx="3">
                  <c:v>-6.1843587900511899E-4</c:v>
                </c:pt>
                <c:pt idx="4">
                  <c:v>7.7678039815509841E-5</c:v>
                </c:pt>
                <c:pt idx="5">
                  <c:v>-1.6542441153433201E-4</c:v>
                </c:pt>
                <c:pt idx="6">
                  <c:v>7.034297232166845E-5</c:v>
                </c:pt>
                <c:pt idx="7">
                  <c:v>9.6431888232473197E-4</c:v>
                </c:pt>
                <c:pt idx="8">
                  <c:v>-6.8990212457720147E-4</c:v>
                </c:pt>
                <c:pt idx="9">
                  <c:v>7.9309453667519752E-5</c:v>
                </c:pt>
                <c:pt idx="10">
                  <c:v>-1.5078384967637243E-4</c:v>
                </c:pt>
                <c:pt idx="11">
                  <c:v>7.2441398515365069E-6</c:v>
                </c:pt>
                <c:pt idx="12">
                  <c:v>1.079467154340817E-3</c:v>
                </c:pt>
                <c:pt idx="13">
                  <c:v>-4.9385668171453301E-4</c:v>
                </c:pt>
                <c:pt idx="14">
                  <c:v>1.751975651131945E-4</c:v>
                </c:pt>
                <c:pt idx="15">
                  <c:v>4.5001510443398898E-5</c:v>
                </c:pt>
                <c:pt idx="16">
                  <c:v>-2.799630383378825E-4</c:v>
                </c:pt>
                <c:pt idx="17">
                  <c:v>-2.8997662957408465E-4</c:v>
                </c:pt>
                <c:pt idx="18">
                  <c:v>-1.700520297163165E-4</c:v>
                </c:pt>
                <c:pt idx="19">
                  <c:v>7.5501204992178654E-4</c:v>
                </c:pt>
                <c:pt idx="20">
                  <c:v>-1.6498562035849299E-4</c:v>
                </c:pt>
                <c:pt idx="21">
                  <c:v>8.2498788833618251E-4</c:v>
                </c:pt>
                <c:pt idx="22">
                  <c:v>8.1002707156585594E-4</c:v>
                </c:pt>
                <c:pt idx="23">
                  <c:v>-2.0498036246863197E-4</c:v>
                </c:pt>
                <c:pt idx="24">
                  <c:v>1.0849833488464336E-3</c:v>
                </c:pt>
                <c:pt idx="25">
                  <c:v>-4.6497583389282498E-4</c:v>
                </c:pt>
                <c:pt idx="26">
                  <c:v>4.99963702168315E-4</c:v>
                </c:pt>
                <c:pt idx="27">
                  <c:v>-8.0996751785278201E-4</c:v>
                </c:pt>
                <c:pt idx="28">
                  <c:v>-4.75049004307948E-4</c:v>
                </c:pt>
                <c:pt idx="29">
                  <c:v>-4.1002040961757297E-4</c:v>
                </c:pt>
                <c:pt idx="30">
                  <c:v>4.0000677472562551E-4</c:v>
                </c:pt>
                <c:pt idx="31">
                  <c:v>-1.7200112342834451E-3</c:v>
                </c:pt>
                <c:pt idx="32">
                  <c:v>-1.0749697685241699E-3</c:v>
                </c:pt>
                <c:pt idx="33">
                  <c:v>9.9956989288330295E-5</c:v>
                </c:pt>
                <c:pt idx="34">
                  <c:v>-5.5497884750366254E-4</c:v>
                </c:pt>
                <c:pt idx="35">
                  <c:v>4.8506259918212847E-4</c:v>
                </c:pt>
                <c:pt idx="36">
                  <c:v>5.4955497034825493E-5</c:v>
                </c:pt>
                <c:pt idx="37">
                  <c:v>-6.0021899116691514E-5</c:v>
                </c:pt>
                <c:pt idx="38">
                  <c:v>3.6250352795832428E-3</c:v>
                </c:pt>
                <c:pt idx="39">
                  <c:v>1.5503167378483351E-4</c:v>
                </c:pt>
                <c:pt idx="40">
                  <c:v>9.3996518990024903E-4</c:v>
                </c:pt>
                <c:pt idx="41">
                  <c:v>-2.1499395370483398E-4</c:v>
                </c:pt>
                <c:pt idx="42">
                  <c:v>-2.3001426598057148E-4</c:v>
                </c:pt>
                <c:pt idx="43">
                  <c:v>-1.9496677850838751E-4</c:v>
                </c:pt>
                <c:pt idx="44">
                  <c:v>7.3498490382917247E-4</c:v>
                </c:pt>
                <c:pt idx="45">
                  <c:v>2.7501584554556746E-4</c:v>
                </c:pt>
                <c:pt idx="46">
                  <c:v>-1.0007618766394434E-4</c:v>
                </c:pt>
                <c:pt idx="47">
                  <c:v>-1.6999242507154106E-4</c:v>
                </c:pt>
                <c:pt idx="48">
                  <c:v>9.006263280753049E-5</c:v>
                </c:pt>
                <c:pt idx="49">
                  <c:v>2.5999540230259007E-4</c:v>
                </c:pt>
                <c:pt idx="50">
                  <c:v>2.2749304771423349E-3</c:v>
                </c:pt>
                <c:pt idx="51">
                  <c:v>-6.9993737270124452E-4</c:v>
                </c:pt>
                <c:pt idx="52">
                  <c:v>-9.2995166778564496E-4</c:v>
                </c:pt>
                <c:pt idx="53">
                  <c:v>5.4991245269775401E-4</c:v>
                </c:pt>
                <c:pt idx="54">
                  <c:v>7.6007843017578103E-4</c:v>
                </c:pt>
                <c:pt idx="55">
                  <c:v>-3.0040742785786299E-5</c:v>
                </c:pt>
                <c:pt idx="56">
                  <c:v>9.7000610549002897E-4</c:v>
                </c:pt>
                <c:pt idx="57">
                  <c:v>-6.3002097886055697E-4</c:v>
                </c:pt>
                <c:pt idx="58">
                  <c:v>-5.79953193664551E-4</c:v>
                </c:pt>
                <c:pt idx="59">
                  <c:v>-3.20076971547678E-4</c:v>
                </c:pt>
                <c:pt idx="60">
                  <c:v>-9.4997877022251498E-4</c:v>
                </c:pt>
                <c:pt idx="61">
                  <c:v>-6.9975860242266194E-5</c:v>
                </c:pt>
                <c:pt idx="62">
                  <c:v>-1.6999246145132899E-4</c:v>
                </c:pt>
                <c:pt idx="63">
                  <c:v>2.3996829986572301E-4</c:v>
                </c:pt>
                <c:pt idx="64">
                  <c:v>6.9975860242266194E-5</c:v>
                </c:pt>
                <c:pt idx="65">
                  <c:v>1.6999244689941401E-4</c:v>
                </c:pt>
                <c:pt idx="66">
                  <c:v>2.7000904083252002E-4</c:v>
                </c:pt>
                <c:pt idx="67">
                  <c:v>-6.9975860242266194E-5</c:v>
                </c:pt>
                <c:pt idx="68">
                  <c:v>-7.7998643973842296E-4</c:v>
                </c:pt>
                <c:pt idx="69">
                  <c:v>5.8996677398681597E-4</c:v>
                </c:pt>
                <c:pt idx="70">
                  <c:v>-2.2995473409537199E-4</c:v>
                </c:pt>
                <c:pt idx="71">
                  <c:v>-6.3002097886055697E-4</c:v>
                </c:pt>
                <c:pt idx="72">
                  <c:v>-3.1995773315429698E-4</c:v>
                </c:pt>
                <c:pt idx="73">
                  <c:v>-4.9006933113560102E-4</c:v>
                </c:pt>
                <c:pt idx="74">
                  <c:v>-1.90019651199691E-4</c:v>
                </c:pt>
                <c:pt idx="75">
                  <c:v>1.46007526200265E-3</c:v>
                </c:pt>
                <c:pt idx="76">
                  <c:v>-3.2997128437273199E-4</c:v>
                </c:pt>
                <c:pt idx="77">
                  <c:v>1.59978866577148E-4</c:v>
                </c:pt>
                <c:pt idx="78">
                  <c:v>-1.9199847010895599E-3</c:v>
                </c:pt>
                <c:pt idx="79">
                  <c:v>5.79953193664551E-4</c:v>
                </c:pt>
                <c:pt idx="80">
                  <c:v>-1.13999843597412E-3</c:v>
                </c:pt>
                <c:pt idx="81">
                  <c:v>-2.4000406265258802E-3</c:v>
                </c:pt>
                <c:pt idx="82">
                  <c:v>1.0800361633300801E-3</c:v>
                </c:pt>
                <c:pt idx="83">
                  <c:v>-5.79953193664551E-4</c:v>
                </c:pt>
                <c:pt idx="84">
                  <c:v>1.4996527170296799E-4</c:v>
                </c:pt>
                <c:pt idx="85">
                  <c:v>-1.20043754577637E-4</c:v>
                </c:pt>
                <c:pt idx="86">
                  <c:v>2.7000904083252002E-4</c:v>
                </c:pt>
                <c:pt idx="87">
                  <c:v>-5.9962265368085402E-5</c:v>
                </c:pt>
                <c:pt idx="88">
                  <c:v>6.5004825592041005E-4</c:v>
                </c:pt>
                <c:pt idx="89">
                  <c:v>7.5995933730155197E-4</c:v>
                </c:pt>
                <c:pt idx="90">
                  <c:v>-1.4996527170296799E-4</c:v>
                </c:pt>
                <c:pt idx="91">
                  <c:v>6.4992904663085905E-4</c:v>
                </c:pt>
                <c:pt idx="92">
                  <c:v>5.0067890697391697E-5</c:v>
                </c:pt>
                <c:pt idx="93">
                  <c:v>-4.1007995605468799E-4</c:v>
                </c:pt>
                <c:pt idx="94">
                  <c:v>-1.30999099928886E-3</c:v>
                </c:pt>
                <c:pt idx="95">
                  <c:v>-4.9948670493904501E-5</c:v>
                </c:pt>
                <c:pt idx="96">
                  <c:v>-3.3998492290265902E-4</c:v>
                </c:pt>
                <c:pt idx="97">
                  <c:v>-2.1004675363656101E-4</c:v>
                </c:pt>
                <c:pt idx="98">
                  <c:v>1.0013595783675599E-5</c:v>
                </c:pt>
                <c:pt idx="99">
                  <c:v>1.0700225830078099E-3</c:v>
                </c:pt>
                <c:pt idx="100">
                  <c:v>-1.50084495544434E-4</c:v>
                </c:pt>
                <c:pt idx="101">
                  <c:v>-3.5989281604997797E-4</c:v>
                </c:pt>
                <c:pt idx="102">
                  <c:v>1.42991542816162E-3</c:v>
                </c:pt>
                <c:pt idx="103">
                  <c:v>2.3500919342040998E-3</c:v>
                </c:pt>
                <c:pt idx="104">
                  <c:v>-4.0006640483625201E-4</c:v>
                </c:pt>
                <c:pt idx="105">
                  <c:v>3.4999847412109402E-4</c:v>
                </c:pt>
                <c:pt idx="106">
                  <c:v>-1.10030196083244E-4</c:v>
                </c:pt>
                <c:pt idx="107">
                  <c:v>3.1006336212158198E-4</c:v>
                </c:pt>
                <c:pt idx="108">
                  <c:v>7.6997280120849599E-4</c:v>
                </c:pt>
                <c:pt idx="109">
                  <c:v>1.20043754577637E-4</c:v>
                </c:pt>
                <c:pt idx="110">
                  <c:v>-3.9005276630632601E-4</c:v>
                </c:pt>
                <c:pt idx="111">
                  <c:v>-3.0994418193586198E-4</c:v>
                </c:pt>
                <c:pt idx="112">
                  <c:v>-4.6002859016880398E-4</c:v>
                </c:pt>
                <c:pt idx="113">
                  <c:v>-2.4998182198032699E-4</c:v>
                </c:pt>
                <c:pt idx="114">
                  <c:v>-1.10030196083244E-4</c:v>
                </c:pt>
                <c:pt idx="115">
                  <c:v>1.9001960754394499E-4</c:v>
                </c:pt>
                <c:pt idx="116">
                  <c:v>-3.1006333301775201E-4</c:v>
                </c:pt>
                <c:pt idx="117">
                  <c:v>1.10030196083244E-4</c:v>
                </c:pt>
                <c:pt idx="118">
                  <c:v>2.0003318786621099E-4</c:v>
                </c:pt>
                <c:pt idx="119">
                  <c:v>8.4996217628940897E-4</c:v>
                </c:pt>
                <c:pt idx="120">
                  <c:v>2.0027147911605401E-5</c:v>
                </c:pt>
                <c:pt idx="121">
                  <c:v>2.0027147911605401E-5</c:v>
                </c:pt>
                <c:pt idx="122">
                  <c:v>-1.6009804676286901E-4</c:v>
                </c:pt>
                <c:pt idx="123">
                  <c:v>-2.99215225822991E-5</c:v>
                </c:pt>
                <c:pt idx="124">
                  <c:v>-9.3007093528285601E-4</c:v>
                </c:pt>
                <c:pt idx="125">
                  <c:v>1.0900497436523401E-3</c:v>
                </c:pt>
                <c:pt idx="126">
                  <c:v>2.7699472848325998E-3</c:v>
                </c:pt>
                <c:pt idx="127">
                  <c:v>1.3300180435180701E-3</c:v>
                </c:pt>
                <c:pt idx="128">
                  <c:v>3.2007694244384798E-4</c:v>
                </c:pt>
                <c:pt idx="129">
                  <c:v>-3.4999847412109402E-4</c:v>
                </c:pt>
                <c:pt idx="130">
                  <c:v>5.9962265368085402E-5</c:v>
                </c:pt>
                <c:pt idx="131">
                  <c:v>-3.9005276630632601E-4</c:v>
                </c:pt>
                <c:pt idx="132">
                  <c:v>2.1004675363656101E-4</c:v>
                </c:pt>
                <c:pt idx="133">
                  <c:v>-4.0054339478956502E-5</c:v>
                </c:pt>
                <c:pt idx="134">
                  <c:v>-2.6988980243913802E-4</c:v>
                </c:pt>
                <c:pt idx="135">
                  <c:v>5.9962265368085402E-5</c:v>
                </c:pt>
                <c:pt idx="136">
                  <c:v>3.7002566386945502E-4</c:v>
                </c:pt>
                <c:pt idx="137">
                  <c:v>-2.1004675363656101E-4</c:v>
                </c:pt>
                <c:pt idx="138">
                  <c:v>4.5001509715803E-4</c:v>
                </c:pt>
                <c:pt idx="139">
                  <c:v>-2.1004675363656101E-4</c:v>
                </c:pt>
                <c:pt idx="140">
                  <c:v>-9.0992450714111296E-4</c:v>
                </c:pt>
                <c:pt idx="141">
                  <c:v>3.9935119275469299E-5</c:v>
                </c:pt>
                <c:pt idx="142">
                  <c:v>6.0081485571572598E-5</c:v>
                </c:pt>
                <c:pt idx="143">
                  <c:v>-1.0013595783675599E-5</c:v>
                </c:pt>
                <c:pt idx="144">
                  <c:v>3.9935119275469299E-5</c:v>
                </c:pt>
                <c:pt idx="145">
                  <c:v>1.59001362044364E-3</c:v>
                </c:pt>
                <c:pt idx="146">
                  <c:v>-4.5001512626186002E-4</c:v>
                </c:pt>
                <c:pt idx="147">
                  <c:v>0</c:v>
                </c:pt>
                <c:pt idx="148">
                  <c:v>-2.7000901172868902E-4</c:v>
                </c:pt>
                <c:pt idx="149">
                  <c:v>4.9400329589843802E-3</c:v>
                </c:pt>
                <c:pt idx="150">
                  <c:v>-1.2099742889404299E-3</c:v>
                </c:pt>
                <c:pt idx="151">
                  <c:v>2.899169921875E-4</c:v>
                </c:pt>
                <c:pt idx="152">
                  <c:v>-1.09910979517736E-4</c:v>
                </c:pt>
                <c:pt idx="153">
                  <c:v>-6.8008899688720703E-4</c:v>
                </c:pt>
                <c:pt idx="154">
                  <c:v>-1.2199878692627001E-3</c:v>
                </c:pt>
                <c:pt idx="155">
                  <c:v>1.0600090026855499E-3</c:v>
                </c:pt>
                <c:pt idx="156">
                  <c:v>2.7000904083252002E-4</c:v>
                </c:pt>
                <c:pt idx="157">
                  <c:v>0</c:v>
                </c:pt>
                <c:pt idx="158">
                  <c:v>-4.6992301940918001E-4</c:v>
                </c:pt>
                <c:pt idx="159">
                  <c:v>1.9907971363863901E-5</c:v>
                </c:pt>
                <c:pt idx="160">
                  <c:v>1.6009809041861401E-4</c:v>
                </c:pt>
                <c:pt idx="161">
                  <c:v>6.4992904663085905E-4</c:v>
                </c:pt>
                <c:pt idx="162">
                  <c:v>2.0027147911605401E-5</c:v>
                </c:pt>
                <c:pt idx="163">
                  <c:v>-2.1004675363656101E-4</c:v>
                </c:pt>
                <c:pt idx="164">
                  <c:v>-1.0013595783675599E-5</c:v>
                </c:pt>
                <c:pt idx="165">
                  <c:v>1.10030196083244E-4</c:v>
                </c:pt>
                <c:pt idx="166">
                  <c:v>3.0040742785786299E-5</c:v>
                </c:pt>
                <c:pt idx="167">
                  <c:v>5.6993961334228505E-4</c:v>
                </c:pt>
                <c:pt idx="168">
                  <c:v>1.12009048461914E-3</c:v>
                </c:pt>
                <c:pt idx="169">
                  <c:v>6.2000751495361296E-4</c:v>
                </c:pt>
                <c:pt idx="170">
                  <c:v>-1.01006031036377E-3</c:v>
                </c:pt>
                <c:pt idx="171">
                  <c:v>1.4996527170296799E-4</c:v>
                </c:pt>
                <c:pt idx="172">
                  <c:v>5.6004524230956999E-4</c:v>
                </c:pt>
                <c:pt idx="173">
                  <c:v>4.4000148773193397E-4</c:v>
                </c:pt>
                <c:pt idx="174">
                  <c:v>7.2002405067905805E-4</c:v>
                </c:pt>
                <c:pt idx="175">
                  <c:v>-1.5500783920288099E-3</c:v>
                </c:pt>
                <c:pt idx="176">
                  <c:v>1.25002861022949E-3</c:v>
                </c:pt>
                <c:pt idx="177">
                  <c:v>-2.4998182198032699E-4</c:v>
                </c:pt>
                <c:pt idx="178">
                  <c:v>-5.7005882263183605E-4</c:v>
                </c:pt>
                <c:pt idx="179">
                  <c:v>-6.6995620727539095E-4</c:v>
                </c:pt>
                <c:pt idx="180">
                  <c:v>-4.99963760375977E-4</c:v>
                </c:pt>
                <c:pt idx="181">
                  <c:v>-6.4003461739048405E-4</c:v>
                </c:pt>
                <c:pt idx="182">
                  <c:v>4.0996074676513699E-4</c:v>
                </c:pt>
                <c:pt idx="183">
                  <c:v>-1.9907971363863901E-5</c:v>
                </c:pt>
                <c:pt idx="184">
                  <c:v>5.9962265368085402E-5</c:v>
                </c:pt>
                <c:pt idx="185">
                  <c:v>1.20043754577637E-4</c:v>
                </c:pt>
                <c:pt idx="186">
                  <c:v>7.2991847991943403E-4</c:v>
                </c:pt>
                <c:pt idx="187">
                  <c:v>-1.29938125610352E-4</c:v>
                </c:pt>
                <c:pt idx="188">
                  <c:v>-8.1002718070522005E-4</c:v>
                </c:pt>
                <c:pt idx="189">
                  <c:v>-5.9962265368085402E-5</c:v>
                </c:pt>
                <c:pt idx="190">
                  <c:v>-7.9989455116447102E-5</c:v>
                </c:pt>
                <c:pt idx="191">
                  <c:v>-8.1002718070522005E-4</c:v>
                </c:pt>
                <c:pt idx="192">
                  <c:v>1.3200044631957999E-3</c:v>
                </c:pt>
                <c:pt idx="193">
                  <c:v>-2.3007387062534701E-4</c:v>
                </c:pt>
                <c:pt idx="194">
                  <c:v>1.20043754577637E-4</c:v>
                </c:pt>
                <c:pt idx="195">
                  <c:v>-2.68995738588274E-3</c:v>
                </c:pt>
                <c:pt idx="196">
                  <c:v>-3.20076971547678E-4</c:v>
                </c:pt>
                <c:pt idx="197">
                  <c:v>8.9001655578613303E-4</c:v>
                </c:pt>
                <c:pt idx="198">
                  <c:v>-2.4099349975585898E-3</c:v>
                </c:pt>
                <c:pt idx="199">
                  <c:v>-7.7009201049804698E-4</c:v>
                </c:pt>
                <c:pt idx="200">
                  <c:v>-1.9991399312857501E-4</c:v>
                </c:pt>
                <c:pt idx="201">
                  <c:v>5.4001808166503895E-4</c:v>
                </c:pt>
                <c:pt idx="202">
                  <c:v>1.2599229812622101E-3</c:v>
                </c:pt>
                <c:pt idx="203">
                  <c:v>4.0006637573242198E-4</c:v>
                </c:pt>
                <c:pt idx="204">
                  <c:v>-5.7005882263183605E-4</c:v>
                </c:pt>
                <c:pt idx="205">
                  <c:v>-2.8002256294712403E-4</c:v>
                </c:pt>
                <c:pt idx="206">
                  <c:v>1.0013595783675599E-5</c:v>
                </c:pt>
                <c:pt idx="207">
                  <c:v>-3.2997128437273199E-4</c:v>
                </c:pt>
                <c:pt idx="208">
                  <c:v>1.3995172048453201E-4</c:v>
                </c:pt>
                <c:pt idx="209">
                  <c:v>4.0054339478956502E-5</c:v>
                </c:pt>
                <c:pt idx="210">
                  <c:v>2.90036201477051E-4</c:v>
                </c:pt>
                <c:pt idx="211">
                  <c:v>-1.6999246145132899E-4</c:v>
                </c:pt>
                <c:pt idx="212">
                  <c:v>-4.0054339478956502E-5</c:v>
                </c:pt>
                <c:pt idx="213">
                  <c:v>2.4998188018798801E-4</c:v>
                </c:pt>
                <c:pt idx="214">
                  <c:v>-2.3996828531380699E-4</c:v>
                </c:pt>
                <c:pt idx="215">
                  <c:v>0</c:v>
                </c:pt>
                <c:pt idx="216">
                  <c:v>-3.0040742785786299E-5</c:v>
                </c:pt>
                <c:pt idx="217">
                  <c:v>1.3099908828735399E-3</c:v>
                </c:pt>
                <c:pt idx="218">
                  <c:v>2.30073928833008E-4</c:v>
                </c:pt>
                <c:pt idx="219">
                  <c:v>-6.2000751495361296E-4</c:v>
                </c:pt>
                <c:pt idx="220">
                  <c:v>-9.0003006334882202E-5</c:v>
                </c:pt>
                <c:pt idx="221">
                  <c:v>-1.5799999237060499E-3</c:v>
                </c:pt>
                <c:pt idx="222">
                  <c:v>1.9001960754394499E-4</c:v>
                </c:pt>
                <c:pt idx="223">
                  <c:v>5.9998035430908203E-4</c:v>
                </c:pt>
                <c:pt idx="224">
                  <c:v>2.2995470499154199E-4</c:v>
                </c:pt>
                <c:pt idx="225">
                  <c:v>-1.90019651199691E-4</c:v>
                </c:pt>
                <c:pt idx="226">
                  <c:v>1.24001502990723E-3</c:v>
                </c:pt>
                <c:pt idx="227">
                  <c:v>-1.1992453073617099E-4</c:v>
                </c:pt>
                <c:pt idx="228">
                  <c:v>-6.3002097886055697E-4</c:v>
                </c:pt>
                <c:pt idx="229">
                  <c:v>5.0997734069824197E-4</c:v>
                </c:pt>
                <c:pt idx="230">
                  <c:v>-1.00016601209063E-4</c:v>
                </c:pt>
                <c:pt idx="231">
                  <c:v>-4.0996074676513699E-4</c:v>
                </c:pt>
                <c:pt idx="232">
                  <c:v>-1.80006012669764E-4</c:v>
                </c:pt>
                <c:pt idx="233">
                  <c:v>-1.00016601209063E-4</c:v>
                </c:pt>
                <c:pt idx="234">
                  <c:v>6.7996978759765603E-4</c:v>
                </c:pt>
                <c:pt idx="235">
                  <c:v>2.3996829986572301E-4</c:v>
                </c:pt>
                <c:pt idx="236">
                  <c:v>-9.9897384643554701E-5</c:v>
                </c:pt>
                <c:pt idx="237">
                  <c:v>-9.0003006334882202E-5</c:v>
                </c:pt>
                <c:pt idx="238">
                  <c:v>-2.5010114768519998E-4</c:v>
                </c:pt>
                <c:pt idx="239">
                  <c:v>-4.8995018005371105E-4</c:v>
                </c:pt>
                <c:pt idx="240">
                  <c:v>5.30004501342773E-4</c:v>
                </c:pt>
                <c:pt idx="241">
                  <c:v>2.0600557327270499E-3</c:v>
                </c:pt>
                <c:pt idx="242">
                  <c:v>9.1993802925571799E-4</c:v>
                </c:pt>
                <c:pt idx="243">
                  <c:v>5.1999092102050803E-4</c:v>
                </c:pt>
                <c:pt idx="244">
                  <c:v>-7.8999996185302702E-4</c:v>
                </c:pt>
                <c:pt idx="245">
                  <c:v>7.5995933730155197E-4</c:v>
                </c:pt>
                <c:pt idx="246">
                  <c:v>9.8001956939697309E-4</c:v>
                </c:pt>
                <c:pt idx="247">
                  <c:v>1.12998485565186E-3</c:v>
                </c:pt>
                <c:pt idx="248">
                  <c:v>-2.4998182198032699E-4</c:v>
                </c:pt>
                <c:pt idx="249">
                  <c:v>-1.90997123718262E-3</c:v>
                </c:pt>
                <c:pt idx="250">
                  <c:v>1.24001502990723E-3</c:v>
                </c:pt>
                <c:pt idx="251">
                  <c:v>-2.20060348510742E-4</c:v>
                </c:pt>
                <c:pt idx="252">
                  <c:v>-2.99215225822991E-5</c:v>
                </c:pt>
                <c:pt idx="253">
                  <c:v>-6.0081485571572598E-5</c:v>
                </c:pt>
                <c:pt idx="254">
                  <c:v>1.6999244689941401E-4</c:v>
                </c:pt>
                <c:pt idx="255">
                  <c:v>-2.5999546051025401E-4</c:v>
                </c:pt>
                <c:pt idx="256">
                  <c:v>2.5999546051025401E-4</c:v>
                </c:pt>
                <c:pt idx="257">
                  <c:v>1.20043754577637E-4</c:v>
                </c:pt>
                <c:pt idx="258">
                  <c:v>2.4998188018798801E-4</c:v>
                </c:pt>
                <c:pt idx="259">
                  <c:v>2.0027147911605401E-5</c:v>
                </c:pt>
                <c:pt idx="260">
                  <c:v>-6.5004825592041005E-4</c:v>
                </c:pt>
                <c:pt idx="261">
                  <c:v>3.0004978179931603E-4</c:v>
                </c:pt>
                <c:pt idx="262">
                  <c:v>2.1004675363656101E-4</c:v>
                </c:pt>
                <c:pt idx="263">
                  <c:v>2.7000904083252002E-4</c:v>
                </c:pt>
                <c:pt idx="264">
                  <c:v>1.55997287947685E-3</c:v>
                </c:pt>
                <c:pt idx="265">
                  <c:v>9.0003019431605903E-4</c:v>
                </c:pt>
                <c:pt idx="266">
                  <c:v>-1.08003604691476E-3</c:v>
                </c:pt>
                <c:pt idx="267">
                  <c:v>-1.5699863433837899E-3</c:v>
                </c:pt>
                <c:pt idx="268">
                  <c:v>-1.3400313910096899E-3</c:v>
                </c:pt>
                <c:pt idx="269">
                  <c:v>6.59942626953125E-4</c:v>
                </c:pt>
                <c:pt idx="270">
                  <c:v>-1.26993644516915E-3</c:v>
                </c:pt>
                <c:pt idx="271">
                  <c:v>-6.4003461739048405E-4</c:v>
                </c:pt>
                <c:pt idx="272">
                  <c:v>-6.8998330971226096E-4</c:v>
                </c:pt>
                <c:pt idx="273">
                  <c:v>-5.0997728249058095E-4</c:v>
                </c:pt>
                <c:pt idx="274">
                  <c:v>7.4994558235630404E-4</c:v>
                </c:pt>
                <c:pt idx="275">
                  <c:v>1.11007690429688E-3</c:v>
                </c:pt>
                <c:pt idx="276">
                  <c:v>3.8993358612060498E-4</c:v>
                </c:pt>
                <c:pt idx="277">
                  <c:v>9.0003006334882202E-5</c:v>
                </c:pt>
                <c:pt idx="278">
                  <c:v>3.4999847412109402E-4</c:v>
                </c:pt>
                <c:pt idx="279">
                  <c:v>-2.0992758800275599E-4</c:v>
                </c:pt>
                <c:pt idx="280">
                  <c:v>1.00016601209063E-4</c:v>
                </c:pt>
                <c:pt idx="281">
                  <c:v>-1.20043754577637E-4</c:v>
                </c:pt>
                <c:pt idx="282">
                  <c:v>1.0013595783675599E-5</c:v>
                </c:pt>
                <c:pt idx="283">
                  <c:v>-1.0013595783675599E-5</c:v>
                </c:pt>
                <c:pt idx="284">
                  <c:v>6.7996978759765603E-4</c:v>
                </c:pt>
                <c:pt idx="285">
                  <c:v>1.59978866577148E-4</c:v>
                </c:pt>
                <c:pt idx="286">
                  <c:v>-3.9935119275469299E-5</c:v>
                </c:pt>
                <c:pt idx="287">
                  <c:v>-3.80039215087891E-4</c:v>
                </c:pt>
                <c:pt idx="288">
                  <c:v>2.5999546051025401E-4</c:v>
                </c:pt>
                <c:pt idx="289">
                  <c:v>-1.2999771861359501E-3</c:v>
                </c:pt>
                <c:pt idx="290">
                  <c:v>4.6002864837646501E-4</c:v>
                </c:pt>
                <c:pt idx="291">
                  <c:v>2.7000904083252002E-4</c:v>
                </c:pt>
                <c:pt idx="292">
                  <c:v>-2.3007387062534701E-4</c:v>
                </c:pt>
                <c:pt idx="293">
                  <c:v>1.9999742507934601E-3</c:v>
                </c:pt>
                <c:pt idx="294">
                  <c:v>2.20060348510742E-4</c:v>
                </c:pt>
                <c:pt idx="295">
                  <c:v>2.1004675363656101E-4</c:v>
                </c:pt>
                <c:pt idx="296">
                  <c:v>9.8943755801883492E-6</c:v>
                </c:pt>
                <c:pt idx="297">
                  <c:v>-1.3699531555175801E-3</c:v>
                </c:pt>
                <c:pt idx="298">
                  <c:v>9.5999235054477995E-4</c:v>
                </c:pt>
                <c:pt idx="299">
                  <c:v>1.0013595783675599E-5</c:v>
                </c:pt>
                <c:pt idx="300">
                  <c:v>-5.79953193664551E-4</c:v>
                </c:pt>
                <c:pt idx="301">
                  <c:v>-8.5008144378662099E-4</c:v>
                </c:pt>
                <c:pt idx="302">
                  <c:v>2.1004675363656101E-4</c:v>
                </c:pt>
                <c:pt idx="303">
                  <c:v>-1.39951676828787E-4</c:v>
                </c:pt>
                <c:pt idx="304">
                  <c:v>3.6990639637224398E-4</c:v>
                </c:pt>
                <c:pt idx="305">
                  <c:v>4.0054339478956502E-5</c:v>
                </c:pt>
                <c:pt idx="306">
                  <c:v>-4.1997438529506299E-4</c:v>
                </c:pt>
                <c:pt idx="307">
                  <c:v>-4.4000148773193397E-4</c:v>
                </c:pt>
                <c:pt idx="308">
                  <c:v>3.7992000579834001E-4</c:v>
                </c:pt>
                <c:pt idx="309">
                  <c:v>6.8008899688720703E-4</c:v>
                </c:pt>
                <c:pt idx="310">
                  <c:v>-1.90019651199691E-4</c:v>
                </c:pt>
                <c:pt idx="311">
                  <c:v>4.9948670493904501E-5</c:v>
                </c:pt>
                <c:pt idx="312">
                  <c:v>-2.3996828531380699E-4</c:v>
                </c:pt>
                <c:pt idx="313">
                  <c:v>1.8500090809538999E-3</c:v>
                </c:pt>
                <c:pt idx="314">
                  <c:v>-1.1500121327117101E-3</c:v>
                </c:pt>
                <c:pt idx="315">
                  <c:v>-1.89006328582764E-3</c:v>
                </c:pt>
                <c:pt idx="316">
                  <c:v>3.4010410308837901E-4</c:v>
                </c:pt>
                <c:pt idx="317">
                  <c:v>7.4994558235630404E-4</c:v>
                </c:pt>
                <c:pt idx="318">
                  <c:v>4.7004219959490001E-4</c:v>
                </c:pt>
                <c:pt idx="319">
                  <c:v>-7.9989455116447102E-5</c:v>
                </c:pt>
                <c:pt idx="320">
                  <c:v>-2.5999546051025401E-4</c:v>
                </c:pt>
                <c:pt idx="321">
                  <c:v>-1.6601085662841799E-3</c:v>
                </c:pt>
                <c:pt idx="322">
                  <c:v>-1.7299654427915801E-3</c:v>
                </c:pt>
                <c:pt idx="323">
                  <c:v>1.0200738906860399E-3</c:v>
                </c:pt>
                <c:pt idx="324">
                  <c:v>-8.0001354217529297E-4</c:v>
                </c:pt>
                <c:pt idx="325">
                  <c:v>1.80006012669764E-4</c:v>
                </c:pt>
                <c:pt idx="326">
                  <c:v>1.9907971363863901E-5</c:v>
                </c:pt>
                <c:pt idx="327">
                  <c:v>-5.0997728249058095E-4</c:v>
                </c:pt>
                <c:pt idx="328">
                  <c:v>-6.9975860242266194E-5</c:v>
                </c:pt>
                <c:pt idx="329">
                  <c:v>3.0040742785786299E-5</c:v>
                </c:pt>
                <c:pt idx="330">
                  <c:v>1.6999244689941401E-4</c:v>
                </c:pt>
                <c:pt idx="331">
                  <c:v>-3.0040742785786299E-5</c:v>
                </c:pt>
                <c:pt idx="332">
                  <c:v>-1.39951676828787E-4</c:v>
                </c:pt>
                <c:pt idx="333">
                  <c:v>-4.8005586722865701E-4</c:v>
                </c:pt>
                <c:pt idx="334">
                  <c:v>5.0067890697391697E-5</c:v>
                </c:pt>
                <c:pt idx="335">
                  <c:v>3.0994415283203098E-4</c:v>
                </c:pt>
                <c:pt idx="336">
                  <c:v>4.4000148773193397E-4</c:v>
                </c:pt>
                <c:pt idx="337">
                  <c:v>2.90036201477051E-4</c:v>
                </c:pt>
                <c:pt idx="338">
                  <c:v>-1.92999839782715E-3</c:v>
                </c:pt>
                <c:pt idx="339">
                  <c:v>-1.80006038863212E-3</c:v>
                </c:pt>
                <c:pt idx="340">
                  <c:v>-1.26993644516915E-3</c:v>
                </c:pt>
                <c:pt idx="341">
                  <c:v>8.2993507385253895E-4</c:v>
                </c:pt>
                <c:pt idx="342">
                  <c:v>6.9975860242266194E-5</c:v>
                </c:pt>
                <c:pt idx="343">
                  <c:v>-1.60992133896798E-3</c:v>
                </c:pt>
                <c:pt idx="344">
                  <c:v>-1.64997577667236E-3</c:v>
                </c:pt>
                <c:pt idx="345">
                  <c:v>8.8000297546386697E-4</c:v>
                </c:pt>
                <c:pt idx="346">
                  <c:v>1.16991996765137E-3</c:v>
                </c:pt>
                <c:pt idx="347">
                  <c:v>-3.1995773315429698E-4</c:v>
                </c:pt>
                <c:pt idx="348">
                  <c:v>-6.7996978759765603E-4</c:v>
                </c:pt>
                <c:pt idx="349">
                  <c:v>-5.4001802345737804E-4</c:v>
                </c:pt>
                <c:pt idx="350">
                  <c:v>8.3994871238246603E-4</c:v>
                </c:pt>
                <c:pt idx="351">
                  <c:v>-8.8000297546386697E-4</c:v>
                </c:pt>
                <c:pt idx="352">
                  <c:v>3.80039215087891E-4</c:v>
                </c:pt>
                <c:pt idx="353">
                  <c:v>-4.99963760375977E-4</c:v>
                </c:pt>
                <c:pt idx="354">
                  <c:v>-3.7002566386945502E-4</c:v>
                </c:pt>
                <c:pt idx="355">
                  <c:v>4.9948670493904501E-5</c:v>
                </c:pt>
                <c:pt idx="356">
                  <c:v>-1.1992453073617099E-4</c:v>
                </c:pt>
                <c:pt idx="357">
                  <c:v>-3.0004986911080799E-4</c:v>
                </c:pt>
                <c:pt idx="358">
                  <c:v>-2.5999546051025401E-4</c:v>
                </c:pt>
                <c:pt idx="359">
                  <c:v>2.2995470499154199E-4</c:v>
                </c:pt>
                <c:pt idx="360">
                  <c:v>5.1999092102050803E-4</c:v>
                </c:pt>
                <c:pt idx="361">
                  <c:v>9.0003019431605903E-4</c:v>
                </c:pt>
                <c:pt idx="362">
                  <c:v>-2.0799636840820299E-3</c:v>
                </c:pt>
                <c:pt idx="363">
                  <c:v>-2.7899744454771302E-3</c:v>
                </c:pt>
                <c:pt idx="364">
                  <c:v>-4.5001512626186002E-4</c:v>
                </c:pt>
                <c:pt idx="365">
                  <c:v>5.9962265368085402E-5</c:v>
                </c:pt>
                <c:pt idx="366">
                  <c:v>7.5006479164585504E-4</c:v>
                </c:pt>
                <c:pt idx="367">
                  <c:v>1.1992453073617099E-4</c:v>
                </c:pt>
                <c:pt idx="368">
                  <c:v>-8.9001655578613303E-4</c:v>
                </c:pt>
                <c:pt idx="369">
                  <c:v>-1.08993065077811E-3</c:v>
                </c:pt>
                <c:pt idx="370">
                  <c:v>-2.8002256294712403E-4</c:v>
                </c:pt>
                <c:pt idx="371">
                  <c:v>-4.9006933113560102E-4</c:v>
                </c:pt>
                <c:pt idx="372">
                  <c:v>-1.59978866577148E-4</c:v>
                </c:pt>
                <c:pt idx="373">
                  <c:v>-6.3002097886055697E-4</c:v>
                </c:pt>
                <c:pt idx="374">
                  <c:v>-1.09910979517736E-4</c:v>
                </c:pt>
                <c:pt idx="375">
                  <c:v>1.0013595783675599E-5</c:v>
                </c:pt>
                <c:pt idx="376">
                  <c:v>2.09927558898926E-4</c:v>
                </c:pt>
                <c:pt idx="377">
                  <c:v>-2.0027147911605401E-5</c:v>
                </c:pt>
                <c:pt idx="378">
                  <c:v>6.0081485571572598E-5</c:v>
                </c:pt>
                <c:pt idx="379">
                  <c:v>-3.0004986911080799E-4</c:v>
                </c:pt>
                <c:pt idx="380">
                  <c:v>3.3998489379882802E-4</c:v>
                </c:pt>
                <c:pt idx="381">
                  <c:v>2.7000904083252002E-4</c:v>
                </c:pt>
                <c:pt idx="382">
                  <c:v>-1.1992453073617099E-4</c:v>
                </c:pt>
                <c:pt idx="383">
                  <c:v>5.9998035430908203E-4</c:v>
                </c:pt>
                <c:pt idx="384">
                  <c:v>4.2998790740966802E-4</c:v>
                </c:pt>
                <c:pt idx="385">
                  <c:v>-1.25002884306014E-3</c:v>
                </c:pt>
                <c:pt idx="386">
                  <c:v>-7.5995933730155197E-4</c:v>
                </c:pt>
                <c:pt idx="387">
                  <c:v>6.2000751495361296E-4</c:v>
                </c:pt>
                <c:pt idx="388">
                  <c:v>1.2499094009399401E-3</c:v>
                </c:pt>
                <c:pt idx="389">
                  <c:v>6.0081485571572598E-5</c:v>
                </c:pt>
                <c:pt idx="390">
                  <c:v>-1.20043754577637E-4</c:v>
                </c:pt>
                <c:pt idx="391">
                  <c:v>1.289963722229E-3</c:v>
                </c:pt>
                <c:pt idx="392">
                  <c:v>0</c:v>
                </c:pt>
                <c:pt idx="393">
                  <c:v>-5.3989893058314898E-4</c:v>
                </c:pt>
                <c:pt idx="394">
                  <c:v>1.41000747680664E-3</c:v>
                </c:pt>
                <c:pt idx="395">
                  <c:v>-2.0027147911605401E-5</c:v>
                </c:pt>
                <c:pt idx="396">
                  <c:v>1.6999244689941401E-4</c:v>
                </c:pt>
                <c:pt idx="397">
                  <c:v>-3.80039215087891E-4</c:v>
                </c:pt>
                <c:pt idx="398">
                  <c:v>-5.5992603302001996E-4</c:v>
                </c:pt>
                <c:pt idx="399">
                  <c:v>-4.0054339478956502E-5</c:v>
                </c:pt>
                <c:pt idx="400">
                  <c:v>-1.20043754577637E-4</c:v>
                </c:pt>
                <c:pt idx="401">
                  <c:v>4.8005583812482698E-4</c:v>
                </c:pt>
                <c:pt idx="402">
                  <c:v>-1.4007094432599799E-4</c:v>
                </c:pt>
                <c:pt idx="403">
                  <c:v>-6.4992910483851996E-4</c:v>
                </c:pt>
                <c:pt idx="404">
                  <c:v>-2.3996828531380699E-4</c:v>
                </c:pt>
                <c:pt idx="405">
                  <c:v>2.3996829986572301E-4</c:v>
                </c:pt>
                <c:pt idx="406">
                  <c:v>-7.2002405067905805E-4</c:v>
                </c:pt>
                <c:pt idx="407">
                  <c:v>-4.99963760375977E-4</c:v>
                </c:pt>
                <c:pt idx="408">
                  <c:v>-9.0003006334882202E-5</c:v>
                </c:pt>
                <c:pt idx="409">
                  <c:v>-4.0006640483625201E-4</c:v>
                </c:pt>
                <c:pt idx="410">
                  <c:v>-9.9992752075195291E-4</c:v>
                </c:pt>
                <c:pt idx="411">
                  <c:v>1.16991996765137E-3</c:v>
                </c:pt>
                <c:pt idx="412">
                  <c:v>-3.4999847412109402E-4</c:v>
                </c:pt>
                <c:pt idx="413">
                  <c:v>-6.8998330971226096E-4</c:v>
                </c:pt>
                <c:pt idx="414">
                  <c:v>-1.55997287947685E-3</c:v>
                </c:pt>
                <c:pt idx="415">
                  <c:v>1.03998184204102E-3</c:v>
                </c:pt>
                <c:pt idx="416">
                  <c:v>-7.8999996185302702E-4</c:v>
                </c:pt>
                <c:pt idx="417">
                  <c:v>-2.3996828531380699E-4</c:v>
                </c:pt>
                <c:pt idx="418">
                  <c:v>-2.00033202418126E-4</c:v>
                </c:pt>
                <c:pt idx="419">
                  <c:v>1.00016601209063E-4</c:v>
                </c:pt>
                <c:pt idx="420">
                  <c:v>-8.20040702819824E-4</c:v>
                </c:pt>
                <c:pt idx="421">
                  <c:v>-2.0992758800275599E-4</c:v>
                </c:pt>
                <c:pt idx="422">
                  <c:v>-4.99963760375977E-4</c:v>
                </c:pt>
                <c:pt idx="423">
                  <c:v>-8.9001655578613303E-4</c:v>
                </c:pt>
                <c:pt idx="424">
                  <c:v>4.8995018005371105E-4</c:v>
                </c:pt>
                <c:pt idx="425">
                  <c:v>2.5999546051025401E-4</c:v>
                </c:pt>
                <c:pt idx="426">
                  <c:v>5.6004524230956999E-4</c:v>
                </c:pt>
                <c:pt idx="427">
                  <c:v>1.1992453073617099E-4</c:v>
                </c:pt>
                <c:pt idx="428">
                  <c:v>-1.1992453073617099E-4</c:v>
                </c:pt>
                <c:pt idx="429">
                  <c:v>3.9994716644287099E-4</c:v>
                </c:pt>
                <c:pt idx="430">
                  <c:v>-1.00016601209063E-4</c:v>
                </c:pt>
                <c:pt idx="431">
                  <c:v>7.9989455116447102E-5</c:v>
                </c:pt>
                <c:pt idx="432">
                  <c:v>7.3003763100132303E-4</c:v>
                </c:pt>
                <c:pt idx="433">
                  <c:v>-1.10030196083244E-4</c:v>
                </c:pt>
                <c:pt idx="434">
                  <c:v>-7.4994558235630404E-4</c:v>
                </c:pt>
                <c:pt idx="435">
                  <c:v>6.6995620727539095E-4</c:v>
                </c:pt>
                <c:pt idx="436">
                  <c:v>1.10030196083244E-4</c:v>
                </c:pt>
                <c:pt idx="437">
                  <c:v>1.0013595783675599E-5</c:v>
                </c:pt>
                <c:pt idx="438">
                  <c:v>2.2100210189819301E-3</c:v>
                </c:pt>
                <c:pt idx="439">
                  <c:v>-5.8007246116176204E-4</c:v>
                </c:pt>
                <c:pt idx="440">
                  <c:v>-3.0199289321899401E-3</c:v>
                </c:pt>
                <c:pt idx="441">
                  <c:v>-5.3600072860717799E-3</c:v>
                </c:pt>
                <c:pt idx="442">
                  <c:v>8.8000297546386697E-4</c:v>
                </c:pt>
                <c:pt idx="443">
                  <c:v>7.9989455116447102E-5</c:v>
                </c:pt>
                <c:pt idx="444">
                  <c:v>-1.4300346374511699E-3</c:v>
                </c:pt>
                <c:pt idx="445">
                  <c:v>-8.8000297546386697E-4</c:v>
                </c:pt>
                <c:pt idx="446">
                  <c:v>5.0067890697391697E-5</c:v>
                </c:pt>
                <c:pt idx="447">
                  <c:v>2.99215225822991E-5</c:v>
                </c:pt>
                <c:pt idx="448">
                  <c:v>2.1004675363656101E-4</c:v>
                </c:pt>
                <c:pt idx="449">
                  <c:v>-4.0054339478956502E-5</c:v>
                </c:pt>
                <c:pt idx="450">
                  <c:v>0</c:v>
                </c:pt>
                <c:pt idx="451">
                  <c:v>6.0081485571572598E-5</c:v>
                </c:pt>
                <c:pt idx="452">
                  <c:v>3.3998489379882802E-4</c:v>
                </c:pt>
                <c:pt idx="453">
                  <c:v>3.1995773315429698E-4</c:v>
                </c:pt>
                <c:pt idx="454">
                  <c:v>-1.29938125610352E-4</c:v>
                </c:pt>
                <c:pt idx="455">
                  <c:v>-3.0004986911080799E-4</c:v>
                </c:pt>
                <c:pt idx="456">
                  <c:v>-1.4996527170296799E-4</c:v>
                </c:pt>
                <c:pt idx="457">
                  <c:v>-2.0700693130493199E-3</c:v>
                </c:pt>
                <c:pt idx="458">
                  <c:v>-5.1999092102050803E-4</c:v>
                </c:pt>
                <c:pt idx="459">
                  <c:v>2.4998188018798801E-4</c:v>
                </c:pt>
                <c:pt idx="460">
                  <c:v>7.7009201049804698E-4</c:v>
                </c:pt>
                <c:pt idx="461">
                  <c:v>-6.0009962180629405E-4</c:v>
                </c:pt>
                <c:pt idx="462">
                  <c:v>-1.09910979517736E-4</c:v>
                </c:pt>
                <c:pt idx="463">
                  <c:v>6.59942626953125E-4</c:v>
                </c:pt>
                <c:pt idx="464">
                  <c:v>2.3300647735595699E-3</c:v>
                </c:pt>
                <c:pt idx="465">
                  <c:v>-5.1009654998779297E-4</c:v>
                </c:pt>
                <c:pt idx="466">
                  <c:v>2.8002262115478499E-4</c:v>
                </c:pt>
                <c:pt idx="467">
                  <c:v>-3.4999847412109402E-4</c:v>
                </c:pt>
                <c:pt idx="468">
                  <c:v>1.10006332397461E-3</c:v>
                </c:pt>
                <c:pt idx="469">
                  <c:v>9.8001956939697309E-4</c:v>
                </c:pt>
                <c:pt idx="470">
                  <c:v>-1.50084495544434E-4</c:v>
                </c:pt>
                <c:pt idx="471">
                  <c:v>-2.0992758800275599E-4</c:v>
                </c:pt>
                <c:pt idx="472">
                  <c:v>-7.9989455116447102E-5</c:v>
                </c:pt>
                <c:pt idx="473">
                  <c:v>-5.5003166198730501E-4</c:v>
                </c:pt>
                <c:pt idx="474">
                  <c:v>8.9001655578613303E-4</c:v>
                </c:pt>
                <c:pt idx="475">
                  <c:v>2.3996829986572301E-4</c:v>
                </c:pt>
                <c:pt idx="476">
                  <c:v>-3.0040742785786299E-5</c:v>
                </c:pt>
                <c:pt idx="477">
                  <c:v>-3.0994418193586198E-4</c:v>
                </c:pt>
                <c:pt idx="478">
                  <c:v>-1.20043754577637E-4</c:v>
                </c:pt>
                <c:pt idx="479">
                  <c:v>8.5008144378662099E-4</c:v>
                </c:pt>
                <c:pt idx="480">
                  <c:v>7.9989455116447102E-5</c:v>
                </c:pt>
                <c:pt idx="481">
                  <c:v>-1.6009804676286901E-4</c:v>
                </c:pt>
                <c:pt idx="482">
                  <c:v>-1.41990184783936E-3</c:v>
                </c:pt>
                <c:pt idx="483">
                  <c:v>-2.00033202418126E-4</c:v>
                </c:pt>
                <c:pt idx="484">
                  <c:v>-2.9003623058088102E-4</c:v>
                </c:pt>
                <c:pt idx="485">
                  <c:v>-2.2000074386596701E-3</c:v>
                </c:pt>
                <c:pt idx="486">
                  <c:v>-6.4992910483851996E-4</c:v>
                </c:pt>
                <c:pt idx="487">
                  <c:v>3.9935119275469299E-5</c:v>
                </c:pt>
                <c:pt idx="488">
                  <c:v>-2.00033202418126E-4</c:v>
                </c:pt>
                <c:pt idx="489">
                  <c:v>-9.0003006334882202E-5</c:v>
                </c:pt>
                <c:pt idx="490">
                  <c:v>1.9000768661499E-3</c:v>
                </c:pt>
                <c:pt idx="491">
                  <c:v>-4.4000148773193397E-4</c:v>
                </c:pt>
                <c:pt idx="492">
                  <c:v>-6.6006189445033702E-4</c:v>
                </c:pt>
                <c:pt idx="493">
                  <c:v>-1.12998485565186E-3</c:v>
                </c:pt>
                <c:pt idx="494">
                  <c:v>-1.9991399312857501E-4</c:v>
                </c:pt>
                <c:pt idx="495">
                  <c:v>-1.00016601209063E-4</c:v>
                </c:pt>
                <c:pt idx="496">
                  <c:v>-3.0040742785786299E-5</c:v>
                </c:pt>
                <c:pt idx="497">
                  <c:v>3.3998489379882802E-4</c:v>
                </c:pt>
                <c:pt idx="498">
                  <c:v>-9.0003006334882202E-5</c:v>
                </c:pt>
                <c:pt idx="499">
                  <c:v>-2.7000901172868902E-4</c:v>
                </c:pt>
                <c:pt idx="500">
                  <c:v>-2.8991690487600901E-4</c:v>
                </c:pt>
                <c:pt idx="501">
                  <c:v>7.9989455116447102E-5</c:v>
                </c:pt>
                <c:pt idx="502">
                  <c:v>-1.3005734945181801E-4</c:v>
                </c:pt>
                <c:pt idx="503">
                  <c:v>-4.7004222869872998E-4</c:v>
                </c:pt>
                <c:pt idx="504">
                  <c:v>-1.09910979517736E-4</c:v>
                </c:pt>
                <c:pt idx="505">
                  <c:v>-5.6004524230956999E-4</c:v>
                </c:pt>
                <c:pt idx="506">
                  <c:v>-4.1997438529506299E-4</c:v>
                </c:pt>
                <c:pt idx="507">
                  <c:v>-1.9899606704711901E-3</c:v>
                </c:pt>
                <c:pt idx="508">
                  <c:v>-5.2011007210239801E-4</c:v>
                </c:pt>
                <c:pt idx="509">
                  <c:v>-2.9993054340593501E-4</c:v>
                </c:pt>
                <c:pt idx="510">
                  <c:v>4.7004219959490001E-4</c:v>
                </c:pt>
                <c:pt idx="511">
                  <c:v>-6.5004825592041005E-4</c:v>
                </c:pt>
                <c:pt idx="512">
                  <c:v>-1.0900497436523401E-3</c:v>
                </c:pt>
                <c:pt idx="513">
                  <c:v>-1.6800165176391599E-3</c:v>
                </c:pt>
                <c:pt idx="514">
                  <c:v>1.61004066467285E-3</c:v>
                </c:pt>
                <c:pt idx="515">
                  <c:v>-2.7000901172868902E-4</c:v>
                </c:pt>
                <c:pt idx="516">
                  <c:v>-1.19996082503349E-3</c:v>
                </c:pt>
                <c:pt idx="517">
                  <c:v>-8.4006792167201595E-4</c:v>
                </c:pt>
                <c:pt idx="518">
                  <c:v>-2.0992758800275599E-4</c:v>
                </c:pt>
                <c:pt idx="519">
                  <c:v>-1.00016601209063E-4</c:v>
                </c:pt>
                <c:pt idx="520">
                  <c:v>1.59978866577148E-4</c:v>
                </c:pt>
                <c:pt idx="521">
                  <c:v>-3.1995773315429698E-4</c:v>
                </c:pt>
                <c:pt idx="522">
                  <c:v>7.4994558235630404E-4</c:v>
                </c:pt>
                <c:pt idx="523">
                  <c:v>7.4005132773891102E-4</c:v>
                </c:pt>
                <c:pt idx="524">
                  <c:v>3.7002566386945502E-4</c:v>
                </c:pt>
                <c:pt idx="525">
                  <c:v>5.9962265368085402E-5</c:v>
                </c:pt>
                <c:pt idx="526">
                  <c:v>-4.6002859016880398E-4</c:v>
                </c:pt>
                <c:pt idx="527">
                  <c:v>-1.6999246145132899E-4</c:v>
                </c:pt>
                <c:pt idx="528">
                  <c:v>8.6998945334926204E-4</c:v>
                </c:pt>
                <c:pt idx="529">
                  <c:v>1.78003311157227E-3</c:v>
                </c:pt>
                <c:pt idx="530">
                  <c:v>-7.8999996185302702E-4</c:v>
                </c:pt>
                <c:pt idx="531">
                  <c:v>-1.3400313910096899E-3</c:v>
                </c:pt>
                <c:pt idx="532">
                  <c:v>-4.4000148773193397E-4</c:v>
                </c:pt>
                <c:pt idx="533">
                  <c:v>-4.9948670493904501E-5</c:v>
                </c:pt>
                <c:pt idx="534">
                  <c:v>7.2991847991943403E-4</c:v>
                </c:pt>
                <c:pt idx="535">
                  <c:v>-3.9935119275469299E-5</c:v>
                </c:pt>
                <c:pt idx="536">
                  <c:v>-3.4700629767030499E-3</c:v>
                </c:pt>
                <c:pt idx="537">
                  <c:v>-2.3996828531380699E-4</c:v>
                </c:pt>
                <c:pt idx="538">
                  <c:v>-3.4999847412109402E-4</c:v>
                </c:pt>
                <c:pt idx="539">
                  <c:v>-2.9003623058088102E-4</c:v>
                </c:pt>
                <c:pt idx="540">
                  <c:v>5.6800842285156302E-3</c:v>
                </c:pt>
                <c:pt idx="541">
                  <c:v>-3.5799744073301601E-3</c:v>
                </c:pt>
                <c:pt idx="542">
                  <c:v>-3.79002094268799E-3</c:v>
                </c:pt>
                <c:pt idx="543">
                  <c:v>4.5990940998308399E-4</c:v>
                </c:pt>
                <c:pt idx="544">
                  <c:v>3.4010410308837901E-4</c:v>
                </c:pt>
                <c:pt idx="545">
                  <c:v>-2.8002256294712403E-4</c:v>
                </c:pt>
                <c:pt idx="546">
                  <c:v>1.02996826171875E-3</c:v>
                </c:pt>
                <c:pt idx="547">
                  <c:v>1.5799999237060499E-3</c:v>
                </c:pt>
                <c:pt idx="548">
                  <c:v>-3.2997128437273199E-4</c:v>
                </c:pt>
                <c:pt idx="549">
                  <c:v>7.4994558235630404E-4</c:v>
                </c:pt>
                <c:pt idx="550">
                  <c:v>1.59978866577148E-4</c:v>
                </c:pt>
                <c:pt idx="551">
                  <c:v>4.0054339478956502E-5</c:v>
                </c:pt>
                <c:pt idx="552">
                  <c:v>4.2998790740966802E-4</c:v>
                </c:pt>
                <c:pt idx="553">
                  <c:v>1.52003765106201E-3</c:v>
                </c:pt>
                <c:pt idx="554">
                  <c:v>-9.0003006334882202E-5</c:v>
                </c:pt>
                <c:pt idx="555">
                  <c:v>-4.7004222869872998E-4</c:v>
                </c:pt>
                <c:pt idx="556">
                  <c:v>-4.7993657062761502E-4</c:v>
                </c:pt>
                <c:pt idx="557">
                  <c:v>-7.8999996185302702E-4</c:v>
                </c:pt>
                <c:pt idx="558">
                  <c:v>1.01995468139648E-3</c:v>
                </c:pt>
                <c:pt idx="559">
                  <c:v>-1.9999742507934601E-3</c:v>
                </c:pt>
                <c:pt idx="560">
                  <c:v>3.4999847412109402E-4</c:v>
                </c:pt>
                <c:pt idx="561">
                  <c:v>-1.3200044631957999E-3</c:v>
                </c:pt>
                <c:pt idx="562">
                  <c:v>1.9199847010895599E-3</c:v>
                </c:pt>
                <c:pt idx="563">
                  <c:v>4.0054339478956502E-5</c:v>
                </c:pt>
                <c:pt idx="564">
                  <c:v>1.3499259948730499E-3</c:v>
                </c:pt>
                <c:pt idx="565">
                  <c:v>-8.1002718070522005E-4</c:v>
                </c:pt>
                <c:pt idx="566">
                  <c:v>-5.1999092102050803E-4</c:v>
                </c:pt>
                <c:pt idx="567">
                  <c:v>2.0027147911605401E-5</c:v>
                </c:pt>
                <c:pt idx="568">
                  <c:v>-2.9003623058088102E-4</c:v>
                </c:pt>
                <c:pt idx="569">
                  <c:v>2.90036201477051E-4</c:v>
                </c:pt>
                <c:pt idx="570">
                  <c:v>-1.29938125610352E-4</c:v>
                </c:pt>
                <c:pt idx="571">
                  <c:v>4.8995018005371105E-4</c:v>
                </c:pt>
                <c:pt idx="572">
                  <c:v>-6.9975860242266194E-5</c:v>
                </c:pt>
                <c:pt idx="573">
                  <c:v>1.80006012669764E-4</c:v>
                </c:pt>
                <c:pt idx="574">
                  <c:v>-2.00033202418126E-4</c:v>
                </c:pt>
                <c:pt idx="575">
                  <c:v>-6.0999393463134798E-4</c:v>
                </c:pt>
                <c:pt idx="576">
                  <c:v>-4.1997438529506299E-4</c:v>
                </c:pt>
                <c:pt idx="577">
                  <c:v>-7.1001052856445302E-4</c:v>
                </c:pt>
                <c:pt idx="578">
                  <c:v>9.0003006334882202E-5</c:v>
                </c:pt>
                <c:pt idx="579">
                  <c:v>-8.0001354217529297E-4</c:v>
                </c:pt>
                <c:pt idx="580">
                  <c:v>-1.10030196083244E-4</c:v>
                </c:pt>
                <c:pt idx="581">
                  <c:v>7.5006479164585504E-4</c:v>
                </c:pt>
                <c:pt idx="582">
                  <c:v>1.82998192030936E-3</c:v>
                </c:pt>
                <c:pt idx="583">
                  <c:v>-2.6400089263915998E-3</c:v>
                </c:pt>
                <c:pt idx="584">
                  <c:v>-1.38998031616211E-3</c:v>
                </c:pt>
                <c:pt idx="585">
                  <c:v>-5.9008609969168901E-4</c:v>
                </c:pt>
                <c:pt idx="586">
                  <c:v>1.8200874328613301E-3</c:v>
                </c:pt>
                <c:pt idx="587">
                  <c:v>-1.20043754577637E-4</c:v>
                </c:pt>
                <c:pt idx="588">
                  <c:v>-9.0003006334882202E-5</c:v>
                </c:pt>
                <c:pt idx="589">
                  <c:v>-9.0003006334882202E-5</c:v>
                </c:pt>
                <c:pt idx="590">
                  <c:v>2.90036201477051E-4</c:v>
                </c:pt>
                <c:pt idx="591">
                  <c:v>-1.6999246145132899E-4</c:v>
                </c:pt>
                <c:pt idx="592">
                  <c:v>-5.0067890697391697E-5</c:v>
                </c:pt>
                <c:pt idx="593">
                  <c:v>-2.4998182198032699E-4</c:v>
                </c:pt>
                <c:pt idx="594">
                  <c:v>8.8000297546386697E-4</c:v>
                </c:pt>
                <c:pt idx="595">
                  <c:v>6.60061836242676E-4</c:v>
                </c:pt>
                <c:pt idx="596">
                  <c:v>-1.10030196083244E-4</c:v>
                </c:pt>
                <c:pt idx="597">
                  <c:v>2.3996829986572301E-4</c:v>
                </c:pt>
                <c:pt idx="598">
                  <c:v>-1.0499953059479601E-3</c:v>
                </c:pt>
                <c:pt idx="599">
                  <c:v>-6.5004825592041005E-4</c:v>
                </c:pt>
                <c:pt idx="600">
                  <c:v>-8.4996217628940897E-4</c:v>
                </c:pt>
                <c:pt idx="601">
                  <c:v>-1.17993354797363E-3</c:v>
                </c:pt>
                <c:pt idx="602">
                  <c:v>-4.29987849202007E-4</c:v>
                </c:pt>
                <c:pt idx="603">
                  <c:v>-3.20076971547678E-4</c:v>
                </c:pt>
                <c:pt idx="604">
                  <c:v>-2.5999546051025401E-4</c:v>
                </c:pt>
                <c:pt idx="605">
                  <c:v>-1.0600090026855499E-3</c:v>
                </c:pt>
                <c:pt idx="606">
                  <c:v>-1.0013595783675599E-5</c:v>
                </c:pt>
                <c:pt idx="607">
                  <c:v>2.20060348510742E-4</c:v>
                </c:pt>
                <c:pt idx="608">
                  <c:v>6.4003467559814496E-4</c:v>
                </c:pt>
                <c:pt idx="609">
                  <c:v>5.9962265368085402E-5</c:v>
                </c:pt>
                <c:pt idx="610">
                  <c:v>8.9001655578613303E-4</c:v>
                </c:pt>
                <c:pt idx="611">
                  <c:v>-3.9005276630632601E-4</c:v>
                </c:pt>
                <c:pt idx="612">
                  <c:v>-5.3000438492745204E-4</c:v>
                </c:pt>
                <c:pt idx="613">
                  <c:v>-1.10030196083244E-4</c:v>
                </c:pt>
                <c:pt idx="614">
                  <c:v>-1.09910979517736E-4</c:v>
                </c:pt>
                <c:pt idx="615">
                  <c:v>-4.0054339478956502E-5</c:v>
                </c:pt>
                <c:pt idx="616">
                  <c:v>-1.00016601209063E-4</c:v>
                </c:pt>
                <c:pt idx="617">
                  <c:v>1.01006031036377E-3</c:v>
                </c:pt>
                <c:pt idx="618">
                  <c:v>3.6001202533952903E-4</c:v>
                </c:pt>
                <c:pt idx="619">
                  <c:v>-2.40087509155273E-4</c:v>
                </c:pt>
                <c:pt idx="620">
                  <c:v>-1.0199545649811599E-3</c:v>
                </c:pt>
                <c:pt idx="621">
                  <c:v>-2.0027147911605401E-5</c:v>
                </c:pt>
                <c:pt idx="622">
                  <c:v>-1.03998184204102E-3</c:v>
                </c:pt>
                <c:pt idx="623">
                  <c:v>1.01995468139648E-3</c:v>
                </c:pt>
                <c:pt idx="624">
                  <c:v>7.2002405067905805E-4</c:v>
                </c:pt>
                <c:pt idx="625">
                  <c:v>-4.4000148773193397E-4</c:v>
                </c:pt>
                <c:pt idx="626">
                  <c:v>-1.13999843597412E-3</c:v>
                </c:pt>
                <c:pt idx="627">
                  <c:v>-2.1299123764038099E-3</c:v>
                </c:pt>
                <c:pt idx="628">
                  <c:v>-1.25002884306014E-3</c:v>
                </c:pt>
                <c:pt idx="629">
                  <c:v>-4.4000148773193397E-4</c:v>
                </c:pt>
                <c:pt idx="630">
                  <c:v>-4.5001512626186002E-4</c:v>
                </c:pt>
                <c:pt idx="631">
                  <c:v>-7.7998643973842296E-4</c:v>
                </c:pt>
                <c:pt idx="632">
                  <c:v>-7.1001052856445302E-4</c:v>
                </c:pt>
                <c:pt idx="633">
                  <c:v>8.8000297546386697E-4</c:v>
                </c:pt>
                <c:pt idx="634">
                  <c:v>1.78003311157227E-3</c:v>
                </c:pt>
                <c:pt idx="635">
                  <c:v>-2.9003623058088102E-4</c:v>
                </c:pt>
                <c:pt idx="636">
                  <c:v>5.9962265368085402E-5</c:v>
                </c:pt>
                <c:pt idx="637">
                  <c:v>-2.0099878311157201E-3</c:v>
                </c:pt>
                <c:pt idx="638">
                  <c:v>4.5001509715803E-4</c:v>
                </c:pt>
                <c:pt idx="639">
                  <c:v>-3.6001202533952903E-4</c:v>
                </c:pt>
                <c:pt idx="640">
                  <c:v>4.0054339478956502E-5</c:v>
                </c:pt>
                <c:pt idx="641">
                  <c:v>3.2997131347656299E-4</c:v>
                </c:pt>
                <c:pt idx="642">
                  <c:v>1.4996527170296799E-4</c:v>
                </c:pt>
                <c:pt idx="643">
                  <c:v>-1.4699697494506799E-3</c:v>
                </c:pt>
                <c:pt idx="644">
                  <c:v>4.7004219959490001E-4</c:v>
                </c:pt>
                <c:pt idx="645">
                  <c:v>-6.0081485571572598E-5</c:v>
                </c:pt>
                <c:pt idx="646">
                  <c:v>-3.1995773315429698E-4</c:v>
                </c:pt>
                <c:pt idx="647">
                  <c:v>-1.10030196083244E-4</c:v>
                </c:pt>
                <c:pt idx="648">
                  <c:v>-3.3998492290265902E-4</c:v>
                </c:pt>
                <c:pt idx="649">
                  <c:v>-1.1899471282959E-3</c:v>
                </c:pt>
                <c:pt idx="650">
                  <c:v>1.94990634918213E-3</c:v>
                </c:pt>
                <c:pt idx="651">
                  <c:v>3.80039215087891E-4</c:v>
                </c:pt>
                <c:pt idx="652">
                  <c:v>1.36005878448486E-3</c:v>
                </c:pt>
                <c:pt idx="653">
                  <c:v>1.2599229812622101E-3</c:v>
                </c:pt>
                <c:pt idx="654">
                  <c:v>7.7998643973842296E-4</c:v>
                </c:pt>
                <c:pt idx="655">
                  <c:v>-1.03998184204102E-3</c:v>
                </c:pt>
                <c:pt idx="656">
                  <c:v>-2.0992758800275599E-4</c:v>
                </c:pt>
                <c:pt idx="657">
                  <c:v>-2.00009346008301E-3</c:v>
                </c:pt>
                <c:pt idx="658">
                  <c:v>-3.3998492290265902E-4</c:v>
                </c:pt>
                <c:pt idx="659">
                  <c:v>5.1999092102050803E-4</c:v>
                </c:pt>
                <c:pt idx="660">
                  <c:v>1.9001960754394499E-4</c:v>
                </c:pt>
                <c:pt idx="661">
                  <c:v>-5.6993967154994596E-4</c:v>
                </c:pt>
                <c:pt idx="662">
                  <c:v>-9.5999246696010199E-4</c:v>
                </c:pt>
                <c:pt idx="663">
                  <c:v>9.8943755801883492E-6</c:v>
                </c:pt>
                <c:pt idx="664">
                  <c:v>7.9989455116447102E-5</c:v>
                </c:pt>
                <c:pt idx="665">
                  <c:v>2.0003318786621099E-4</c:v>
                </c:pt>
                <c:pt idx="666">
                  <c:v>-2.4998182198032699E-4</c:v>
                </c:pt>
                <c:pt idx="667">
                  <c:v>1.25002861022949E-3</c:v>
                </c:pt>
                <c:pt idx="668">
                  <c:v>5.30004501342773E-4</c:v>
                </c:pt>
                <c:pt idx="669">
                  <c:v>-2.1004675363656101E-4</c:v>
                </c:pt>
                <c:pt idx="670">
                  <c:v>6.3002109527587901E-4</c:v>
                </c:pt>
                <c:pt idx="671">
                  <c:v>-1.39951676828787E-4</c:v>
                </c:pt>
                <c:pt idx="672">
                  <c:v>5.4991245269775401E-4</c:v>
                </c:pt>
                <c:pt idx="673">
                  <c:v>-6.7996978759765603E-4</c:v>
                </c:pt>
                <c:pt idx="674">
                  <c:v>3.9005276630632601E-4</c:v>
                </c:pt>
                <c:pt idx="675">
                  <c:v>7.8999996185302702E-4</c:v>
                </c:pt>
                <c:pt idx="676">
                  <c:v>6.2990188598632802E-4</c:v>
                </c:pt>
                <c:pt idx="677">
                  <c:v>-3.9935119275469299E-5</c:v>
                </c:pt>
                <c:pt idx="678">
                  <c:v>4.58002090454102E-3</c:v>
                </c:pt>
                <c:pt idx="679">
                  <c:v>1.0499954223632799E-3</c:v>
                </c:pt>
                <c:pt idx="680">
                  <c:v>-2.8899908065795898E-3</c:v>
                </c:pt>
                <c:pt idx="681">
                  <c:v>-1.82998192030936E-3</c:v>
                </c:pt>
                <c:pt idx="682">
                  <c:v>1.68991088867188E-3</c:v>
                </c:pt>
                <c:pt idx="683">
                  <c:v>1.7700196476653201E-3</c:v>
                </c:pt>
                <c:pt idx="684">
                  <c:v>-3.7002566386945502E-4</c:v>
                </c:pt>
                <c:pt idx="685">
                  <c:v>1.9001960754394499E-4</c:v>
                </c:pt>
                <c:pt idx="686">
                  <c:v>-5.79953193664551E-4</c:v>
                </c:pt>
                <c:pt idx="687">
                  <c:v>-7.3003763100132303E-4</c:v>
                </c:pt>
                <c:pt idx="688">
                  <c:v>2.0027147911605401E-5</c:v>
                </c:pt>
                <c:pt idx="689">
                  <c:v>1.20043754577637E-4</c:v>
                </c:pt>
                <c:pt idx="690">
                  <c:v>3.5989284515380897E-4</c:v>
                </c:pt>
                <c:pt idx="691">
                  <c:v>1.10030196083244E-4</c:v>
                </c:pt>
                <c:pt idx="692">
                  <c:v>-6.4003461739048405E-4</c:v>
                </c:pt>
                <c:pt idx="693">
                  <c:v>1.20043754577637E-4</c:v>
                </c:pt>
                <c:pt idx="694">
                  <c:v>-3.0040742785786299E-5</c:v>
                </c:pt>
                <c:pt idx="695">
                  <c:v>-9.0003006334882202E-5</c:v>
                </c:pt>
                <c:pt idx="696">
                  <c:v>-3.9935119275469299E-5</c:v>
                </c:pt>
                <c:pt idx="697">
                  <c:v>-5.5003166198730501E-4</c:v>
                </c:pt>
                <c:pt idx="698">
                  <c:v>1.289963722229E-3</c:v>
                </c:pt>
                <c:pt idx="699">
                  <c:v>1.15001201629639E-3</c:v>
                </c:pt>
                <c:pt idx="700">
                  <c:v>1.1700391769409199E-3</c:v>
                </c:pt>
                <c:pt idx="701">
                  <c:v>-5.6004524230956999E-4</c:v>
                </c:pt>
                <c:pt idx="702">
                  <c:v>1.5300512313842799E-3</c:v>
                </c:pt>
                <c:pt idx="703">
                  <c:v>6.7996978759765603E-4</c:v>
                </c:pt>
                <c:pt idx="704">
                  <c:v>2.4998188018798801E-4</c:v>
                </c:pt>
                <c:pt idx="705">
                  <c:v>-1.6299486160278301E-3</c:v>
                </c:pt>
                <c:pt idx="706">
                  <c:v>8.0001354217529297E-4</c:v>
                </c:pt>
                <c:pt idx="707">
                  <c:v>-5.9962265368085402E-5</c:v>
                </c:pt>
                <c:pt idx="708">
                  <c:v>-5.9008609969168901E-4</c:v>
                </c:pt>
                <c:pt idx="709">
                  <c:v>-3.2997128437273199E-4</c:v>
                </c:pt>
                <c:pt idx="710">
                  <c:v>-4.5001512626186002E-4</c:v>
                </c:pt>
                <c:pt idx="711">
                  <c:v>3.1995773315429698E-4</c:v>
                </c:pt>
                <c:pt idx="712">
                  <c:v>-9.8943755801883492E-6</c:v>
                </c:pt>
                <c:pt idx="713">
                  <c:v>7.39932060241699E-4</c:v>
                </c:pt>
                <c:pt idx="714">
                  <c:v>8.4996217628940897E-4</c:v>
                </c:pt>
                <c:pt idx="715">
                  <c:v>2.20060348510742E-4</c:v>
                </c:pt>
                <c:pt idx="716">
                  <c:v>4.0054339478956502E-5</c:v>
                </c:pt>
                <c:pt idx="717">
                  <c:v>1.6999244689941401E-4</c:v>
                </c:pt>
                <c:pt idx="718">
                  <c:v>-3.9005276630632601E-4</c:v>
                </c:pt>
                <c:pt idx="719">
                  <c:v>3.0004978179931603E-4</c:v>
                </c:pt>
                <c:pt idx="720">
                  <c:v>6.7996978759765603E-4</c:v>
                </c:pt>
                <c:pt idx="721">
                  <c:v>9.3996524810791005E-4</c:v>
                </c:pt>
                <c:pt idx="722">
                  <c:v>2.0003318786621099E-4</c:v>
                </c:pt>
                <c:pt idx="723">
                  <c:v>4.0996074676513699E-4</c:v>
                </c:pt>
                <c:pt idx="724">
                  <c:v>-6.0999393463134798E-4</c:v>
                </c:pt>
                <c:pt idx="725">
                  <c:v>6.2000751495361296E-4</c:v>
                </c:pt>
                <c:pt idx="726">
                  <c:v>2.90036201477051E-4</c:v>
                </c:pt>
                <c:pt idx="727">
                  <c:v>3.1995773315429698E-4</c:v>
                </c:pt>
                <c:pt idx="728">
                  <c:v>-2.9003623058088102E-4</c:v>
                </c:pt>
                <c:pt idx="729">
                  <c:v>-1.58989429473877E-3</c:v>
                </c:pt>
                <c:pt idx="730">
                  <c:v>9.8943755801883492E-6</c:v>
                </c:pt>
                <c:pt idx="731">
                  <c:v>-1.1992453073617099E-4</c:v>
                </c:pt>
                <c:pt idx="732">
                  <c:v>-2.9400587081909201E-3</c:v>
                </c:pt>
                <c:pt idx="733">
                  <c:v>-1.00016601209063E-4</c:v>
                </c:pt>
                <c:pt idx="734">
                  <c:v>-6.1988830566406304E-4</c:v>
                </c:pt>
                <c:pt idx="735">
                  <c:v>-1.01006031036377E-3</c:v>
                </c:pt>
                <c:pt idx="736">
                  <c:v>2.2995470499154199E-4</c:v>
                </c:pt>
                <c:pt idx="737">
                  <c:v>6.0081485571572598E-5</c:v>
                </c:pt>
                <c:pt idx="738">
                  <c:v>5.5992603302001996E-4</c:v>
                </c:pt>
                <c:pt idx="739">
                  <c:v>1.0013595783675599E-5</c:v>
                </c:pt>
                <c:pt idx="740">
                  <c:v>-2.0027147911605401E-5</c:v>
                </c:pt>
                <c:pt idx="741">
                  <c:v>-2.6988980243913802E-4</c:v>
                </c:pt>
                <c:pt idx="742">
                  <c:v>-2.00033202418126E-4</c:v>
                </c:pt>
                <c:pt idx="743">
                  <c:v>-1.1500121327117101E-3</c:v>
                </c:pt>
                <c:pt idx="744">
                  <c:v>1.01995468139648E-3</c:v>
                </c:pt>
                <c:pt idx="745">
                  <c:v>5.0008296966552702E-4</c:v>
                </c:pt>
                <c:pt idx="746">
                  <c:v>-8.3005428314208995E-4</c:v>
                </c:pt>
                <c:pt idx="747">
                  <c:v>6.9975860242266194E-5</c:v>
                </c:pt>
                <c:pt idx="748">
                  <c:v>-1.59978866577148E-4</c:v>
                </c:pt>
                <c:pt idx="749">
                  <c:v>-9.4997877022251498E-4</c:v>
                </c:pt>
                <c:pt idx="750">
                  <c:v>-2.8200147207826402E-3</c:v>
                </c:pt>
                <c:pt idx="751">
                  <c:v>-3.7599799688905499E-3</c:v>
                </c:pt>
                <c:pt idx="752">
                  <c:v>1.39999389648438E-3</c:v>
                </c:pt>
                <c:pt idx="753">
                  <c:v>3.8993358612060498E-4</c:v>
                </c:pt>
                <c:pt idx="754">
                  <c:v>5.2011013031005903E-4</c:v>
                </c:pt>
                <c:pt idx="755">
                  <c:v>-8.9001655578613303E-4</c:v>
                </c:pt>
                <c:pt idx="756">
                  <c:v>-5.9998041251674305E-4</c:v>
                </c:pt>
                <c:pt idx="757">
                  <c:v>-7.4005132773891102E-4</c:v>
                </c:pt>
                <c:pt idx="758">
                  <c:v>-6.3002097886055697E-4</c:v>
                </c:pt>
                <c:pt idx="759">
                  <c:v>-4.99963760375977E-4</c:v>
                </c:pt>
                <c:pt idx="760">
                  <c:v>-3.6001202533952903E-4</c:v>
                </c:pt>
                <c:pt idx="761">
                  <c:v>-6.8998330971226096E-4</c:v>
                </c:pt>
                <c:pt idx="762">
                  <c:v>3.1995773315429698E-4</c:v>
                </c:pt>
                <c:pt idx="763">
                  <c:v>-3.89933644328266E-4</c:v>
                </c:pt>
                <c:pt idx="764">
                  <c:v>-4.0054339478956502E-5</c:v>
                </c:pt>
                <c:pt idx="765">
                  <c:v>3.9005276630632601E-4</c:v>
                </c:pt>
                <c:pt idx="766">
                  <c:v>-6.0081485571572598E-5</c:v>
                </c:pt>
                <c:pt idx="767">
                  <c:v>9.3007093528285601E-4</c:v>
                </c:pt>
                <c:pt idx="768">
                  <c:v>2.19941139221191E-4</c:v>
                </c:pt>
                <c:pt idx="769">
                  <c:v>8.6998945334926204E-4</c:v>
                </c:pt>
                <c:pt idx="770">
                  <c:v>-1.4996527170296799E-4</c:v>
                </c:pt>
                <c:pt idx="771">
                  <c:v>-1.4300346374511699E-3</c:v>
                </c:pt>
                <c:pt idx="772">
                  <c:v>-2.79998779296875E-3</c:v>
                </c:pt>
                <c:pt idx="773">
                  <c:v>-1.51002407073975E-3</c:v>
                </c:pt>
                <c:pt idx="774">
                  <c:v>-5.4991256911307595E-4</c:v>
                </c:pt>
                <c:pt idx="775">
                  <c:v>1.8399953842163099E-3</c:v>
                </c:pt>
                <c:pt idx="776">
                  <c:v>1.1999607086181599E-3</c:v>
                </c:pt>
                <c:pt idx="777">
                  <c:v>-3.1499860342592001E-3</c:v>
                </c:pt>
                <c:pt idx="778">
                  <c:v>2.7699472848325998E-3</c:v>
                </c:pt>
                <c:pt idx="779">
                  <c:v>1.4007090067025301E-4</c:v>
                </c:pt>
                <c:pt idx="780">
                  <c:v>2.19941139221191E-4</c:v>
                </c:pt>
                <c:pt idx="781">
                  <c:v>-1.54995918273926E-3</c:v>
                </c:pt>
                <c:pt idx="782">
                  <c:v>5.0997734069824197E-4</c:v>
                </c:pt>
                <c:pt idx="783">
                  <c:v>3.0004978179931603E-4</c:v>
                </c:pt>
                <c:pt idx="784">
                  <c:v>4.7993659973144499E-4</c:v>
                </c:pt>
                <c:pt idx="785">
                  <c:v>3.0004978179931603E-4</c:v>
                </c:pt>
                <c:pt idx="786">
                  <c:v>-5.1999092102050803E-4</c:v>
                </c:pt>
                <c:pt idx="787">
                  <c:v>3.4999847412109402E-4</c:v>
                </c:pt>
                <c:pt idx="788">
                  <c:v>1.89995754044503E-3</c:v>
                </c:pt>
                <c:pt idx="789">
                  <c:v>-4.29987849202007E-4</c:v>
                </c:pt>
                <c:pt idx="790">
                  <c:v>-5.0997728249058095E-4</c:v>
                </c:pt>
                <c:pt idx="791">
                  <c:v>7.1001052856445302E-4</c:v>
                </c:pt>
                <c:pt idx="792">
                  <c:v>-2.40087509155273E-4</c:v>
                </c:pt>
                <c:pt idx="793">
                  <c:v>-1.9991399312857501E-4</c:v>
                </c:pt>
                <c:pt idx="794">
                  <c:v>-5.7005882263183605E-4</c:v>
                </c:pt>
                <c:pt idx="795">
                  <c:v>-2.0027147911605401E-5</c:v>
                </c:pt>
                <c:pt idx="796">
                  <c:v>-1.44994258880615E-3</c:v>
                </c:pt>
                <c:pt idx="797">
                  <c:v>-1.3400313910096899E-3</c:v>
                </c:pt>
                <c:pt idx="798">
                  <c:v>1.48999679367989E-3</c:v>
                </c:pt>
                <c:pt idx="799">
                  <c:v>-7.9989455116447102E-5</c:v>
                </c:pt>
                <c:pt idx="800">
                  <c:v>-7.4994558235630404E-4</c:v>
                </c:pt>
                <c:pt idx="801">
                  <c:v>-4.29987849202007E-4</c:v>
                </c:pt>
                <c:pt idx="802">
                  <c:v>9.5999235054477995E-4</c:v>
                </c:pt>
                <c:pt idx="803">
                  <c:v>-3.20076971547678E-4</c:v>
                </c:pt>
                <c:pt idx="804">
                  <c:v>-2.8002256294712403E-4</c:v>
                </c:pt>
                <c:pt idx="805">
                  <c:v>-3.2997128437273199E-4</c:v>
                </c:pt>
                <c:pt idx="806">
                  <c:v>-2.3996828531380699E-4</c:v>
                </c:pt>
                <c:pt idx="807">
                  <c:v>1.10030196083244E-4</c:v>
                </c:pt>
                <c:pt idx="808">
                  <c:v>-9.0003006334882202E-5</c:v>
                </c:pt>
                <c:pt idx="809">
                  <c:v>0</c:v>
                </c:pt>
                <c:pt idx="810">
                  <c:v>1.03998184204102E-3</c:v>
                </c:pt>
                <c:pt idx="811">
                  <c:v>-3.0040742785786299E-5</c:v>
                </c:pt>
                <c:pt idx="812">
                  <c:v>5.0067890697391697E-5</c:v>
                </c:pt>
                <c:pt idx="813">
                  <c:v>-2.1004675363656101E-4</c:v>
                </c:pt>
                <c:pt idx="814">
                  <c:v>4.9948670493904501E-5</c:v>
                </c:pt>
                <c:pt idx="815">
                  <c:v>7.6007843017578103E-4</c:v>
                </c:pt>
                <c:pt idx="816">
                  <c:v>2.5999546051025401E-4</c:v>
                </c:pt>
                <c:pt idx="817">
                  <c:v>5.79953193664551E-4</c:v>
                </c:pt>
                <c:pt idx="818">
                  <c:v>-7.7998643973842296E-4</c:v>
                </c:pt>
                <c:pt idx="819">
                  <c:v>-4.6002859016880398E-4</c:v>
                </c:pt>
                <c:pt idx="820">
                  <c:v>-2.2000074386596701E-3</c:v>
                </c:pt>
                <c:pt idx="821">
                  <c:v>8.0108635302167399E-5</c:v>
                </c:pt>
                <c:pt idx="822">
                  <c:v>-3.4010407398454802E-4</c:v>
                </c:pt>
                <c:pt idx="823">
                  <c:v>-1.2199878692627001E-3</c:v>
                </c:pt>
                <c:pt idx="824">
                  <c:v>3.6001202533952903E-4</c:v>
                </c:pt>
                <c:pt idx="825">
                  <c:v>2.0027147911605401E-5</c:v>
                </c:pt>
                <c:pt idx="826">
                  <c:v>1.16002559661865E-3</c:v>
                </c:pt>
                <c:pt idx="827">
                  <c:v>-3.2997128437273199E-4</c:v>
                </c:pt>
                <c:pt idx="828">
                  <c:v>-6.4003461739048405E-4</c:v>
                </c:pt>
                <c:pt idx="829">
                  <c:v>-3.2997128437273199E-4</c:v>
                </c:pt>
                <c:pt idx="830">
                  <c:v>-4.1007995605468799E-4</c:v>
                </c:pt>
                <c:pt idx="831">
                  <c:v>3.6001202533952903E-4</c:v>
                </c:pt>
                <c:pt idx="832">
                  <c:v>-3.9994710823521002E-4</c:v>
                </c:pt>
                <c:pt idx="833">
                  <c:v>-2.5999546051025401E-4</c:v>
                </c:pt>
                <c:pt idx="834">
                  <c:v>-7.9989455116447102E-5</c:v>
                </c:pt>
                <c:pt idx="835">
                  <c:v>-8.8000297546386697E-4</c:v>
                </c:pt>
                <c:pt idx="836">
                  <c:v>9.8943755801883492E-6</c:v>
                </c:pt>
                <c:pt idx="837">
                  <c:v>-3.9994710823521002E-4</c:v>
                </c:pt>
                <c:pt idx="838">
                  <c:v>-1.29938125610352E-4</c:v>
                </c:pt>
                <c:pt idx="839">
                  <c:v>-9.0003006334882202E-5</c:v>
                </c:pt>
                <c:pt idx="840">
                  <c:v>-2.5010114768519998E-4</c:v>
                </c:pt>
                <c:pt idx="841">
                  <c:v>-1.7199516296386699E-3</c:v>
                </c:pt>
                <c:pt idx="842">
                  <c:v>1.1899471282959E-3</c:v>
                </c:pt>
                <c:pt idx="843">
                  <c:v>2.30073928833008E-4</c:v>
                </c:pt>
                <c:pt idx="844">
                  <c:v>1.2300014495849601E-3</c:v>
                </c:pt>
                <c:pt idx="845">
                  <c:v>2.99930572509766E-4</c:v>
                </c:pt>
                <c:pt idx="846">
                  <c:v>1.1301040649414099E-3</c:v>
                </c:pt>
                <c:pt idx="847">
                  <c:v>5.6993961334228505E-4</c:v>
                </c:pt>
                <c:pt idx="848">
                  <c:v>-2.2995473409537199E-4</c:v>
                </c:pt>
                <c:pt idx="849">
                  <c:v>-8.3005428314208995E-4</c:v>
                </c:pt>
                <c:pt idx="850">
                  <c:v>5.9998035430908203E-4</c:v>
                </c:pt>
                <c:pt idx="851">
                  <c:v>3.1006336212158198E-4</c:v>
                </c:pt>
                <c:pt idx="852">
                  <c:v>-3.9005276630632601E-4</c:v>
                </c:pt>
                <c:pt idx="853">
                  <c:v>1.4300346374511699E-3</c:v>
                </c:pt>
                <c:pt idx="854">
                  <c:v>7.1001052856445302E-4</c:v>
                </c:pt>
                <c:pt idx="855">
                  <c:v>-6.0081485571572598E-5</c:v>
                </c:pt>
                <c:pt idx="856">
                  <c:v>1.9001960754394499E-4</c:v>
                </c:pt>
                <c:pt idx="857">
                  <c:v>6.0081485571572598E-5</c:v>
                </c:pt>
                <c:pt idx="858">
                  <c:v>-4.0054339478956502E-5</c:v>
                </c:pt>
                <c:pt idx="859">
                  <c:v>-5.0997728249058095E-4</c:v>
                </c:pt>
                <c:pt idx="860">
                  <c:v>-5.4001802345737804E-4</c:v>
                </c:pt>
                <c:pt idx="861">
                  <c:v>1.4996527170296799E-4</c:v>
                </c:pt>
                <c:pt idx="862">
                  <c:v>-6.0999393463134798E-4</c:v>
                </c:pt>
                <c:pt idx="863">
                  <c:v>3.3998489379882802E-4</c:v>
                </c:pt>
                <c:pt idx="864">
                  <c:v>5.1009654998779297E-4</c:v>
                </c:pt>
                <c:pt idx="865">
                  <c:v>2.9000043869018598E-3</c:v>
                </c:pt>
                <c:pt idx="866">
                  <c:v>1.02996826171875E-3</c:v>
                </c:pt>
                <c:pt idx="867">
                  <c:v>-4.8005586722865701E-4</c:v>
                </c:pt>
                <c:pt idx="868">
                  <c:v>2.1004675363656101E-4</c:v>
                </c:pt>
                <c:pt idx="869">
                  <c:v>-3.2997128437273199E-4</c:v>
                </c:pt>
                <c:pt idx="870">
                  <c:v>-1.16002559661865E-3</c:v>
                </c:pt>
                <c:pt idx="871">
                  <c:v>-1.8099545268341899E-3</c:v>
                </c:pt>
                <c:pt idx="872">
                  <c:v>-1.6009804676286901E-4</c:v>
                </c:pt>
                <c:pt idx="873">
                  <c:v>1.0013595783675599E-5</c:v>
                </c:pt>
                <c:pt idx="874">
                  <c:v>-4.6002859016880398E-4</c:v>
                </c:pt>
                <c:pt idx="875">
                  <c:v>-2.6988980243913802E-4</c:v>
                </c:pt>
                <c:pt idx="876">
                  <c:v>-4.0006640483625201E-4</c:v>
                </c:pt>
                <c:pt idx="877">
                  <c:v>3.6001202533952903E-4</c:v>
                </c:pt>
                <c:pt idx="878">
                  <c:v>-2.3996828531380699E-4</c:v>
                </c:pt>
                <c:pt idx="879">
                  <c:v>-1.50084495544434E-4</c:v>
                </c:pt>
                <c:pt idx="880">
                  <c:v>2.1004675363656101E-4</c:v>
                </c:pt>
                <c:pt idx="881">
                  <c:v>6.5004825592041005E-4</c:v>
                </c:pt>
                <c:pt idx="882">
                  <c:v>-4.0054339478956502E-5</c:v>
                </c:pt>
                <c:pt idx="883">
                  <c:v>-1.29938125610352E-4</c:v>
                </c:pt>
                <c:pt idx="884">
                  <c:v>-2.24006175994873E-3</c:v>
                </c:pt>
                <c:pt idx="885">
                  <c:v>-2.8002256294712403E-4</c:v>
                </c:pt>
                <c:pt idx="886">
                  <c:v>5.1999092102050803E-4</c:v>
                </c:pt>
                <c:pt idx="887">
                  <c:v>6.0081485571572598E-5</c:v>
                </c:pt>
                <c:pt idx="888">
                  <c:v>-5.0067890697391697E-5</c:v>
                </c:pt>
                <c:pt idx="889">
                  <c:v>-2.1994118287693701E-4</c:v>
                </c:pt>
                <c:pt idx="890">
                  <c:v>-3.4999847412109401E-3</c:v>
                </c:pt>
                <c:pt idx="891">
                  <c:v>1.6999243525788201E-3</c:v>
                </c:pt>
                <c:pt idx="892">
                  <c:v>-1.4699697494506799E-3</c:v>
                </c:pt>
                <c:pt idx="893">
                  <c:v>-1.8899440765380901E-3</c:v>
                </c:pt>
                <c:pt idx="894">
                  <c:v>-4.0054339478956502E-5</c:v>
                </c:pt>
                <c:pt idx="895">
                  <c:v>3.9005276630632601E-4</c:v>
                </c:pt>
                <c:pt idx="896">
                  <c:v>1.6999244689941401E-4</c:v>
                </c:pt>
                <c:pt idx="897">
                  <c:v>-9.2005729675293001E-4</c:v>
                </c:pt>
                <c:pt idx="898">
                  <c:v>-3.0994418193586198E-4</c:v>
                </c:pt>
                <c:pt idx="899">
                  <c:v>-1.27005577087402E-3</c:v>
                </c:pt>
                <c:pt idx="900">
                  <c:v>1.5699863433837899E-3</c:v>
                </c:pt>
                <c:pt idx="901">
                  <c:v>-2.8002256294712403E-4</c:v>
                </c:pt>
                <c:pt idx="902">
                  <c:v>-2.2995473409537199E-4</c:v>
                </c:pt>
                <c:pt idx="903">
                  <c:v>6.9975860242266194E-5</c:v>
                </c:pt>
                <c:pt idx="904">
                  <c:v>7.9989455116447102E-5</c:v>
                </c:pt>
                <c:pt idx="905">
                  <c:v>7.4005132773891102E-4</c:v>
                </c:pt>
                <c:pt idx="906">
                  <c:v>-4.6002859016880398E-4</c:v>
                </c:pt>
                <c:pt idx="907">
                  <c:v>2.8002262115478499E-4</c:v>
                </c:pt>
                <c:pt idx="908">
                  <c:v>6.9975860242266194E-5</c:v>
                </c:pt>
                <c:pt idx="909">
                  <c:v>-3.3998492290265902E-4</c:v>
                </c:pt>
                <c:pt idx="910">
                  <c:v>4.8005583812482698E-4</c:v>
                </c:pt>
                <c:pt idx="911">
                  <c:v>-4.8005586722865701E-4</c:v>
                </c:pt>
                <c:pt idx="912">
                  <c:v>1.1800527572631799E-3</c:v>
                </c:pt>
                <c:pt idx="913">
                  <c:v>1.1899471282959E-3</c:v>
                </c:pt>
                <c:pt idx="914">
                  <c:v>1.289963722229E-3</c:v>
                </c:pt>
                <c:pt idx="915">
                  <c:v>-7.9989455116447102E-5</c:v>
                </c:pt>
                <c:pt idx="916">
                  <c:v>-1.43992900848389E-3</c:v>
                </c:pt>
                <c:pt idx="917">
                  <c:v>-7.7998643973842296E-4</c:v>
                </c:pt>
                <c:pt idx="918">
                  <c:v>1.4599561691284199E-3</c:v>
                </c:pt>
                <c:pt idx="919">
                  <c:v>-2.20060348510742E-4</c:v>
                </c:pt>
                <c:pt idx="920">
                  <c:v>1.52003765106201E-3</c:v>
                </c:pt>
                <c:pt idx="921">
                  <c:v>-1.70004356186837E-3</c:v>
                </c:pt>
                <c:pt idx="922">
                  <c:v>-2.99215225822991E-5</c:v>
                </c:pt>
                <c:pt idx="923">
                  <c:v>1.0999441146850599E-3</c:v>
                </c:pt>
                <c:pt idx="924">
                  <c:v>-4.6002859016880398E-4</c:v>
                </c:pt>
                <c:pt idx="925">
                  <c:v>-1.08993065077811E-3</c:v>
                </c:pt>
                <c:pt idx="926">
                  <c:v>-2.9003623058088102E-4</c:v>
                </c:pt>
                <c:pt idx="927">
                  <c:v>-2.1994118287693701E-4</c:v>
                </c:pt>
                <c:pt idx="928">
                  <c:v>-1.0013595783675599E-5</c:v>
                </c:pt>
                <c:pt idx="929">
                  <c:v>-3.0040742785786299E-5</c:v>
                </c:pt>
                <c:pt idx="930">
                  <c:v>3.2007694244384798E-4</c:v>
                </c:pt>
                <c:pt idx="931">
                  <c:v>-8.20040702819824E-4</c:v>
                </c:pt>
                <c:pt idx="932">
                  <c:v>-7.3003763100132303E-4</c:v>
                </c:pt>
                <c:pt idx="933">
                  <c:v>1.80006012669764E-4</c:v>
                </c:pt>
                <c:pt idx="934">
                  <c:v>-1.4996527170296799E-4</c:v>
                </c:pt>
                <c:pt idx="935">
                  <c:v>-5.0067890697391697E-5</c:v>
                </c:pt>
                <c:pt idx="936">
                  <c:v>3.0040742785786299E-5</c:v>
                </c:pt>
                <c:pt idx="937">
                  <c:v>-6.5004825592041005E-4</c:v>
                </c:pt>
                <c:pt idx="938">
                  <c:v>2.3699998855590799E-3</c:v>
                </c:pt>
                <c:pt idx="939">
                  <c:v>5.0067890697391697E-5</c:v>
                </c:pt>
                <c:pt idx="940">
                  <c:v>4.8995018005371105E-4</c:v>
                </c:pt>
                <c:pt idx="941">
                  <c:v>-2.3699998855590799E-3</c:v>
                </c:pt>
                <c:pt idx="942">
                  <c:v>-2.31993198394775E-3</c:v>
                </c:pt>
                <c:pt idx="943">
                  <c:v>-6.6006189445033702E-4</c:v>
                </c:pt>
                <c:pt idx="944">
                  <c:v>-1.4599560527131E-3</c:v>
                </c:pt>
                <c:pt idx="945">
                  <c:v>4.6002864837646501E-4</c:v>
                </c:pt>
                <c:pt idx="946">
                  <c:v>2.99215225822991E-5</c:v>
                </c:pt>
                <c:pt idx="947">
                  <c:v>5.30004501342773E-4</c:v>
                </c:pt>
                <c:pt idx="948">
                  <c:v>-6.0999393463134798E-4</c:v>
                </c:pt>
                <c:pt idx="949">
                  <c:v>2.0027147911605401E-5</c:v>
                </c:pt>
                <c:pt idx="950">
                  <c:v>-7.4005132773891102E-4</c:v>
                </c:pt>
                <c:pt idx="951">
                  <c:v>2.8500556945800799E-3</c:v>
                </c:pt>
                <c:pt idx="952">
                  <c:v>-5.9962265368085402E-5</c:v>
                </c:pt>
                <c:pt idx="953">
                  <c:v>1.8990039825439499E-4</c:v>
                </c:pt>
                <c:pt idx="954">
                  <c:v>1.3200044631957999E-3</c:v>
                </c:pt>
                <c:pt idx="955">
                  <c:v>6.9999694824218804E-4</c:v>
                </c:pt>
                <c:pt idx="956">
                  <c:v>-4.5990946819074501E-4</c:v>
                </c:pt>
                <c:pt idx="957">
                  <c:v>1.0999441146850599E-3</c:v>
                </c:pt>
                <c:pt idx="958">
                  <c:v>5.7005882263183605E-4</c:v>
                </c:pt>
                <c:pt idx="959">
                  <c:v>3.9994716644287099E-4</c:v>
                </c:pt>
                <c:pt idx="960">
                  <c:v>-1.29938125610352E-4</c:v>
                </c:pt>
                <c:pt idx="961">
                  <c:v>-1.59001362044364E-3</c:v>
                </c:pt>
                <c:pt idx="962">
                  <c:v>-1.4300346374511699E-3</c:v>
                </c:pt>
                <c:pt idx="963">
                  <c:v>-1.8199681071564601E-3</c:v>
                </c:pt>
                <c:pt idx="964">
                  <c:v>-1.0499953059479601E-3</c:v>
                </c:pt>
                <c:pt idx="965">
                  <c:v>-1.10006332397461E-3</c:v>
                </c:pt>
                <c:pt idx="966">
                  <c:v>-1.03998184204102E-3</c:v>
                </c:pt>
                <c:pt idx="967">
                  <c:v>-2.1899938583374002E-3</c:v>
                </c:pt>
                <c:pt idx="968">
                  <c:v>4.1997435619123302E-4</c:v>
                </c:pt>
                <c:pt idx="969">
                  <c:v>2.5999546051025401E-4</c:v>
                </c:pt>
                <c:pt idx="970">
                  <c:v>1.00016601209063E-4</c:v>
                </c:pt>
                <c:pt idx="971">
                  <c:v>-3.89933644328266E-4</c:v>
                </c:pt>
                <c:pt idx="972">
                  <c:v>-5.0067890697391697E-5</c:v>
                </c:pt>
                <c:pt idx="973">
                  <c:v>5.0067890697391697E-5</c:v>
                </c:pt>
                <c:pt idx="974">
                  <c:v>-1.80006012669764E-4</c:v>
                </c:pt>
                <c:pt idx="975">
                  <c:v>-2.8002256294712403E-4</c:v>
                </c:pt>
                <c:pt idx="976">
                  <c:v>3.7002566386945502E-4</c:v>
                </c:pt>
                <c:pt idx="977">
                  <c:v>1.09910979517736E-4</c:v>
                </c:pt>
                <c:pt idx="978">
                  <c:v>4.2009350727312299E-4</c:v>
                </c:pt>
                <c:pt idx="979">
                  <c:v>-4.7004222869872998E-4</c:v>
                </c:pt>
                <c:pt idx="980">
                  <c:v>-1.20043754577637E-4</c:v>
                </c:pt>
                <c:pt idx="981">
                  <c:v>5.30004501342773E-4</c:v>
                </c:pt>
                <c:pt idx="982">
                  <c:v>-4.9948670493904501E-5</c:v>
                </c:pt>
                <c:pt idx="983">
                  <c:v>3.2997131347656299E-4</c:v>
                </c:pt>
                <c:pt idx="984">
                  <c:v>4.0996074676513699E-4</c:v>
                </c:pt>
                <c:pt idx="985">
                  <c:v>-3.9499998092651402E-3</c:v>
                </c:pt>
                <c:pt idx="986">
                  <c:v>-2.4698972702026402E-3</c:v>
                </c:pt>
                <c:pt idx="987">
                  <c:v>-2.2300481796264601E-3</c:v>
                </c:pt>
                <c:pt idx="988">
                  <c:v>1.61993515212089E-3</c:v>
                </c:pt>
                <c:pt idx="989">
                  <c:v>-1.3399124145507799E-3</c:v>
                </c:pt>
                <c:pt idx="990">
                  <c:v>2.55000591278076E-3</c:v>
                </c:pt>
                <c:pt idx="991">
                  <c:v>3.2997131347656299E-4</c:v>
                </c:pt>
                <c:pt idx="992">
                  <c:v>4.99963760375977E-4</c:v>
                </c:pt>
                <c:pt idx="993">
                  <c:v>-2.3999214172363299E-3</c:v>
                </c:pt>
                <c:pt idx="994">
                  <c:v>-5.7005882263183605E-4</c:v>
                </c:pt>
                <c:pt idx="995">
                  <c:v>-1.30999099928886E-3</c:v>
                </c:pt>
                <c:pt idx="996">
                  <c:v>-5.79953193664551E-4</c:v>
                </c:pt>
                <c:pt idx="997">
                  <c:v>6.9975860242266194E-5</c:v>
                </c:pt>
                <c:pt idx="998">
                  <c:v>2.09927558898926E-4</c:v>
                </c:pt>
                <c:pt idx="999">
                  <c:v>2.20060348510742E-4</c:v>
                </c:pt>
                <c:pt idx="1000">
                  <c:v>2.90036201477051E-4</c:v>
                </c:pt>
                <c:pt idx="1001">
                  <c:v>-4.5001512626186002E-4</c:v>
                </c:pt>
              </c:numCache>
            </c:numRef>
          </c:val>
          <c:smooth val="0"/>
        </c:ser>
        <c:ser>
          <c:idx val="1"/>
          <c:order val="1"/>
          <c:tx>
            <c:strRef>
              <c:f>Run_TR!$C$1</c:f>
              <c:strCache>
                <c:ptCount val="1"/>
                <c:pt idx="0">
                  <c:v>Average of PREDICTEDTR</c:v>
                </c:pt>
              </c:strCache>
            </c:strRef>
          </c:tx>
          <c:spPr>
            <a:ln w="28575" cap="rnd">
              <a:solidFill>
                <a:schemeClr val="accent2"/>
              </a:solidFill>
              <a:round/>
            </a:ln>
            <a:effectLst/>
          </c:spPr>
          <c:marker>
            <c:symbol val="none"/>
          </c:marker>
          <c:cat>
            <c:strRef>
              <c:f>Run_TR!$A$2:$A$1004</c:f>
              <c:strCache>
                <c:ptCount val="1002"/>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pt idx="1000">
                  <c:v>1000</c:v>
                </c:pt>
                <c:pt idx="1001">
                  <c:v>1001</c:v>
                </c:pt>
              </c:strCache>
            </c:strRef>
          </c:cat>
          <c:val>
            <c:numRef>
              <c:f>Run_TR!$C$2:$C$1004</c:f>
              <c:numCache>
                <c:formatCode>General</c:formatCode>
                <c:ptCount val="1002"/>
                <c:pt idx="0">
                  <c:v>-1.5334292766056005E-4</c:v>
                </c:pt>
                <c:pt idx="1">
                  <c:v>9.8835174867417555E-5</c:v>
                </c:pt>
                <c:pt idx="2">
                  <c:v>9.6187994495266853E-4</c:v>
                </c:pt>
                <c:pt idx="3">
                  <c:v>-6.1843587900511899E-4</c:v>
                </c:pt>
                <c:pt idx="4">
                  <c:v>7.7678039815509841E-5</c:v>
                </c:pt>
                <c:pt idx="5">
                  <c:v>-1.6542441153433201E-4</c:v>
                </c:pt>
                <c:pt idx="6">
                  <c:v>7.034297232166845E-5</c:v>
                </c:pt>
                <c:pt idx="7">
                  <c:v>9.6431888232473197E-4</c:v>
                </c:pt>
                <c:pt idx="8">
                  <c:v>-6.8990212457720147E-4</c:v>
                </c:pt>
                <c:pt idx="9">
                  <c:v>7.9309453667519752E-5</c:v>
                </c:pt>
                <c:pt idx="10">
                  <c:v>-1.5078384967637243E-4</c:v>
                </c:pt>
                <c:pt idx="11">
                  <c:v>7.2441398515365069E-6</c:v>
                </c:pt>
                <c:pt idx="12">
                  <c:v>1.079467154340817E-3</c:v>
                </c:pt>
                <c:pt idx="13">
                  <c:v>-4.9385668171453301E-4</c:v>
                </c:pt>
                <c:pt idx="14">
                  <c:v>1.751975651131945E-4</c:v>
                </c:pt>
                <c:pt idx="15">
                  <c:v>1.0532815315400534E-4</c:v>
                </c:pt>
                <c:pt idx="16">
                  <c:v>-5.4482668929267749E-5</c:v>
                </c:pt>
                <c:pt idx="17">
                  <c:v>-2.3514510007771597E-4</c:v>
                </c:pt>
                <c:pt idx="18">
                  <c:v>-2.8331364046607648E-4</c:v>
                </c:pt>
                <c:pt idx="19">
                  <c:v>-2.8409874357748798E-4</c:v>
                </c:pt>
                <c:pt idx="20">
                  <c:v>-2.48633819865063E-4</c:v>
                </c:pt>
                <c:pt idx="21">
                  <c:v>-1.3275737728690745E-4</c:v>
                </c:pt>
                <c:pt idx="22">
                  <c:v>5.4352625738829008E-5</c:v>
                </c:pt>
                <c:pt idx="23">
                  <c:v>7.8738368756602989E-5</c:v>
                </c:pt>
                <c:pt idx="24">
                  <c:v>6.4629450207575993E-5</c:v>
                </c:pt>
                <c:pt idx="25">
                  <c:v>4.7739988076500486E-5</c:v>
                </c:pt>
                <c:pt idx="26">
                  <c:v>-4.4727377826348015E-5</c:v>
                </c:pt>
                <c:pt idx="27">
                  <c:v>-1.2893688813164753E-4</c:v>
                </c:pt>
                <c:pt idx="28">
                  <c:v>-1.6364211478503399E-4</c:v>
                </c:pt>
                <c:pt idx="29">
                  <c:v>-1.7500197645858864E-4</c:v>
                </c:pt>
                <c:pt idx="30">
                  <c:v>-1.2380447333271174E-4</c:v>
                </c:pt>
                <c:pt idx="31">
                  <c:v>-9.3305810878518901E-5</c:v>
                </c:pt>
                <c:pt idx="32">
                  <c:v>-4.3839540012413995E-5</c:v>
                </c:pt>
                <c:pt idx="33">
                  <c:v>-1.6213834896916496E-5</c:v>
                </c:pt>
                <c:pt idx="34">
                  <c:v>-7.6272590376902507E-6</c:v>
                </c:pt>
                <c:pt idx="35">
                  <c:v>7.1143022069009021E-6</c:v>
                </c:pt>
                <c:pt idx="36">
                  <c:v>8.4237235569162159E-6</c:v>
                </c:pt>
                <c:pt idx="37">
                  <c:v>6.9772294864378745E-5</c:v>
                </c:pt>
                <c:pt idx="38">
                  <c:v>1.22130506497342E-4</c:v>
                </c:pt>
                <c:pt idx="39">
                  <c:v>1.2185017476440394E-4</c:v>
                </c:pt>
                <c:pt idx="40">
                  <c:v>3.2804411603137986E-5</c:v>
                </c:pt>
                <c:pt idx="41">
                  <c:v>-1.1220364103792252E-4</c:v>
                </c:pt>
                <c:pt idx="42">
                  <c:v>-1.7467759607825398E-4</c:v>
                </c:pt>
                <c:pt idx="43">
                  <c:v>-1.603112574457555E-4</c:v>
                </c:pt>
                <c:pt idx="44">
                  <c:v>-8.3092128079442949E-5</c:v>
                </c:pt>
                <c:pt idx="45">
                  <c:v>-1.5803751011844494E-5</c:v>
                </c:pt>
                <c:pt idx="46">
                  <c:v>-2.9000888389418952E-5</c:v>
                </c:pt>
                <c:pt idx="47">
                  <c:v>-9.2478792794281603E-5</c:v>
                </c:pt>
                <c:pt idx="48">
                  <c:v>-1.004079986159923E-4</c:v>
                </c:pt>
                <c:pt idx="49">
                  <c:v>-6.7354688553678124E-5</c:v>
                </c:pt>
                <c:pt idx="50">
                  <c:v>6.1747388826915805E-5</c:v>
                </c:pt>
                <c:pt idx="51">
                  <c:v>1.0789954103529449E-4</c:v>
                </c:pt>
                <c:pt idx="52">
                  <c:v>-2.5737105170264802E-4</c:v>
                </c:pt>
                <c:pt idx="53">
                  <c:v>-1.8433372315485001E-4</c:v>
                </c:pt>
                <c:pt idx="54">
                  <c:v>-1.3136286725057299E-5</c:v>
                </c:pt>
                <c:pt idx="55">
                  <c:v>1.13077796413563E-4</c:v>
                </c:pt>
                <c:pt idx="56">
                  <c:v>6.8666930019389797E-5</c:v>
                </c:pt>
                <c:pt idx="57">
                  <c:v>-1.06561870779842E-4</c:v>
                </c:pt>
                <c:pt idx="58">
                  <c:v>-2.7640722692012798E-4</c:v>
                </c:pt>
                <c:pt idx="59">
                  <c:v>-4.0724631980992902E-4</c:v>
                </c:pt>
                <c:pt idx="60">
                  <c:v>-3.98746255086735E-4</c:v>
                </c:pt>
                <c:pt idx="61">
                  <c:v>-2.8039826429449E-4</c:v>
                </c:pt>
                <c:pt idx="62">
                  <c:v>-9.3245354946702705E-5</c:v>
                </c:pt>
                <c:pt idx="63">
                  <c:v>7.9460965935140794E-5</c:v>
                </c:pt>
                <c:pt idx="64">
                  <c:v>8.3220518718008006E-5</c:v>
                </c:pt>
                <c:pt idx="65">
                  <c:v>9.2148235125932802E-5</c:v>
                </c:pt>
                <c:pt idx="66">
                  <c:v>-6.2841703766025603E-5</c:v>
                </c:pt>
                <c:pt idx="67">
                  <c:v>-1.5686685219407101E-4</c:v>
                </c:pt>
                <c:pt idx="68">
                  <c:v>-1.2507050996646301E-4</c:v>
                </c:pt>
                <c:pt idx="69">
                  <c:v>-1.2621133646462099E-4</c:v>
                </c:pt>
                <c:pt idx="70">
                  <c:v>-1.61287534865551E-4</c:v>
                </c:pt>
                <c:pt idx="71">
                  <c:v>-2.1554017439484599E-4</c:v>
                </c:pt>
                <c:pt idx="72">
                  <c:v>-2.0382687216624601E-4</c:v>
                </c:pt>
                <c:pt idx="73">
                  <c:v>-1.77291673026048E-4</c:v>
                </c:pt>
                <c:pt idx="74">
                  <c:v>-5.4605174227617701E-5</c:v>
                </c:pt>
                <c:pt idx="75">
                  <c:v>-2.59468379226746E-5</c:v>
                </c:pt>
                <c:pt idx="76">
                  <c:v>-9.45849023992196E-5</c:v>
                </c:pt>
                <c:pt idx="77">
                  <c:v>-4.7097790229599903E-5</c:v>
                </c:pt>
                <c:pt idx="78">
                  <c:v>9.2922373369219696E-6</c:v>
                </c:pt>
                <c:pt idx="79">
                  <c:v>1.98787602130324E-4</c:v>
                </c:pt>
                <c:pt idx="80">
                  <c:v>2.5764532620087298E-4</c:v>
                </c:pt>
                <c:pt idx="81">
                  <c:v>1.31069013150409E-4</c:v>
                </c:pt>
                <c:pt idx="82">
                  <c:v>-1.8722064851317599E-5</c:v>
                </c:pt>
                <c:pt idx="83">
                  <c:v>-2.7898186817765198E-4</c:v>
                </c:pt>
                <c:pt idx="84">
                  <c:v>-3.2759082387201499E-4</c:v>
                </c:pt>
                <c:pt idx="85">
                  <c:v>-1.4250581443775399E-4</c:v>
                </c:pt>
                <c:pt idx="86">
                  <c:v>-4.9743510317057398E-5</c:v>
                </c:pt>
                <c:pt idx="87">
                  <c:v>1.64224147738423E-5</c:v>
                </c:pt>
                <c:pt idx="88">
                  <c:v>1.60706131282495E-5</c:v>
                </c:pt>
                <c:pt idx="89">
                  <c:v>-1.3883295468985999E-4</c:v>
                </c:pt>
                <c:pt idx="90">
                  <c:v>-1.6587337086093598E-5</c:v>
                </c:pt>
                <c:pt idx="91">
                  <c:v>7.8298020525835495E-5</c:v>
                </c:pt>
                <c:pt idx="92">
                  <c:v>5.6083972594933598E-5</c:v>
                </c:pt>
                <c:pt idx="93">
                  <c:v>-2.4296865376527401E-5</c:v>
                </c:pt>
                <c:pt idx="94">
                  <c:v>-2.60870612692088E-4</c:v>
                </c:pt>
                <c:pt idx="95">
                  <c:v>-2.01956092496403E-4</c:v>
                </c:pt>
                <c:pt idx="96">
                  <c:v>-4.9306909204460701E-5</c:v>
                </c:pt>
                <c:pt idx="97">
                  <c:v>4.8197933210758499E-5</c:v>
                </c:pt>
                <c:pt idx="98">
                  <c:v>1.20839504234027E-4</c:v>
                </c:pt>
                <c:pt idx="99">
                  <c:v>6.2814673583488898E-5</c:v>
                </c:pt>
                <c:pt idx="100">
                  <c:v>-8.35452519822866E-5</c:v>
                </c:pt>
                <c:pt idx="101">
                  <c:v>-9.1357993369456394E-5</c:v>
                </c:pt>
                <c:pt idx="102">
                  <c:v>-3.4482643968658501E-5</c:v>
                </c:pt>
                <c:pt idx="103">
                  <c:v>-1.49198694998631E-5</c:v>
                </c:pt>
                <c:pt idx="104">
                  <c:v>5.24817332916427E-5</c:v>
                </c:pt>
                <c:pt idx="105">
                  <c:v>-9.0327695943415206E-5</c:v>
                </c:pt>
                <c:pt idx="106">
                  <c:v>-1.9576297199819199E-4</c:v>
                </c:pt>
                <c:pt idx="107">
                  <c:v>-1.8345615535508801E-4</c:v>
                </c:pt>
                <c:pt idx="108">
                  <c:v>-1.6472629795316601E-4</c:v>
                </c:pt>
                <c:pt idx="109">
                  <c:v>-1.55598463607021E-4</c:v>
                </c:pt>
                <c:pt idx="110">
                  <c:v>-1.4271771942731001E-4</c:v>
                </c:pt>
                <c:pt idx="111">
                  <c:v>-1.4217526768334199E-4</c:v>
                </c:pt>
                <c:pt idx="112">
                  <c:v>-1.4061578258406401E-4</c:v>
                </c:pt>
                <c:pt idx="113">
                  <c:v>-8.86136513145175E-6</c:v>
                </c:pt>
                <c:pt idx="114">
                  <c:v>7.0148918894119601E-5</c:v>
                </c:pt>
                <c:pt idx="115">
                  <c:v>1.2582291674334599E-4</c:v>
                </c:pt>
                <c:pt idx="116">
                  <c:v>1.6683389549143599E-4</c:v>
                </c:pt>
                <c:pt idx="117">
                  <c:v>7.0521666202694205E-5</c:v>
                </c:pt>
                <c:pt idx="118">
                  <c:v>-1.01000980066601E-4</c:v>
                </c:pt>
                <c:pt idx="119">
                  <c:v>-2.1030422067269699E-4</c:v>
                </c:pt>
                <c:pt idx="120">
                  <c:v>-2.17881897697225E-4</c:v>
                </c:pt>
                <c:pt idx="121">
                  <c:v>-2.2315632668323801E-4</c:v>
                </c:pt>
                <c:pt idx="122">
                  <c:v>-6.2761711888015297E-5</c:v>
                </c:pt>
                <c:pt idx="123">
                  <c:v>1.11502391519025E-4</c:v>
                </c:pt>
                <c:pt idx="124">
                  <c:v>1.3347962521947901E-4</c:v>
                </c:pt>
                <c:pt idx="125">
                  <c:v>2.16271742829122E-4</c:v>
                </c:pt>
                <c:pt idx="126">
                  <c:v>2.6945225545205198E-4</c:v>
                </c:pt>
                <c:pt idx="127">
                  <c:v>7.8647593909408897E-5</c:v>
                </c:pt>
                <c:pt idx="128">
                  <c:v>-1.1379674833733601E-4</c:v>
                </c:pt>
                <c:pt idx="129">
                  <c:v>-2.47009098529816E-4</c:v>
                </c:pt>
                <c:pt idx="130">
                  <c:v>-3.3085176255553999E-4</c:v>
                </c:pt>
                <c:pt idx="131">
                  <c:v>-2.7605699142441202E-4</c:v>
                </c:pt>
                <c:pt idx="132">
                  <c:v>-1.2601404159795501E-4</c:v>
                </c:pt>
                <c:pt idx="133">
                  <c:v>3.9877388189779601E-5</c:v>
                </c:pt>
                <c:pt idx="134">
                  <c:v>1.2268457794562001E-4</c:v>
                </c:pt>
                <c:pt idx="135">
                  <c:v>1.9292203069198901E-4</c:v>
                </c:pt>
                <c:pt idx="136">
                  <c:v>1.57179485540837E-4</c:v>
                </c:pt>
                <c:pt idx="137">
                  <c:v>-3.9081638533389203E-5</c:v>
                </c:pt>
                <c:pt idx="138">
                  <c:v>-1.5870133938733499E-4</c:v>
                </c:pt>
                <c:pt idx="139">
                  <c:v>-1.9660979160107699E-4</c:v>
                </c:pt>
                <c:pt idx="140">
                  <c:v>-1.89729209523648E-4</c:v>
                </c:pt>
                <c:pt idx="141">
                  <c:v>-1.9614429038483601E-4</c:v>
                </c:pt>
                <c:pt idx="142">
                  <c:v>-1.41421682201326E-4</c:v>
                </c:pt>
                <c:pt idx="143">
                  <c:v>-1.2629639240913101E-4</c:v>
                </c:pt>
                <c:pt idx="144">
                  <c:v>-3.1494917493546402E-5</c:v>
                </c:pt>
                <c:pt idx="145">
                  <c:v>1.225804007845E-4</c:v>
                </c:pt>
                <c:pt idx="146">
                  <c:v>1.9843578047584699E-4</c:v>
                </c:pt>
                <c:pt idx="147">
                  <c:v>2.4608700186945498E-4</c:v>
                </c:pt>
                <c:pt idx="148">
                  <c:v>1.4303623174782799E-4</c:v>
                </c:pt>
                <c:pt idx="149">
                  <c:v>7.9301556979771703E-5</c:v>
                </c:pt>
                <c:pt idx="150">
                  <c:v>2.3182201402960301E-5</c:v>
                </c:pt>
                <c:pt idx="151">
                  <c:v>-7.65813529142179E-5</c:v>
                </c:pt>
                <c:pt idx="152">
                  <c:v>4.11898181482684E-5</c:v>
                </c:pt>
                <c:pt idx="153">
                  <c:v>-5.4632337196380797E-6</c:v>
                </c:pt>
                <c:pt idx="154">
                  <c:v>-1.25795895655756E-5</c:v>
                </c:pt>
                <c:pt idx="155">
                  <c:v>-3.1032817787490799E-5</c:v>
                </c:pt>
                <c:pt idx="156">
                  <c:v>-2.4922916782088599E-4</c:v>
                </c:pt>
                <c:pt idx="157">
                  <c:v>-2.46297713601962E-4</c:v>
                </c:pt>
                <c:pt idx="158">
                  <c:v>-1.6433422570116799E-4</c:v>
                </c:pt>
                <c:pt idx="159">
                  <c:v>1.5553670891676999E-5</c:v>
                </c:pt>
                <c:pt idx="160">
                  <c:v>2.8816561098210497E-4</c:v>
                </c:pt>
                <c:pt idx="161">
                  <c:v>3.3218323369510499E-4</c:v>
                </c:pt>
                <c:pt idx="162">
                  <c:v>1.9095203606411801E-4</c:v>
                </c:pt>
                <c:pt idx="163">
                  <c:v>-8.6944433860480799E-5</c:v>
                </c:pt>
                <c:pt idx="164">
                  <c:v>-2.42273876210675E-4</c:v>
                </c:pt>
                <c:pt idx="165">
                  <c:v>-2.2803495812695501E-4</c:v>
                </c:pt>
                <c:pt idx="166">
                  <c:v>-1.05281586002093E-4</c:v>
                </c:pt>
                <c:pt idx="167">
                  <c:v>3.0351127861649699E-5</c:v>
                </c:pt>
                <c:pt idx="168">
                  <c:v>-2.5011488105519698E-5</c:v>
                </c:pt>
                <c:pt idx="169">
                  <c:v>-7.7207980211824206E-5</c:v>
                </c:pt>
                <c:pt idx="170">
                  <c:v>-1.2362911365926301E-4</c:v>
                </c:pt>
                <c:pt idx="171">
                  <c:v>-1.4878452930133801E-4</c:v>
                </c:pt>
                <c:pt idx="172">
                  <c:v>-2.1227486286079501E-5</c:v>
                </c:pt>
                <c:pt idx="173">
                  <c:v>-3.35266486217733E-5</c:v>
                </c:pt>
                <c:pt idx="174">
                  <c:v>-2.7493940433487302E-4</c:v>
                </c:pt>
                <c:pt idx="175">
                  <c:v>-2.75489845080301E-4</c:v>
                </c:pt>
                <c:pt idx="176">
                  <c:v>-1.3071139983367199E-4</c:v>
                </c:pt>
                <c:pt idx="177">
                  <c:v>-5.3065326937939999E-5</c:v>
                </c:pt>
                <c:pt idx="178">
                  <c:v>8.4202933066990199E-5</c:v>
                </c:pt>
                <c:pt idx="179">
                  <c:v>-9.9324111943133202E-5</c:v>
                </c:pt>
                <c:pt idx="180">
                  <c:v>-3.5323327756486801E-4</c:v>
                </c:pt>
                <c:pt idx="181">
                  <c:v>-3.9355547050945499E-4</c:v>
                </c:pt>
                <c:pt idx="182">
                  <c:v>-3.0588553636334799E-4</c:v>
                </c:pt>
                <c:pt idx="183">
                  <c:v>-8.8604596385266605E-5</c:v>
                </c:pt>
                <c:pt idx="184">
                  <c:v>6.8912104325136204E-6</c:v>
                </c:pt>
                <c:pt idx="185">
                  <c:v>-3.9977585402084501E-5</c:v>
                </c:pt>
                <c:pt idx="186">
                  <c:v>-2.66916293185204E-4</c:v>
                </c:pt>
                <c:pt idx="187">
                  <c:v>-4.0878332220017899E-4</c:v>
                </c:pt>
                <c:pt idx="188">
                  <c:v>-3.7599718780256802E-4</c:v>
                </c:pt>
                <c:pt idx="189">
                  <c:v>-1.9945342501159801E-4</c:v>
                </c:pt>
                <c:pt idx="190">
                  <c:v>-1.2804604239136099E-6</c:v>
                </c:pt>
                <c:pt idx="191">
                  <c:v>5.4784180974820602E-5</c:v>
                </c:pt>
                <c:pt idx="192">
                  <c:v>1.8635775631992099E-5</c:v>
                </c:pt>
                <c:pt idx="193">
                  <c:v>-9.1834655904676806E-5</c:v>
                </c:pt>
                <c:pt idx="194">
                  <c:v>-1.7847841081675099E-4</c:v>
                </c:pt>
                <c:pt idx="195">
                  <c:v>-1.7623238090891399E-4</c:v>
                </c:pt>
                <c:pt idx="196">
                  <c:v>-1.41197146149352E-4</c:v>
                </c:pt>
                <c:pt idx="197">
                  <c:v>-4.78830879728775E-5</c:v>
                </c:pt>
                <c:pt idx="198">
                  <c:v>5.6705353927100098E-5</c:v>
                </c:pt>
                <c:pt idx="199">
                  <c:v>1.58935465151444E-4</c:v>
                </c:pt>
                <c:pt idx="200">
                  <c:v>2.09597536013462E-4</c:v>
                </c:pt>
                <c:pt idx="201">
                  <c:v>1.9295654783490999E-4</c:v>
                </c:pt>
                <c:pt idx="202">
                  <c:v>-3.2561340049141998E-5</c:v>
                </c:pt>
                <c:pt idx="203">
                  <c:v>-1.59651259309612E-4</c:v>
                </c:pt>
                <c:pt idx="204">
                  <c:v>-1.12432629975956E-4</c:v>
                </c:pt>
                <c:pt idx="205">
                  <c:v>-3.6925044696545201E-5</c:v>
                </c:pt>
                <c:pt idx="206">
                  <c:v>1.8419029947836001E-4</c:v>
                </c:pt>
                <c:pt idx="207">
                  <c:v>1.2740174133796199E-4</c:v>
                </c:pt>
                <c:pt idx="208">
                  <c:v>-2.9707442081417001E-5</c:v>
                </c:pt>
                <c:pt idx="209">
                  <c:v>-2.0320821204222701E-4</c:v>
                </c:pt>
                <c:pt idx="210">
                  <c:v>-2.67785217147321E-4</c:v>
                </c:pt>
                <c:pt idx="211">
                  <c:v>-2.9955015634186598E-4</c:v>
                </c:pt>
                <c:pt idx="212">
                  <c:v>-2.9080777312628898E-4</c:v>
                </c:pt>
                <c:pt idx="213">
                  <c:v>-1.77661189809442E-4</c:v>
                </c:pt>
                <c:pt idx="214">
                  <c:v>-1.3746270269621199E-4</c:v>
                </c:pt>
                <c:pt idx="215">
                  <c:v>-1.1229197298234799E-5</c:v>
                </c:pt>
                <c:pt idx="216">
                  <c:v>1.0665105219231899E-4</c:v>
                </c:pt>
                <c:pt idx="217">
                  <c:v>9.6889889391604797E-5</c:v>
                </c:pt>
                <c:pt idx="218">
                  <c:v>-5.0197082600789097E-5</c:v>
                </c:pt>
                <c:pt idx="219">
                  <c:v>-2.0819800556637301E-4</c:v>
                </c:pt>
                <c:pt idx="220">
                  <c:v>-1.81200142833404E-4</c:v>
                </c:pt>
                <c:pt idx="221">
                  <c:v>-1.12369431008119E-4</c:v>
                </c:pt>
                <c:pt idx="222">
                  <c:v>1.7376614778186201E-6</c:v>
                </c:pt>
                <c:pt idx="223">
                  <c:v>1.6098929336294499E-4</c:v>
                </c:pt>
                <c:pt idx="224">
                  <c:v>9.8290183814242496E-5</c:v>
                </c:pt>
                <c:pt idx="225">
                  <c:v>-4.5733184379059801E-5</c:v>
                </c:pt>
                <c:pt idx="226">
                  <c:v>-1.5026074834168001E-4</c:v>
                </c:pt>
                <c:pt idx="227">
                  <c:v>-2.6105865254066901E-4</c:v>
                </c:pt>
                <c:pt idx="228">
                  <c:v>-2.5904818903654798E-4</c:v>
                </c:pt>
                <c:pt idx="229">
                  <c:v>-1.66905025253072E-4</c:v>
                </c:pt>
                <c:pt idx="230">
                  <c:v>-2.67840496235294E-5</c:v>
                </c:pt>
                <c:pt idx="231">
                  <c:v>1.2614778825081901E-4</c:v>
                </c:pt>
                <c:pt idx="232">
                  <c:v>1.71291409060359E-4</c:v>
                </c:pt>
                <c:pt idx="233">
                  <c:v>1.95306362002157E-4</c:v>
                </c:pt>
                <c:pt idx="234">
                  <c:v>1.4025646669324501E-4</c:v>
                </c:pt>
                <c:pt idx="235">
                  <c:v>4.89554149680771E-5</c:v>
                </c:pt>
                <c:pt idx="236">
                  <c:v>3.5313118132762597E-5</c:v>
                </c:pt>
                <c:pt idx="237">
                  <c:v>-7.1045258664526005E-5</c:v>
                </c:pt>
                <c:pt idx="238">
                  <c:v>-1.67878592037596E-4</c:v>
                </c:pt>
                <c:pt idx="239">
                  <c:v>-1.6023781790863701E-4</c:v>
                </c:pt>
                <c:pt idx="240">
                  <c:v>-1.6141781816258999E-4</c:v>
                </c:pt>
                <c:pt idx="241">
                  <c:v>-7.2330309194512706E-5</c:v>
                </c:pt>
                <c:pt idx="242">
                  <c:v>9.1925183369312395E-5</c:v>
                </c:pt>
                <c:pt idx="243">
                  <c:v>1.2978518498130099E-4</c:v>
                </c:pt>
                <c:pt idx="244">
                  <c:v>1.11290675704367E-4</c:v>
                </c:pt>
                <c:pt idx="245">
                  <c:v>5.67402967135422E-5</c:v>
                </c:pt>
                <c:pt idx="246">
                  <c:v>-1.1108814214821899E-4</c:v>
                </c:pt>
                <c:pt idx="247">
                  <c:v>-2.21935086301528E-4</c:v>
                </c:pt>
                <c:pt idx="248">
                  <c:v>-3.1186972046270999E-4</c:v>
                </c:pt>
                <c:pt idx="249">
                  <c:v>-2.9996948433108601E-4</c:v>
                </c:pt>
                <c:pt idx="250">
                  <c:v>-1.04218182968907E-4</c:v>
                </c:pt>
                <c:pt idx="251">
                  <c:v>1.04155158624053E-4</c:v>
                </c:pt>
                <c:pt idx="252">
                  <c:v>1.0472900612512599E-4</c:v>
                </c:pt>
                <c:pt idx="253">
                  <c:v>4.5447159209288697E-5</c:v>
                </c:pt>
                <c:pt idx="254">
                  <c:v>-3.9628277590964003E-5</c:v>
                </c:pt>
                <c:pt idx="255">
                  <c:v>-1.3438120367936801E-4</c:v>
                </c:pt>
                <c:pt idx="256">
                  <c:v>-1.37142429593951E-4</c:v>
                </c:pt>
                <c:pt idx="257">
                  <c:v>-1.8516385171096799E-4</c:v>
                </c:pt>
                <c:pt idx="258">
                  <c:v>-1.92315987078473E-4</c:v>
                </c:pt>
                <c:pt idx="259">
                  <c:v>-1.7409914289601101E-4</c:v>
                </c:pt>
                <c:pt idx="260">
                  <c:v>-1.6321623115800299E-4</c:v>
                </c:pt>
                <c:pt idx="261">
                  <c:v>-8.6439169535879005E-5</c:v>
                </c:pt>
                <c:pt idx="262">
                  <c:v>-5.8183581131743301E-5</c:v>
                </c:pt>
                <c:pt idx="263">
                  <c:v>-8.04672599770129E-5</c:v>
                </c:pt>
                <c:pt idx="264">
                  <c:v>-8.6481457401532693E-5</c:v>
                </c:pt>
                <c:pt idx="265">
                  <c:v>-1.0313116217730599E-4</c:v>
                </c:pt>
                <c:pt idx="266">
                  <c:v>-1.52161665027961E-4</c:v>
                </c:pt>
                <c:pt idx="267">
                  <c:v>-1.29874621052295E-4</c:v>
                </c:pt>
                <c:pt idx="268">
                  <c:v>-2.7153519113198901E-5</c:v>
                </c:pt>
                <c:pt idx="269">
                  <c:v>8.5290826973505305E-5</c:v>
                </c:pt>
                <c:pt idx="270">
                  <c:v>1.78645408595912E-4</c:v>
                </c:pt>
                <c:pt idx="271">
                  <c:v>1.75188746652566E-4</c:v>
                </c:pt>
                <c:pt idx="272">
                  <c:v>1.8135187565348999E-4</c:v>
                </c:pt>
                <c:pt idx="273">
                  <c:v>1.06073537608609E-4</c:v>
                </c:pt>
                <c:pt idx="274">
                  <c:v>-5.9076643310618195E-7</c:v>
                </c:pt>
                <c:pt idx="275">
                  <c:v>-1.1588280176511E-4</c:v>
                </c:pt>
                <c:pt idx="276">
                  <c:v>-2.3492367472499601E-4</c:v>
                </c:pt>
                <c:pt idx="277">
                  <c:v>-2.9536781948991098E-4</c:v>
                </c:pt>
                <c:pt idx="278">
                  <c:v>-3.10153409373015E-4</c:v>
                </c:pt>
                <c:pt idx="279">
                  <c:v>-2.4336969363503199E-4</c:v>
                </c:pt>
                <c:pt idx="280">
                  <c:v>-1.2906828487757599E-4</c:v>
                </c:pt>
                <c:pt idx="281">
                  <c:v>2.32365637202747E-5</c:v>
                </c:pt>
                <c:pt idx="282">
                  <c:v>1.46347229019739E-4</c:v>
                </c:pt>
                <c:pt idx="283">
                  <c:v>2.3750115360599E-4</c:v>
                </c:pt>
                <c:pt idx="284">
                  <c:v>2.30705438298173E-4</c:v>
                </c:pt>
                <c:pt idx="285">
                  <c:v>1.3450313417706601E-4</c:v>
                </c:pt>
                <c:pt idx="286">
                  <c:v>-4.5129298086976599E-5</c:v>
                </c:pt>
                <c:pt idx="287">
                  <c:v>-2.6520993560552602E-4</c:v>
                </c:pt>
                <c:pt idx="288">
                  <c:v>-2.9640126740559898E-4</c:v>
                </c:pt>
                <c:pt idx="289">
                  <c:v>-3.1063240021467198E-4</c:v>
                </c:pt>
                <c:pt idx="290">
                  <c:v>-2.30055054998957E-4</c:v>
                </c:pt>
                <c:pt idx="291">
                  <c:v>-5.4595948313362903E-5</c:v>
                </c:pt>
                <c:pt idx="292">
                  <c:v>5.0594368076417602E-5</c:v>
                </c:pt>
                <c:pt idx="293">
                  <c:v>2.0373759616632001E-4</c:v>
                </c:pt>
                <c:pt idx="294">
                  <c:v>1.9417313160374801E-4</c:v>
                </c:pt>
                <c:pt idx="295">
                  <c:v>5.7809389545582201E-5</c:v>
                </c:pt>
                <c:pt idx="296">
                  <c:v>-1.4404002286028101E-4</c:v>
                </c:pt>
                <c:pt idx="297">
                  <c:v>-3.00758518278599E-4</c:v>
                </c:pt>
                <c:pt idx="298">
                  <c:v>-3.0043857987038802E-4</c:v>
                </c:pt>
                <c:pt idx="299">
                  <c:v>-1.9603538385126699E-4</c:v>
                </c:pt>
                <c:pt idx="300">
                  <c:v>-9.3036658654455096E-5</c:v>
                </c:pt>
                <c:pt idx="301">
                  <c:v>-4.6917164581827799E-5</c:v>
                </c:pt>
                <c:pt idx="302">
                  <c:v>-1.6618607332929999E-5</c:v>
                </c:pt>
                <c:pt idx="303">
                  <c:v>-1.24010211948189E-5</c:v>
                </c:pt>
                <c:pt idx="304">
                  <c:v>-3.3730181166902201E-4</c:v>
                </c:pt>
                <c:pt idx="305">
                  <c:v>-2.8497847961261901E-4</c:v>
                </c:pt>
                <c:pt idx="306">
                  <c:v>-7.2638023993931697E-5</c:v>
                </c:pt>
                <c:pt idx="307">
                  <c:v>1.10235399915837E-4</c:v>
                </c:pt>
                <c:pt idx="308">
                  <c:v>3.8098965887911601E-4</c:v>
                </c:pt>
                <c:pt idx="309">
                  <c:v>3.7510407855734202E-4</c:v>
                </c:pt>
                <c:pt idx="310">
                  <c:v>1.0238365211989699E-4</c:v>
                </c:pt>
                <c:pt idx="311">
                  <c:v>-2.9475282644853001E-4</c:v>
                </c:pt>
                <c:pt idx="312">
                  <c:v>-4.9700814997777299E-4</c:v>
                </c:pt>
                <c:pt idx="313">
                  <c:v>-4.4619676191359802E-4</c:v>
                </c:pt>
                <c:pt idx="314">
                  <c:v>-3.8619653787463898E-4</c:v>
                </c:pt>
                <c:pt idx="315">
                  <c:v>-2.05133663257584E-4</c:v>
                </c:pt>
                <c:pt idx="316">
                  <c:v>-4.8108493501786102E-5</c:v>
                </c:pt>
                <c:pt idx="317">
                  <c:v>1.05222592537757E-4</c:v>
                </c:pt>
                <c:pt idx="318">
                  <c:v>1.6737845726311199E-4</c:v>
                </c:pt>
                <c:pt idx="319">
                  <c:v>1.3900565681979101E-4</c:v>
                </c:pt>
                <c:pt idx="320">
                  <c:v>-5.8579640608513701E-5</c:v>
                </c:pt>
                <c:pt idx="321">
                  <c:v>-2.6269309455528899E-4</c:v>
                </c:pt>
                <c:pt idx="322">
                  <c:v>-3.3775647170841699E-4</c:v>
                </c:pt>
                <c:pt idx="323">
                  <c:v>-2.6480181259103098E-4</c:v>
                </c:pt>
                <c:pt idx="324">
                  <c:v>-1.8181225459557E-4</c:v>
                </c:pt>
                <c:pt idx="325">
                  <c:v>-8.0957172031048699E-5</c:v>
                </c:pt>
                <c:pt idx="326">
                  <c:v>7.7665536082349704E-5</c:v>
                </c:pt>
                <c:pt idx="327">
                  <c:v>1.2929807417094699E-4</c:v>
                </c:pt>
                <c:pt idx="328">
                  <c:v>7.8332617704290897E-5</c:v>
                </c:pt>
                <c:pt idx="329">
                  <c:v>-1.27205508761108E-4</c:v>
                </c:pt>
                <c:pt idx="330">
                  <c:v>-4.2031507473439E-4</c:v>
                </c:pt>
                <c:pt idx="331">
                  <c:v>-4.6272308100014898E-4</c:v>
                </c:pt>
                <c:pt idx="332">
                  <c:v>-3.6626635119319E-4</c:v>
                </c:pt>
                <c:pt idx="333">
                  <c:v>-1.8279414507560399E-4</c:v>
                </c:pt>
                <c:pt idx="334">
                  <c:v>2.6101528419531001E-5</c:v>
                </c:pt>
                <c:pt idx="335">
                  <c:v>5.3979991207597798E-5</c:v>
                </c:pt>
                <c:pt idx="336">
                  <c:v>-8.1733851402532296E-5</c:v>
                </c:pt>
                <c:pt idx="337">
                  <c:v>-1.7431138257961701E-4</c:v>
                </c:pt>
                <c:pt idx="338">
                  <c:v>-2.03967880224809E-4</c:v>
                </c:pt>
                <c:pt idx="339">
                  <c:v>-2.45810078922659E-4</c:v>
                </c:pt>
                <c:pt idx="340">
                  <c:v>-2.2799323778599501E-4</c:v>
                </c:pt>
                <c:pt idx="341">
                  <c:v>-1.85136086656712E-4</c:v>
                </c:pt>
                <c:pt idx="342">
                  <c:v>-1.6971133300103201E-4</c:v>
                </c:pt>
                <c:pt idx="343">
                  <c:v>-1.6700006381142901E-4</c:v>
                </c:pt>
                <c:pt idx="344">
                  <c:v>-1.15654947876465E-4</c:v>
                </c:pt>
                <c:pt idx="345">
                  <c:v>7.4028743256349103E-5</c:v>
                </c:pt>
                <c:pt idx="346">
                  <c:v>1.66468249517493E-4</c:v>
                </c:pt>
                <c:pt idx="347">
                  <c:v>1.31484455778264E-4</c:v>
                </c:pt>
                <c:pt idx="348">
                  <c:v>2.8051475965185101E-5</c:v>
                </c:pt>
                <c:pt idx="349">
                  <c:v>-7.3471434006933096E-5</c:v>
                </c:pt>
                <c:pt idx="350">
                  <c:v>-6.47910856059752E-5</c:v>
                </c:pt>
                <c:pt idx="351">
                  <c:v>-9.3232893050298992E-6</c:v>
                </c:pt>
                <c:pt idx="352">
                  <c:v>-5.87163558520842E-5</c:v>
                </c:pt>
                <c:pt idx="353">
                  <c:v>-2.0989066979382201E-4</c:v>
                </c:pt>
                <c:pt idx="354">
                  <c:v>-3.58375487849116E-4</c:v>
                </c:pt>
                <c:pt idx="355">
                  <c:v>-3.7616188637912301E-4</c:v>
                </c:pt>
                <c:pt idx="356">
                  <c:v>-2.5306511088274398E-4</c:v>
                </c:pt>
                <c:pt idx="357">
                  <c:v>-2.09481095225783E-5</c:v>
                </c:pt>
                <c:pt idx="358">
                  <c:v>1.12903559056576E-4</c:v>
                </c:pt>
                <c:pt idx="359">
                  <c:v>2.7470199711388001E-5</c:v>
                </c:pt>
                <c:pt idx="360">
                  <c:v>-8.69393625180237E-5</c:v>
                </c:pt>
                <c:pt idx="361">
                  <c:v>-2.8871255926787902E-4</c:v>
                </c:pt>
                <c:pt idx="362">
                  <c:v>-3.1152387964539197E-4</c:v>
                </c:pt>
                <c:pt idx="363">
                  <c:v>-1.2869475176557901E-4</c:v>
                </c:pt>
                <c:pt idx="364">
                  <c:v>6.2793420511297895E-5</c:v>
                </c:pt>
                <c:pt idx="365">
                  <c:v>2.5301316054537898E-4</c:v>
                </c:pt>
                <c:pt idx="366">
                  <c:v>2.7987113571725802E-4</c:v>
                </c:pt>
                <c:pt idx="367">
                  <c:v>1.57295988174155E-4</c:v>
                </c:pt>
                <c:pt idx="368">
                  <c:v>-1.05526807601564E-4</c:v>
                </c:pt>
                <c:pt idx="369">
                  <c:v>-3.0447798781096897E-4</c:v>
                </c:pt>
                <c:pt idx="370">
                  <c:v>-3.3861832343973198E-4</c:v>
                </c:pt>
                <c:pt idx="371">
                  <c:v>-3.0211711418815001E-4</c:v>
                </c:pt>
                <c:pt idx="372">
                  <c:v>-1.5935914416331801E-4</c:v>
                </c:pt>
                <c:pt idx="373">
                  <c:v>1.3173487968742799E-4</c:v>
                </c:pt>
                <c:pt idx="374">
                  <c:v>2.5955593446269599E-4</c:v>
                </c:pt>
                <c:pt idx="375">
                  <c:v>2.61063600191846E-4</c:v>
                </c:pt>
                <c:pt idx="376">
                  <c:v>2.1904431923758201E-4</c:v>
                </c:pt>
                <c:pt idx="377">
                  <c:v>-6.4171717895078505E-7</c:v>
                </c:pt>
                <c:pt idx="378">
                  <c:v>-2.4221082276198999E-4</c:v>
                </c:pt>
                <c:pt idx="379">
                  <c:v>-2.6450303266756199E-4</c:v>
                </c:pt>
                <c:pt idx="380">
                  <c:v>-1.92734223674051E-4</c:v>
                </c:pt>
                <c:pt idx="381">
                  <c:v>-9.5216208137571798E-5</c:v>
                </c:pt>
                <c:pt idx="382">
                  <c:v>5.5752421758370501E-5</c:v>
                </c:pt>
                <c:pt idx="383">
                  <c:v>1.57253292854875E-4</c:v>
                </c:pt>
                <c:pt idx="384">
                  <c:v>1.9640481332317E-4</c:v>
                </c:pt>
                <c:pt idx="385">
                  <c:v>1.5621462080162E-4</c:v>
                </c:pt>
                <c:pt idx="386">
                  <c:v>1.2781599070876799E-4</c:v>
                </c:pt>
                <c:pt idx="387">
                  <c:v>4.33473760494962E-5</c:v>
                </c:pt>
                <c:pt idx="388">
                  <c:v>-2.9389368137344702E-4</c:v>
                </c:pt>
                <c:pt idx="389">
                  <c:v>-3.5060735535807902E-4</c:v>
                </c:pt>
                <c:pt idx="390">
                  <c:v>-3.2582937274128199E-4</c:v>
                </c:pt>
                <c:pt idx="391">
                  <c:v>-2.28030578000471E-4</c:v>
                </c:pt>
                <c:pt idx="392">
                  <c:v>-6.2665145378559801E-5</c:v>
                </c:pt>
                <c:pt idx="393">
                  <c:v>2.55366080637032E-6</c:v>
                </c:pt>
                <c:pt idx="394">
                  <c:v>6.7086759372614297E-5</c:v>
                </c:pt>
                <c:pt idx="395">
                  <c:v>1.20207667350769E-4</c:v>
                </c:pt>
                <c:pt idx="396">
                  <c:v>1.7613689124118499E-4</c:v>
                </c:pt>
                <c:pt idx="397">
                  <c:v>1.6176683129742701E-4</c:v>
                </c:pt>
                <c:pt idx="398">
                  <c:v>7.8935627243481593E-6</c:v>
                </c:pt>
                <c:pt idx="399">
                  <c:v>-3.4310441697016402E-4</c:v>
                </c:pt>
                <c:pt idx="400">
                  <c:v>-5.1380891818553198E-4</c:v>
                </c:pt>
                <c:pt idx="401">
                  <c:v>-5.0774333067238298E-4</c:v>
                </c:pt>
                <c:pt idx="402">
                  <c:v>-5.3794495761394501E-4</c:v>
                </c:pt>
                <c:pt idx="403">
                  <c:v>-4.2392537579871698E-4</c:v>
                </c:pt>
                <c:pt idx="404">
                  <c:v>-1.8655737221706699E-4</c:v>
                </c:pt>
                <c:pt idx="405">
                  <c:v>-9.1636538854800205E-5</c:v>
                </c:pt>
                <c:pt idx="406">
                  <c:v>-1.0074692227135499E-6</c:v>
                </c:pt>
                <c:pt idx="407">
                  <c:v>3.9999100408749702E-5</c:v>
                </c:pt>
                <c:pt idx="408">
                  <c:v>5.0816059228964103E-5</c:v>
                </c:pt>
                <c:pt idx="409">
                  <c:v>3.2508378353668397E-5</c:v>
                </c:pt>
                <c:pt idx="410">
                  <c:v>-3.1094306905288202E-5</c:v>
                </c:pt>
                <c:pt idx="411">
                  <c:v>-2.1263580129016199E-4</c:v>
                </c:pt>
                <c:pt idx="412">
                  <c:v>-1.88784542842768E-4</c:v>
                </c:pt>
                <c:pt idx="413">
                  <c:v>-8.9875960838981E-5</c:v>
                </c:pt>
                <c:pt idx="414">
                  <c:v>6.7544962803367498E-5</c:v>
                </c:pt>
                <c:pt idx="415">
                  <c:v>3.2648851629346598E-4</c:v>
                </c:pt>
                <c:pt idx="416">
                  <c:v>3.4567189868539599E-4</c:v>
                </c:pt>
                <c:pt idx="417">
                  <c:v>2.0032089378219101E-4</c:v>
                </c:pt>
                <c:pt idx="418">
                  <c:v>2.5592020392650701E-5</c:v>
                </c:pt>
                <c:pt idx="419">
                  <c:v>-2.6980164693668501E-4</c:v>
                </c:pt>
                <c:pt idx="420">
                  <c:v>-4.3514845310710398E-4</c:v>
                </c:pt>
                <c:pt idx="421">
                  <c:v>-4.43994795205072E-4</c:v>
                </c:pt>
                <c:pt idx="422">
                  <c:v>-3.7965463707223502E-4</c:v>
                </c:pt>
                <c:pt idx="423">
                  <c:v>-2.9073422774672497E-4</c:v>
                </c:pt>
                <c:pt idx="424">
                  <c:v>-1.2218517076689701E-4</c:v>
                </c:pt>
                <c:pt idx="425">
                  <c:v>-3.1163104722509201E-5</c:v>
                </c:pt>
                <c:pt idx="426">
                  <c:v>-1.4037569053471099E-4</c:v>
                </c:pt>
                <c:pt idx="427">
                  <c:v>-1.24145793961361E-4</c:v>
                </c:pt>
                <c:pt idx="428">
                  <c:v>-1.66586687555537E-5</c:v>
                </c:pt>
                <c:pt idx="429">
                  <c:v>6.5169610024895505E-5</c:v>
                </c:pt>
                <c:pt idx="430">
                  <c:v>-3.6904970329487703E-5</c:v>
                </c:pt>
                <c:pt idx="431">
                  <c:v>-1.75650537130423E-4</c:v>
                </c:pt>
                <c:pt idx="432">
                  <c:v>-2.5536189787089798E-4</c:v>
                </c:pt>
                <c:pt idx="433">
                  <c:v>-3.0708909616805602E-4</c:v>
                </c:pt>
                <c:pt idx="434">
                  <c:v>-1.08489562990144E-4</c:v>
                </c:pt>
                <c:pt idx="435">
                  <c:v>5.1033111958531697E-5</c:v>
                </c:pt>
                <c:pt idx="436">
                  <c:v>-2.8901108635182001E-6</c:v>
                </c:pt>
                <c:pt idx="437">
                  <c:v>-7.2802686190698296E-5</c:v>
                </c:pt>
                <c:pt idx="438">
                  <c:v>-2.2354898101184501E-4</c:v>
                </c:pt>
                <c:pt idx="439">
                  <c:v>-2.9747711960226297E-4</c:v>
                </c:pt>
                <c:pt idx="440">
                  <c:v>-4.63244039565325E-4</c:v>
                </c:pt>
                <c:pt idx="441">
                  <c:v>-4.1157560190185899E-4</c:v>
                </c:pt>
                <c:pt idx="442">
                  <c:v>-1.90753475180827E-4</c:v>
                </c:pt>
                <c:pt idx="443">
                  <c:v>3.9401864341925803E-5</c:v>
                </c:pt>
                <c:pt idx="444">
                  <c:v>2.6309993700124302E-4</c:v>
                </c:pt>
                <c:pt idx="445">
                  <c:v>2.4482631124556103E-4</c:v>
                </c:pt>
                <c:pt idx="446">
                  <c:v>2.10785350645892E-4</c:v>
                </c:pt>
                <c:pt idx="447">
                  <c:v>9.4754286692477803E-5</c:v>
                </c:pt>
                <c:pt idx="448">
                  <c:v>-2.2054043074604099E-4</c:v>
                </c:pt>
                <c:pt idx="449">
                  <c:v>-2.9071068274788602E-4</c:v>
                </c:pt>
                <c:pt idx="450">
                  <c:v>-2.3440795484930301E-4</c:v>
                </c:pt>
                <c:pt idx="451">
                  <c:v>-7.8114819189067903E-5</c:v>
                </c:pt>
                <c:pt idx="452">
                  <c:v>1.0299812129233E-4</c:v>
                </c:pt>
                <c:pt idx="453">
                  <c:v>2.4154029961209701E-4</c:v>
                </c:pt>
                <c:pt idx="454">
                  <c:v>1.5269446885213299E-4</c:v>
                </c:pt>
                <c:pt idx="455">
                  <c:v>-9.5531759143341306E-5</c:v>
                </c:pt>
                <c:pt idx="456">
                  <c:v>-2.5206789723597499E-4</c:v>
                </c:pt>
                <c:pt idx="457">
                  <c:v>-2.8031534748151898E-4</c:v>
                </c:pt>
                <c:pt idx="458">
                  <c:v>-1.13440706627443E-4</c:v>
                </c:pt>
                <c:pt idx="459">
                  <c:v>1.5000706480350299E-4</c:v>
                </c:pt>
                <c:pt idx="460">
                  <c:v>2.9823451768606901E-4</c:v>
                </c:pt>
                <c:pt idx="461">
                  <c:v>2.9578973772004198E-4</c:v>
                </c:pt>
                <c:pt idx="462">
                  <c:v>2.37610263866372E-4</c:v>
                </c:pt>
                <c:pt idx="463">
                  <c:v>9.2525922809727504E-5</c:v>
                </c:pt>
                <c:pt idx="464">
                  <c:v>-1.1494779755594199E-4</c:v>
                </c:pt>
                <c:pt idx="465">
                  <c:v>-2.7344620320946E-4</c:v>
                </c:pt>
                <c:pt idx="466">
                  <c:v>-3.2118239323608599E-4</c:v>
                </c:pt>
                <c:pt idx="467">
                  <c:v>-2.9353986610658499E-4</c:v>
                </c:pt>
                <c:pt idx="468">
                  <c:v>-1.7521681729704101E-4</c:v>
                </c:pt>
                <c:pt idx="469">
                  <c:v>-2.0960967958671999E-5</c:v>
                </c:pt>
                <c:pt idx="470">
                  <c:v>-1.5396725211758199E-4</c:v>
                </c:pt>
                <c:pt idx="471">
                  <c:v>-4.0764361619949297E-4</c:v>
                </c:pt>
                <c:pt idx="472">
                  <c:v>-5.3927989210933404E-4</c:v>
                </c:pt>
                <c:pt idx="473">
                  <c:v>-4.85414231661707E-4</c:v>
                </c:pt>
                <c:pt idx="474">
                  <c:v>-2.55049089901149E-4</c:v>
                </c:pt>
                <c:pt idx="475">
                  <c:v>-3.7280824471963597E-5</c:v>
                </c:pt>
                <c:pt idx="476">
                  <c:v>1.2782964040525301E-4</c:v>
                </c:pt>
                <c:pt idx="477">
                  <c:v>1.5327987784985499E-4</c:v>
                </c:pt>
                <c:pt idx="478">
                  <c:v>3.7868136132601601E-5</c:v>
                </c:pt>
                <c:pt idx="479">
                  <c:v>-7.9310084402095499E-5</c:v>
                </c:pt>
                <c:pt idx="480">
                  <c:v>-1.7283350462093901E-4</c:v>
                </c:pt>
                <c:pt idx="481">
                  <c:v>-2.9152957722544703E-4</c:v>
                </c:pt>
                <c:pt idx="482">
                  <c:v>-3.2283793552778699E-4</c:v>
                </c:pt>
                <c:pt idx="483">
                  <c:v>-1.8562380864750599E-4</c:v>
                </c:pt>
                <c:pt idx="484">
                  <c:v>-6.9431494921445806E-5</c:v>
                </c:pt>
                <c:pt idx="485">
                  <c:v>1.40993215609342E-5</c:v>
                </c:pt>
                <c:pt idx="486">
                  <c:v>1.4625312178395699E-4</c:v>
                </c:pt>
                <c:pt idx="487">
                  <c:v>1.6716813843231599E-4</c:v>
                </c:pt>
                <c:pt idx="488">
                  <c:v>1.5044337487779601E-4</c:v>
                </c:pt>
                <c:pt idx="489">
                  <c:v>8.8927532488014495E-5</c:v>
                </c:pt>
                <c:pt idx="490">
                  <c:v>-9.4643117336090695E-5</c:v>
                </c:pt>
                <c:pt idx="491">
                  <c:v>-2.03501884243451E-4</c:v>
                </c:pt>
                <c:pt idx="492">
                  <c:v>-3.0984944896772498E-4</c:v>
                </c:pt>
                <c:pt idx="493">
                  <c:v>-3.8971137837506798E-4</c:v>
                </c:pt>
                <c:pt idx="494">
                  <c:v>-3.37455072440207E-4</c:v>
                </c:pt>
                <c:pt idx="495">
                  <c:v>-1.93785730516538E-4</c:v>
                </c:pt>
                <c:pt idx="496">
                  <c:v>3.3094027457991601E-5</c:v>
                </c:pt>
                <c:pt idx="497">
                  <c:v>1.00555371318478E-4</c:v>
                </c:pt>
                <c:pt idx="498">
                  <c:v>7.0049420173745602E-5</c:v>
                </c:pt>
                <c:pt idx="499">
                  <c:v>-8.5384024714585394E-5</c:v>
                </c:pt>
                <c:pt idx="500">
                  <c:v>-4.1278102435171599E-4</c:v>
                </c:pt>
                <c:pt idx="501">
                  <c:v>-4.4784537749364999E-4</c:v>
                </c:pt>
                <c:pt idx="502">
                  <c:v>-4.3934414861723802E-4</c:v>
                </c:pt>
                <c:pt idx="503">
                  <c:v>-3.7618420901708299E-4</c:v>
                </c:pt>
                <c:pt idx="504">
                  <c:v>-1.01468547654804E-4</c:v>
                </c:pt>
                <c:pt idx="505">
                  <c:v>6.93485344527289E-5</c:v>
                </c:pt>
                <c:pt idx="506">
                  <c:v>1.2973397679161299E-4</c:v>
                </c:pt>
                <c:pt idx="507">
                  <c:v>1.05986633570865E-4</c:v>
                </c:pt>
                <c:pt idx="508">
                  <c:v>4.7755511332070497E-6</c:v>
                </c:pt>
                <c:pt idx="509">
                  <c:v>-1.75643843249418E-4</c:v>
                </c:pt>
                <c:pt idx="510">
                  <c:v>-1.6226863954216201E-4</c:v>
                </c:pt>
                <c:pt idx="511">
                  <c:v>-1.98597539565526E-4</c:v>
                </c:pt>
                <c:pt idx="512">
                  <c:v>-1.5121852629818001E-4</c:v>
                </c:pt>
                <c:pt idx="513">
                  <c:v>4.8523623263463398E-5</c:v>
                </c:pt>
                <c:pt idx="514">
                  <c:v>-8.0801386502571404E-5</c:v>
                </c:pt>
                <c:pt idx="515">
                  <c:v>-7.8023804235272096E-5</c:v>
                </c:pt>
                <c:pt idx="516">
                  <c:v>-8.7072265159804401E-5</c:v>
                </c:pt>
                <c:pt idx="517">
                  <c:v>-1.1400680523365699E-4</c:v>
                </c:pt>
                <c:pt idx="518">
                  <c:v>1.5114969755813899E-5</c:v>
                </c:pt>
                <c:pt idx="519">
                  <c:v>7.4733652581926395E-5</c:v>
                </c:pt>
                <c:pt idx="520">
                  <c:v>4.6125307562761002E-5</c:v>
                </c:pt>
                <c:pt idx="521">
                  <c:v>-2.36800333368592E-5</c:v>
                </c:pt>
                <c:pt idx="522">
                  <c:v>-5.3531097364611903E-5</c:v>
                </c:pt>
                <c:pt idx="523">
                  <c:v>-1.16781375254504E-4</c:v>
                </c:pt>
                <c:pt idx="524">
                  <c:v>-1.19950025691651E-4</c:v>
                </c:pt>
                <c:pt idx="525">
                  <c:v>-1.8015402019955199E-4</c:v>
                </c:pt>
                <c:pt idx="526">
                  <c:v>-1.8766403081826901E-4</c:v>
                </c:pt>
                <c:pt idx="527">
                  <c:v>-1.10995199065655E-4</c:v>
                </c:pt>
                <c:pt idx="528">
                  <c:v>-8.1726859207265106E-5</c:v>
                </c:pt>
                <c:pt idx="529">
                  <c:v>-5.0239636038895703E-5</c:v>
                </c:pt>
                <c:pt idx="530">
                  <c:v>-3.47220011462923E-5</c:v>
                </c:pt>
                <c:pt idx="531">
                  <c:v>-7.9373414337169406E-5</c:v>
                </c:pt>
                <c:pt idx="532">
                  <c:v>-6.1642807850148502E-5</c:v>
                </c:pt>
                <c:pt idx="533">
                  <c:v>-6.7527030296332702E-6</c:v>
                </c:pt>
                <c:pt idx="534">
                  <c:v>-9.7284071671310799E-5</c:v>
                </c:pt>
                <c:pt idx="535">
                  <c:v>-2.13841602089815E-4</c:v>
                </c:pt>
                <c:pt idx="536">
                  <c:v>-2.24190254812129E-4</c:v>
                </c:pt>
                <c:pt idx="537">
                  <c:v>-1.3079209020361299E-4</c:v>
                </c:pt>
                <c:pt idx="538">
                  <c:v>2.84209891106002E-5</c:v>
                </c:pt>
                <c:pt idx="539">
                  <c:v>8.6931446276139495E-5</c:v>
                </c:pt>
                <c:pt idx="540">
                  <c:v>5.0492377340560799E-5</c:v>
                </c:pt>
                <c:pt idx="541">
                  <c:v>-8.9134962763637304E-5</c:v>
                </c:pt>
                <c:pt idx="542">
                  <c:v>-1.7915407079271999E-4</c:v>
                </c:pt>
                <c:pt idx="543">
                  <c:v>-8.03994262241758E-5</c:v>
                </c:pt>
                <c:pt idx="544">
                  <c:v>1.6033482097554999E-5</c:v>
                </c:pt>
                <c:pt idx="545">
                  <c:v>1.11568606371293E-5</c:v>
                </c:pt>
                <c:pt idx="546">
                  <c:v>-8.9727829617913799E-5</c:v>
                </c:pt>
                <c:pt idx="547">
                  <c:v>-1.7411999579053399E-4</c:v>
                </c:pt>
                <c:pt idx="548">
                  <c:v>-1.73253574757837E-4</c:v>
                </c:pt>
                <c:pt idx="549">
                  <c:v>-1.6706036694813501E-4</c:v>
                </c:pt>
                <c:pt idx="550">
                  <c:v>-8.4280822193250101E-5</c:v>
                </c:pt>
                <c:pt idx="551">
                  <c:v>4.8984496970660998E-5</c:v>
                </c:pt>
                <c:pt idx="552">
                  <c:v>1.13074958790094E-4</c:v>
                </c:pt>
                <c:pt idx="553">
                  <c:v>8.5994695837143795E-5</c:v>
                </c:pt>
                <c:pt idx="554">
                  <c:v>-2.2340880605042899E-5</c:v>
                </c:pt>
                <c:pt idx="555">
                  <c:v>-1.4922348782420199E-4</c:v>
                </c:pt>
                <c:pt idx="556">
                  <c:v>-2.4726739502511902E-4</c:v>
                </c:pt>
                <c:pt idx="557">
                  <c:v>-2.1794837084598801E-4</c:v>
                </c:pt>
                <c:pt idx="558">
                  <c:v>-2.0072207553312199E-4</c:v>
                </c:pt>
                <c:pt idx="559">
                  <c:v>-2.1475080575328301E-4</c:v>
                </c:pt>
                <c:pt idx="560">
                  <c:v>-2.0199535356368899E-4</c:v>
                </c:pt>
                <c:pt idx="561">
                  <c:v>-1.0821928299265E-4</c:v>
                </c:pt>
                <c:pt idx="562">
                  <c:v>4.8379693907918402E-5</c:v>
                </c:pt>
                <c:pt idx="563">
                  <c:v>1.6416466678492701E-4</c:v>
                </c:pt>
                <c:pt idx="564">
                  <c:v>1.2381935084704299E-4</c:v>
                </c:pt>
                <c:pt idx="565">
                  <c:v>1.5524761693086499E-5</c:v>
                </c:pt>
                <c:pt idx="566">
                  <c:v>-9.1361056547612006E-5</c:v>
                </c:pt>
                <c:pt idx="567">
                  <c:v>-1.87297220691107E-4</c:v>
                </c:pt>
                <c:pt idx="568">
                  <c:v>-1.8750579329207499E-4</c:v>
                </c:pt>
                <c:pt idx="569">
                  <c:v>-2.04881056561135E-4</c:v>
                </c:pt>
                <c:pt idx="570">
                  <c:v>-2.5685306172817902E-4</c:v>
                </c:pt>
                <c:pt idx="571">
                  <c:v>-2.3199267161544399E-4</c:v>
                </c:pt>
                <c:pt idx="572">
                  <c:v>-1.85198266990483E-4</c:v>
                </c:pt>
                <c:pt idx="573">
                  <c:v>-1.6604804841335901E-4</c:v>
                </c:pt>
                <c:pt idx="574">
                  <c:v>-6.6557477111928206E-5</c:v>
                </c:pt>
                <c:pt idx="575">
                  <c:v>2.44351977016777E-5</c:v>
                </c:pt>
                <c:pt idx="576">
                  <c:v>3.1322382710641297E-5</c:v>
                </c:pt>
                <c:pt idx="577">
                  <c:v>5.8620618801796802E-5</c:v>
                </c:pt>
                <c:pt idx="578">
                  <c:v>6.9783032813575105E-5</c:v>
                </c:pt>
                <c:pt idx="579">
                  <c:v>-1.11571234810981E-5</c:v>
                </c:pt>
                <c:pt idx="580">
                  <c:v>-1.09666150819976E-4</c:v>
                </c:pt>
                <c:pt idx="581">
                  <c:v>-2.08743469556794E-4</c:v>
                </c:pt>
                <c:pt idx="582">
                  <c:v>-2.2073925356380601E-4</c:v>
                </c:pt>
                <c:pt idx="583">
                  <c:v>-2.08358120289631E-4</c:v>
                </c:pt>
                <c:pt idx="584">
                  <c:v>-1.9273028010502501E-4</c:v>
                </c:pt>
                <c:pt idx="585">
                  <c:v>-7.8438279160764095E-5</c:v>
                </c:pt>
                <c:pt idx="586">
                  <c:v>-2.0872974346275401E-5</c:v>
                </c:pt>
                <c:pt idx="587">
                  <c:v>-4.6923767513362698E-5</c:v>
                </c:pt>
                <c:pt idx="588">
                  <c:v>-7.6981392339803306E-5</c:v>
                </c:pt>
                <c:pt idx="589">
                  <c:v>-1.16445400635712E-4</c:v>
                </c:pt>
                <c:pt idx="590">
                  <c:v>-1.2240087380632799E-4</c:v>
                </c:pt>
                <c:pt idx="591">
                  <c:v>-1.7432673485018299E-4</c:v>
                </c:pt>
                <c:pt idx="592">
                  <c:v>-1.9722260185517401E-4</c:v>
                </c:pt>
                <c:pt idx="593">
                  <c:v>-1.6021193005144599E-4</c:v>
                </c:pt>
                <c:pt idx="594">
                  <c:v>-7.7146927651483606E-5</c:v>
                </c:pt>
                <c:pt idx="595">
                  <c:v>4.0151560824597302E-5</c:v>
                </c:pt>
                <c:pt idx="596">
                  <c:v>9.5642055384814699E-5</c:v>
                </c:pt>
                <c:pt idx="597">
                  <c:v>-4.4425564738048701E-7</c:v>
                </c:pt>
                <c:pt idx="598">
                  <c:v>-1.2650119606405499E-4</c:v>
                </c:pt>
                <c:pt idx="599">
                  <c:v>-2.1860867855139101E-4</c:v>
                </c:pt>
                <c:pt idx="600">
                  <c:v>-2.61760520515963E-4</c:v>
                </c:pt>
                <c:pt idx="601">
                  <c:v>-2.3446796694770499E-4</c:v>
                </c:pt>
                <c:pt idx="602">
                  <c:v>-1.84277523658238E-4</c:v>
                </c:pt>
                <c:pt idx="603">
                  <c:v>-8.9120141637977199E-5</c:v>
                </c:pt>
                <c:pt idx="604">
                  <c:v>-4.5022454287391197E-5</c:v>
                </c:pt>
                <c:pt idx="605">
                  <c:v>-3.2538511732127497E-5</c:v>
                </c:pt>
                <c:pt idx="606">
                  <c:v>3.9782703424862103E-6</c:v>
                </c:pt>
                <c:pt idx="607">
                  <c:v>3.4841530577978099E-5</c:v>
                </c:pt>
                <c:pt idx="608">
                  <c:v>4.5745167881250402E-5</c:v>
                </c:pt>
                <c:pt idx="609">
                  <c:v>3.9521169128420297E-6</c:v>
                </c:pt>
                <c:pt idx="610">
                  <c:v>-3.0681934731546803E-5</c:v>
                </c:pt>
                <c:pt idx="611">
                  <c:v>-8.8640765170566697E-5</c:v>
                </c:pt>
                <c:pt idx="612">
                  <c:v>-1.59275528858416E-4</c:v>
                </c:pt>
                <c:pt idx="613">
                  <c:v>-1.4489442401099999E-4</c:v>
                </c:pt>
                <c:pt idx="614">
                  <c:v>-1.2673351739067601E-4</c:v>
                </c:pt>
                <c:pt idx="615">
                  <c:v>-1.3687813770957299E-4</c:v>
                </c:pt>
                <c:pt idx="616">
                  <c:v>-1.3376123388297899E-4</c:v>
                </c:pt>
                <c:pt idx="617">
                  <c:v>-1.9445027282927199E-4</c:v>
                </c:pt>
                <c:pt idx="618">
                  <c:v>-2.5130243739113201E-4</c:v>
                </c:pt>
                <c:pt idx="619">
                  <c:v>-2.2797635756432999E-4</c:v>
                </c:pt>
                <c:pt idx="620">
                  <c:v>-1.4211103552952401E-4</c:v>
                </c:pt>
                <c:pt idx="621">
                  <c:v>-5.4687438932887702E-6</c:v>
                </c:pt>
                <c:pt idx="622">
                  <c:v>6.6187487391289296E-5</c:v>
                </c:pt>
                <c:pt idx="623">
                  <c:v>-5.6569774642412102E-6</c:v>
                </c:pt>
                <c:pt idx="624">
                  <c:v>-1.27077975776047E-4</c:v>
                </c:pt>
                <c:pt idx="625">
                  <c:v>-2.6054153568111398E-4</c:v>
                </c:pt>
                <c:pt idx="626">
                  <c:v>-3.4221328678540902E-4</c:v>
                </c:pt>
                <c:pt idx="627">
                  <c:v>-3.4457328729331499E-4</c:v>
                </c:pt>
                <c:pt idx="628">
                  <c:v>-3.1452154507860498E-4</c:v>
                </c:pt>
                <c:pt idx="629">
                  <c:v>-2.8824195032939299E-4</c:v>
                </c:pt>
                <c:pt idx="630">
                  <c:v>-2.2243434796109801E-4</c:v>
                </c:pt>
                <c:pt idx="631">
                  <c:v>-6.5470238041598296E-5</c:v>
                </c:pt>
                <c:pt idx="632">
                  <c:v>1.12365931272507E-4</c:v>
                </c:pt>
                <c:pt idx="633">
                  <c:v>2.3028510622680201E-4</c:v>
                </c:pt>
                <c:pt idx="634">
                  <c:v>2.3716152645647499E-4</c:v>
                </c:pt>
                <c:pt idx="635">
                  <c:v>4.6477678552037098E-5</c:v>
                </c:pt>
                <c:pt idx="636">
                  <c:v>-8.5967971244826899E-5</c:v>
                </c:pt>
                <c:pt idx="637">
                  <c:v>-1.3111664156895101E-4</c:v>
                </c:pt>
                <c:pt idx="638">
                  <c:v>-1.1719431495294001E-4</c:v>
                </c:pt>
                <c:pt idx="639">
                  <c:v>-1.38596997203422E-5</c:v>
                </c:pt>
                <c:pt idx="640">
                  <c:v>-1.48958588397363E-5</c:v>
                </c:pt>
                <c:pt idx="641">
                  <c:v>3.53432078554761E-5</c:v>
                </c:pt>
                <c:pt idx="642">
                  <c:v>6.2785416957922293E-5</c:v>
                </c:pt>
                <c:pt idx="643">
                  <c:v>-2.7012387363356501E-5</c:v>
                </c:pt>
                <c:pt idx="644">
                  <c:v>-1.62417811225168E-4</c:v>
                </c:pt>
                <c:pt idx="645">
                  <c:v>-2.2801247541792699E-4</c:v>
                </c:pt>
                <c:pt idx="646">
                  <c:v>-3.1083723297342701E-4</c:v>
                </c:pt>
                <c:pt idx="647">
                  <c:v>-3.1397398561239199E-4</c:v>
                </c:pt>
                <c:pt idx="648">
                  <c:v>-2.27123528020456E-4</c:v>
                </c:pt>
                <c:pt idx="649">
                  <c:v>-1.0673449287423901E-4</c:v>
                </c:pt>
                <c:pt idx="650">
                  <c:v>1.2055566185154E-4</c:v>
                </c:pt>
                <c:pt idx="651">
                  <c:v>2.7529202634468702E-4</c:v>
                </c:pt>
                <c:pt idx="652">
                  <c:v>2.9390607960522202E-4</c:v>
                </c:pt>
                <c:pt idx="653">
                  <c:v>1.22976722195745E-4</c:v>
                </c:pt>
                <c:pt idx="654">
                  <c:v>-1.02377962321043E-4</c:v>
                </c:pt>
                <c:pt idx="655">
                  <c:v>-2.6208904455415899E-4</c:v>
                </c:pt>
                <c:pt idx="656">
                  <c:v>-3.0166050419211398E-4</c:v>
                </c:pt>
                <c:pt idx="657">
                  <c:v>-2.21623384277336E-4</c:v>
                </c:pt>
                <c:pt idx="658">
                  <c:v>-9.4124596216715899E-5</c:v>
                </c:pt>
                <c:pt idx="659">
                  <c:v>3.0852104828227298E-5</c:v>
                </c:pt>
                <c:pt idx="660">
                  <c:v>4.1631887143012102E-5</c:v>
                </c:pt>
                <c:pt idx="661">
                  <c:v>2.3968681489350301E-5</c:v>
                </c:pt>
                <c:pt idx="662">
                  <c:v>1.8986833310918899E-5</c:v>
                </c:pt>
                <c:pt idx="663">
                  <c:v>6.1271806771401302E-5</c:v>
                </c:pt>
                <c:pt idx="664">
                  <c:v>2.1296183695085301E-4</c:v>
                </c:pt>
                <c:pt idx="665">
                  <c:v>3.0265242094174E-4</c:v>
                </c:pt>
                <c:pt idx="666">
                  <c:v>1.8469974747858901E-4</c:v>
                </c:pt>
                <c:pt idx="667">
                  <c:v>-1.0504822057555401E-5</c:v>
                </c:pt>
                <c:pt idx="668">
                  <c:v>-1.06621875602286E-4</c:v>
                </c:pt>
                <c:pt idx="669">
                  <c:v>-1.6448536189273E-4</c:v>
                </c:pt>
                <c:pt idx="670">
                  <c:v>-9.2833506641909494E-5</c:v>
                </c:pt>
                <c:pt idx="671">
                  <c:v>2.8241152904229201E-5</c:v>
                </c:pt>
                <c:pt idx="672">
                  <c:v>5.8232562878401997E-5</c:v>
                </c:pt>
                <c:pt idx="673">
                  <c:v>3.1841427698964301E-5</c:v>
                </c:pt>
                <c:pt idx="674">
                  <c:v>-1.5193298168014699E-5</c:v>
                </c:pt>
                <c:pt idx="675">
                  <c:v>2.8195450795465102E-5</c:v>
                </c:pt>
                <c:pt idx="676">
                  <c:v>3.8552756450371803E-5</c:v>
                </c:pt>
                <c:pt idx="677">
                  <c:v>-4.3498566810740199E-5</c:v>
                </c:pt>
                <c:pt idx="678">
                  <c:v>-1.36432441649958E-4</c:v>
                </c:pt>
                <c:pt idx="679">
                  <c:v>-2.3591994249727599E-4</c:v>
                </c:pt>
                <c:pt idx="680">
                  <c:v>-3.1732447678223301E-4</c:v>
                </c:pt>
                <c:pt idx="681">
                  <c:v>-2.1210766863077901E-4</c:v>
                </c:pt>
                <c:pt idx="682">
                  <c:v>3.3379834349034402E-5</c:v>
                </c:pt>
                <c:pt idx="683">
                  <c:v>1.4590106729883701E-4</c:v>
                </c:pt>
                <c:pt idx="684">
                  <c:v>8.7043925304897102E-5</c:v>
                </c:pt>
                <c:pt idx="685">
                  <c:v>-1.2182602222310399E-4</c:v>
                </c:pt>
                <c:pt idx="686">
                  <c:v>-2.2815357078798099E-4</c:v>
                </c:pt>
                <c:pt idx="687">
                  <c:v>-1.5886923938524E-4</c:v>
                </c:pt>
                <c:pt idx="688">
                  <c:v>-4.6958671191532597E-6</c:v>
                </c:pt>
                <c:pt idx="689">
                  <c:v>8.5633051639888395E-5</c:v>
                </c:pt>
                <c:pt idx="690">
                  <c:v>1.12375462776981E-4</c:v>
                </c:pt>
                <c:pt idx="691">
                  <c:v>-1.0805978490680001E-5</c:v>
                </c:pt>
                <c:pt idx="692">
                  <c:v>-1.78010537638329E-4</c:v>
                </c:pt>
                <c:pt idx="693">
                  <c:v>-2.5335262762382599E-4</c:v>
                </c:pt>
                <c:pt idx="694">
                  <c:v>-2.9218455892987501E-4</c:v>
                </c:pt>
                <c:pt idx="695">
                  <c:v>-2.3608299670741E-4</c:v>
                </c:pt>
                <c:pt idx="696">
                  <c:v>-1.00559263955802E-4</c:v>
                </c:pt>
                <c:pt idx="697">
                  <c:v>5.1842289394699003E-5</c:v>
                </c:pt>
                <c:pt idx="698">
                  <c:v>1.85402866918594E-4</c:v>
                </c:pt>
                <c:pt idx="699">
                  <c:v>2.66525545157492E-4</c:v>
                </c:pt>
                <c:pt idx="700">
                  <c:v>1.7317532910965399E-4</c:v>
                </c:pt>
                <c:pt idx="701">
                  <c:v>2.9146283850423101E-5</c:v>
                </c:pt>
                <c:pt idx="702">
                  <c:v>-1.4778475815546701E-5</c:v>
                </c:pt>
                <c:pt idx="703">
                  <c:v>-2.39643941313261E-5</c:v>
                </c:pt>
                <c:pt idx="704">
                  <c:v>-3.4694625355768901E-5</c:v>
                </c:pt>
                <c:pt idx="705">
                  <c:v>-6.28846537438221E-5</c:v>
                </c:pt>
                <c:pt idx="706">
                  <c:v>-1.50768246385269E-4</c:v>
                </c:pt>
                <c:pt idx="707">
                  <c:v>-2.09996636840515E-4</c:v>
                </c:pt>
                <c:pt idx="708">
                  <c:v>-1.9600927771534801E-4</c:v>
                </c:pt>
                <c:pt idx="709">
                  <c:v>-1.1518820974743E-4</c:v>
                </c:pt>
                <c:pt idx="710">
                  <c:v>-3.6850695323664702E-5</c:v>
                </c:pt>
                <c:pt idx="711">
                  <c:v>7.9659439506940493E-6</c:v>
                </c:pt>
                <c:pt idx="712">
                  <c:v>2.1231990103842701E-5</c:v>
                </c:pt>
                <c:pt idx="713">
                  <c:v>-1.7350374037050601E-5</c:v>
                </c:pt>
                <c:pt idx="714">
                  <c:v>-3.8105525163700797E-5</c:v>
                </c:pt>
                <c:pt idx="715">
                  <c:v>-6.6574930315255196E-6</c:v>
                </c:pt>
                <c:pt idx="716">
                  <c:v>-2.3536495064036E-5</c:v>
                </c:pt>
                <c:pt idx="717">
                  <c:v>-1.2798958050552799E-4</c:v>
                </c:pt>
                <c:pt idx="718">
                  <c:v>-2.0060363749507801E-4</c:v>
                </c:pt>
                <c:pt idx="719">
                  <c:v>-2.64322297880426E-4</c:v>
                </c:pt>
                <c:pt idx="720">
                  <c:v>-2.6051426539197602E-4</c:v>
                </c:pt>
                <c:pt idx="721">
                  <c:v>-9.1344918473623707E-5</c:v>
                </c:pt>
                <c:pt idx="722">
                  <c:v>1.8006392565439499E-5</c:v>
                </c:pt>
                <c:pt idx="723">
                  <c:v>5.8624598750611801E-5</c:v>
                </c:pt>
                <c:pt idx="724">
                  <c:v>-2.6875584808294699E-5</c:v>
                </c:pt>
                <c:pt idx="725">
                  <c:v>-2.4147065414581399E-4</c:v>
                </c:pt>
                <c:pt idx="726">
                  <c:v>-3.2284858752973399E-4</c:v>
                </c:pt>
                <c:pt idx="727">
                  <c:v>-3.8573442725464702E-4</c:v>
                </c:pt>
                <c:pt idx="728">
                  <c:v>-3.4441190655343202E-4</c:v>
                </c:pt>
                <c:pt idx="729">
                  <c:v>-2.22108486923389E-4</c:v>
                </c:pt>
                <c:pt idx="730">
                  <c:v>-1.2765142309945101E-4</c:v>
                </c:pt>
                <c:pt idx="731">
                  <c:v>-7.0059832069091499E-5</c:v>
                </c:pt>
                <c:pt idx="732">
                  <c:v>-1.50649066199549E-4</c:v>
                </c:pt>
                <c:pt idx="733">
                  <c:v>-1.61046686116606E-4</c:v>
                </c:pt>
                <c:pt idx="734">
                  <c:v>-8.9641980594024103E-5</c:v>
                </c:pt>
                <c:pt idx="735">
                  <c:v>-1.01418030681089E-4</c:v>
                </c:pt>
                <c:pt idx="736">
                  <c:v>-9.5261784736067097E-5</c:v>
                </c:pt>
                <c:pt idx="737">
                  <c:v>-9.7919139079749598E-5</c:v>
                </c:pt>
                <c:pt idx="738">
                  <c:v>-1.0383695189375401E-4</c:v>
                </c:pt>
                <c:pt idx="739">
                  <c:v>-1.2992216215934599E-4</c:v>
                </c:pt>
                <c:pt idx="740">
                  <c:v>-1.8364517018199E-4</c:v>
                </c:pt>
                <c:pt idx="741">
                  <c:v>-2.2441898181568799E-4</c:v>
                </c:pt>
                <c:pt idx="742">
                  <c:v>-2.08451543585397E-4</c:v>
                </c:pt>
                <c:pt idx="743">
                  <c:v>-1.5705084661021799E-4</c:v>
                </c:pt>
                <c:pt idx="744">
                  <c:v>-3.0066634280956401E-5</c:v>
                </c:pt>
                <c:pt idx="745">
                  <c:v>8.7861808424349901E-5</c:v>
                </c:pt>
                <c:pt idx="746">
                  <c:v>-1.8342710745855601E-6</c:v>
                </c:pt>
                <c:pt idx="747">
                  <c:v>-1.24335987493396E-4</c:v>
                </c:pt>
                <c:pt idx="748">
                  <c:v>-2.6980208349414202E-4</c:v>
                </c:pt>
                <c:pt idx="749">
                  <c:v>-5.08088909555227E-4</c:v>
                </c:pt>
                <c:pt idx="750">
                  <c:v>-5.3372106049209801E-4</c:v>
                </c:pt>
                <c:pt idx="751">
                  <c:v>-3.42824350809678E-4</c:v>
                </c:pt>
                <c:pt idx="752">
                  <c:v>-7.2913688200060305E-5</c:v>
                </c:pt>
                <c:pt idx="753">
                  <c:v>1.7364010273013299E-4</c:v>
                </c:pt>
                <c:pt idx="754">
                  <c:v>1.85839293408208E-4</c:v>
                </c:pt>
                <c:pt idx="755">
                  <c:v>7.9350014857482206E-5</c:v>
                </c:pt>
                <c:pt idx="756">
                  <c:v>-1.0235023182758599E-5</c:v>
                </c:pt>
                <c:pt idx="757">
                  <c:v>-6.5251653722953106E-5</c:v>
                </c:pt>
                <c:pt idx="758">
                  <c:v>-1.05267245089635E-4</c:v>
                </c:pt>
                <c:pt idx="759">
                  <c:v>-2.0885039702989199E-4</c:v>
                </c:pt>
                <c:pt idx="760">
                  <c:v>-3.4501231857575498E-4</c:v>
                </c:pt>
                <c:pt idx="761">
                  <c:v>-4.0045697824098202E-4</c:v>
                </c:pt>
                <c:pt idx="762">
                  <c:v>-3.0187604716047601E-4</c:v>
                </c:pt>
                <c:pt idx="763">
                  <c:v>-2.4067529011517801E-4</c:v>
                </c:pt>
                <c:pt idx="764">
                  <c:v>-1.15022980025969E-4</c:v>
                </c:pt>
                <c:pt idx="765">
                  <c:v>9.8426768090575906E-5</c:v>
                </c:pt>
                <c:pt idx="766">
                  <c:v>2.25736876018345E-4</c:v>
                </c:pt>
                <c:pt idx="767">
                  <c:v>2.7064213645644502E-4</c:v>
                </c:pt>
                <c:pt idx="768">
                  <c:v>2.15089457924478E-4</c:v>
                </c:pt>
                <c:pt idx="769">
                  <c:v>1.4894547348376401E-5</c:v>
                </c:pt>
                <c:pt idx="770">
                  <c:v>-2.05042961169966E-4</c:v>
                </c:pt>
                <c:pt idx="771">
                  <c:v>-3.6916392855346197E-4</c:v>
                </c:pt>
                <c:pt idx="772">
                  <c:v>-4.1567065636627398E-4</c:v>
                </c:pt>
                <c:pt idx="773">
                  <c:v>-2.8583718813024499E-4</c:v>
                </c:pt>
                <c:pt idx="774">
                  <c:v>-1.14022201159969E-4</c:v>
                </c:pt>
                <c:pt idx="775">
                  <c:v>9.9959706858498993E-6</c:v>
                </c:pt>
                <c:pt idx="776">
                  <c:v>6.9724301283713403E-5</c:v>
                </c:pt>
                <c:pt idx="777">
                  <c:v>1.01220357464626E-4</c:v>
                </c:pt>
                <c:pt idx="778">
                  <c:v>1.65944817126729E-4</c:v>
                </c:pt>
                <c:pt idx="779">
                  <c:v>1.6311004583258201E-4</c:v>
                </c:pt>
                <c:pt idx="780">
                  <c:v>6.7592067352961695E-5</c:v>
                </c:pt>
                <c:pt idx="781">
                  <c:v>-6.6775319282896803E-5</c:v>
                </c:pt>
                <c:pt idx="782">
                  <c:v>-1.5054253162816199E-4</c:v>
                </c:pt>
                <c:pt idx="783">
                  <c:v>-8.2863036368507905E-5</c:v>
                </c:pt>
                <c:pt idx="784">
                  <c:v>4.3097784327983399E-6</c:v>
                </c:pt>
                <c:pt idx="785">
                  <c:v>-1.0764605576696299E-5</c:v>
                </c:pt>
                <c:pt idx="786">
                  <c:v>-4.5701694034505602E-5</c:v>
                </c:pt>
                <c:pt idx="787">
                  <c:v>-1.0871369886444901E-4</c:v>
                </c:pt>
                <c:pt idx="788">
                  <c:v>-1.4892547915223999E-4</c:v>
                </c:pt>
                <c:pt idx="789">
                  <c:v>-2.06110955332406E-4</c:v>
                </c:pt>
                <c:pt idx="790">
                  <c:v>-2.27275202632882E-4</c:v>
                </c:pt>
                <c:pt idx="791">
                  <c:v>-1.98128298507072E-4</c:v>
                </c:pt>
                <c:pt idx="792">
                  <c:v>-1.5219880151562401E-4</c:v>
                </c:pt>
                <c:pt idx="793">
                  <c:v>-1.0332765668863399E-4</c:v>
                </c:pt>
                <c:pt idx="794">
                  <c:v>-1.5099457232281601E-4</c:v>
                </c:pt>
                <c:pt idx="795">
                  <c:v>-2.32546793995425E-4</c:v>
                </c:pt>
                <c:pt idx="796">
                  <c:v>-2.6633357629179998E-4</c:v>
                </c:pt>
                <c:pt idx="797">
                  <c:v>-1.82315459824167E-4</c:v>
                </c:pt>
                <c:pt idx="798">
                  <c:v>-3.1338873668573797E-5</c:v>
                </c:pt>
                <c:pt idx="799">
                  <c:v>8.6028849182184799E-5</c:v>
                </c:pt>
                <c:pt idx="800">
                  <c:v>1.7293076962232601E-4</c:v>
                </c:pt>
                <c:pt idx="801">
                  <c:v>1.6307141049765099E-4</c:v>
                </c:pt>
                <c:pt idx="802">
                  <c:v>1.20478427561466E-4</c:v>
                </c:pt>
                <c:pt idx="803">
                  <c:v>-1.81504528882215E-5</c:v>
                </c:pt>
                <c:pt idx="804">
                  <c:v>-1.9277808314655001E-4</c:v>
                </c:pt>
                <c:pt idx="805">
                  <c:v>-3.1298276735469699E-4</c:v>
                </c:pt>
                <c:pt idx="806">
                  <c:v>-3.0109431827440901E-4</c:v>
                </c:pt>
                <c:pt idx="807">
                  <c:v>-1.7470070451963701E-4</c:v>
                </c:pt>
                <c:pt idx="808">
                  <c:v>-8.0381447332911193E-5</c:v>
                </c:pt>
                <c:pt idx="809">
                  <c:v>-9.2993665020912899E-5</c:v>
                </c:pt>
                <c:pt idx="810">
                  <c:v>-9.6113952167797807E-5</c:v>
                </c:pt>
                <c:pt idx="811">
                  <c:v>-9.1791313025169102E-5</c:v>
                </c:pt>
                <c:pt idx="812">
                  <c:v>-2.3833716113585999E-5</c:v>
                </c:pt>
                <c:pt idx="813">
                  <c:v>9.6147276053670794E-5</c:v>
                </c:pt>
                <c:pt idx="814">
                  <c:v>1.3725977623835201E-4</c:v>
                </c:pt>
                <c:pt idx="815">
                  <c:v>8.4118568338453797E-5</c:v>
                </c:pt>
                <c:pt idx="816">
                  <c:v>-5.2618841436924399E-5</c:v>
                </c:pt>
                <c:pt idx="817">
                  <c:v>-2.4876810493878999E-4</c:v>
                </c:pt>
                <c:pt idx="818">
                  <c:v>-3.9667796227149698E-4</c:v>
                </c:pt>
                <c:pt idx="819">
                  <c:v>-4.6638128696940801E-4</c:v>
                </c:pt>
                <c:pt idx="820">
                  <c:v>-4.36853995779529E-4</c:v>
                </c:pt>
                <c:pt idx="821">
                  <c:v>-3.2462464878335601E-4</c:v>
                </c:pt>
                <c:pt idx="822">
                  <c:v>-1.85151337063871E-4</c:v>
                </c:pt>
                <c:pt idx="823">
                  <c:v>-6.9978093961253803E-5</c:v>
                </c:pt>
                <c:pt idx="824">
                  <c:v>8.7888001871760894E-5</c:v>
                </c:pt>
                <c:pt idx="825">
                  <c:v>1.74462591530755E-4</c:v>
                </c:pt>
                <c:pt idx="826">
                  <c:v>1.70946615980938E-4</c:v>
                </c:pt>
                <c:pt idx="827">
                  <c:v>2.7612468329607499E-5</c:v>
                </c:pt>
                <c:pt idx="828">
                  <c:v>-1.6058761684689701E-4</c:v>
                </c:pt>
                <c:pt idx="829">
                  <c:v>-1.93317071534693E-4</c:v>
                </c:pt>
                <c:pt idx="830">
                  <c:v>-1.8845505837816699E-4</c:v>
                </c:pt>
                <c:pt idx="831">
                  <c:v>-1.3784384645987299E-4</c:v>
                </c:pt>
                <c:pt idx="832">
                  <c:v>-4.4380605686455999E-5</c:v>
                </c:pt>
                <c:pt idx="833">
                  <c:v>-1.28625088109402E-5</c:v>
                </c:pt>
                <c:pt idx="834">
                  <c:v>-2.4478975319652801E-5</c:v>
                </c:pt>
                <c:pt idx="835">
                  <c:v>-2.3956041331985E-5</c:v>
                </c:pt>
                <c:pt idx="836">
                  <c:v>-5.1430965868348696E-6</c:v>
                </c:pt>
                <c:pt idx="837">
                  <c:v>-5.5017811973812099E-5</c:v>
                </c:pt>
                <c:pt idx="838">
                  <c:v>-3.5241395380580798E-5</c:v>
                </c:pt>
                <c:pt idx="839">
                  <c:v>-1.9215696738683602E-5</c:v>
                </c:pt>
                <c:pt idx="840">
                  <c:v>-3.9572078094352003E-5</c:v>
                </c:pt>
                <c:pt idx="841">
                  <c:v>1.4814512724115E-5</c:v>
                </c:pt>
                <c:pt idx="842">
                  <c:v>9.7077419923152802E-5</c:v>
                </c:pt>
                <c:pt idx="843">
                  <c:v>1.5241077926475601E-4</c:v>
                </c:pt>
                <c:pt idx="844">
                  <c:v>1.4251675747800599E-4</c:v>
                </c:pt>
                <c:pt idx="845">
                  <c:v>6.1321057728491696E-5</c:v>
                </c:pt>
                <c:pt idx="846">
                  <c:v>-6.4171501435339505E-5</c:v>
                </c:pt>
                <c:pt idx="847">
                  <c:v>-1.4756004384253201E-4</c:v>
                </c:pt>
                <c:pt idx="848">
                  <c:v>-1.78969028638676E-4</c:v>
                </c:pt>
                <c:pt idx="849">
                  <c:v>-1.7014487821143099E-4</c:v>
                </c:pt>
                <c:pt idx="850">
                  <c:v>-1.2564452481456101E-4</c:v>
                </c:pt>
                <c:pt idx="851">
                  <c:v>-2.5144921892206202E-5</c:v>
                </c:pt>
                <c:pt idx="852">
                  <c:v>3.7243604310788201E-5</c:v>
                </c:pt>
                <c:pt idx="853">
                  <c:v>6.6218184656463604E-5</c:v>
                </c:pt>
                <c:pt idx="854">
                  <c:v>7.5716678111348301E-5</c:v>
                </c:pt>
                <c:pt idx="855">
                  <c:v>3.1247640436049598E-5</c:v>
                </c:pt>
                <c:pt idx="856">
                  <c:v>-7.0961592427920604E-5</c:v>
                </c:pt>
                <c:pt idx="857">
                  <c:v>-1.58536466187797E-4</c:v>
                </c:pt>
                <c:pt idx="858">
                  <c:v>-1.8730951705947499E-4</c:v>
                </c:pt>
                <c:pt idx="859">
                  <c:v>-2.60366417933255E-4</c:v>
                </c:pt>
                <c:pt idx="860">
                  <c:v>-3.2513740006834301E-4</c:v>
                </c:pt>
                <c:pt idx="861">
                  <c:v>-3.0932674417272199E-4</c:v>
                </c:pt>
                <c:pt idx="862">
                  <c:v>-2.0044755365233901E-4</c:v>
                </c:pt>
                <c:pt idx="863">
                  <c:v>-7.5324205681681606E-5</c:v>
                </c:pt>
                <c:pt idx="864">
                  <c:v>8.7554399215150597E-5</c:v>
                </c:pt>
                <c:pt idx="865">
                  <c:v>2.1373084746301201E-4</c:v>
                </c:pt>
                <c:pt idx="866">
                  <c:v>1.8663068476598699E-4</c:v>
                </c:pt>
                <c:pt idx="867">
                  <c:v>7.4149887950625298E-5</c:v>
                </c:pt>
                <c:pt idx="868">
                  <c:v>-7.5490483141038594E-5</c:v>
                </c:pt>
                <c:pt idx="869">
                  <c:v>-2.0874776237178599E-4</c:v>
                </c:pt>
                <c:pt idx="870">
                  <c:v>-2.9471842572092999E-4</c:v>
                </c:pt>
                <c:pt idx="871">
                  <c:v>-3.1929978285916101E-4</c:v>
                </c:pt>
                <c:pt idx="872">
                  <c:v>-3.1857099384069399E-4</c:v>
                </c:pt>
                <c:pt idx="873">
                  <c:v>-2.7869522455148399E-4</c:v>
                </c:pt>
                <c:pt idx="874">
                  <c:v>-2.3594767844770101E-4</c:v>
                </c:pt>
                <c:pt idx="875">
                  <c:v>-3.0350033193826703E-4</c:v>
                </c:pt>
                <c:pt idx="876">
                  <c:v>-2.7063934248872101E-4</c:v>
                </c:pt>
                <c:pt idx="877">
                  <c:v>-1.05849219835363E-4</c:v>
                </c:pt>
                <c:pt idx="878">
                  <c:v>-7.4829827099165397E-6</c:v>
                </c:pt>
                <c:pt idx="879">
                  <c:v>1.39958892759751E-5</c:v>
                </c:pt>
                <c:pt idx="880">
                  <c:v>-5.94209195696749E-5</c:v>
                </c:pt>
                <c:pt idx="881">
                  <c:v>-1.8314037879463299E-4</c:v>
                </c:pt>
                <c:pt idx="882">
                  <c:v>-2.8919134638272199E-4</c:v>
                </c:pt>
                <c:pt idx="883">
                  <c:v>-2.7114909607917097E-4</c:v>
                </c:pt>
                <c:pt idx="884">
                  <c:v>-1.50321749970317E-4</c:v>
                </c:pt>
                <c:pt idx="885">
                  <c:v>-1.3249620678834601E-4</c:v>
                </c:pt>
                <c:pt idx="886">
                  <c:v>-1.2516694550868099E-4</c:v>
                </c:pt>
                <c:pt idx="887">
                  <c:v>-1.9328374764882001E-4</c:v>
                </c:pt>
                <c:pt idx="888">
                  <c:v>-3.1427829526364798E-4</c:v>
                </c:pt>
                <c:pt idx="889">
                  <c:v>-2.8378522256389298E-4</c:v>
                </c:pt>
                <c:pt idx="890">
                  <c:v>-1.7009476141538501E-4</c:v>
                </c:pt>
                <c:pt idx="891">
                  <c:v>1.06322650026414E-5</c:v>
                </c:pt>
                <c:pt idx="892">
                  <c:v>1.2443216110114E-4</c:v>
                </c:pt>
                <c:pt idx="893">
                  <c:v>5.9972848248435198E-5</c:v>
                </c:pt>
                <c:pt idx="894">
                  <c:v>4.4887838157592301E-5</c:v>
                </c:pt>
                <c:pt idx="895">
                  <c:v>4.8054221224447196E-6</c:v>
                </c:pt>
                <c:pt idx="896">
                  <c:v>-1.1079524847446E-4</c:v>
                </c:pt>
                <c:pt idx="897">
                  <c:v>-1.7247199139092101E-4</c:v>
                </c:pt>
                <c:pt idx="898">
                  <c:v>-1.0715521784732101E-4</c:v>
                </c:pt>
                <c:pt idx="899">
                  <c:v>8.4596453234553296E-5</c:v>
                </c:pt>
                <c:pt idx="900">
                  <c:v>2.4485017638653501E-4</c:v>
                </c:pt>
                <c:pt idx="901">
                  <c:v>3.3209819230250998E-4</c:v>
                </c:pt>
                <c:pt idx="902">
                  <c:v>1.8434468074701699E-4</c:v>
                </c:pt>
                <c:pt idx="903">
                  <c:v>6.1355603975243894E-5</c:v>
                </c:pt>
                <c:pt idx="904">
                  <c:v>-2.7936366677749899E-5</c:v>
                </c:pt>
                <c:pt idx="905">
                  <c:v>-8.9649067376740304E-5</c:v>
                </c:pt>
                <c:pt idx="906">
                  <c:v>-1.30569605971687E-4</c:v>
                </c:pt>
                <c:pt idx="907">
                  <c:v>-3.0209679971449099E-4</c:v>
                </c:pt>
                <c:pt idx="908">
                  <c:v>-3.2166740857064702E-4</c:v>
                </c:pt>
                <c:pt idx="909">
                  <c:v>-2.6465163682587401E-4</c:v>
                </c:pt>
                <c:pt idx="910">
                  <c:v>-1.5664593956898901E-4</c:v>
                </c:pt>
                <c:pt idx="911">
                  <c:v>2.7161784146301199E-6</c:v>
                </c:pt>
                <c:pt idx="912">
                  <c:v>1.3904519437346599E-4</c:v>
                </c:pt>
                <c:pt idx="913">
                  <c:v>2.2824584448244401E-4</c:v>
                </c:pt>
                <c:pt idx="914">
                  <c:v>1.6263133147731399E-4</c:v>
                </c:pt>
                <c:pt idx="915">
                  <c:v>4.35951333201956E-5</c:v>
                </c:pt>
                <c:pt idx="916">
                  <c:v>-9.4283481303136796E-5</c:v>
                </c:pt>
                <c:pt idx="917">
                  <c:v>-2.1451368229463699E-4</c:v>
                </c:pt>
                <c:pt idx="918">
                  <c:v>-1.6313086962327399E-4</c:v>
                </c:pt>
                <c:pt idx="919">
                  <c:v>-1.3932837464381001E-4</c:v>
                </c:pt>
                <c:pt idx="920">
                  <c:v>-1.86775127076544E-4</c:v>
                </c:pt>
                <c:pt idx="921">
                  <c:v>-1.5466682089027001E-4</c:v>
                </c:pt>
                <c:pt idx="922">
                  <c:v>-1.3669271720573301E-4</c:v>
                </c:pt>
                <c:pt idx="923">
                  <c:v>-1.07983905763831E-4</c:v>
                </c:pt>
                <c:pt idx="924">
                  <c:v>-8.8242995843756903E-5</c:v>
                </c:pt>
                <c:pt idx="925">
                  <c:v>-1.77630703547038E-4</c:v>
                </c:pt>
                <c:pt idx="926">
                  <c:v>-1.8807324522640599E-4</c:v>
                </c:pt>
                <c:pt idx="927">
                  <c:v>-2.12668252061121E-4</c:v>
                </c:pt>
                <c:pt idx="928">
                  <c:v>-1.95848333532922E-4</c:v>
                </c:pt>
                <c:pt idx="929">
                  <c:v>-2.0669585501309501E-4</c:v>
                </c:pt>
                <c:pt idx="930">
                  <c:v>-2.26516756811179E-4</c:v>
                </c:pt>
                <c:pt idx="931">
                  <c:v>-1.9988586427643901E-4</c:v>
                </c:pt>
                <c:pt idx="932">
                  <c:v>-2.4453757214359901E-4</c:v>
                </c:pt>
                <c:pt idx="933">
                  <c:v>-1.8671576981432701E-4</c:v>
                </c:pt>
                <c:pt idx="934">
                  <c:v>-3.2774063583929098E-5</c:v>
                </c:pt>
                <c:pt idx="935">
                  <c:v>1.7601705621928001E-4</c:v>
                </c:pt>
                <c:pt idx="936">
                  <c:v>3.1399575527757401E-4</c:v>
                </c:pt>
                <c:pt idx="937">
                  <c:v>3.85675200959668E-4</c:v>
                </c:pt>
                <c:pt idx="938">
                  <c:v>2.9477529460564299E-4</c:v>
                </c:pt>
                <c:pt idx="939">
                  <c:v>-6.8053595896344598E-6</c:v>
                </c:pt>
                <c:pt idx="940">
                  <c:v>-2.7612075791694202E-4</c:v>
                </c:pt>
                <c:pt idx="941">
                  <c:v>-4.1657491237856399E-4</c:v>
                </c:pt>
                <c:pt idx="942">
                  <c:v>-4.4313733815215501E-4</c:v>
                </c:pt>
                <c:pt idx="943">
                  <c:v>-2.1738532814197199E-4</c:v>
                </c:pt>
                <c:pt idx="944">
                  <c:v>-3.3698350307531702E-5</c:v>
                </c:pt>
                <c:pt idx="945">
                  <c:v>-4.2850813770201098E-5</c:v>
                </c:pt>
                <c:pt idx="946">
                  <c:v>-1.100763802242E-5</c:v>
                </c:pt>
                <c:pt idx="947">
                  <c:v>-2.7408272217144299E-5</c:v>
                </c:pt>
                <c:pt idx="948">
                  <c:v>-7.7620970841962803E-5</c:v>
                </c:pt>
                <c:pt idx="949">
                  <c:v>-4.1135983337881003E-5</c:v>
                </c:pt>
                <c:pt idx="950">
                  <c:v>-1.36734786792658E-4</c:v>
                </c:pt>
                <c:pt idx="951">
                  <c:v>-2.2298799012787599E-4</c:v>
                </c:pt>
                <c:pt idx="952">
                  <c:v>-2.7175192371942097E-4</c:v>
                </c:pt>
                <c:pt idx="953">
                  <c:v>-3.0592814437113702E-4</c:v>
                </c:pt>
                <c:pt idx="954">
                  <c:v>-7.7532626164611402E-5</c:v>
                </c:pt>
                <c:pt idx="955">
                  <c:v>1.9047314708586801E-4</c:v>
                </c:pt>
                <c:pt idx="956">
                  <c:v>2.91985255898908E-4</c:v>
                </c:pt>
                <c:pt idx="957">
                  <c:v>2.6533813797868799E-4</c:v>
                </c:pt>
                <c:pt idx="958">
                  <c:v>1.8957269276143099E-5</c:v>
                </c:pt>
                <c:pt idx="959">
                  <c:v>-3.38190409820527E-4</c:v>
                </c:pt>
                <c:pt idx="960">
                  <c:v>-5.0988292787224098E-4</c:v>
                </c:pt>
                <c:pt idx="961">
                  <c:v>-5.4670916870236397E-4</c:v>
                </c:pt>
                <c:pt idx="962">
                  <c:v>-4.9565994413569602E-4</c:v>
                </c:pt>
                <c:pt idx="963">
                  <c:v>-4.3334387009963399E-4</c:v>
                </c:pt>
                <c:pt idx="964">
                  <c:v>-3.6745573743246501E-4</c:v>
                </c:pt>
                <c:pt idx="965">
                  <c:v>-3.0602881452068697E-4</c:v>
                </c:pt>
                <c:pt idx="966">
                  <c:v>-2.4447188479825898E-4</c:v>
                </c:pt>
                <c:pt idx="967">
                  <c:v>9.9494372989283892E-6</c:v>
                </c:pt>
                <c:pt idx="968">
                  <c:v>3.54570656782016E-4</c:v>
                </c:pt>
                <c:pt idx="969">
                  <c:v>4.5862494152970601E-4</c:v>
                </c:pt>
                <c:pt idx="970">
                  <c:v>3.71594593161717E-4</c:v>
                </c:pt>
                <c:pt idx="971">
                  <c:v>1.0371147800469799E-4</c:v>
                </c:pt>
                <c:pt idx="972">
                  <c:v>-2.76168866548687E-4</c:v>
                </c:pt>
                <c:pt idx="973">
                  <c:v>-3.5423049121163802E-4</c:v>
                </c:pt>
                <c:pt idx="974">
                  <c:v>-3.7009478546678998E-4</c:v>
                </c:pt>
                <c:pt idx="975">
                  <c:v>-4.1746086208149802E-4</c:v>
                </c:pt>
                <c:pt idx="976">
                  <c:v>-3.9996590930968501E-4</c:v>
                </c:pt>
                <c:pt idx="977">
                  <c:v>-4.0994281880557499E-4</c:v>
                </c:pt>
                <c:pt idx="978">
                  <c:v>-2.7014958322979499E-4</c:v>
                </c:pt>
                <c:pt idx="979">
                  <c:v>-3.9021851989673498E-5</c:v>
                </c:pt>
                <c:pt idx="980">
                  <c:v>2.3926561698317501E-4</c:v>
                </c:pt>
                <c:pt idx="981">
                  <c:v>3.7569252890534699E-4</c:v>
                </c:pt>
                <c:pt idx="982">
                  <c:v>2.25430121645331E-4</c:v>
                </c:pt>
                <c:pt idx="983">
                  <c:v>3.8668345041514798E-6</c:v>
                </c:pt>
                <c:pt idx="984">
                  <c:v>-2.8801182634197203E-4</c:v>
                </c:pt>
                <c:pt idx="985">
                  <c:v>-5.8171263663098205E-4</c:v>
                </c:pt>
                <c:pt idx="986">
                  <c:v>-5.0999521045014295E-4</c:v>
                </c:pt>
                <c:pt idx="987">
                  <c:v>-3.2139520044438498E-4</c:v>
                </c:pt>
                <c:pt idx="988">
                  <c:v>-1.6779117868281901E-4</c:v>
                </c:pt>
                <c:pt idx="989">
                  <c:v>1.1408596947148899E-6</c:v>
                </c:pt>
                <c:pt idx="990">
                  <c:v>2.3087278532329901E-4</c:v>
                </c:pt>
                <c:pt idx="991">
                  <c:v>4.1281915036961398E-4</c:v>
                </c:pt>
                <c:pt idx="992">
                  <c:v>3.56036354787648E-4</c:v>
                </c:pt>
                <c:pt idx="993">
                  <c:v>2.1757859212812001E-4</c:v>
                </c:pt>
                <c:pt idx="994">
                  <c:v>5.7950915106630402E-6</c:v>
                </c:pt>
                <c:pt idx="995">
                  <c:v>-3.1472436967305801E-4</c:v>
                </c:pt>
                <c:pt idx="996">
                  <c:v>-3.8465269608423098E-4</c:v>
                </c:pt>
                <c:pt idx="997">
                  <c:v>-3.9166098576970398E-4</c:v>
                </c:pt>
                <c:pt idx="998">
                  <c:v>-3.1999201746657502E-4</c:v>
                </c:pt>
                <c:pt idx="999">
                  <c:v>-1.7559101979713901E-4</c:v>
                </c:pt>
                <c:pt idx="1000">
                  <c:v>-5.3423467761604102E-5</c:v>
                </c:pt>
                <c:pt idx="1001">
                  <c:v>2.0826615582336699E-5</c:v>
                </c:pt>
              </c:numCache>
            </c:numRef>
          </c:val>
          <c:smooth val="0"/>
        </c:ser>
        <c:ser>
          <c:idx val="2"/>
          <c:order val="2"/>
          <c:tx>
            <c:strRef>
              <c:f>Run_TR!$D$1</c:f>
              <c:strCache>
                <c:ptCount val="1"/>
                <c:pt idx="0">
                  <c:v>Average of ERRORTR</c:v>
                </c:pt>
              </c:strCache>
            </c:strRef>
          </c:tx>
          <c:spPr>
            <a:ln w="28575" cap="rnd">
              <a:solidFill>
                <a:schemeClr val="accent3"/>
              </a:solidFill>
              <a:round/>
            </a:ln>
            <a:effectLst/>
          </c:spPr>
          <c:marker>
            <c:symbol val="none"/>
          </c:marker>
          <c:cat>
            <c:strRef>
              <c:f>Run_TR!$A$2:$A$1004</c:f>
              <c:strCache>
                <c:ptCount val="1002"/>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pt idx="1000">
                  <c:v>1000</c:v>
                </c:pt>
                <c:pt idx="1001">
                  <c:v>1001</c:v>
                </c:pt>
              </c:strCache>
            </c:strRef>
          </c:cat>
          <c:val>
            <c:numRef>
              <c:f>Run_TR!$D$2:$D$1004</c:f>
              <c:numCache>
                <c:formatCode>General</c:formatCode>
                <c:ptCount val="100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6.032664271060644E-5</c:v>
                </c:pt>
                <c:pt idx="16">
                  <c:v>2.2548036940861477E-4</c:v>
                </c:pt>
                <c:pt idx="17">
                  <c:v>5.4831529496368677E-5</c:v>
                </c:pt>
                <c:pt idx="18">
                  <c:v>1.1326161074975996E-4</c:v>
                </c:pt>
                <c:pt idx="19">
                  <c:v>1.0391107934992745E-3</c:v>
                </c:pt>
                <c:pt idx="20">
                  <c:v>2.6023085956694602E-4</c:v>
                </c:pt>
                <c:pt idx="21">
                  <c:v>9.5774526562309001E-4</c:v>
                </c:pt>
                <c:pt idx="22">
                  <c:v>7.55674445827027E-4</c:v>
                </c:pt>
                <c:pt idx="23">
                  <c:v>5.4156028272700507E-4</c:v>
                </c:pt>
                <c:pt idx="24">
                  <c:v>1.0203538986388574E-3</c:v>
                </c:pt>
                <c:pt idx="25">
                  <c:v>1.9339112477609896E-3</c:v>
                </c:pt>
                <c:pt idx="26">
                  <c:v>8.0467693624086602E-4</c:v>
                </c:pt>
                <c:pt idx="27">
                  <c:v>6.8103062972113451E-4</c:v>
                </c:pt>
                <c:pt idx="28">
                  <c:v>3.1140688952291401E-4</c:v>
                </c:pt>
                <c:pt idx="29">
                  <c:v>6.5229576648562237E-4</c:v>
                </c:pt>
                <c:pt idx="30">
                  <c:v>5.2381124805833722E-4</c:v>
                </c:pt>
                <c:pt idx="31">
                  <c:v>1.6267054234049261E-3</c:v>
                </c:pt>
                <c:pt idx="32">
                  <c:v>1.1907334737770729E-3</c:v>
                </c:pt>
                <c:pt idx="33">
                  <c:v>1.641733360884252E-4</c:v>
                </c:pt>
                <c:pt idx="34">
                  <c:v>5.4735158846597231E-4</c:v>
                </c:pt>
                <c:pt idx="35">
                  <c:v>4.7794829697522757E-4</c:v>
                </c:pt>
                <c:pt idx="36">
                  <c:v>4.2893746467598281E-4</c:v>
                </c:pt>
                <c:pt idx="37">
                  <c:v>3.0135208953652176E-4</c:v>
                </c:pt>
                <c:pt idx="38">
                  <c:v>3.5424238003542983E-3</c:v>
                </c:pt>
                <c:pt idx="39">
                  <c:v>3.8024474997655456E-4</c:v>
                </c:pt>
                <c:pt idx="40">
                  <c:v>9.0716077829711096E-4</c:v>
                </c:pt>
                <c:pt idx="41">
                  <c:v>3.9085203752620146E-4</c:v>
                </c:pt>
                <c:pt idx="42">
                  <c:v>1.7889875744003851E-4</c:v>
                </c:pt>
                <c:pt idx="43">
                  <c:v>1.3895094559757099E-4</c:v>
                </c:pt>
                <c:pt idx="44">
                  <c:v>8.1807703190861546E-4</c:v>
                </c:pt>
                <c:pt idx="45">
                  <c:v>4.6311095502460403E-4</c:v>
                </c:pt>
                <c:pt idx="46">
                  <c:v>2.2369298494595569E-4</c:v>
                </c:pt>
                <c:pt idx="47">
                  <c:v>8.4349350800039043E-5</c:v>
                </c:pt>
                <c:pt idx="48">
                  <c:v>4.7770533819857519E-4</c:v>
                </c:pt>
                <c:pt idx="49">
                  <c:v>1.3369994260301612E-3</c:v>
                </c:pt>
                <c:pt idx="50">
                  <c:v>2.2131830883154193E-3</c:v>
                </c:pt>
                <c:pt idx="51">
                  <c:v>8.0783691373653905E-4</c:v>
                </c:pt>
                <c:pt idx="52">
                  <c:v>6.72580616082997E-4</c:v>
                </c:pt>
                <c:pt idx="53">
                  <c:v>7.3424617585260399E-4</c:v>
                </c:pt>
                <c:pt idx="54">
                  <c:v>7.7321471690083832E-4</c:v>
                </c:pt>
                <c:pt idx="55">
                  <c:v>1.4311853919934931E-4</c:v>
                </c:pt>
                <c:pt idx="56">
                  <c:v>9.0133917547063924E-4</c:v>
                </c:pt>
                <c:pt idx="57">
                  <c:v>5.2345910808071505E-4</c:v>
                </c:pt>
                <c:pt idx="58">
                  <c:v>3.0354596674442302E-4</c:v>
                </c:pt>
                <c:pt idx="59">
                  <c:v>8.7169348262251006E-5</c:v>
                </c:pt>
                <c:pt idx="60">
                  <c:v>5.5123251513577998E-4</c:v>
                </c:pt>
                <c:pt idx="61">
                  <c:v>2.1042240405222379E-4</c:v>
                </c:pt>
                <c:pt idx="62">
                  <c:v>7.6747106504626301E-5</c:v>
                </c:pt>
                <c:pt idx="63">
                  <c:v>1.6050733393058219E-4</c:v>
                </c:pt>
                <c:pt idx="64">
                  <c:v>1.32446584757418E-5</c:v>
                </c:pt>
                <c:pt idx="65">
                  <c:v>7.7844211773481206E-5</c:v>
                </c:pt>
                <c:pt idx="66">
                  <c:v>3.3285074459854562E-4</c:v>
                </c:pt>
                <c:pt idx="67">
                  <c:v>8.6890991951804798E-5</c:v>
                </c:pt>
                <c:pt idx="68">
                  <c:v>6.5491592977196E-4</c:v>
                </c:pt>
                <c:pt idx="69">
                  <c:v>7.1617811045143699E-4</c:v>
                </c:pt>
                <c:pt idx="70">
                  <c:v>6.8667199229820994E-5</c:v>
                </c:pt>
                <c:pt idx="71">
                  <c:v>4.1448080446571101E-4</c:v>
                </c:pt>
                <c:pt idx="72">
                  <c:v>1.16130860988051E-4</c:v>
                </c:pt>
                <c:pt idx="73">
                  <c:v>3.12777658109553E-4</c:v>
                </c:pt>
                <c:pt idx="74">
                  <c:v>1.3541447697207329E-4</c:v>
                </c:pt>
                <c:pt idx="75">
                  <c:v>1.4860220999253246E-3</c:v>
                </c:pt>
                <c:pt idx="76">
                  <c:v>2.3538638197351239E-4</c:v>
                </c:pt>
                <c:pt idx="77">
                  <c:v>2.070766568067479E-4</c:v>
                </c:pt>
                <c:pt idx="78">
                  <c:v>1.9292769384264819E-3</c:v>
                </c:pt>
                <c:pt idx="79">
                  <c:v>3.8116559153422702E-4</c:v>
                </c:pt>
                <c:pt idx="80">
                  <c:v>1.3976437621749931E-3</c:v>
                </c:pt>
                <c:pt idx="81">
                  <c:v>2.5311096396762891E-3</c:v>
                </c:pt>
                <c:pt idx="82">
                  <c:v>1.0987582281813976E-3</c:v>
                </c:pt>
                <c:pt idx="83">
                  <c:v>3.0097132548689902E-4</c:v>
                </c:pt>
                <c:pt idx="84">
                  <c:v>4.7755609557498301E-4</c:v>
                </c:pt>
                <c:pt idx="85">
                  <c:v>2.2462059860117002E-5</c:v>
                </c:pt>
                <c:pt idx="86">
                  <c:v>3.1975255114957739E-4</c:v>
                </c:pt>
                <c:pt idx="87">
                  <c:v>7.6384680141927702E-5</c:v>
                </c:pt>
                <c:pt idx="88">
                  <c:v>6.3397764279216051E-4</c:v>
                </c:pt>
                <c:pt idx="89">
                  <c:v>8.9879229199141199E-4</c:v>
                </c:pt>
                <c:pt idx="90">
                  <c:v>1.3337793461687441E-4</c:v>
                </c:pt>
                <c:pt idx="91">
                  <c:v>5.7163102610502349E-4</c:v>
                </c:pt>
                <c:pt idx="92">
                  <c:v>6.0160818975419001E-6</c:v>
                </c:pt>
                <c:pt idx="93">
                  <c:v>3.8578309067816062E-4</c:v>
                </c:pt>
                <c:pt idx="94">
                  <c:v>1.0491203865967719E-3</c:v>
                </c:pt>
                <c:pt idx="95">
                  <c:v>1.5200742200249849E-4</c:v>
                </c:pt>
                <c:pt idx="96">
                  <c:v>2.9067801369819828E-4</c:v>
                </c:pt>
                <c:pt idx="97">
                  <c:v>2.582446868473195E-4</c:v>
                </c:pt>
                <c:pt idx="98">
                  <c:v>1.108259084503514E-4</c:v>
                </c:pt>
                <c:pt idx="99">
                  <c:v>1.0072079094243212E-3</c:v>
                </c:pt>
                <c:pt idx="100">
                  <c:v>6.6539243562147401E-5</c:v>
                </c:pt>
                <c:pt idx="101">
                  <c:v>2.6853482268052159E-4</c:v>
                </c:pt>
                <c:pt idx="102">
                  <c:v>1.4643980721302785E-3</c:v>
                </c:pt>
                <c:pt idx="103">
                  <c:v>2.365011803703963E-3</c:v>
                </c:pt>
                <c:pt idx="104">
                  <c:v>4.5254813812789469E-4</c:v>
                </c:pt>
                <c:pt idx="105">
                  <c:v>4.4032617006450919E-4</c:v>
                </c:pt>
                <c:pt idx="106">
                  <c:v>8.5732775914948E-5</c:v>
                </c:pt>
                <c:pt idx="107">
                  <c:v>4.9351951747667001E-4</c:v>
                </c:pt>
                <c:pt idx="108">
                  <c:v>9.3469909916166205E-4</c:v>
                </c:pt>
                <c:pt idx="109">
                  <c:v>2.7564221818465799E-4</c:v>
                </c:pt>
                <c:pt idx="110">
                  <c:v>2.4733504687901603E-4</c:v>
                </c:pt>
                <c:pt idx="111">
                  <c:v>1.6776891425251999E-4</c:v>
                </c:pt>
                <c:pt idx="112">
                  <c:v>3.1941280758474E-4</c:v>
                </c:pt>
                <c:pt idx="113">
                  <c:v>2.4112045684887524E-4</c:v>
                </c:pt>
                <c:pt idx="114">
                  <c:v>1.8017911497736361E-4</c:v>
                </c:pt>
                <c:pt idx="115">
                  <c:v>6.4196690800598995E-5</c:v>
                </c:pt>
                <c:pt idx="116">
                  <c:v>4.7689722850918802E-4</c:v>
                </c:pt>
                <c:pt idx="117">
                  <c:v>3.9508529880549799E-5</c:v>
                </c:pt>
                <c:pt idx="118">
                  <c:v>3.0103416793281202E-4</c:v>
                </c:pt>
                <c:pt idx="119">
                  <c:v>1.060266396962106E-3</c:v>
                </c:pt>
                <c:pt idx="120">
                  <c:v>2.3790904560883039E-4</c:v>
                </c:pt>
                <c:pt idx="121">
                  <c:v>2.4318347459484341E-4</c:v>
                </c:pt>
                <c:pt idx="122">
                  <c:v>9.7336334874853695E-5</c:v>
                </c:pt>
                <c:pt idx="123">
                  <c:v>1.414239141013241E-4</c:v>
                </c:pt>
                <c:pt idx="124">
                  <c:v>1.063550560502335E-3</c:v>
                </c:pt>
                <c:pt idx="125">
                  <c:v>8.7377800082321798E-4</c:v>
                </c:pt>
                <c:pt idx="126">
                  <c:v>2.5004950293805481E-3</c:v>
                </c:pt>
                <c:pt idx="127">
                  <c:v>1.2513704496086612E-3</c:v>
                </c:pt>
                <c:pt idx="128">
                  <c:v>4.3387369078118397E-4</c:v>
                </c:pt>
                <c:pt idx="129">
                  <c:v>1.0298937559127799E-4</c:v>
                </c:pt>
                <c:pt idx="130">
                  <c:v>3.908140279236254E-4</c:v>
                </c:pt>
                <c:pt idx="131">
                  <c:v>1.13995774881914E-4</c:v>
                </c:pt>
                <c:pt idx="132">
                  <c:v>3.3606079523451599E-4</c:v>
                </c:pt>
                <c:pt idx="133">
                  <c:v>7.9931727668736103E-5</c:v>
                </c:pt>
                <c:pt idx="134">
                  <c:v>3.9257438038475801E-4</c:v>
                </c:pt>
                <c:pt idx="135">
                  <c:v>1.329597653239036E-4</c:v>
                </c:pt>
                <c:pt idx="136">
                  <c:v>2.12846178328618E-4</c:v>
                </c:pt>
                <c:pt idx="137">
                  <c:v>1.7096511510317181E-4</c:v>
                </c:pt>
                <c:pt idx="138">
                  <c:v>6.0871643654536499E-4</c:v>
                </c:pt>
                <c:pt idx="139">
                  <c:v>1.3436962035484E-5</c:v>
                </c:pt>
                <c:pt idx="140">
                  <c:v>7.2019529761746504E-4</c:v>
                </c:pt>
                <c:pt idx="141">
                  <c:v>2.3607940966030531E-4</c:v>
                </c:pt>
                <c:pt idx="142">
                  <c:v>2.0150316777289861E-4</c:v>
                </c:pt>
                <c:pt idx="143">
                  <c:v>1.162827966254554E-4</c:v>
                </c:pt>
                <c:pt idx="144">
                  <c:v>7.1430036769015701E-5</c:v>
                </c:pt>
                <c:pt idx="145">
                  <c:v>1.46743321965914E-3</c:v>
                </c:pt>
                <c:pt idx="146">
                  <c:v>6.4845090673770701E-4</c:v>
                </c:pt>
                <c:pt idx="147">
                  <c:v>2.4608700186945498E-4</c:v>
                </c:pt>
                <c:pt idx="148">
                  <c:v>4.1304524347651701E-4</c:v>
                </c:pt>
                <c:pt idx="149">
                  <c:v>4.8607314020046085E-3</c:v>
                </c:pt>
                <c:pt idx="150">
                  <c:v>1.2331564903433902E-3</c:v>
                </c:pt>
                <c:pt idx="151">
                  <c:v>3.6649834510171791E-4</c:v>
                </c:pt>
                <c:pt idx="152">
                  <c:v>1.5110079766600439E-4</c:v>
                </c:pt>
                <c:pt idx="153">
                  <c:v>6.7462576316756895E-4</c:v>
                </c:pt>
                <c:pt idx="154">
                  <c:v>1.2074082796971245E-3</c:v>
                </c:pt>
                <c:pt idx="155">
                  <c:v>1.0910418204730407E-3</c:v>
                </c:pt>
                <c:pt idx="156">
                  <c:v>5.1923820865340596E-4</c:v>
                </c:pt>
                <c:pt idx="157">
                  <c:v>2.46297713601962E-4</c:v>
                </c:pt>
                <c:pt idx="158">
                  <c:v>3.05588793708012E-4</c:v>
                </c:pt>
                <c:pt idx="159">
                  <c:v>4.3543004721869003E-6</c:v>
                </c:pt>
                <c:pt idx="160">
                  <c:v>1.2806752056349099E-4</c:v>
                </c:pt>
                <c:pt idx="161">
                  <c:v>3.1774581293575401E-4</c:v>
                </c:pt>
                <c:pt idx="162">
                  <c:v>1.7092488815251261E-4</c:v>
                </c:pt>
                <c:pt idx="163">
                  <c:v>1.231023197760802E-4</c:v>
                </c:pt>
                <c:pt idx="164">
                  <c:v>2.3226028042699939E-4</c:v>
                </c:pt>
                <c:pt idx="165">
                  <c:v>3.38065154210199E-4</c:v>
                </c:pt>
                <c:pt idx="166">
                  <c:v>1.353223287878793E-4</c:v>
                </c:pt>
                <c:pt idx="167">
                  <c:v>5.3958848548063532E-4</c:v>
                </c:pt>
                <c:pt idx="168">
                  <c:v>1.1451019727246596E-3</c:v>
                </c:pt>
                <c:pt idx="169">
                  <c:v>6.9721549516543724E-4</c:v>
                </c:pt>
                <c:pt idx="170">
                  <c:v>8.8643119670450698E-4</c:v>
                </c:pt>
                <c:pt idx="171">
                  <c:v>2.9874980100430602E-4</c:v>
                </c:pt>
                <c:pt idx="172">
                  <c:v>5.812727285956495E-4</c:v>
                </c:pt>
                <c:pt idx="173">
                  <c:v>4.7352813635370732E-4</c:v>
                </c:pt>
                <c:pt idx="174">
                  <c:v>9.9496345501393101E-4</c:v>
                </c:pt>
                <c:pt idx="175">
                  <c:v>1.2745885469485089E-3</c:v>
                </c:pt>
                <c:pt idx="176">
                  <c:v>1.380740010063162E-3</c:v>
                </c:pt>
                <c:pt idx="177">
                  <c:v>1.9691649504238699E-4</c:v>
                </c:pt>
                <c:pt idx="178">
                  <c:v>6.5426175569882616E-4</c:v>
                </c:pt>
                <c:pt idx="179">
                  <c:v>5.7063209533225777E-4</c:v>
                </c:pt>
                <c:pt idx="180">
                  <c:v>1.4673048281110899E-4</c:v>
                </c:pt>
                <c:pt idx="181">
                  <c:v>2.4647914688102901E-4</c:v>
                </c:pt>
                <c:pt idx="182">
                  <c:v>7.1584628312848498E-4</c:v>
                </c:pt>
                <c:pt idx="183">
                  <c:v>6.8696625021402697E-5</c:v>
                </c:pt>
                <c:pt idx="184">
                  <c:v>5.3071054935571778E-5</c:v>
                </c:pt>
                <c:pt idx="185">
                  <c:v>1.600213399797215E-4</c:v>
                </c:pt>
                <c:pt idx="186">
                  <c:v>9.9683477310463808E-4</c:v>
                </c:pt>
                <c:pt idx="187">
                  <c:v>2.78845196589827E-4</c:v>
                </c:pt>
                <c:pt idx="188">
                  <c:v>4.3402999290265203E-4</c:v>
                </c:pt>
                <c:pt idx="189">
                  <c:v>1.394911596435126E-4</c:v>
                </c:pt>
                <c:pt idx="190">
                  <c:v>7.8708994692533492E-5</c:v>
                </c:pt>
                <c:pt idx="191">
                  <c:v>8.6481136168004057E-4</c:v>
                </c:pt>
                <c:pt idx="192">
                  <c:v>1.301368687563808E-3</c:v>
                </c:pt>
                <c:pt idx="193">
                  <c:v>1.3823921472067019E-4</c:v>
                </c:pt>
                <c:pt idx="194">
                  <c:v>2.9852216539438798E-4</c:v>
                </c:pt>
                <c:pt idx="195">
                  <c:v>2.5137250049738261E-3</c:v>
                </c:pt>
                <c:pt idx="196">
                  <c:v>1.78879825398326E-4</c:v>
                </c:pt>
                <c:pt idx="197">
                  <c:v>9.3789964375901047E-4</c:v>
                </c:pt>
                <c:pt idx="198">
                  <c:v>2.4666403514856899E-3</c:v>
                </c:pt>
                <c:pt idx="199">
                  <c:v>9.2902747564949095E-4</c:v>
                </c:pt>
                <c:pt idx="200">
                  <c:v>4.0951152914203698E-4</c:v>
                </c:pt>
                <c:pt idx="201">
                  <c:v>3.4706153383012899E-4</c:v>
                </c:pt>
                <c:pt idx="202">
                  <c:v>1.2924843213113521E-3</c:v>
                </c:pt>
                <c:pt idx="203">
                  <c:v>5.5971763504203398E-4</c:v>
                </c:pt>
                <c:pt idx="204">
                  <c:v>4.5762619265588E-4</c:v>
                </c:pt>
                <c:pt idx="205">
                  <c:v>2.430975182505788E-4</c:v>
                </c:pt>
                <c:pt idx="206">
                  <c:v>1.741767036946844E-4</c:v>
                </c:pt>
                <c:pt idx="207">
                  <c:v>4.57373025710694E-4</c:v>
                </c:pt>
                <c:pt idx="208">
                  <c:v>1.6965916256594899E-4</c:v>
                </c:pt>
                <c:pt idx="209">
                  <c:v>2.4326255152118349E-4</c:v>
                </c:pt>
                <c:pt idx="210">
                  <c:v>5.5782141862437205E-4</c:v>
                </c:pt>
                <c:pt idx="211">
                  <c:v>1.2955769489053699E-4</c:v>
                </c:pt>
                <c:pt idx="212">
                  <c:v>2.507534336473325E-4</c:v>
                </c:pt>
                <c:pt idx="213">
                  <c:v>4.2764306999743001E-4</c:v>
                </c:pt>
                <c:pt idx="214">
                  <c:v>1.0250558261759501E-4</c:v>
                </c:pt>
                <c:pt idx="215">
                  <c:v>1.1229197298234799E-5</c:v>
                </c:pt>
                <c:pt idx="216">
                  <c:v>1.366917949781053E-4</c:v>
                </c:pt>
                <c:pt idx="217">
                  <c:v>1.2131009934819351E-3</c:v>
                </c:pt>
                <c:pt idx="218">
                  <c:v>2.8027101143379712E-4</c:v>
                </c:pt>
                <c:pt idx="219">
                  <c:v>4.1180950938723998E-4</c:v>
                </c:pt>
                <c:pt idx="220">
                  <c:v>9.1197136498521797E-5</c:v>
                </c:pt>
                <c:pt idx="221">
                  <c:v>1.467630492697931E-3</c:v>
                </c:pt>
                <c:pt idx="222">
                  <c:v>1.8828194606612637E-4</c:v>
                </c:pt>
                <c:pt idx="223">
                  <c:v>4.3899106094613698E-4</c:v>
                </c:pt>
                <c:pt idx="224">
                  <c:v>1.3166452117729951E-4</c:v>
                </c:pt>
                <c:pt idx="225">
                  <c:v>1.442864668206312E-4</c:v>
                </c:pt>
                <c:pt idx="226">
                  <c:v>1.39027577824891E-3</c:v>
                </c:pt>
                <c:pt idx="227">
                  <c:v>1.41134121804498E-4</c:v>
                </c:pt>
                <c:pt idx="228">
                  <c:v>3.70972789824009E-4</c:v>
                </c:pt>
                <c:pt idx="229">
                  <c:v>6.7688236595131403E-4</c:v>
                </c:pt>
                <c:pt idx="230">
                  <c:v>7.3232551585533602E-5</c:v>
                </c:pt>
                <c:pt idx="231">
                  <c:v>5.36108535015956E-4</c:v>
                </c:pt>
                <c:pt idx="232">
                  <c:v>3.5129742173012303E-4</c:v>
                </c:pt>
                <c:pt idx="233">
                  <c:v>2.9532296321121997E-4</c:v>
                </c:pt>
                <c:pt idx="234">
                  <c:v>5.3971332090441105E-4</c:v>
                </c:pt>
                <c:pt idx="235">
                  <c:v>1.9101288489764589E-4</c:v>
                </c:pt>
                <c:pt idx="236">
                  <c:v>1.352105027763173E-4</c:v>
                </c:pt>
                <c:pt idx="237">
                  <c:v>1.8957747670356201E-5</c:v>
                </c:pt>
                <c:pt idx="238">
                  <c:v>8.2222555647604005E-5</c:v>
                </c:pt>
                <c:pt idx="239">
                  <c:v>3.2971236214507398E-4</c:v>
                </c:pt>
                <c:pt idx="240">
                  <c:v>6.9142231950536305E-4</c:v>
                </c:pt>
                <c:pt idx="241">
                  <c:v>2.1323860419215626E-3</c:v>
                </c:pt>
                <c:pt idx="242">
                  <c:v>8.2801284588640556E-4</c:v>
                </c:pt>
                <c:pt idx="243">
                  <c:v>3.9020573603920698E-4</c:v>
                </c:pt>
                <c:pt idx="244">
                  <c:v>9.0129063755739404E-4</c:v>
                </c:pt>
                <c:pt idx="245">
                  <c:v>7.0321904058800978E-4</c:v>
                </c:pt>
                <c:pt idx="246">
                  <c:v>1.0911077115451919E-3</c:v>
                </c:pt>
                <c:pt idx="247">
                  <c:v>1.3519199419533879E-3</c:v>
                </c:pt>
                <c:pt idx="248">
                  <c:v>6.1887898482383002E-5</c:v>
                </c:pt>
                <c:pt idx="249">
                  <c:v>1.6100017528515339E-3</c:v>
                </c:pt>
                <c:pt idx="250">
                  <c:v>1.3442332128761371E-3</c:v>
                </c:pt>
                <c:pt idx="251">
                  <c:v>3.2421550713479503E-4</c:v>
                </c:pt>
                <c:pt idx="252">
                  <c:v>1.3465052870742511E-4</c:v>
                </c:pt>
                <c:pt idx="253">
                  <c:v>1.055286447808613E-4</c:v>
                </c:pt>
                <c:pt idx="254">
                  <c:v>2.09620724490378E-4</c:v>
                </c:pt>
                <c:pt idx="255">
                  <c:v>1.2561425683088601E-4</c:v>
                </c:pt>
                <c:pt idx="256">
                  <c:v>3.9713789010420501E-4</c:v>
                </c:pt>
                <c:pt idx="257">
                  <c:v>3.0520760628860498E-4</c:v>
                </c:pt>
                <c:pt idx="258">
                  <c:v>4.4229786726646098E-4</c:v>
                </c:pt>
                <c:pt idx="259">
                  <c:v>1.9412629080761641E-4</c:v>
                </c:pt>
                <c:pt idx="260">
                  <c:v>4.86832024762407E-4</c:v>
                </c:pt>
                <c:pt idx="261">
                  <c:v>3.8648895133519502E-4</c:v>
                </c:pt>
                <c:pt idx="262">
                  <c:v>2.6823033476830428E-4</c:v>
                </c:pt>
                <c:pt idx="263">
                  <c:v>3.5047630080953289E-4</c:v>
                </c:pt>
                <c:pt idx="264">
                  <c:v>1.6464543368783827E-3</c:v>
                </c:pt>
                <c:pt idx="265">
                  <c:v>1.003161356493365E-3</c:v>
                </c:pt>
                <c:pt idx="266">
                  <c:v>9.2787438188679896E-4</c:v>
                </c:pt>
                <c:pt idx="267">
                  <c:v>1.440111722331495E-3</c:v>
                </c:pt>
                <c:pt idx="268">
                  <c:v>1.312877871896491E-3</c:v>
                </c:pt>
                <c:pt idx="269">
                  <c:v>5.7465179997961968E-4</c:v>
                </c:pt>
                <c:pt idx="270">
                  <c:v>1.4485818537650619E-3</c:v>
                </c:pt>
                <c:pt idx="271">
                  <c:v>8.1522336404304995E-4</c:v>
                </c:pt>
                <c:pt idx="272">
                  <c:v>8.7133518536575095E-4</c:v>
                </c:pt>
                <c:pt idx="273">
                  <c:v>6.1605082009918999E-4</c:v>
                </c:pt>
                <c:pt idx="274">
                  <c:v>7.5053634878941022E-4</c:v>
                </c:pt>
                <c:pt idx="275">
                  <c:v>1.2259597060619899E-3</c:v>
                </c:pt>
                <c:pt idx="276">
                  <c:v>6.2485726084560102E-4</c:v>
                </c:pt>
                <c:pt idx="277">
                  <c:v>3.8537082582479321E-4</c:v>
                </c:pt>
                <c:pt idx="278">
                  <c:v>6.6015188349410902E-4</c:v>
                </c:pt>
                <c:pt idx="279">
                  <c:v>3.3442105632276E-5</c:v>
                </c:pt>
                <c:pt idx="280">
                  <c:v>2.2908488608663899E-4</c:v>
                </c:pt>
                <c:pt idx="281">
                  <c:v>1.4328031829791171E-4</c:v>
                </c:pt>
                <c:pt idx="282">
                  <c:v>1.363336332360634E-4</c:v>
                </c:pt>
                <c:pt idx="283">
                  <c:v>2.4751474938966561E-4</c:v>
                </c:pt>
                <c:pt idx="284">
                  <c:v>4.49264349299483E-4</c:v>
                </c:pt>
                <c:pt idx="285">
                  <c:v>2.5475732400082001E-5</c:v>
                </c:pt>
                <c:pt idx="286">
                  <c:v>5.1941788115073004E-6</c:v>
                </c:pt>
                <c:pt idx="287">
                  <c:v>1.1482927948236499E-4</c:v>
                </c:pt>
                <c:pt idx="288">
                  <c:v>5.5639672791585305E-4</c:v>
                </c:pt>
                <c:pt idx="289">
                  <c:v>9.89344785921278E-4</c:v>
                </c:pt>
                <c:pt idx="290">
                  <c:v>6.9008370337542201E-4</c:v>
                </c:pt>
                <c:pt idx="291">
                  <c:v>3.2460498914588292E-4</c:v>
                </c:pt>
                <c:pt idx="292">
                  <c:v>2.806682387017646E-4</c:v>
                </c:pt>
                <c:pt idx="293">
                  <c:v>1.7962366546271399E-3</c:v>
                </c:pt>
                <c:pt idx="294">
                  <c:v>2.5887216906993998E-5</c:v>
                </c:pt>
                <c:pt idx="295">
                  <c:v>1.522373640909788E-4</c:v>
                </c:pt>
                <c:pt idx="296">
                  <c:v>1.5393439844046936E-4</c:v>
                </c:pt>
                <c:pt idx="297">
                  <c:v>1.0691946372389811E-3</c:v>
                </c:pt>
                <c:pt idx="298">
                  <c:v>1.260430930415168E-3</c:v>
                </c:pt>
                <c:pt idx="299">
                  <c:v>2.060489796349426E-4</c:v>
                </c:pt>
                <c:pt idx="300">
                  <c:v>4.869165350100959E-4</c:v>
                </c:pt>
                <c:pt idx="301">
                  <c:v>8.0316427920479317E-4</c:v>
                </c:pt>
                <c:pt idx="302">
                  <c:v>2.26665360969491E-4</c:v>
                </c:pt>
                <c:pt idx="303">
                  <c:v>1.2755065563396811E-4</c:v>
                </c:pt>
                <c:pt idx="304">
                  <c:v>7.0720820804126604E-4</c:v>
                </c:pt>
                <c:pt idx="305">
                  <c:v>3.2503281909157549E-4</c:v>
                </c:pt>
                <c:pt idx="306">
                  <c:v>3.4733636130113128E-4</c:v>
                </c:pt>
                <c:pt idx="307">
                  <c:v>5.50236887647771E-4</c:v>
                </c:pt>
                <c:pt idx="308">
                  <c:v>1.0696530807760001E-6</c:v>
                </c:pt>
                <c:pt idx="309">
                  <c:v>3.0498491832986501E-4</c:v>
                </c:pt>
                <c:pt idx="310">
                  <c:v>2.9240330331958798E-4</c:v>
                </c:pt>
                <c:pt idx="311">
                  <c:v>3.4470149694243451E-4</c:v>
                </c:pt>
                <c:pt idx="312">
                  <c:v>2.57039864663966E-4</c:v>
                </c:pt>
                <c:pt idx="313">
                  <c:v>2.296205842867498E-3</c:v>
                </c:pt>
                <c:pt idx="314">
                  <c:v>7.6381559483707103E-4</c:v>
                </c:pt>
                <c:pt idx="315">
                  <c:v>1.684929622570056E-3</c:v>
                </c:pt>
                <c:pt idx="316">
                  <c:v>3.882125965901651E-4</c:v>
                </c:pt>
                <c:pt idx="317">
                  <c:v>6.4472298981854703E-4</c:v>
                </c:pt>
                <c:pt idx="318">
                  <c:v>3.02663742331788E-4</c:v>
                </c:pt>
                <c:pt idx="319">
                  <c:v>2.189951119362381E-4</c:v>
                </c:pt>
                <c:pt idx="320">
                  <c:v>2.0141581990174029E-4</c:v>
                </c:pt>
                <c:pt idx="321">
                  <c:v>1.3974154717288909E-3</c:v>
                </c:pt>
                <c:pt idx="322">
                  <c:v>1.3922089710831629E-3</c:v>
                </c:pt>
                <c:pt idx="323">
                  <c:v>1.2848757032770709E-3</c:v>
                </c:pt>
                <c:pt idx="324">
                  <c:v>6.1820128757972303E-4</c:v>
                </c:pt>
                <c:pt idx="325">
                  <c:v>2.6096318470081271E-4</c:v>
                </c:pt>
                <c:pt idx="326">
                  <c:v>5.7757564718485803E-5</c:v>
                </c:pt>
                <c:pt idx="327">
                  <c:v>6.3927535666152802E-4</c:v>
                </c:pt>
                <c:pt idx="328">
                  <c:v>1.483084779465571E-4</c:v>
                </c:pt>
                <c:pt idx="329">
                  <c:v>1.5724625154689431E-4</c:v>
                </c:pt>
                <c:pt idx="330">
                  <c:v>5.9030752163380395E-4</c:v>
                </c:pt>
                <c:pt idx="331">
                  <c:v>4.326823382143627E-4</c:v>
                </c:pt>
                <c:pt idx="332">
                  <c:v>2.26314674364403E-4</c:v>
                </c:pt>
                <c:pt idx="333">
                  <c:v>2.9726172215305301E-4</c:v>
                </c:pt>
                <c:pt idx="334">
                  <c:v>2.3966362277860699E-5</c:v>
                </c:pt>
                <c:pt idx="335">
                  <c:v>2.559641616244332E-4</c:v>
                </c:pt>
                <c:pt idx="336">
                  <c:v>5.2173533913446634E-4</c:v>
                </c:pt>
                <c:pt idx="337">
                  <c:v>4.6434758405666798E-4</c:v>
                </c:pt>
                <c:pt idx="338">
                  <c:v>1.7260305176023409E-3</c:v>
                </c:pt>
                <c:pt idx="339">
                  <c:v>1.5542503097094611E-3</c:v>
                </c:pt>
                <c:pt idx="340">
                  <c:v>1.041943207383155E-3</c:v>
                </c:pt>
                <c:pt idx="341">
                  <c:v>1.0150711605092511E-3</c:v>
                </c:pt>
                <c:pt idx="342">
                  <c:v>2.3968719324329819E-4</c:v>
                </c:pt>
                <c:pt idx="343">
                  <c:v>1.442921275156551E-3</c:v>
                </c:pt>
                <c:pt idx="344">
                  <c:v>1.534320828795895E-3</c:v>
                </c:pt>
                <c:pt idx="345">
                  <c:v>8.0597423220751785E-4</c:v>
                </c:pt>
                <c:pt idx="346">
                  <c:v>1.0034517181338771E-3</c:v>
                </c:pt>
                <c:pt idx="347">
                  <c:v>4.5144218893256098E-4</c:v>
                </c:pt>
                <c:pt idx="348">
                  <c:v>7.0802126356284112E-4</c:v>
                </c:pt>
                <c:pt idx="349">
                  <c:v>4.6654658945044492E-4</c:v>
                </c:pt>
                <c:pt idx="350">
                  <c:v>9.0473979798844117E-4</c:v>
                </c:pt>
                <c:pt idx="351">
                  <c:v>8.7067968615883707E-4</c:v>
                </c:pt>
                <c:pt idx="352">
                  <c:v>4.3875557093997518E-4</c:v>
                </c:pt>
                <c:pt idx="353">
                  <c:v>2.9007309058215502E-4</c:v>
                </c:pt>
                <c:pt idx="354">
                  <c:v>1.1650176020338999E-5</c:v>
                </c:pt>
                <c:pt idx="355">
                  <c:v>4.2611055687302751E-4</c:v>
                </c:pt>
                <c:pt idx="356">
                  <c:v>1.33140580146573E-4</c:v>
                </c:pt>
                <c:pt idx="357">
                  <c:v>2.7910175958822969E-4</c:v>
                </c:pt>
                <c:pt idx="358">
                  <c:v>3.7289901956682998E-4</c:v>
                </c:pt>
                <c:pt idx="359">
                  <c:v>2.0248450528015399E-4</c:v>
                </c:pt>
                <c:pt idx="360">
                  <c:v>6.0693028353853173E-4</c:v>
                </c:pt>
                <c:pt idx="361">
                  <c:v>1.1887427535839381E-3</c:v>
                </c:pt>
                <c:pt idx="362">
                  <c:v>1.7684398044366381E-3</c:v>
                </c:pt>
                <c:pt idx="363">
                  <c:v>2.6612796937115512E-3</c:v>
                </c:pt>
                <c:pt idx="364">
                  <c:v>5.1280854677315791E-4</c:v>
                </c:pt>
                <c:pt idx="365">
                  <c:v>1.930508951772936E-4</c:v>
                </c:pt>
                <c:pt idx="366">
                  <c:v>4.7019365592859702E-4</c:v>
                </c:pt>
                <c:pt idx="367">
                  <c:v>3.7371457437984002E-5</c:v>
                </c:pt>
                <c:pt idx="368">
                  <c:v>7.8448974818456896E-4</c:v>
                </c:pt>
                <c:pt idx="369">
                  <c:v>7.85452662967141E-4</c:v>
                </c:pt>
                <c:pt idx="370">
                  <c:v>5.8595760492607999E-5</c:v>
                </c:pt>
                <c:pt idx="371">
                  <c:v>1.8795221694745099E-4</c:v>
                </c:pt>
                <c:pt idx="372">
                  <c:v>6.1972241383000003E-7</c:v>
                </c:pt>
                <c:pt idx="373">
                  <c:v>7.6175585854798501E-4</c:v>
                </c:pt>
                <c:pt idx="374">
                  <c:v>3.6946691398043202E-4</c:v>
                </c:pt>
                <c:pt idx="375">
                  <c:v>2.5105000440817039E-4</c:v>
                </c:pt>
                <c:pt idx="376">
                  <c:v>9.1167603386559995E-6</c:v>
                </c:pt>
                <c:pt idx="377">
                  <c:v>1.9385430732654613E-5</c:v>
                </c:pt>
                <c:pt idx="378">
                  <c:v>3.0229230833356258E-4</c:v>
                </c:pt>
                <c:pt idx="379">
                  <c:v>3.5546836443246E-5</c:v>
                </c:pt>
                <c:pt idx="380">
                  <c:v>5.3271911747287905E-4</c:v>
                </c:pt>
                <c:pt idx="381">
                  <c:v>3.6522524897009178E-4</c:v>
                </c:pt>
                <c:pt idx="382">
                  <c:v>1.7567695249454151E-4</c:v>
                </c:pt>
                <c:pt idx="383">
                  <c:v>4.4272706145420698E-4</c:v>
                </c:pt>
                <c:pt idx="384">
                  <c:v>2.3358309408649799E-4</c:v>
                </c:pt>
                <c:pt idx="385">
                  <c:v>1.4062434638617599E-3</c:v>
                </c:pt>
                <c:pt idx="386">
                  <c:v>8.8777532801032001E-4</c:v>
                </c:pt>
                <c:pt idx="387">
                  <c:v>5.7666013890411683E-4</c:v>
                </c:pt>
                <c:pt idx="388">
                  <c:v>1.5438030823133871E-3</c:v>
                </c:pt>
                <c:pt idx="389">
                  <c:v>4.1068884092965158E-4</c:v>
                </c:pt>
                <c:pt idx="390">
                  <c:v>2.05785618163645E-4</c:v>
                </c:pt>
                <c:pt idx="391">
                  <c:v>1.517994300229471E-3</c:v>
                </c:pt>
                <c:pt idx="392">
                  <c:v>6.2665145378559801E-5</c:v>
                </c:pt>
                <c:pt idx="393">
                  <c:v>5.4245259138951929E-4</c:v>
                </c:pt>
                <c:pt idx="394">
                  <c:v>1.3429207174340257E-3</c:v>
                </c:pt>
                <c:pt idx="395">
                  <c:v>1.4023481526237439E-4</c:v>
                </c:pt>
                <c:pt idx="396">
                  <c:v>6.1444443417709997E-6</c:v>
                </c:pt>
                <c:pt idx="397">
                  <c:v>5.4180604638531804E-4</c:v>
                </c:pt>
                <c:pt idx="398">
                  <c:v>5.6781959574436812E-4</c:v>
                </c:pt>
                <c:pt idx="399">
                  <c:v>3.0305007749120748E-4</c:v>
                </c:pt>
                <c:pt idx="400">
                  <c:v>3.9376516360789499E-4</c:v>
                </c:pt>
                <c:pt idx="401">
                  <c:v>9.8779916879721008E-4</c:v>
                </c:pt>
                <c:pt idx="402">
                  <c:v>3.9787401328794702E-4</c:v>
                </c:pt>
                <c:pt idx="403">
                  <c:v>2.2600372903980301E-4</c:v>
                </c:pt>
                <c:pt idx="404">
                  <c:v>5.3410913096740002E-5</c:v>
                </c:pt>
                <c:pt idx="405">
                  <c:v>3.316048387205232E-4</c:v>
                </c:pt>
                <c:pt idx="406">
                  <c:v>7.190165814563445E-4</c:v>
                </c:pt>
                <c:pt idx="407">
                  <c:v>5.3996286078472665E-4</c:v>
                </c:pt>
                <c:pt idx="408">
                  <c:v>1.408190655638463E-4</c:v>
                </c:pt>
                <c:pt idx="409">
                  <c:v>4.3257478318992038E-4</c:v>
                </c:pt>
                <c:pt idx="410">
                  <c:v>9.6883321384666477E-4</c:v>
                </c:pt>
                <c:pt idx="411">
                  <c:v>1.3825557689415319E-3</c:v>
                </c:pt>
                <c:pt idx="412">
                  <c:v>1.61213931278326E-4</c:v>
                </c:pt>
                <c:pt idx="413">
                  <c:v>6.0010734887327999E-4</c:v>
                </c:pt>
                <c:pt idx="414">
                  <c:v>1.6275178422802176E-3</c:v>
                </c:pt>
                <c:pt idx="415">
                  <c:v>7.1349332574755398E-4</c:v>
                </c:pt>
                <c:pt idx="416">
                  <c:v>1.1356718605384231E-3</c:v>
                </c:pt>
                <c:pt idx="417">
                  <c:v>4.4028917909599803E-4</c:v>
                </c:pt>
                <c:pt idx="418">
                  <c:v>2.2562522281077669E-4</c:v>
                </c:pt>
                <c:pt idx="419">
                  <c:v>3.6981824814574798E-4</c:v>
                </c:pt>
                <c:pt idx="420">
                  <c:v>3.8489224971272003E-4</c:v>
                </c:pt>
                <c:pt idx="421">
                  <c:v>2.3406720720231601E-4</c:v>
                </c:pt>
                <c:pt idx="422">
                  <c:v>1.20309123303742E-4</c:v>
                </c:pt>
                <c:pt idx="423">
                  <c:v>5.9928232803940795E-4</c:v>
                </c:pt>
                <c:pt idx="424">
                  <c:v>6.12135350820608E-4</c:v>
                </c:pt>
                <c:pt idx="425">
                  <c:v>2.9115856523276318E-4</c:v>
                </c:pt>
                <c:pt idx="426">
                  <c:v>7.0042093284428098E-4</c:v>
                </c:pt>
                <c:pt idx="427">
                  <c:v>2.44070324697532E-4</c:v>
                </c:pt>
                <c:pt idx="428">
                  <c:v>1.032658619806173E-4</c:v>
                </c:pt>
                <c:pt idx="429">
                  <c:v>3.3477755641797552E-4</c:v>
                </c:pt>
                <c:pt idx="430">
                  <c:v>6.3111630879575305E-5</c:v>
                </c:pt>
                <c:pt idx="431">
                  <c:v>2.5563999224687011E-4</c:v>
                </c:pt>
                <c:pt idx="432">
                  <c:v>9.8539952887222106E-4</c:v>
                </c:pt>
                <c:pt idx="433">
                  <c:v>1.97058900084812E-4</c:v>
                </c:pt>
                <c:pt idx="434">
                  <c:v>6.4145601936616004E-4</c:v>
                </c:pt>
                <c:pt idx="435">
                  <c:v>6.1892309531685929E-4</c:v>
                </c:pt>
                <c:pt idx="436">
                  <c:v>1.1292030694676221E-4</c:v>
                </c:pt>
                <c:pt idx="437">
                  <c:v>8.2816281974373905E-5</c:v>
                </c:pt>
                <c:pt idx="438">
                  <c:v>2.4335699999937749E-3</c:v>
                </c:pt>
                <c:pt idx="439">
                  <c:v>2.8259534155949901E-4</c:v>
                </c:pt>
                <c:pt idx="440">
                  <c:v>2.5566848926246149E-3</c:v>
                </c:pt>
                <c:pt idx="441">
                  <c:v>4.9484316841699209E-3</c:v>
                </c:pt>
                <c:pt idx="442">
                  <c:v>1.0707564506446941E-3</c:v>
                </c:pt>
                <c:pt idx="443">
                  <c:v>4.0587590774521299E-5</c:v>
                </c:pt>
                <c:pt idx="444">
                  <c:v>1.6931345744524129E-3</c:v>
                </c:pt>
                <c:pt idx="445">
                  <c:v>1.1248292867094281E-3</c:v>
                </c:pt>
                <c:pt idx="446">
                  <c:v>1.6071745994850029E-4</c:v>
                </c:pt>
                <c:pt idx="447">
                  <c:v>6.48327641101787E-5</c:v>
                </c:pt>
                <c:pt idx="448">
                  <c:v>4.3058718438260198E-4</c:v>
                </c:pt>
                <c:pt idx="449">
                  <c:v>2.5065634326892948E-4</c:v>
                </c:pt>
                <c:pt idx="450">
                  <c:v>2.3440795484930301E-4</c:v>
                </c:pt>
                <c:pt idx="451">
                  <c:v>1.3819630476064049E-4</c:v>
                </c:pt>
                <c:pt idx="452">
                  <c:v>2.3698677250649799E-4</c:v>
                </c:pt>
                <c:pt idx="453">
                  <c:v>7.8417433542200002E-5</c:v>
                </c:pt>
                <c:pt idx="454">
                  <c:v>2.8263259446248499E-4</c:v>
                </c:pt>
                <c:pt idx="455">
                  <c:v>2.0451810996746669E-4</c:v>
                </c:pt>
                <c:pt idx="456">
                  <c:v>1.02102625533007E-4</c:v>
                </c:pt>
                <c:pt idx="457">
                  <c:v>1.7897539655678009E-3</c:v>
                </c:pt>
                <c:pt idx="458">
                  <c:v>4.0655021439306498E-4</c:v>
                </c:pt>
                <c:pt idx="459">
                  <c:v>9.9974815384485004E-5</c:v>
                </c:pt>
                <c:pt idx="460">
                  <c:v>4.7185749281197803E-4</c:v>
                </c:pt>
                <c:pt idx="461">
                  <c:v>8.9588935952633598E-4</c:v>
                </c:pt>
                <c:pt idx="462">
                  <c:v>3.47521243384108E-4</c:v>
                </c:pt>
                <c:pt idx="463">
                  <c:v>5.6741670414339751E-4</c:v>
                </c:pt>
                <c:pt idx="464">
                  <c:v>2.445012571115512E-3</c:v>
                </c:pt>
                <c:pt idx="465">
                  <c:v>2.36650346778333E-4</c:v>
                </c:pt>
                <c:pt idx="466">
                  <c:v>6.0120501439087104E-4</c:v>
                </c:pt>
                <c:pt idx="467">
                  <c:v>5.6458608014509001E-5</c:v>
                </c:pt>
                <c:pt idx="468">
                  <c:v>1.275280141271651E-3</c:v>
                </c:pt>
                <c:pt idx="469">
                  <c:v>1.0009805373556451E-3</c:v>
                </c:pt>
                <c:pt idx="470">
                  <c:v>3.8827565731479998E-6</c:v>
                </c:pt>
                <c:pt idx="471">
                  <c:v>1.9771602819673701E-4</c:v>
                </c:pt>
                <c:pt idx="472">
                  <c:v>4.5929043699288692E-4</c:v>
                </c:pt>
                <c:pt idx="473">
                  <c:v>6.4617430325597999E-5</c:v>
                </c:pt>
                <c:pt idx="474">
                  <c:v>1.1450656456872821E-3</c:v>
                </c:pt>
                <c:pt idx="475">
                  <c:v>2.7724912433768661E-4</c:v>
                </c:pt>
                <c:pt idx="476">
                  <c:v>1.5787038319103929E-4</c:v>
                </c:pt>
                <c:pt idx="477">
                  <c:v>4.6322405978571699E-4</c:v>
                </c:pt>
                <c:pt idx="478">
                  <c:v>1.5791189071023861E-4</c:v>
                </c:pt>
                <c:pt idx="479">
                  <c:v>9.2939152818871651E-4</c:v>
                </c:pt>
                <c:pt idx="480">
                  <c:v>2.5282295973738612E-4</c:v>
                </c:pt>
                <c:pt idx="481">
                  <c:v>1.3143153046257799E-4</c:v>
                </c:pt>
                <c:pt idx="482">
                  <c:v>1.097063912311573E-3</c:v>
                </c:pt>
                <c:pt idx="483">
                  <c:v>1.440939377062E-5</c:v>
                </c:pt>
                <c:pt idx="484">
                  <c:v>2.206047356594352E-4</c:v>
                </c:pt>
                <c:pt idx="485">
                  <c:v>2.2141067602206043E-3</c:v>
                </c:pt>
                <c:pt idx="486">
                  <c:v>7.9618222662247696E-4</c:v>
                </c:pt>
                <c:pt idx="487">
                  <c:v>1.2723301915684669E-4</c:v>
                </c:pt>
                <c:pt idx="488">
                  <c:v>3.5047657729592201E-4</c:v>
                </c:pt>
                <c:pt idx="489">
                  <c:v>1.789305388228967E-4</c:v>
                </c:pt>
                <c:pt idx="490">
                  <c:v>1.9947199834859908E-3</c:v>
                </c:pt>
                <c:pt idx="491">
                  <c:v>2.36499603488483E-4</c:v>
                </c:pt>
                <c:pt idx="492">
                  <c:v>3.5021244548261198E-4</c:v>
                </c:pt>
                <c:pt idx="493">
                  <c:v>7.4027347727679204E-4</c:v>
                </c:pt>
                <c:pt idx="494">
                  <c:v>1.37541079311632E-4</c:v>
                </c:pt>
                <c:pt idx="495">
                  <c:v>9.3769129307474995E-5</c:v>
                </c:pt>
                <c:pt idx="496">
                  <c:v>6.3134770243777893E-5</c:v>
                </c:pt>
                <c:pt idx="497">
                  <c:v>2.3942952248034999E-4</c:v>
                </c:pt>
                <c:pt idx="498">
                  <c:v>1.600524265086278E-4</c:v>
                </c:pt>
                <c:pt idx="499">
                  <c:v>1.846249870141036E-4</c:v>
                </c:pt>
                <c:pt idx="500">
                  <c:v>1.2286411947570701E-4</c:v>
                </c:pt>
                <c:pt idx="501">
                  <c:v>5.2783483261009711E-4</c:v>
                </c:pt>
                <c:pt idx="502">
                  <c:v>3.0928679916542002E-4</c:v>
                </c:pt>
                <c:pt idx="503">
                  <c:v>9.3858019681647E-5</c:v>
                </c:pt>
                <c:pt idx="504">
                  <c:v>8.4424318629320001E-6</c:v>
                </c:pt>
                <c:pt idx="505">
                  <c:v>6.2939377676229891E-4</c:v>
                </c:pt>
                <c:pt idx="506">
                  <c:v>5.4970836208667595E-4</c:v>
                </c:pt>
                <c:pt idx="507">
                  <c:v>2.0959473040420549E-3</c:v>
                </c:pt>
                <c:pt idx="508">
                  <c:v>5.2488562323560505E-4</c:v>
                </c:pt>
                <c:pt idx="509">
                  <c:v>1.24286700156517E-4</c:v>
                </c:pt>
                <c:pt idx="510">
                  <c:v>6.32310839137062E-4</c:v>
                </c:pt>
                <c:pt idx="511">
                  <c:v>4.5145071635488399E-4</c:v>
                </c:pt>
                <c:pt idx="512">
                  <c:v>9.3883121735415995E-4</c:v>
                </c:pt>
                <c:pt idx="513">
                  <c:v>1.7285401409026233E-3</c:v>
                </c:pt>
                <c:pt idx="514">
                  <c:v>1.6908420511754214E-3</c:v>
                </c:pt>
                <c:pt idx="515">
                  <c:v>1.9198520749341691E-4</c:v>
                </c:pt>
                <c:pt idx="516">
                  <c:v>1.1128885598736856E-3</c:v>
                </c:pt>
                <c:pt idx="517">
                  <c:v>7.2606111643835902E-4</c:v>
                </c:pt>
                <c:pt idx="518">
                  <c:v>2.2504255775856991E-4</c:v>
                </c:pt>
                <c:pt idx="519">
                  <c:v>1.7475025379098941E-4</c:v>
                </c:pt>
                <c:pt idx="520">
                  <c:v>1.13853559014387E-4</c:v>
                </c:pt>
                <c:pt idx="521">
                  <c:v>2.9627769981743779E-4</c:v>
                </c:pt>
                <c:pt idx="522">
                  <c:v>8.0347667972091585E-4</c:v>
                </c:pt>
                <c:pt idx="523">
                  <c:v>8.5683270299341497E-4</c:v>
                </c:pt>
                <c:pt idx="524">
                  <c:v>4.8997568956110605E-4</c:v>
                </c:pt>
                <c:pt idx="525">
                  <c:v>2.401162855676374E-4</c:v>
                </c:pt>
                <c:pt idx="526">
                  <c:v>2.72364559350535E-4</c:v>
                </c:pt>
                <c:pt idx="527">
                  <c:v>5.8997262385673997E-5</c:v>
                </c:pt>
                <c:pt idx="528">
                  <c:v>9.5171631255652712E-4</c:v>
                </c:pt>
                <c:pt idx="529">
                  <c:v>1.8302727476111657E-3</c:v>
                </c:pt>
                <c:pt idx="530">
                  <c:v>7.552779607067347E-4</c:v>
                </c:pt>
                <c:pt idx="531">
                  <c:v>1.2606579766725205E-3</c:v>
                </c:pt>
                <c:pt idx="532">
                  <c:v>3.783586798817855E-4</c:v>
                </c:pt>
                <c:pt idx="533">
                  <c:v>4.3195967464271228E-5</c:v>
                </c:pt>
                <c:pt idx="534">
                  <c:v>8.2720255159074484E-4</c:v>
                </c:pt>
                <c:pt idx="535">
                  <c:v>1.739064828143457E-4</c:v>
                </c:pt>
                <c:pt idx="536">
                  <c:v>3.2458727218909211E-3</c:v>
                </c:pt>
                <c:pt idx="537">
                  <c:v>1.0917619511019401E-4</c:v>
                </c:pt>
                <c:pt idx="538">
                  <c:v>3.7841946323169422E-4</c:v>
                </c:pt>
                <c:pt idx="539">
                  <c:v>3.7696767685702049E-4</c:v>
                </c:pt>
                <c:pt idx="540">
                  <c:v>5.6295918511750694E-3</c:v>
                </c:pt>
                <c:pt idx="541">
                  <c:v>3.4908394445665228E-3</c:v>
                </c:pt>
                <c:pt idx="542">
                  <c:v>3.6108668718952699E-3</c:v>
                </c:pt>
                <c:pt idx="543">
                  <c:v>5.4030883620725977E-4</c:v>
                </c:pt>
                <c:pt idx="544">
                  <c:v>3.2407062099082401E-4</c:v>
                </c:pt>
                <c:pt idx="545">
                  <c:v>2.9117942358425331E-4</c:v>
                </c:pt>
                <c:pt idx="546">
                  <c:v>1.1196960913366638E-3</c:v>
                </c:pt>
                <c:pt idx="547">
                  <c:v>1.7541199194965841E-3</c:v>
                </c:pt>
                <c:pt idx="548">
                  <c:v>1.5671770961489501E-4</c:v>
                </c:pt>
                <c:pt idx="549">
                  <c:v>9.1700594930443902E-4</c:v>
                </c:pt>
                <c:pt idx="550">
                  <c:v>2.4425968877039812E-4</c:v>
                </c:pt>
                <c:pt idx="551">
                  <c:v>8.9301574917044999E-6</c:v>
                </c:pt>
                <c:pt idx="552">
                  <c:v>3.1691294861957398E-4</c:v>
                </c:pt>
                <c:pt idx="553">
                  <c:v>1.4340429552248662E-3</c:v>
                </c:pt>
                <c:pt idx="554">
                  <c:v>6.7662125729839304E-5</c:v>
                </c:pt>
                <c:pt idx="555">
                  <c:v>3.2081874087452802E-4</c:v>
                </c:pt>
                <c:pt idx="556">
                  <c:v>2.32669175602496E-4</c:v>
                </c:pt>
                <c:pt idx="557">
                  <c:v>5.7205159100703895E-4</c:v>
                </c:pt>
                <c:pt idx="558">
                  <c:v>1.2206767569296021E-3</c:v>
                </c:pt>
                <c:pt idx="559">
                  <c:v>1.7852234450401771E-3</c:v>
                </c:pt>
                <c:pt idx="560">
                  <c:v>5.5199382768478299E-4</c:v>
                </c:pt>
                <c:pt idx="561">
                  <c:v>1.2117851802031501E-3</c:v>
                </c:pt>
                <c:pt idx="562">
                  <c:v>1.8716050071816415E-3</c:v>
                </c:pt>
                <c:pt idx="563">
                  <c:v>1.241103273059705E-4</c:v>
                </c:pt>
                <c:pt idx="564">
                  <c:v>1.226106644026007E-3</c:v>
                </c:pt>
                <c:pt idx="565">
                  <c:v>8.2555194239830652E-4</c:v>
                </c:pt>
                <c:pt idx="566">
                  <c:v>4.2862986447289602E-4</c:v>
                </c:pt>
                <c:pt idx="567">
                  <c:v>2.0732436860271239E-4</c:v>
                </c:pt>
                <c:pt idx="568">
                  <c:v>1.0253043728880601E-4</c:v>
                </c:pt>
                <c:pt idx="569">
                  <c:v>4.9491725803818597E-4</c:v>
                </c:pt>
                <c:pt idx="570">
                  <c:v>1.26914936117827E-4</c:v>
                </c:pt>
                <c:pt idx="571">
                  <c:v>7.2194285166915495E-4</c:v>
                </c:pt>
                <c:pt idx="572">
                  <c:v>1.152224067482168E-4</c:v>
                </c:pt>
                <c:pt idx="573">
                  <c:v>3.4605406108312298E-4</c:v>
                </c:pt>
                <c:pt idx="574">
                  <c:v>1.3347572530619781E-4</c:v>
                </c:pt>
                <c:pt idx="575">
                  <c:v>6.3442913233302566E-4</c:v>
                </c:pt>
                <c:pt idx="576">
                  <c:v>4.5129676800570429E-4</c:v>
                </c:pt>
                <c:pt idx="577">
                  <c:v>7.6863114736624983E-4</c:v>
                </c:pt>
                <c:pt idx="578">
                  <c:v>2.0219973521307101E-5</c:v>
                </c:pt>
                <c:pt idx="579">
                  <c:v>7.8885641869419487E-4</c:v>
                </c:pt>
                <c:pt idx="580">
                  <c:v>3.6404526326800001E-7</c:v>
                </c:pt>
                <c:pt idx="581">
                  <c:v>9.5880826120264904E-4</c:v>
                </c:pt>
                <c:pt idx="582">
                  <c:v>2.050721173873166E-3</c:v>
                </c:pt>
                <c:pt idx="583">
                  <c:v>2.4316508061019691E-3</c:v>
                </c:pt>
                <c:pt idx="584">
                  <c:v>1.197250036057085E-3</c:v>
                </c:pt>
                <c:pt idx="585">
                  <c:v>5.1164782053092495E-4</c:v>
                </c:pt>
                <c:pt idx="586">
                  <c:v>1.8409604072076053E-3</c:v>
                </c:pt>
                <c:pt idx="587">
                  <c:v>7.3119987064274299E-5</c:v>
                </c:pt>
                <c:pt idx="588">
                  <c:v>1.30216139950789E-5</c:v>
                </c:pt>
                <c:pt idx="589">
                  <c:v>2.6442394300829799E-5</c:v>
                </c:pt>
                <c:pt idx="590">
                  <c:v>4.1243707528337901E-4</c:v>
                </c:pt>
                <c:pt idx="591">
                  <c:v>4.3342733988540002E-6</c:v>
                </c:pt>
                <c:pt idx="592">
                  <c:v>1.471547111577823E-4</c:v>
                </c:pt>
                <c:pt idx="593">
                  <c:v>8.9769891928881E-5</c:v>
                </c:pt>
                <c:pt idx="594">
                  <c:v>9.5714990311535064E-4</c:v>
                </c:pt>
                <c:pt idx="595">
                  <c:v>6.1991027541807874E-4</c:v>
                </c:pt>
                <c:pt idx="596">
                  <c:v>2.056722514680587E-4</c:v>
                </c:pt>
                <c:pt idx="597">
                  <c:v>2.404125555131035E-4</c:v>
                </c:pt>
                <c:pt idx="598">
                  <c:v>9.23494109883905E-4</c:v>
                </c:pt>
                <c:pt idx="599">
                  <c:v>4.3143957736901901E-4</c:v>
                </c:pt>
                <c:pt idx="600">
                  <c:v>5.8820165577344596E-4</c:v>
                </c:pt>
                <c:pt idx="601">
                  <c:v>9.4546558102592501E-4</c:v>
                </c:pt>
                <c:pt idx="602">
                  <c:v>2.4571032554376897E-4</c:v>
                </c:pt>
                <c:pt idx="603">
                  <c:v>2.3095682990970079E-4</c:v>
                </c:pt>
                <c:pt idx="604">
                  <c:v>2.149730062228628E-4</c:v>
                </c:pt>
                <c:pt idx="605">
                  <c:v>1.0274704909534224E-3</c:v>
                </c:pt>
                <c:pt idx="606">
                  <c:v>1.399186612616181E-5</c:v>
                </c:pt>
                <c:pt idx="607">
                  <c:v>1.8521881793276391E-4</c:v>
                </c:pt>
                <c:pt idx="608">
                  <c:v>5.9428950771689458E-4</c:v>
                </c:pt>
                <c:pt idx="609">
                  <c:v>5.6010148455243372E-5</c:v>
                </c:pt>
                <c:pt idx="610">
                  <c:v>9.2069849051767982E-4</c:v>
                </c:pt>
                <c:pt idx="611">
                  <c:v>3.0141200113575933E-4</c:v>
                </c:pt>
                <c:pt idx="612">
                  <c:v>3.7072885606903599E-4</c:v>
                </c:pt>
                <c:pt idx="613">
                  <c:v>3.4864227927755998E-5</c:v>
                </c:pt>
                <c:pt idx="614">
                  <c:v>1.682253787294E-5</c:v>
                </c:pt>
                <c:pt idx="615">
                  <c:v>9.6823798230616498E-5</c:v>
                </c:pt>
                <c:pt idx="616">
                  <c:v>3.3744632673915997E-5</c:v>
                </c:pt>
                <c:pt idx="617">
                  <c:v>1.204510583193042E-3</c:v>
                </c:pt>
                <c:pt idx="618">
                  <c:v>6.1131446273066103E-4</c:v>
                </c:pt>
                <c:pt idx="619">
                  <c:v>1.2111151590942999E-5</c:v>
                </c:pt>
                <c:pt idx="620">
                  <c:v>8.7784352945163597E-4</c:v>
                </c:pt>
                <c:pt idx="621">
                  <c:v>1.455840401831663E-5</c:v>
                </c:pt>
                <c:pt idx="622">
                  <c:v>1.1061693294323093E-3</c:v>
                </c:pt>
                <c:pt idx="623">
                  <c:v>1.0256116588607212E-3</c:v>
                </c:pt>
                <c:pt idx="624">
                  <c:v>8.47102026455105E-4</c:v>
                </c:pt>
                <c:pt idx="625">
                  <c:v>1.7945995205081999E-4</c:v>
                </c:pt>
                <c:pt idx="626">
                  <c:v>7.9778514918871105E-4</c:v>
                </c:pt>
                <c:pt idx="627">
                  <c:v>1.785339089110495E-3</c:v>
                </c:pt>
                <c:pt idx="628">
                  <c:v>9.3550729798153498E-4</c:v>
                </c:pt>
                <c:pt idx="629">
                  <c:v>1.5175953740254099E-4</c:v>
                </c:pt>
                <c:pt idx="630">
                  <c:v>2.2758077830076199E-4</c:v>
                </c:pt>
                <c:pt idx="631">
                  <c:v>7.1451620169682472E-4</c:v>
                </c:pt>
                <c:pt idx="632">
                  <c:v>8.2237645983695995E-4</c:v>
                </c:pt>
                <c:pt idx="633">
                  <c:v>6.4971786923706499E-4</c:v>
                </c:pt>
                <c:pt idx="634">
                  <c:v>1.5428715851157949E-3</c:v>
                </c:pt>
                <c:pt idx="635">
                  <c:v>3.3651390913291813E-4</c:v>
                </c:pt>
                <c:pt idx="636">
                  <c:v>1.4593023661291229E-4</c:v>
                </c:pt>
                <c:pt idx="637">
                  <c:v>1.878871189546769E-3</c:v>
                </c:pt>
                <c:pt idx="638">
                  <c:v>5.6720941211096997E-4</c:v>
                </c:pt>
                <c:pt idx="639">
                  <c:v>3.4615232561918679E-4</c:v>
                </c:pt>
                <c:pt idx="640">
                  <c:v>5.4950198318692801E-5</c:v>
                </c:pt>
                <c:pt idx="641">
                  <c:v>2.9462810562108692E-4</c:v>
                </c:pt>
                <c:pt idx="642">
                  <c:v>8.7179854745045697E-5</c:v>
                </c:pt>
                <c:pt idx="643">
                  <c:v>1.4429573620873236E-3</c:v>
                </c:pt>
                <c:pt idx="644">
                  <c:v>6.3246001082006799E-4</c:v>
                </c:pt>
                <c:pt idx="645">
                  <c:v>1.679309898463544E-4</c:v>
                </c:pt>
                <c:pt idx="646">
                  <c:v>9.1205001808699998E-6</c:v>
                </c:pt>
                <c:pt idx="647">
                  <c:v>2.03943789529148E-4</c:v>
                </c:pt>
                <c:pt idx="648">
                  <c:v>1.12861394882203E-4</c:v>
                </c:pt>
                <c:pt idx="649">
                  <c:v>1.0832126354216611E-3</c:v>
                </c:pt>
                <c:pt idx="650">
                  <c:v>1.82935068733059E-3</c:v>
                </c:pt>
                <c:pt idx="651">
                  <c:v>1.04747188743204E-4</c:v>
                </c:pt>
                <c:pt idx="652">
                  <c:v>1.0661527048796381E-3</c:v>
                </c:pt>
                <c:pt idx="653">
                  <c:v>1.1369462590664649E-3</c:v>
                </c:pt>
                <c:pt idx="654">
                  <c:v>8.8236440205946597E-4</c:v>
                </c:pt>
                <c:pt idx="655">
                  <c:v>7.7789279748686103E-4</c:v>
                </c:pt>
                <c:pt idx="656">
                  <c:v>9.1732916189358004E-5</c:v>
                </c:pt>
                <c:pt idx="657">
                  <c:v>1.7784700758056739E-3</c:v>
                </c:pt>
                <c:pt idx="658">
                  <c:v>2.4586032668594309E-4</c:v>
                </c:pt>
                <c:pt idx="659">
                  <c:v>4.8913881619228072E-4</c:v>
                </c:pt>
                <c:pt idx="660">
                  <c:v>1.4838772040093291E-4</c:v>
                </c:pt>
                <c:pt idx="661">
                  <c:v>5.9390835303929634E-4</c:v>
                </c:pt>
                <c:pt idx="662">
                  <c:v>9.7897930027102099E-4</c:v>
                </c:pt>
                <c:pt idx="663">
                  <c:v>5.137743119121295E-5</c:v>
                </c:pt>
                <c:pt idx="664">
                  <c:v>1.3297238183440589E-4</c:v>
                </c:pt>
                <c:pt idx="665">
                  <c:v>1.02619233075529E-4</c:v>
                </c:pt>
                <c:pt idx="666">
                  <c:v>4.3468156945891602E-4</c:v>
                </c:pt>
                <c:pt idx="667">
                  <c:v>1.2605334322870454E-3</c:v>
                </c:pt>
                <c:pt idx="668">
                  <c:v>6.3662637694505899E-4</c:v>
                </c:pt>
                <c:pt idx="669">
                  <c:v>4.5561391743830998E-5</c:v>
                </c:pt>
                <c:pt idx="670">
                  <c:v>7.2285460191778849E-4</c:v>
                </c:pt>
                <c:pt idx="671">
                  <c:v>1.6819282973301621E-4</c:v>
                </c:pt>
                <c:pt idx="672">
                  <c:v>4.9167988981935196E-4</c:v>
                </c:pt>
                <c:pt idx="673">
                  <c:v>7.1181121529662029E-4</c:v>
                </c:pt>
                <c:pt idx="674">
                  <c:v>4.0524606447434069E-4</c:v>
                </c:pt>
                <c:pt idx="675">
                  <c:v>7.6180451105756187E-4</c:v>
                </c:pt>
                <c:pt idx="676">
                  <c:v>5.913491295359562E-4</c:v>
                </c:pt>
                <c:pt idx="677">
                  <c:v>3.5634475352709E-6</c:v>
                </c:pt>
                <c:pt idx="678">
                  <c:v>4.7164533461909776E-3</c:v>
                </c:pt>
                <c:pt idx="679">
                  <c:v>1.2859153648605559E-3</c:v>
                </c:pt>
                <c:pt idx="680">
                  <c:v>2.5726663297973569E-3</c:v>
                </c:pt>
                <c:pt idx="681">
                  <c:v>1.617874251678581E-3</c:v>
                </c:pt>
                <c:pt idx="682">
                  <c:v>1.6565310543228456E-3</c:v>
                </c:pt>
                <c:pt idx="683">
                  <c:v>1.6241185803664831E-3</c:v>
                </c:pt>
                <c:pt idx="684">
                  <c:v>4.570695891743521E-4</c:v>
                </c:pt>
                <c:pt idx="685">
                  <c:v>3.11845629767049E-4</c:v>
                </c:pt>
                <c:pt idx="686">
                  <c:v>3.5179962287657001E-4</c:v>
                </c:pt>
                <c:pt idx="687">
                  <c:v>5.7116839161608303E-4</c:v>
                </c:pt>
                <c:pt idx="688">
                  <c:v>2.4723015030758661E-5</c:v>
                </c:pt>
                <c:pt idx="689">
                  <c:v>3.4410702937748602E-5</c:v>
                </c:pt>
                <c:pt idx="690">
                  <c:v>2.47517382376828E-4</c:v>
                </c:pt>
                <c:pt idx="691">
                  <c:v>1.2083617457392399E-4</c:v>
                </c:pt>
                <c:pt idx="692">
                  <c:v>4.6202407975215497E-4</c:v>
                </c:pt>
                <c:pt idx="693">
                  <c:v>3.7339638220146298E-4</c:v>
                </c:pt>
                <c:pt idx="694">
                  <c:v>2.6214381614408873E-4</c:v>
                </c:pt>
                <c:pt idx="695">
                  <c:v>1.460799903725278E-4</c:v>
                </c:pt>
                <c:pt idx="696">
                  <c:v>6.0624144680332697E-5</c:v>
                </c:pt>
                <c:pt idx="697">
                  <c:v>6.0187395138200405E-4</c:v>
                </c:pt>
                <c:pt idx="698">
                  <c:v>1.1045608553104059E-3</c:v>
                </c:pt>
                <c:pt idx="699">
                  <c:v>8.8348647113889803E-4</c:v>
                </c:pt>
                <c:pt idx="700">
                  <c:v>9.9686384783126609E-4</c:v>
                </c:pt>
                <c:pt idx="701">
                  <c:v>5.8919152615999305E-4</c:v>
                </c:pt>
                <c:pt idx="702">
                  <c:v>1.5448297071998266E-3</c:v>
                </c:pt>
                <c:pt idx="703">
                  <c:v>7.0393418172898215E-4</c:v>
                </c:pt>
                <c:pt idx="704">
                  <c:v>2.846765055437569E-4</c:v>
                </c:pt>
                <c:pt idx="705">
                  <c:v>1.567063962284008E-3</c:v>
                </c:pt>
                <c:pt idx="706">
                  <c:v>9.5078178856056205E-4</c:v>
                </c:pt>
                <c:pt idx="707">
                  <c:v>1.5003437147242959E-4</c:v>
                </c:pt>
                <c:pt idx="708">
                  <c:v>3.9407682197634098E-4</c:v>
                </c:pt>
                <c:pt idx="709">
                  <c:v>2.14783074625302E-4</c:v>
                </c:pt>
                <c:pt idx="710">
                  <c:v>4.1316443093819527E-4</c:v>
                </c:pt>
                <c:pt idx="711">
                  <c:v>3.1199178920360293E-4</c:v>
                </c:pt>
                <c:pt idx="712">
                  <c:v>3.112636568403105E-5</c:v>
                </c:pt>
                <c:pt idx="713">
                  <c:v>7.5728243427874964E-4</c:v>
                </c:pt>
                <c:pt idx="714">
                  <c:v>8.8806770145310977E-4</c:v>
                </c:pt>
                <c:pt idx="715">
                  <c:v>2.2671784154226752E-4</c:v>
                </c:pt>
                <c:pt idx="716">
                  <c:v>6.3590834542992498E-5</c:v>
                </c:pt>
                <c:pt idx="717">
                  <c:v>2.97982027404942E-4</c:v>
                </c:pt>
                <c:pt idx="718">
                  <c:v>1.89449128811248E-4</c:v>
                </c:pt>
                <c:pt idx="719">
                  <c:v>5.6437207967974202E-4</c:v>
                </c:pt>
                <c:pt idx="720">
                  <c:v>9.40484052989632E-4</c:v>
                </c:pt>
                <c:pt idx="721">
                  <c:v>1.0313101665815336E-3</c:v>
                </c:pt>
                <c:pt idx="722">
                  <c:v>1.8202679530077151E-4</c:v>
                </c:pt>
                <c:pt idx="723">
                  <c:v>3.5133614801452522E-4</c:v>
                </c:pt>
                <c:pt idx="724">
                  <c:v>5.8311834982305332E-4</c:v>
                </c:pt>
                <c:pt idx="725">
                  <c:v>8.61478169099427E-4</c:v>
                </c:pt>
                <c:pt idx="726">
                  <c:v>6.1288478900678499E-4</c:v>
                </c:pt>
                <c:pt idx="727">
                  <c:v>7.05692160408944E-4</c:v>
                </c:pt>
                <c:pt idx="728">
                  <c:v>5.4375675972550999E-5</c:v>
                </c:pt>
                <c:pt idx="729">
                  <c:v>1.367785807815381E-3</c:v>
                </c:pt>
                <c:pt idx="730">
                  <c:v>1.3754579867963934E-4</c:v>
                </c:pt>
                <c:pt idx="731">
                  <c:v>4.9864698667079502E-5</c:v>
                </c:pt>
                <c:pt idx="732">
                  <c:v>2.7894096419913712E-3</c:v>
                </c:pt>
                <c:pt idx="733">
                  <c:v>6.1030084907543002E-5</c:v>
                </c:pt>
                <c:pt idx="734">
                  <c:v>5.3024632507003887E-4</c:v>
                </c:pt>
                <c:pt idx="735">
                  <c:v>9.0864227968268096E-4</c:v>
                </c:pt>
                <c:pt idx="736">
                  <c:v>3.2521648972760908E-4</c:v>
                </c:pt>
                <c:pt idx="737">
                  <c:v>1.580006246513222E-4</c:v>
                </c:pt>
                <c:pt idx="738">
                  <c:v>6.6376298491377405E-4</c:v>
                </c:pt>
                <c:pt idx="739">
                  <c:v>1.399357579430216E-4</c:v>
                </c:pt>
                <c:pt idx="740">
                  <c:v>1.636180222703846E-4</c:v>
                </c:pt>
                <c:pt idx="741">
                  <c:v>4.5470820623450002E-5</c:v>
                </c:pt>
                <c:pt idx="742">
                  <c:v>8.418341167271E-6</c:v>
                </c:pt>
                <c:pt idx="743">
                  <c:v>9.9296128610149199E-4</c:v>
                </c:pt>
                <c:pt idx="744">
                  <c:v>1.0500213156774364E-3</c:v>
                </c:pt>
                <c:pt idx="745">
                  <c:v>4.1222116124117709E-4</c:v>
                </c:pt>
                <c:pt idx="746">
                  <c:v>8.2822001206750439E-4</c:v>
                </c:pt>
                <c:pt idx="747">
                  <c:v>1.943118477356622E-4</c:v>
                </c:pt>
                <c:pt idx="748">
                  <c:v>1.0982321691699401E-4</c:v>
                </c:pt>
                <c:pt idx="749">
                  <c:v>4.4188986066728798E-4</c:v>
                </c:pt>
                <c:pt idx="750">
                  <c:v>2.2862936602905419E-3</c:v>
                </c:pt>
                <c:pt idx="751">
                  <c:v>3.4171556180808719E-3</c:v>
                </c:pt>
                <c:pt idx="752">
                  <c:v>1.4729075846844403E-3</c:v>
                </c:pt>
                <c:pt idx="753">
                  <c:v>2.1629348339047199E-4</c:v>
                </c:pt>
                <c:pt idx="754">
                  <c:v>3.34270836901851E-4</c:v>
                </c:pt>
                <c:pt idx="755">
                  <c:v>9.6936657064361519E-4</c:v>
                </c:pt>
                <c:pt idx="756">
                  <c:v>5.8974538933398435E-4</c:v>
                </c:pt>
                <c:pt idx="757">
                  <c:v>6.7479967401595786E-4</c:v>
                </c:pt>
                <c:pt idx="758">
                  <c:v>5.2475373377092204E-4</c:v>
                </c:pt>
                <c:pt idx="759">
                  <c:v>2.9111336334608501E-4</c:v>
                </c:pt>
                <c:pt idx="760">
                  <c:v>1.4999706763774001E-5</c:v>
                </c:pt>
                <c:pt idx="761">
                  <c:v>2.8952633147127899E-4</c:v>
                </c:pt>
                <c:pt idx="762">
                  <c:v>6.21833780314773E-4</c:v>
                </c:pt>
                <c:pt idx="763">
                  <c:v>1.4925835421308799E-4</c:v>
                </c:pt>
                <c:pt idx="764">
                  <c:v>7.4968640547012504E-5</c:v>
                </c:pt>
                <c:pt idx="765">
                  <c:v>2.9162599821575008E-4</c:v>
                </c:pt>
                <c:pt idx="766">
                  <c:v>2.8581836158991759E-4</c:v>
                </c:pt>
                <c:pt idx="767">
                  <c:v>6.5942879882641104E-4</c:v>
                </c:pt>
                <c:pt idx="768">
                  <c:v>4.8516812967129997E-6</c:v>
                </c:pt>
                <c:pt idx="769">
                  <c:v>8.5509490600088557E-4</c:v>
                </c:pt>
                <c:pt idx="770">
                  <c:v>5.5077689466998001E-5</c:v>
                </c:pt>
                <c:pt idx="771">
                  <c:v>1.0608707088977079E-3</c:v>
                </c:pt>
                <c:pt idx="772">
                  <c:v>2.3843171366024758E-3</c:v>
                </c:pt>
                <c:pt idx="773">
                  <c:v>1.224186882609505E-3</c:v>
                </c:pt>
                <c:pt idx="774">
                  <c:v>4.3589036795310698E-4</c:v>
                </c:pt>
                <c:pt idx="775">
                  <c:v>1.82999941353046E-3</c:v>
                </c:pt>
                <c:pt idx="776">
                  <c:v>1.1302364073344465E-3</c:v>
                </c:pt>
                <c:pt idx="777">
                  <c:v>3.2512063917238261E-3</c:v>
                </c:pt>
                <c:pt idx="778">
                  <c:v>2.6040024677058708E-3</c:v>
                </c:pt>
                <c:pt idx="779">
                  <c:v>2.3039145162329E-5</c:v>
                </c:pt>
                <c:pt idx="780">
                  <c:v>1.5234907186822931E-4</c:v>
                </c:pt>
                <c:pt idx="781">
                  <c:v>1.4831838634563632E-3</c:v>
                </c:pt>
                <c:pt idx="782">
                  <c:v>6.6051987232640396E-4</c:v>
                </c:pt>
                <c:pt idx="783">
                  <c:v>3.8291281816782392E-4</c:v>
                </c:pt>
                <c:pt idx="784">
                  <c:v>4.7562682129864665E-4</c:v>
                </c:pt>
                <c:pt idx="785">
                  <c:v>3.1081438737601231E-4</c:v>
                </c:pt>
                <c:pt idx="786">
                  <c:v>4.7428922698600239E-4</c:v>
                </c:pt>
                <c:pt idx="787">
                  <c:v>4.58712172985543E-4</c:v>
                </c:pt>
                <c:pt idx="788">
                  <c:v>2.04888301959727E-3</c:v>
                </c:pt>
                <c:pt idx="789">
                  <c:v>2.23876893869601E-4</c:v>
                </c:pt>
                <c:pt idx="790">
                  <c:v>2.8270207985769898E-4</c:v>
                </c:pt>
                <c:pt idx="791">
                  <c:v>9.0813882707152505E-4</c:v>
                </c:pt>
                <c:pt idx="792">
                  <c:v>8.7888707639648995E-5</c:v>
                </c:pt>
                <c:pt idx="793">
                  <c:v>9.6586336439940997E-5</c:v>
                </c:pt>
                <c:pt idx="794">
                  <c:v>4.1906425030902001E-4</c:v>
                </c:pt>
                <c:pt idx="795">
                  <c:v>2.125196460838196E-4</c:v>
                </c:pt>
                <c:pt idx="796">
                  <c:v>1.18360901251435E-3</c:v>
                </c:pt>
                <c:pt idx="797">
                  <c:v>1.1577159311855229E-3</c:v>
                </c:pt>
                <c:pt idx="798">
                  <c:v>1.5213356673484638E-3</c:v>
                </c:pt>
                <c:pt idx="799">
                  <c:v>1.660183042986319E-4</c:v>
                </c:pt>
                <c:pt idx="800">
                  <c:v>9.2287635197863004E-4</c:v>
                </c:pt>
                <c:pt idx="801">
                  <c:v>5.9305925969965799E-4</c:v>
                </c:pt>
                <c:pt idx="802">
                  <c:v>8.3951392298331397E-4</c:v>
                </c:pt>
                <c:pt idx="803">
                  <c:v>3.0192651865945652E-4</c:v>
                </c:pt>
                <c:pt idx="804">
                  <c:v>8.7244479800573994E-5</c:v>
                </c:pt>
                <c:pt idx="805">
                  <c:v>1.6988517018035E-5</c:v>
                </c:pt>
                <c:pt idx="806">
                  <c:v>6.1126032960602005E-5</c:v>
                </c:pt>
                <c:pt idx="807">
                  <c:v>2.8473090060288097E-4</c:v>
                </c:pt>
                <c:pt idx="808">
                  <c:v>9.6215590019710006E-6</c:v>
                </c:pt>
                <c:pt idx="809">
                  <c:v>9.2993665020912899E-5</c:v>
                </c:pt>
                <c:pt idx="810">
                  <c:v>1.1360957942088178E-3</c:v>
                </c:pt>
                <c:pt idx="811">
                  <c:v>6.1750570239382796E-5</c:v>
                </c:pt>
                <c:pt idx="812">
                  <c:v>7.3901606810977696E-5</c:v>
                </c:pt>
                <c:pt idx="813">
                  <c:v>3.061940296902318E-4</c:v>
                </c:pt>
                <c:pt idx="814">
                  <c:v>8.7311105744447505E-5</c:v>
                </c:pt>
                <c:pt idx="815">
                  <c:v>6.7595986183732716E-4</c:v>
                </c:pt>
                <c:pt idx="816">
                  <c:v>3.1261430194717837E-4</c:v>
                </c:pt>
                <c:pt idx="817">
                  <c:v>8.2872129860334098E-4</c:v>
                </c:pt>
                <c:pt idx="818">
                  <c:v>3.8330847746692598E-4</c:v>
                </c:pt>
                <c:pt idx="819">
                  <c:v>6.3526968006040001E-6</c:v>
                </c:pt>
                <c:pt idx="820">
                  <c:v>1.7631534428801409E-3</c:v>
                </c:pt>
                <c:pt idx="821">
                  <c:v>4.0473328408552339E-4</c:v>
                </c:pt>
                <c:pt idx="822">
                  <c:v>1.5495273692067699E-4</c:v>
                </c:pt>
                <c:pt idx="823">
                  <c:v>1.1500097753014461E-3</c:v>
                </c:pt>
                <c:pt idx="824">
                  <c:v>2.7212402346776809E-4</c:v>
                </c:pt>
                <c:pt idx="825">
                  <c:v>1.544354436191496E-4</c:v>
                </c:pt>
                <c:pt idx="826">
                  <c:v>9.890789806377121E-4</c:v>
                </c:pt>
                <c:pt idx="827">
                  <c:v>3.575837527023395E-4</c:v>
                </c:pt>
                <c:pt idx="828">
                  <c:v>4.7944700054358702E-4</c:v>
                </c:pt>
                <c:pt idx="829">
                  <c:v>1.3665421283803899E-4</c:v>
                </c:pt>
                <c:pt idx="830">
                  <c:v>2.21624897676521E-4</c:v>
                </c:pt>
                <c:pt idx="831">
                  <c:v>4.9785587179940205E-4</c:v>
                </c:pt>
                <c:pt idx="832">
                  <c:v>3.55566502548754E-4</c:v>
                </c:pt>
                <c:pt idx="833">
                  <c:v>2.4713295169931382E-4</c:v>
                </c:pt>
                <c:pt idx="834">
                  <c:v>5.5510479796794297E-5</c:v>
                </c:pt>
                <c:pt idx="835">
                  <c:v>8.5604693413188205E-4</c:v>
                </c:pt>
                <c:pt idx="836">
                  <c:v>1.503747216702322E-5</c:v>
                </c:pt>
                <c:pt idx="837">
                  <c:v>3.449292962613979E-4</c:v>
                </c:pt>
                <c:pt idx="838">
                  <c:v>9.4696730229771198E-5</c:v>
                </c:pt>
                <c:pt idx="839">
                  <c:v>7.0787309596198597E-5</c:v>
                </c:pt>
                <c:pt idx="840">
                  <c:v>2.1052906959084799E-4</c:v>
                </c:pt>
                <c:pt idx="841">
                  <c:v>1.734766142362785E-3</c:v>
                </c:pt>
                <c:pt idx="842">
                  <c:v>1.0928697083727472E-3</c:v>
                </c:pt>
                <c:pt idx="843">
                  <c:v>7.7663149568251994E-5</c:v>
                </c:pt>
                <c:pt idx="844">
                  <c:v>1.0874846921069541E-3</c:v>
                </c:pt>
                <c:pt idx="845">
                  <c:v>2.3860951478127431E-4</c:v>
                </c:pt>
                <c:pt idx="846">
                  <c:v>1.1942755663767496E-3</c:v>
                </c:pt>
                <c:pt idx="847">
                  <c:v>7.1749965718481701E-4</c:v>
                </c:pt>
                <c:pt idx="848">
                  <c:v>5.0985705456695997E-5</c:v>
                </c:pt>
                <c:pt idx="849">
                  <c:v>6.5990940493065896E-4</c:v>
                </c:pt>
                <c:pt idx="850">
                  <c:v>7.2562487912364304E-4</c:v>
                </c:pt>
                <c:pt idx="851">
                  <c:v>3.3520828401378822E-4</c:v>
                </c:pt>
                <c:pt idx="852">
                  <c:v>4.2729637061711422E-4</c:v>
                </c:pt>
                <c:pt idx="853">
                  <c:v>1.3638164527947064E-3</c:v>
                </c:pt>
                <c:pt idx="854">
                  <c:v>6.3429385045310472E-4</c:v>
                </c:pt>
                <c:pt idx="855">
                  <c:v>9.1329126007622203E-5</c:v>
                </c:pt>
                <c:pt idx="856">
                  <c:v>2.6098119997186559E-4</c:v>
                </c:pt>
                <c:pt idx="857">
                  <c:v>2.1861795175936961E-4</c:v>
                </c:pt>
                <c:pt idx="858">
                  <c:v>1.4725517758051851E-4</c:v>
                </c:pt>
                <c:pt idx="859">
                  <c:v>2.49610864557326E-4</c:v>
                </c:pt>
                <c:pt idx="860">
                  <c:v>2.14880623389035E-4</c:v>
                </c:pt>
                <c:pt idx="861">
                  <c:v>4.5929201587569001E-4</c:v>
                </c:pt>
                <c:pt idx="862">
                  <c:v>4.0954638097900903E-4</c:v>
                </c:pt>
                <c:pt idx="863">
                  <c:v>4.153090994805096E-4</c:v>
                </c:pt>
                <c:pt idx="864">
                  <c:v>4.225421507726424E-4</c:v>
                </c:pt>
                <c:pt idx="865">
                  <c:v>2.6862735394388481E-3</c:v>
                </c:pt>
                <c:pt idx="866">
                  <c:v>8.4333757695276301E-4</c:v>
                </c:pt>
                <c:pt idx="867">
                  <c:v>5.5420575517928228E-4</c:v>
                </c:pt>
                <c:pt idx="868">
                  <c:v>2.8553723677759958E-4</c:v>
                </c:pt>
                <c:pt idx="869">
                  <c:v>1.21223522000946E-4</c:v>
                </c:pt>
                <c:pt idx="870">
                  <c:v>8.6530717089771997E-4</c:v>
                </c:pt>
                <c:pt idx="871">
                  <c:v>1.490654743975029E-3</c:v>
                </c:pt>
                <c:pt idx="872">
                  <c:v>1.5847294707782499E-4</c:v>
                </c:pt>
                <c:pt idx="873">
                  <c:v>2.887088203351596E-4</c:v>
                </c:pt>
                <c:pt idx="874">
                  <c:v>2.24080911721103E-4</c:v>
                </c:pt>
                <c:pt idx="875">
                  <c:v>3.3610529499129003E-5</c:v>
                </c:pt>
                <c:pt idx="876">
                  <c:v>1.2942706234753099E-4</c:v>
                </c:pt>
                <c:pt idx="877">
                  <c:v>4.6586124517489198E-4</c:v>
                </c:pt>
                <c:pt idx="878">
                  <c:v>2.3248530260389045E-4</c:v>
                </c:pt>
                <c:pt idx="879">
                  <c:v>1.6408038482040909E-4</c:v>
                </c:pt>
                <c:pt idx="880">
                  <c:v>2.6946767320623589E-4</c:v>
                </c:pt>
                <c:pt idx="881">
                  <c:v>8.3318863471504301E-4</c:v>
                </c:pt>
                <c:pt idx="882">
                  <c:v>2.4913700690376551E-4</c:v>
                </c:pt>
                <c:pt idx="883">
                  <c:v>1.4121097046881901E-4</c:v>
                </c:pt>
                <c:pt idx="884">
                  <c:v>2.0897400099784131E-3</c:v>
                </c:pt>
                <c:pt idx="885">
                  <c:v>1.4752635615877799E-4</c:v>
                </c:pt>
                <c:pt idx="886">
                  <c:v>6.4515786652918905E-4</c:v>
                </c:pt>
                <c:pt idx="887">
                  <c:v>2.5336523322039262E-4</c:v>
                </c:pt>
                <c:pt idx="888">
                  <c:v>2.6421040456625628E-4</c:v>
                </c:pt>
                <c:pt idx="889">
                  <c:v>6.3844039686955999E-5</c:v>
                </c:pt>
                <c:pt idx="890">
                  <c:v>3.329889979795555E-3</c:v>
                </c:pt>
                <c:pt idx="891">
                  <c:v>1.6892920875761785E-3</c:v>
                </c:pt>
                <c:pt idx="892">
                  <c:v>1.59440191055182E-3</c:v>
                </c:pt>
                <c:pt idx="893">
                  <c:v>1.9499169247865252E-3</c:v>
                </c:pt>
                <c:pt idx="894">
                  <c:v>8.4942177636548795E-5</c:v>
                </c:pt>
                <c:pt idx="895">
                  <c:v>3.8524734418388129E-4</c:v>
                </c:pt>
                <c:pt idx="896">
                  <c:v>2.80787695373874E-4</c:v>
                </c:pt>
                <c:pt idx="897">
                  <c:v>7.4758530536200905E-4</c:v>
                </c:pt>
                <c:pt idx="898">
                  <c:v>2.0278896408854101E-4</c:v>
                </c:pt>
                <c:pt idx="899">
                  <c:v>1.3546522241085733E-3</c:v>
                </c:pt>
                <c:pt idx="900">
                  <c:v>1.325136166997255E-3</c:v>
                </c:pt>
                <c:pt idx="901">
                  <c:v>6.1212075524963395E-4</c:v>
                </c:pt>
                <c:pt idx="902">
                  <c:v>4.1429941484238898E-4</c:v>
                </c:pt>
                <c:pt idx="903">
                  <c:v>8.6202562670223008E-6</c:v>
                </c:pt>
                <c:pt idx="904">
                  <c:v>1.07925821794197E-4</c:v>
                </c:pt>
                <c:pt idx="905">
                  <c:v>8.297003951156513E-4</c:v>
                </c:pt>
                <c:pt idx="906">
                  <c:v>3.2945898419711701E-4</c:v>
                </c:pt>
                <c:pt idx="907">
                  <c:v>5.8211942086927604E-4</c:v>
                </c:pt>
                <c:pt idx="908">
                  <c:v>3.9164326881291318E-4</c:v>
                </c:pt>
                <c:pt idx="909">
                  <c:v>7.5333286076785001E-5</c:v>
                </c:pt>
                <c:pt idx="910">
                  <c:v>6.3670177769381596E-4</c:v>
                </c:pt>
                <c:pt idx="911">
                  <c:v>4.8277204564328713E-4</c:v>
                </c:pt>
                <c:pt idx="912">
                  <c:v>1.041007562889714E-3</c:v>
                </c:pt>
                <c:pt idx="913">
                  <c:v>9.6170128381345605E-4</c:v>
                </c:pt>
                <c:pt idx="914">
                  <c:v>1.127332390751686E-3</c:v>
                </c:pt>
                <c:pt idx="915">
                  <c:v>1.2358458843664269E-4</c:v>
                </c:pt>
                <c:pt idx="916">
                  <c:v>1.3456455271807532E-3</c:v>
                </c:pt>
                <c:pt idx="917">
                  <c:v>5.6547275744378599E-4</c:v>
                </c:pt>
                <c:pt idx="918">
                  <c:v>1.623087038751694E-3</c:v>
                </c:pt>
                <c:pt idx="919">
                  <c:v>8.0731973866931999E-5</c:v>
                </c:pt>
                <c:pt idx="920">
                  <c:v>1.7068127781385541E-3</c:v>
                </c:pt>
                <c:pt idx="921">
                  <c:v>1.5453767409781001E-3</c:v>
                </c:pt>
                <c:pt idx="922">
                  <c:v>1.067711946234339E-4</c:v>
                </c:pt>
                <c:pt idx="923">
                  <c:v>1.2079280204488911E-3</c:v>
                </c:pt>
                <c:pt idx="924">
                  <c:v>3.7178559432504709E-4</c:v>
                </c:pt>
                <c:pt idx="925">
                  <c:v>9.12299947231072E-4</c:v>
                </c:pt>
                <c:pt idx="926">
                  <c:v>1.01962985354475E-4</c:v>
                </c:pt>
                <c:pt idx="927">
                  <c:v>7.2729308158160001E-6</c:v>
                </c:pt>
                <c:pt idx="928">
                  <c:v>1.8583473774924639E-4</c:v>
                </c:pt>
                <c:pt idx="929">
                  <c:v>1.766551122273087E-4</c:v>
                </c:pt>
                <c:pt idx="930">
                  <c:v>5.4659369925502699E-4</c:v>
                </c:pt>
                <c:pt idx="931">
                  <c:v>6.2015483854338505E-4</c:v>
                </c:pt>
                <c:pt idx="932">
                  <c:v>4.8550005885772402E-4</c:v>
                </c:pt>
                <c:pt idx="933">
                  <c:v>3.6672178248409101E-4</c:v>
                </c:pt>
                <c:pt idx="934">
                  <c:v>1.171912081190389E-4</c:v>
                </c:pt>
                <c:pt idx="935">
                  <c:v>2.2608494691667169E-4</c:v>
                </c:pt>
                <c:pt idx="936">
                  <c:v>2.8395501249178768E-4</c:v>
                </c:pt>
                <c:pt idx="937">
                  <c:v>1.0357234568800779E-3</c:v>
                </c:pt>
                <c:pt idx="938">
                  <c:v>2.0752245909534369E-3</c:v>
                </c:pt>
                <c:pt idx="939">
                  <c:v>5.687325028702616E-5</c:v>
                </c:pt>
                <c:pt idx="940">
                  <c:v>7.6607093797065296E-4</c:v>
                </c:pt>
                <c:pt idx="941">
                  <c:v>1.9534249731805158E-3</c:v>
                </c:pt>
                <c:pt idx="942">
                  <c:v>1.8767946457955949E-3</c:v>
                </c:pt>
                <c:pt idx="943">
                  <c:v>4.4267656630836498E-4</c:v>
                </c:pt>
                <c:pt idx="944">
                  <c:v>1.4262577024055684E-3</c:v>
                </c:pt>
                <c:pt idx="945">
                  <c:v>5.0287946214666612E-4</c:v>
                </c:pt>
                <c:pt idx="946">
                  <c:v>4.09291606047191E-5</c:v>
                </c:pt>
                <c:pt idx="947">
                  <c:v>5.5741277355991726E-4</c:v>
                </c:pt>
                <c:pt idx="948">
                  <c:v>5.3237296378938525E-4</c:v>
                </c:pt>
                <c:pt idx="949">
                  <c:v>6.1163131249486401E-5</c:v>
                </c:pt>
                <c:pt idx="950">
                  <c:v>6.0331654094625297E-4</c:v>
                </c:pt>
                <c:pt idx="951">
                  <c:v>3.0730436847079558E-3</c:v>
                </c:pt>
                <c:pt idx="952">
                  <c:v>2.1178965835133559E-4</c:v>
                </c:pt>
                <c:pt idx="953">
                  <c:v>4.9582854262553199E-4</c:v>
                </c:pt>
                <c:pt idx="954">
                  <c:v>1.3975370893604113E-3</c:v>
                </c:pt>
                <c:pt idx="955">
                  <c:v>5.0952380115632E-4</c:v>
                </c:pt>
                <c:pt idx="956">
                  <c:v>7.5189472408965295E-4</c:v>
                </c:pt>
                <c:pt idx="957">
                  <c:v>8.3460597670637201E-4</c:v>
                </c:pt>
                <c:pt idx="958">
                  <c:v>5.5110155335569289E-4</c:v>
                </c:pt>
                <c:pt idx="959">
                  <c:v>7.3813757626339804E-4</c:v>
                </c:pt>
                <c:pt idx="960">
                  <c:v>3.7994480226188898E-4</c:v>
                </c:pt>
                <c:pt idx="961">
                  <c:v>1.043304451741276E-3</c:v>
                </c:pt>
                <c:pt idx="962">
                  <c:v>9.3437469331547401E-4</c:v>
                </c:pt>
                <c:pt idx="963">
                  <c:v>1.3866242370568259E-3</c:v>
                </c:pt>
                <c:pt idx="964">
                  <c:v>6.8253956851549501E-4</c:v>
                </c:pt>
                <c:pt idx="965">
                  <c:v>7.9403450945392305E-4</c:v>
                </c:pt>
                <c:pt idx="966">
                  <c:v>7.9550995724276099E-4</c:v>
                </c:pt>
                <c:pt idx="967">
                  <c:v>2.1999432956363286E-3</c:v>
                </c:pt>
                <c:pt idx="968">
                  <c:v>6.5403699409216995E-5</c:v>
                </c:pt>
                <c:pt idx="969">
                  <c:v>1.98629481019452E-4</c:v>
                </c:pt>
                <c:pt idx="970">
                  <c:v>2.7157799195265397E-4</c:v>
                </c:pt>
                <c:pt idx="971">
                  <c:v>4.9364512233296398E-4</c:v>
                </c:pt>
                <c:pt idx="972">
                  <c:v>2.261009758512953E-4</c:v>
                </c:pt>
                <c:pt idx="973">
                  <c:v>4.0429838190902972E-4</c:v>
                </c:pt>
                <c:pt idx="974">
                  <c:v>1.9008877279702601E-4</c:v>
                </c:pt>
                <c:pt idx="975">
                  <c:v>1.3743829913437399E-4</c:v>
                </c:pt>
                <c:pt idx="976">
                  <c:v>7.6999157317914004E-4</c:v>
                </c:pt>
                <c:pt idx="977">
                  <c:v>5.1985379832331102E-4</c:v>
                </c:pt>
                <c:pt idx="978">
                  <c:v>6.9024309050291798E-4</c:v>
                </c:pt>
                <c:pt idx="979">
                  <c:v>4.3102037670905648E-4</c:v>
                </c:pt>
                <c:pt idx="980">
                  <c:v>3.59309371560812E-4</c:v>
                </c:pt>
                <c:pt idx="981">
                  <c:v>1.5431197243742599E-4</c:v>
                </c:pt>
                <c:pt idx="982">
                  <c:v>2.753787921392355E-4</c:v>
                </c:pt>
                <c:pt idx="983">
                  <c:v>3.261044789724115E-4</c:v>
                </c:pt>
                <c:pt idx="984">
                  <c:v>6.9797257310710902E-4</c:v>
                </c:pt>
                <c:pt idx="985">
                  <c:v>3.368287172634158E-3</c:v>
                </c:pt>
                <c:pt idx="986">
                  <c:v>1.9599020597524971E-3</c:v>
                </c:pt>
                <c:pt idx="987">
                  <c:v>1.9086529791820751E-3</c:v>
                </c:pt>
                <c:pt idx="988">
                  <c:v>1.787726330803709E-3</c:v>
                </c:pt>
                <c:pt idx="989">
                  <c:v>1.3410532742454948E-3</c:v>
                </c:pt>
                <c:pt idx="990">
                  <c:v>2.319133127457461E-3</c:v>
                </c:pt>
                <c:pt idx="991">
                  <c:v>8.2847836893050995E-5</c:v>
                </c:pt>
                <c:pt idx="992">
                  <c:v>1.43927405588329E-4</c:v>
                </c:pt>
                <c:pt idx="993">
                  <c:v>2.6175000093644498E-3</c:v>
                </c:pt>
                <c:pt idx="994">
                  <c:v>5.7585391414249909E-4</c:v>
                </c:pt>
                <c:pt idx="995">
                  <c:v>9.9526662961580206E-4</c:v>
                </c:pt>
                <c:pt idx="996">
                  <c:v>1.9530049758032E-4</c:v>
                </c:pt>
                <c:pt idx="997">
                  <c:v>4.6163684601197019E-4</c:v>
                </c:pt>
                <c:pt idx="998">
                  <c:v>5.2991957636550101E-4</c:v>
                </c:pt>
                <c:pt idx="999">
                  <c:v>3.95651368307881E-4</c:v>
                </c:pt>
                <c:pt idx="1000">
                  <c:v>3.4345966923865511E-4</c:v>
                </c:pt>
                <c:pt idx="1001">
                  <c:v>4.708417418441967E-4</c:v>
                </c:pt>
              </c:numCache>
            </c:numRef>
          </c:val>
          <c:smooth val="0"/>
        </c:ser>
        <c:dLbls>
          <c:showLegendKey val="0"/>
          <c:showVal val="0"/>
          <c:showCatName val="0"/>
          <c:showSerName val="0"/>
          <c:showPercent val="0"/>
          <c:showBubbleSize val="0"/>
        </c:dLbls>
        <c:smooth val="0"/>
        <c:axId val="1649023472"/>
        <c:axId val="1649025104"/>
      </c:lineChart>
      <c:catAx>
        <c:axId val="16490234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025104"/>
        <c:crosses val="autoZero"/>
        <c:auto val="1"/>
        <c:lblAlgn val="ctr"/>
        <c:lblOffset val="100"/>
        <c:noMultiLvlLbl val="0"/>
      </c:catAx>
      <c:valAx>
        <c:axId val="164902510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02347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[Tester.xlsm]Run_BASE!PivotTable1</c:name>
    <c:fmtId val="6"/>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none"/>
        </c:marker>
      </c:pivotFmt>
      <c:pivotFmt>
        <c:idx val="18"/>
        <c:spPr>
          <a:solidFill>
            <a:schemeClr val="accent1"/>
          </a:solidFill>
          <a:ln w="28575" cap="rnd">
            <a:solidFill>
              <a:schemeClr val="accent1"/>
            </a:solidFill>
            <a:round/>
          </a:ln>
          <a:effectLst/>
        </c:spPr>
        <c:marker>
          <c:symbol val="none"/>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none"/>
        </c:marker>
      </c:pivotFmt>
      <c:pivotFmt>
        <c:idx val="21"/>
        <c:spPr>
          <a:ln w="28575" cap="rnd">
            <a:solidFill>
              <a:schemeClr val="accent1"/>
            </a:solidFill>
            <a:round/>
          </a:ln>
          <a:effectLst/>
        </c:spPr>
        <c:marker>
          <c:symbol val="none"/>
        </c:marker>
      </c:pivotFmt>
      <c:pivotFmt>
        <c:idx val="22"/>
        <c:spPr>
          <a:ln w="28575" cap="rnd">
            <a:solidFill>
              <a:schemeClr val="accent1"/>
            </a:solidFill>
            <a:round/>
          </a:ln>
          <a:effectLst/>
        </c:spPr>
        <c:marker>
          <c:symbol val="none"/>
        </c:marker>
      </c:pivotFmt>
      <c:pivotFmt>
        <c:idx val="23"/>
        <c:spPr>
          <a:ln w="28575" cap="rnd">
            <a:solidFill>
              <a:schemeClr val="accent1"/>
            </a:solidFill>
            <a:round/>
          </a:ln>
          <a:effectLst/>
        </c:spPr>
        <c:marker>
          <c:symbol val="none"/>
        </c:marker>
      </c:pivotFmt>
    </c:pivotFmts>
    <c:plotArea>
      <c:layout/>
      <c:lineChart>
        <c:grouping val="standard"/>
        <c:varyColors val="0"/>
        <c:ser>
          <c:idx val="0"/>
          <c:order val="0"/>
          <c:tx>
            <c:strRef>
              <c:f>Run_BASE!$B$1</c:f>
              <c:strCache>
                <c:ptCount val="1"/>
                <c:pt idx="0">
                  <c:v>Average of ACTUALBASE</c:v>
                </c:pt>
              </c:strCache>
            </c:strRef>
          </c:tx>
          <c:spPr>
            <a:ln w="28575" cap="rnd">
              <a:solidFill>
                <a:schemeClr val="accent1"/>
              </a:solidFill>
              <a:round/>
            </a:ln>
            <a:effectLst/>
          </c:spPr>
          <c:marker>
            <c:symbol val="none"/>
          </c:marker>
          <c:cat>
            <c:strRef>
              <c:f>Run_BASE!$A$2:$A$54</c:f>
              <c:strCache>
                <c:ptCount val="52"/>
                <c:pt idx="0">
                  <c:v>2018-06-26-06:00</c:v>
                </c:pt>
                <c:pt idx="1">
                  <c:v>2018-06-26-07:00</c:v>
                </c:pt>
                <c:pt idx="2">
                  <c:v>2018-06-26-08:00</c:v>
                </c:pt>
                <c:pt idx="3">
                  <c:v>2018-06-26-09:00</c:v>
                </c:pt>
                <c:pt idx="4">
                  <c:v>2018-06-26-10:00</c:v>
                </c:pt>
                <c:pt idx="5">
                  <c:v>2018-06-26-11:00</c:v>
                </c:pt>
                <c:pt idx="6">
                  <c:v>2018-06-26-12:00</c:v>
                </c:pt>
                <c:pt idx="7">
                  <c:v>2018-06-26-13:00</c:v>
                </c:pt>
                <c:pt idx="8">
                  <c:v>2018-06-26-14:00</c:v>
                </c:pt>
                <c:pt idx="9">
                  <c:v>2018-06-26-15:00</c:v>
                </c:pt>
                <c:pt idx="10">
                  <c:v>2018-06-27-02:00</c:v>
                </c:pt>
                <c:pt idx="11">
                  <c:v>2018-06-27-03:00</c:v>
                </c:pt>
                <c:pt idx="12">
                  <c:v>2018-06-27-04:00</c:v>
                </c:pt>
                <c:pt idx="13">
                  <c:v>2018-06-27-05:00</c:v>
                </c:pt>
                <c:pt idx="14">
                  <c:v>2018-06-27-06:00</c:v>
                </c:pt>
                <c:pt idx="15">
                  <c:v>2018-06-27-07:00</c:v>
                </c:pt>
                <c:pt idx="16">
                  <c:v>2018-06-27-08:00</c:v>
                </c:pt>
                <c:pt idx="17">
                  <c:v>2018-06-27-09:00</c:v>
                </c:pt>
                <c:pt idx="18">
                  <c:v>2018-06-27-10:00</c:v>
                </c:pt>
                <c:pt idx="19">
                  <c:v>2018-06-27-11:00</c:v>
                </c:pt>
                <c:pt idx="20">
                  <c:v>2018-06-27-12:00</c:v>
                </c:pt>
                <c:pt idx="21">
                  <c:v>2018-06-27-13:00</c:v>
                </c:pt>
                <c:pt idx="22">
                  <c:v>2018-06-27-14:00</c:v>
                </c:pt>
                <c:pt idx="23">
                  <c:v>2018-06-27-15:00</c:v>
                </c:pt>
                <c:pt idx="24">
                  <c:v>2018-06-28-02:00</c:v>
                </c:pt>
                <c:pt idx="25">
                  <c:v>2018-06-28-03:00</c:v>
                </c:pt>
                <c:pt idx="26">
                  <c:v>2018-06-28-04:00</c:v>
                </c:pt>
                <c:pt idx="27">
                  <c:v>2018-06-28-05:00</c:v>
                </c:pt>
                <c:pt idx="28">
                  <c:v>2018-06-28-06:00</c:v>
                </c:pt>
                <c:pt idx="29">
                  <c:v>2018-06-28-07:00</c:v>
                </c:pt>
                <c:pt idx="30">
                  <c:v>2018-06-28-08:00</c:v>
                </c:pt>
                <c:pt idx="31">
                  <c:v>2018-06-28-09:00</c:v>
                </c:pt>
                <c:pt idx="32">
                  <c:v>2018-06-28-10:00</c:v>
                </c:pt>
                <c:pt idx="33">
                  <c:v>2018-06-28-11:00</c:v>
                </c:pt>
                <c:pt idx="34">
                  <c:v>2018-06-28-12:00</c:v>
                </c:pt>
                <c:pt idx="35">
                  <c:v>2018-06-28-13:00</c:v>
                </c:pt>
                <c:pt idx="36">
                  <c:v>2018-06-28-14:00</c:v>
                </c:pt>
                <c:pt idx="37">
                  <c:v>2018-06-28-15:00</c:v>
                </c:pt>
                <c:pt idx="38">
                  <c:v>2018-06-29-02:00</c:v>
                </c:pt>
                <c:pt idx="39">
                  <c:v>2018-06-29-03:00</c:v>
                </c:pt>
                <c:pt idx="40">
                  <c:v>2018-06-29-04:00</c:v>
                </c:pt>
                <c:pt idx="41">
                  <c:v>2018-06-29-05:00</c:v>
                </c:pt>
                <c:pt idx="42">
                  <c:v>2018-06-29-06:00</c:v>
                </c:pt>
                <c:pt idx="43">
                  <c:v>2018-06-29-07:00</c:v>
                </c:pt>
                <c:pt idx="44">
                  <c:v>2018-06-29-08:00</c:v>
                </c:pt>
                <c:pt idx="45">
                  <c:v>2018-06-29-09:00</c:v>
                </c:pt>
                <c:pt idx="46">
                  <c:v>2018-06-29-10:00</c:v>
                </c:pt>
                <c:pt idx="47">
                  <c:v>2018-06-29-11:00</c:v>
                </c:pt>
                <c:pt idx="48">
                  <c:v>2018-06-29-12:00</c:v>
                </c:pt>
                <c:pt idx="49">
                  <c:v>2018-06-29-13:00</c:v>
                </c:pt>
                <c:pt idx="50">
                  <c:v>2018-06-29-14:00</c:v>
                </c:pt>
                <c:pt idx="51">
                  <c:v>2018-06-29-15:00</c:v>
                </c:pt>
              </c:strCache>
            </c:strRef>
          </c:cat>
          <c:val>
            <c:numRef>
              <c:f>Run_BASE!$B$2:$B$54</c:f>
              <c:numCache>
                <c:formatCode>General</c:formatCode>
                <c:ptCount val="52"/>
                <c:pt idx="0">
                  <c:v>1.1590445041656501</c:v>
                </c:pt>
                <c:pt idx="1">
                  <c:v>1.1592143774032599</c:v>
                </c:pt>
                <c:pt idx="2">
                  <c:v>1.1570736169815099</c:v>
                </c:pt>
                <c:pt idx="3">
                  <c:v>1.15505599975586</c:v>
                </c:pt>
                <c:pt idx="4">
                  <c:v>1.15626060962677</c:v>
                </c:pt>
                <c:pt idx="5">
                  <c:v>1.1560755968093901</c:v>
                </c:pt>
                <c:pt idx="6">
                  <c:v>1.1564791202545199</c:v>
                </c:pt>
                <c:pt idx="7">
                  <c:v>1.1566361188888501</c:v>
                </c:pt>
                <c:pt idx="8">
                  <c:v>1.15541160106659</c:v>
                </c:pt>
                <c:pt idx="9">
                  <c:v>1.15668725967407</c:v>
                </c:pt>
                <c:pt idx="10">
                  <c:v>1.1568969488143901</c:v>
                </c:pt>
                <c:pt idx="11">
                  <c:v>1.15744376182556</c:v>
                </c:pt>
                <c:pt idx="12">
                  <c:v>1.15742099285126</c:v>
                </c:pt>
                <c:pt idx="13">
                  <c:v>1.1554754972457899</c:v>
                </c:pt>
                <c:pt idx="14">
                  <c:v>1.1560322046279901</c:v>
                </c:pt>
                <c:pt idx="15">
                  <c:v>1.1571400165557899</c:v>
                </c:pt>
                <c:pt idx="16">
                  <c:v>1.15614008903503</c:v>
                </c:pt>
                <c:pt idx="17">
                  <c:v>1.1574399471282999</c:v>
                </c:pt>
                <c:pt idx="18">
                  <c:v>1.15928995609283</c:v>
                </c:pt>
                <c:pt idx="19">
                  <c:v>1.16035008430481</c:v>
                </c:pt>
                <c:pt idx="20">
                  <c:v>1.15959000587463</c:v>
                </c:pt>
                <c:pt idx="21">
                  <c:v>1.1594200134277299</c:v>
                </c:pt>
                <c:pt idx="22">
                  <c:v>1.1612900495529199</c:v>
                </c:pt>
                <c:pt idx="23">
                  <c:v>1.1585900783538801</c:v>
                </c:pt>
                <c:pt idx="24">
                  <c:v>1.1592600345611599</c:v>
                </c:pt>
                <c:pt idx="25">
                  <c:v>1.1565300226211499</c:v>
                </c:pt>
                <c:pt idx="26">
                  <c:v>1.1600599288940401</c:v>
                </c:pt>
                <c:pt idx="27">
                  <c:v>1.1562299728393599</c:v>
                </c:pt>
                <c:pt idx="28">
                  <c:v>1.1563299894332899</c:v>
                </c:pt>
                <c:pt idx="29">
                  <c:v>1.15715992450714</c:v>
                </c:pt>
                <c:pt idx="30">
                  <c:v>1.1562799215316799</c:v>
                </c:pt>
                <c:pt idx="31">
                  <c:v>1.15524005889893</c:v>
                </c:pt>
                <c:pt idx="32">
                  <c:v>1.1578400135040301</c:v>
                </c:pt>
                <c:pt idx="33">
                  <c:v>1.1573399305343599</c:v>
                </c:pt>
                <c:pt idx="34">
                  <c:v>1.16389000415802</c:v>
                </c:pt>
                <c:pt idx="35">
                  <c:v>1.16565012931824</c:v>
                </c:pt>
                <c:pt idx="36">
                  <c:v>1.1671099662780799</c:v>
                </c:pt>
                <c:pt idx="37">
                  <c:v>1.16535997390747</c:v>
                </c:pt>
                <c:pt idx="38">
                  <c:v>1.1721600294113199</c:v>
                </c:pt>
                <c:pt idx="39">
                  <c:v>1.16519010066986</c:v>
                </c:pt>
                <c:pt idx="40">
                  <c:v>1.1669999361038199</c:v>
                </c:pt>
                <c:pt idx="41">
                  <c:v>1.1653300523757899</c:v>
                </c:pt>
                <c:pt idx="42">
                  <c:v>1.16530990600586</c:v>
                </c:pt>
                <c:pt idx="43">
                  <c:v>1.1657299995422401</c:v>
                </c:pt>
                <c:pt idx="44">
                  <c:v>1.1671199798584</c:v>
                </c:pt>
                <c:pt idx="45">
                  <c:v>1.16622006893158</c:v>
                </c:pt>
                <c:pt idx="46">
                  <c:v>1.1676498651504501</c:v>
                </c:pt>
                <c:pt idx="47">
                  <c:v>1.1682000160217301</c:v>
                </c:pt>
                <c:pt idx="48">
                  <c:v>1.1686700582504299</c:v>
                </c:pt>
                <c:pt idx="49">
                  <c:v>1.1670800447464</c:v>
                </c:pt>
                <c:pt idx="50">
                  <c:v>1.1707298755645801</c:v>
                </c:pt>
                <c:pt idx="51">
                  <c:v>1.1682701110839799</c:v>
                </c:pt>
              </c:numCache>
            </c:numRef>
          </c:val>
          <c:smooth val="0"/>
        </c:ser>
        <c:ser>
          <c:idx val="1"/>
          <c:order val="1"/>
          <c:tx>
            <c:strRef>
              <c:f>Run_BASE!$C$1</c:f>
              <c:strCache>
                <c:ptCount val="1"/>
                <c:pt idx="0">
                  <c:v>Average of PREDICTEDBASE</c:v>
                </c:pt>
              </c:strCache>
            </c:strRef>
          </c:tx>
          <c:spPr>
            <a:ln w="28575" cap="rnd">
              <a:solidFill>
                <a:schemeClr val="accent2"/>
              </a:solidFill>
              <a:round/>
            </a:ln>
            <a:effectLst/>
          </c:spPr>
          <c:marker>
            <c:symbol val="none"/>
          </c:marker>
          <c:cat>
            <c:strRef>
              <c:f>Run_BASE!$A$2:$A$54</c:f>
              <c:strCache>
                <c:ptCount val="52"/>
                <c:pt idx="0">
                  <c:v>2018-06-26-06:00</c:v>
                </c:pt>
                <c:pt idx="1">
                  <c:v>2018-06-26-07:00</c:v>
                </c:pt>
                <c:pt idx="2">
                  <c:v>2018-06-26-08:00</c:v>
                </c:pt>
                <c:pt idx="3">
                  <c:v>2018-06-26-09:00</c:v>
                </c:pt>
                <c:pt idx="4">
                  <c:v>2018-06-26-10:00</c:v>
                </c:pt>
                <c:pt idx="5">
                  <c:v>2018-06-26-11:00</c:v>
                </c:pt>
                <c:pt idx="6">
                  <c:v>2018-06-26-12:00</c:v>
                </c:pt>
                <c:pt idx="7">
                  <c:v>2018-06-26-13:00</c:v>
                </c:pt>
                <c:pt idx="8">
                  <c:v>2018-06-26-14:00</c:v>
                </c:pt>
                <c:pt idx="9">
                  <c:v>2018-06-26-15:00</c:v>
                </c:pt>
                <c:pt idx="10">
                  <c:v>2018-06-27-02:00</c:v>
                </c:pt>
                <c:pt idx="11">
                  <c:v>2018-06-27-03:00</c:v>
                </c:pt>
                <c:pt idx="12">
                  <c:v>2018-06-27-04:00</c:v>
                </c:pt>
                <c:pt idx="13">
                  <c:v>2018-06-27-05:00</c:v>
                </c:pt>
                <c:pt idx="14">
                  <c:v>2018-06-27-06:00</c:v>
                </c:pt>
                <c:pt idx="15">
                  <c:v>2018-06-27-07:00</c:v>
                </c:pt>
                <c:pt idx="16">
                  <c:v>2018-06-27-08:00</c:v>
                </c:pt>
                <c:pt idx="17">
                  <c:v>2018-06-27-09:00</c:v>
                </c:pt>
                <c:pt idx="18">
                  <c:v>2018-06-27-10:00</c:v>
                </c:pt>
                <c:pt idx="19">
                  <c:v>2018-06-27-11:00</c:v>
                </c:pt>
                <c:pt idx="20">
                  <c:v>2018-06-27-12:00</c:v>
                </c:pt>
                <c:pt idx="21">
                  <c:v>2018-06-27-13:00</c:v>
                </c:pt>
                <c:pt idx="22">
                  <c:v>2018-06-27-14:00</c:v>
                </c:pt>
                <c:pt idx="23">
                  <c:v>2018-06-27-15:00</c:v>
                </c:pt>
                <c:pt idx="24">
                  <c:v>2018-06-28-02:00</c:v>
                </c:pt>
                <c:pt idx="25">
                  <c:v>2018-06-28-03:00</c:v>
                </c:pt>
                <c:pt idx="26">
                  <c:v>2018-06-28-04:00</c:v>
                </c:pt>
                <c:pt idx="27">
                  <c:v>2018-06-28-05:00</c:v>
                </c:pt>
                <c:pt idx="28">
                  <c:v>2018-06-28-06:00</c:v>
                </c:pt>
                <c:pt idx="29">
                  <c:v>2018-06-28-07:00</c:v>
                </c:pt>
                <c:pt idx="30">
                  <c:v>2018-06-28-08:00</c:v>
                </c:pt>
                <c:pt idx="31">
                  <c:v>2018-06-28-09:00</c:v>
                </c:pt>
                <c:pt idx="32">
                  <c:v>2018-06-28-10:00</c:v>
                </c:pt>
                <c:pt idx="33">
                  <c:v>2018-06-28-11:00</c:v>
                </c:pt>
                <c:pt idx="34">
                  <c:v>2018-06-28-12:00</c:v>
                </c:pt>
                <c:pt idx="35">
                  <c:v>2018-06-28-13:00</c:v>
                </c:pt>
                <c:pt idx="36">
                  <c:v>2018-06-28-14:00</c:v>
                </c:pt>
                <c:pt idx="37">
                  <c:v>2018-06-28-15:00</c:v>
                </c:pt>
                <c:pt idx="38">
                  <c:v>2018-06-29-02:00</c:v>
                </c:pt>
                <c:pt idx="39">
                  <c:v>2018-06-29-03:00</c:v>
                </c:pt>
                <c:pt idx="40">
                  <c:v>2018-06-29-04:00</c:v>
                </c:pt>
                <c:pt idx="41">
                  <c:v>2018-06-29-05:00</c:v>
                </c:pt>
                <c:pt idx="42">
                  <c:v>2018-06-29-06:00</c:v>
                </c:pt>
                <c:pt idx="43">
                  <c:v>2018-06-29-07:00</c:v>
                </c:pt>
                <c:pt idx="44">
                  <c:v>2018-06-29-08:00</c:v>
                </c:pt>
                <c:pt idx="45">
                  <c:v>2018-06-29-09:00</c:v>
                </c:pt>
                <c:pt idx="46">
                  <c:v>2018-06-29-10:00</c:v>
                </c:pt>
                <c:pt idx="47">
                  <c:v>2018-06-29-11:00</c:v>
                </c:pt>
                <c:pt idx="48">
                  <c:v>2018-06-29-12:00</c:v>
                </c:pt>
                <c:pt idx="49">
                  <c:v>2018-06-29-13:00</c:v>
                </c:pt>
                <c:pt idx="50">
                  <c:v>2018-06-29-14:00</c:v>
                </c:pt>
                <c:pt idx="51">
                  <c:v>2018-06-29-15:00</c:v>
                </c:pt>
              </c:strCache>
            </c:strRef>
          </c:cat>
          <c:val>
            <c:numRef>
              <c:f>Run_BASE!$C$2:$C$54</c:f>
              <c:numCache>
                <c:formatCode>General</c:formatCode>
                <c:ptCount val="52"/>
                <c:pt idx="0">
                  <c:v>1.1590445041656501</c:v>
                </c:pt>
                <c:pt idx="1">
                  <c:v>1.1592143774032599</c:v>
                </c:pt>
                <c:pt idx="2">
                  <c:v>1.1570736169815099</c:v>
                </c:pt>
                <c:pt idx="3">
                  <c:v>1.15505599975586</c:v>
                </c:pt>
                <c:pt idx="4">
                  <c:v>1.15626060962677</c:v>
                </c:pt>
                <c:pt idx="5">
                  <c:v>1.1560755968093901</c:v>
                </c:pt>
                <c:pt idx="6">
                  <c:v>1.1564791202545199</c:v>
                </c:pt>
                <c:pt idx="7">
                  <c:v>1.1566361188888501</c:v>
                </c:pt>
                <c:pt idx="8">
                  <c:v>1.15541160106659</c:v>
                </c:pt>
                <c:pt idx="9">
                  <c:v>1.15668725967407</c:v>
                </c:pt>
                <c:pt idx="10">
                  <c:v>1.1568969488143901</c:v>
                </c:pt>
                <c:pt idx="11">
                  <c:v>1.15744376182556</c:v>
                </c:pt>
                <c:pt idx="12">
                  <c:v>1.15742099285126</c:v>
                </c:pt>
                <c:pt idx="13">
                  <c:v>1.1554754972457899</c:v>
                </c:pt>
                <c:pt idx="14">
                  <c:v>1.1560322046279901</c:v>
                </c:pt>
                <c:pt idx="15">
                  <c:v>1.15719294548035</c:v>
                </c:pt>
                <c:pt idx="16">
                  <c:v>1.1563792228698699</c:v>
                </c:pt>
                <c:pt idx="17">
                  <c:v>1.15751421451569</c:v>
                </c:pt>
                <c:pt idx="18">
                  <c:v>1.1592092514038099</c:v>
                </c:pt>
                <c:pt idx="19">
                  <c:v>1.1588395833969101</c:v>
                </c:pt>
                <c:pt idx="20">
                  <c:v>1.1597665548324601</c:v>
                </c:pt>
                <c:pt idx="21">
                  <c:v>1.15790808200836</c:v>
                </c:pt>
                <c:pt idx="22">
                  <c:v>1.15982222557068</c:v>
                </c:pt>
                <c:pt idx="23">
                  <c:v>1.1594153642654399</c:v>
                </c:pt>
                <c:pt idx="24">
                  <c:v>1.1588394641876201</c:v>
                </c:pt>
                <c:pt idx="25">
                  <c:v>1.1589766740798999</c:v>
                </c:pt>
                <c:pt idx="26">
                  <c:v>1.1587105989456199</c:v>
                </c:pt>
                <c:pt idx="27">
                  <c:v>1.15666627883911</c:v>
                </c:pt>
                <c:pt idx="28">
                  <c:v>1.15673828125</c:v>
                </c:pt>
                <c:pt idx="29">
                  <c:v>1.15674269199371</c:v>
                </c:pt>
                <c:pt idx="30">
                  <c:v>1.15618979930878</c:v>
                </c:pt>
                <c:pt idx="31">
                  <c:v>1.1570171117782599</c:v>
                </c:pt>
                <c:pt idx="32">
                  <c:v>1.15768039226532</c:v>
                </c:pt>
                <c:pt idx="33">
                  <c:v>1.15738797187805</c:v>
                </c:pt>
                <c:pt idx="34">
                  <c:v>1.16457796096802</c:v>
                </c:pt>
                <c:pt idx="35">
                  <c:v>1.1650353670120199</c:v>
                </c:pt>
                <c:pt idx="36">
                  <c:v>1.1666344404220601</c:v>
                </c:pt>
                <c:pt idx="37">
                  <c:v>1.1657911539077801</c:v>
                </c:pt>
                <c:pt idx="38">
                  <c:v>1.1651147603988601</c:v>
                </c:pt>
                <c:pt idx="39">
                  <c:v>1.1647766828537001</c:v>
                </c:pt>
                <c:pt idx="40">
                  <c:v>1.16518878936768</c:v>
                </c:pt>
                <c:pt idx="41">
                  <c:v>1.1658236980438199</c:v>
                </c:pt>
                <c:pt idx="42">
                  <c:v>1.16554415225983</c:v>
                </c:pt>
                <c:pt idx="43">
                  <c:v>1.1656256914138801</c:v>
                </c:pt>
                <c:pt idx="44">
                  <c:v>1.1664413213729901</c:v>
                </c:pt>
                <c:pt idx="45">
                  <c:v>1.16546618938446</c:v>
                </c:pt>
                <c:pt idx="46">
                  <c:v>1.1679446697235101</c:v>
                </c:pt>
                <c:pt idx="47">
                  <c:v>1.1681932210922199</c:v>
                </c:pt>
                <c:pt idx="48">
                  <c:v>1.1680018901825</c:v>
                </c:pt>
                <c:pt idx="49">
                  <c:v>1.16808974742889</c:v>
                </c:pt>
                <c:pt idx="50">
                  <c:v>1.16835272312164</c:v>
                </c:pt>
                <c:pt idx="51">
                  <c:v>1.1682705879211399</c:v>
                </c:pt>
              </c:numCache>
            </c:numRef>
          </c:val>
          <c:smooth val="0"/>
        </c:ser>
        <c:dLbls>
          <c:showLegendKey val="0"/>
          <c:showVal val="0"/>
          <c:showCatName val="0"/>
          <c:showSerName val="0"/>
          <c:showPercent val="0"/>
          <c:showBubbleSize val="0"/>
        </c:dLbls>
        <c:marker val="1"/>
        <c:smooth val="0"/>
        <c:axId val="1649021296"/>
        <c:axId val="1649025648"/>
      </c:lineChart>
      <c:lineChart>
        <c:grouping val="standard"/>
        <c:varyColors val="0"/>
        <c:ser>
          <c:idx val="2"/>
          <c:order val="2"/>
          <c:tx>
            <c:strRef>
              <c:f>Run_BASE!$D$1</c:f>
              <c:strCache>
                <c:ptCount val="1"/>
                <c:pt idx="0">
                  <c:v>Average of ERRORBASE</c:v>
                </c:pt>
              </c:strCache>
            </c:strRef>
          </c:tx>
          <c:spPr>
            <a:ln w="28575" cap="rnd">
              <a:solidFill>
                <a:schemeClr val="accent3"/>
              </a:solidFill>
              <a:round/>
            </a:ln>
            <a:effectLst/>
          </c:spPr>
          <c:marker>
            <c:symbol val="none"/>
          </c:marker>
          <c:cat>
            <c:strRef>
              <c:f>Run_BASE!$A$2:$A$54</c:f>
              <c:strCache>
                <c:ptCount val="52"/>
                <c:pt idx="0">
                  <c:v>2018-06-26-06:00</c:v>
                </c:pt>
                <c:pt idx="1">
                  <c:v>2018-06-26-07:00</c:v>
                </c:pt>
                <c:pt idx="2">
                  <c:v>2018-06-26-08:00</c:v>
                </c:pt>
                <c:pt idx="3">
                  <c:v>2018-06-26-09:00</c:v>
                </c:pt>
                <c:pt idx="4">
                  <c:v>2018-06-26-10:00</c:v>
                </c:pt>
                <c:pt idx="5">
                  <c:v>2018-06-26-11:00</c:v>
                </c:pt>
                <c:pt idx="6">
                  <c:v>2018-06-26-12:00</c:v>
                </c:pt>
                <c:pt idx="7">
                  <c:v>2018-06-26-13:00</c:v>
                </c:pt>
                <c:pt idx="8">
                  <c:v>2018-06-26-14:00</c:v>
                </c:pt>
                <c:pt idx="9">
                  <c:v>2018-06-26-15:00</c:v>
                </c:pt>
                <c:pt idx="10">
                  <c:v>2018-06-27-02:00</c:v>
                </c:pt>
                <c:pt idx="11">
                  <c:v>2018-06-27-03:00</c:v>
                </c:pt>
                <c:pt idx="12">
                  <c:v>2018-06-27-04:00</c:v>
                </c:pt>
                <c:pt idx="13">
                  <c:v>2018-06-27-05:00</c:v>
                </c:pt>
                <c:pt idx="14">
                  <c:v>2018-06-27-06:00</c:v>
                </c:pt>
                <c:pt idx="15">
                  <c:v>2018-06-27-07:00</c:v>
                </c:pt>
                <c:pt idx="16">
                  <c:v>2018-06-27-08:00</c:v>
                </c:pt>
                <c:pt idx="17">
                  <c:v>2018-06-27-09:00</c:v>
                </c:pt>
                <c:pt idx="18">
                  <c:v>2018-06-27-10:00</c:v>
                </c:pt>
                <c:pt idx="19">
                  <c:v>2018-06-27-11:00</c:v>
                </c:pt>
                <c:pt idx="20">
                  <c:v>2018-06-27-12:00</c:v>
                </c:pt>
                <c:pt idx="21">
                  <c:v>2018-06-27-13:00</c:v>
                </c:pt>
                <c:pt idx="22">
                  <c:v>2018-06-27-14:00</c:v>
                </c:pt>
                <c:pt idx="23">
                  <c:v>2018-06-27-15:00</c:v>
                </c:pt>
                <c:pt idx="24">
                  <c:v>2018-06-28-02:00</c:v>
                </c:pt>
                <c:pt idx="25">
                  <c:v>2018-06-28-03:00</c:v>
                </c:pt>
                <c:pt idx="26">
                  <c:v>2018-06-28-04:00</c:v>
                </c:pt>
                <c:pt idx="27">
                  <c:v>2018-06-28-05:00</c:v>
                </c:pt>
                <c:pt idx="28">
                  <c:v>2018-06-28-06:00</c:v>
                </c:pt>
                <c:pt idx="29">
                  <c:v>2018-06-28-07:00</c:v>
                </c:pt>
                <c:pt idx="30">
                  <c:v>2018-06-28-08:00</c:v>
                </c:pt>
                <c:pt idx="31">
                  <c:v>2018-06-28-09:00</c:v>
                </c:pt>
                <c:pt idx="32">
                  <c:v>2018-06-28-10:00</c:v>
                </c:pt>
                <c:pt idx="33">
                  <c:v>2018-06-28-11:00</c:v>
                </c:pt>
                <c:pt idx="34">
                  <c:v>2018-06-28-12:00</c:v>
                </c:pt>
                <c:pt idx="35">
                  <c:v>2018-06-28-13:00</c:v>
                </c:pt>
                <c:pt idx="36">
                  <c:v>2018-06-28-14:00</c:v>
                </c:pt>
                <c:pt idx="37">
                  <c:v>2018-06-28-15:00</c:v>
                </c:pt>
                <c:pt idx="38">
                  <c:v>2018-06-29-02:00</c:v>
                </c:pt>
                <c:pt idx="39">
                  <c:v>2018-06-29-03:00</c:v>
                </c:pt>
                <c:pt idx="40">
                  <c:v>2018-06-29-04:00</c:v>
                </c:pt>
                <c:pt idx="41">
                  <c:v>2018-06-29-05:00</c:v>
                </c:pt>
                <c:pt idx="42">
                  <c:v>2018-06-29-06:00</c:v>
                </c:pt>
                <c:pt idx="43">
                  <c:v>2018-06-29-07:00</c:v>
                </c:pt>
                <c:pt idx="44">
                  <c:v>2018-06-29-08:00</c:v>
                </c:pt>
                <c:pt idx="45">
                  <c:v>2018-06-29-09:00</c:v>
                </c:pt>
                <c:pt idx="46">
                  <c:v>2018-06-29-10:00</c:v>
                </c:pt>
                <c:pt idx="47">
                  <c:v>2018-06-29-11:00</c:v>
                </c:pt>
                <c:pt idx="48">
                  <c:v>2018-06-29-12:00</c:v>
                </c:pt>
                <c:pt idx="49">
                  <c:v>2018-06-29-13:00</c:v>
                </c:pt>
                <c:pt idx="50">
                  <c:v>2018-06-29-14:00</c:v>
                </c:pt>
                <c:pt idx="51">
                  <c:v>2018-06-29-15:00</c:v>
                </c:pt>
              </c:strCache>
            </c:strRef>
          </c:cat>
          <c:val>
            <c:numRef>
              <c:f>Run_BASE!$D$2:$D$54</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5.2928924559999997E-5</c:v>
                </c:pt>
                <c:pt idx="16">
                  <c:v>2.3913383483999999E-4</c:v>
                </c:pt>
                <c:pt idx="17">
                  <c:v>7.4267387390000001E-5</c:v>
                </c:pt>
                <c:pt idx="18">
                  <c:v>8.0704689019999996E-5</c:v>
                </c:pt>
                <c:pt idx="19">
                  <c:v>1.5105009079000001E-3</c:v>
                </c:pt>
                <c:pt idx="20">
                  <c:v>1.7654895783E-4</c:v>
                </c:pt>
                <c:pt idx="21">
                  <c:v>1.5119314193700001E-3</c:v>
                </c:pt>
                <c:pt idx="22">
                  <c:v>1.4678239822400001E-3</c:v>
                </c:pt>
                <c:pt idx="23">
                  <c:v>8.2528591156000005E-4</c:v>
                </c:pt>
                <c:pt idx="24">
                  <c:v>4.2057037353999998E-4</c:v>
                </c:pt>
                <c:pt idx="25">
                  <c:v>2.44665145875E-3</c:v>
                </c:pt>
                <c:pt idx="26">
                  <c:v>1.3493299484199999E-3</c:v>
                </c:pt>
                <c:pt idx="27">
                  <c:v>4.3630599975000002E-4</c:v>
                </c:pt>
                <c:pt idx="28">
                  <c:v>4.0829181671E-4</c:v>
                </c:pt>
                <c:pt idx="29">
                  <c:v>4.1723251342999998E-4</c:v>
                </c:pt>
                <c:pt idx="30">
                  <c:v>9.0122222900000001E-5</c:v>
                </c:pt>
                <c:pt idx="31">
                  <c:v>1.77705287933E-3</c:v>
                </c:pt>
                <c:pt idx="32">
                  <c:v>1.5962123870999999E-4</c:v>
                </c:pt>
                <c:pt idx="33">
                  <c:v>4.8041343689999999E-5</c:v>
                </c:pt>
                <c:pt idx="34">
                  <c:v>6.8795681E-4</c:v>
                </c:pt>
                <c:pt idx="35">
                  <c:v>6.1476230622000002E-4</c:v>
                </c:pt>
                <c:pt idx="36">
                  <c:v>4.7552585602000003E-4</c:v>
                </c:pt>
                <c:pt idx="37">
                  <c:v>4.3118000030999999E-4</c:v>
                </c:pt>
                <c:pt idx="38">
                  <c:v>7.0452690124599999E-3</c:v>
                </c:pt>
                <c:pt idx="39">
                  <c:v>4.1341781616000001E-4</c:v>
                </c:pt>
                <c:pt idx="40">
                  <c:v>1.8111467361399999E-3</c:v>
                </c:pt>
                <c:pt idx="41">
                  <c:v>4.9364566803000005E-4</c:v>
                </c:pt>
                <c:pt idx="42">
                  <c:v>2.3424625397E-4</c:v>
                </c:pt>
                <c:pt idx="43">
                  <c:v>1.0430812836E-4</c:v>
                </c:pt>
                <c:pt idx="44">
                  <c:v>6.7865848541000002E-4</c:v>
                </c:pt>
                <c:pt idx="45">
                  <c:v>7.5387954711999996E-4</c:v>
                </c:pt>
                <c:pt idx="46">
                  <c:v>2.9480457306000003E-4</c:v>
                </c:pt>
                <c:pt idx="47">
                  <c:v>6.7949295099999996E-6</c:v>
                </c:pt>
                <c:pt idx="48">
                  <c:v>6.6816806792999997E-4</c:v>
                </c:pt>
                <c:pt idx="49">
                  <c:v>1.00970268249E-3</c:v>
                </c:pt>
                <c:pt idx="50">
                  <c:v>2.3771524429400002E-3</c:v>
                </c:pt>
                <c:pt idx="51">
                  <c:v>4.7683716000000005E-7</c:v>
                </c:pt>
              </c:numCache>
            </c:numRef>
          </c:val>
          <c:smooth val="0"/>
        </c:ser>
        <c:dLbls>
          <c:showLegendKey val="0"/>
          <c:showVal val="0"/>
          <c:showCatName val="0"/>
          <c:showSerName val="0"/>
          <c:showPercent val="0"/>
          <c:showBubbleSize val="0"/>
        </c:dLbls>
        <c:marker val="1"/>
        <c:smooth val="0"/>
        <c:axId val="1649026192"/>
        <c:axId val="1649027824"/>
      </c:lineChart>
      <c:catAx>
        <c:axId val="16490212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025648"/>
        <c:crosses val="autoZero"/>
        <c:auto val="1"/>
        <c:lblAlgn val="ctr"/>
        <c:lblOffset val="100"/>
        <c:noMultiLvlLbl val="0"/>
      </c:catAx>
      <c:valAx>
        <c:axId val="164902564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021296"/>
        <c:crosses val="autoZero"/>
        <c:crossBetween val="between"/>
      </c:valAx>
      <c:valAx>
        <c:axId val="164902782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026192"/>
        <c:crosses val="max"/>
        <c:crossBetween val="between"/>
      </c:valAx>
      <c:catAx>
        <c:axId val="1649026192"/>
        <c:scaling>
          <c:orientation val="minMax"/>
        </c:scaling>
        <c:delete val="1"/>
        <c:axPos val="b"/>
        <c:numFmt formatCode="General" sourceLinked="1"/>
        <c:majorTickMark val="out"/>
        <c:minorTickMark val="none"/>
        <c:tickLblPos val="nextTo"/>
        <c:crossAx val="1649027824"/>
        <c:crosses val="autoZero"/>
        <c:auto val="1"/>
        <c:lblAlgn val="ctr"/>
        <c:lblOffset val="100"/>
        <c:noMultiLvlLbl val="0"/>
      </c:cat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[Tester.xlsm]TradeError!PivotTable1</c:name>
    <c:fmtId val="0"/>
  </c:pivotSource>
  <c:chart>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9"/>
        <c:spPr>
          <a:ln w="28575" cap="rnd">
            <a:solidFill>
              <a:schemeClr val="accent1"/>
            </a:solidFill>
            <a:round/>
          </a:ln>
          <a:effectLst/>
        </c:spPr>
        <c:marker>
          <c:symbol val="none"/>
        </c:marker>
      </c:pivotFmt>
      <c:pivotFmt>
        <c:idx val="20"/>
        <c:spPr>
          <a:ln w="28575" cap="rnd">
            <a:solidFill>
              <a:schemeClr val="accent1"/>
            </a:solidFill>
            <a:round/>
          </a:ln>
          <a:effectLst/>
        </c:spPr>
        <c:marker>
          <c:symbol val="none"/>
        </c:marker>
      </c:pivotFmt>
      <c:pivotFmt>
        <c:idx val="2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4"/>
        <c:spPr>
          <a:ln w="28575" cap="rnd">
            <a:solidFill>
              <a:schemeClr val="accent1"/>
            </a:solidFill>
            <a:round/>
          </a:ln>
          <a:effectLst/>
        </c:spPr>
        <c:marker>
          <c:symbol val="none"/>
        </c:marker>
      </c:pivotFmt>
      <c:pivotFmt>
        <c:idx val="25"/>
        <c:spPr>
          <a:ln w="28575" cap="rnd">
            <a:solidFill>
              <a:schemeClr val="accent1"/>
            </a:solidFill>
            <a:round/>
          </a:ln>
          <a:effectLst/>
        </c:spPr>
        <c:marker>
          <c:symbol val="none"/>
        </c:marker>
      </c:pivotFmt>
    </c:pivotFmts>
    <c:plotArea>
      <c:layout/>
      <c:lineChart>
        <c:grouping val="standard"/>
        <c:varyColors val="0"/>
        <c:ser>
          <c:idx val="0"/>
          <c:order val="0"/>
          <c:tx>
            <c:strRef>
              <c:f>TradeError!$B$3</c:f>
              <c:strCache>
                <c:ptCount val="1"/>
                <c:pt idx="0">
                  <c:v>errorH</c:v>
                </c:pt>
              </c:strCache>
            </c:strRef>
          </c:tx>
          <c:spPr>
            <a:ln w="28575" cap="rnd">
              <a:solidFill>
                <a:schemeClr val="accent1"/>
              </a:solidFill>
              <a:round/>
            </a:ln>
            <a:effectLst/>
          </c:spPr>
          <c:marker>
            <c:symbol val="none"/>
          </c:marker>
          <c:cat>
            <c:strRef>
              <c:f>TradeError!$A$4:$A$340</c:f>
              <c:strCache>
                <c:ptCount val="336"/>
                <c:pt idx="0">
                  <c:v>2018-07-06 23:00</c:v>
                </c:pt>
                <c:pt idx="1">
                  <c:v>2018-07-09 00:00</c:v>
                </c:pt>
                <c:pt idx="2">
                  <c:v>2018-07-09 01:00</c:v>
                </c:pt>
                <c:pt idx="3">
                  <c:v>2018-07-09 02:00</c:v>
                </c:pt>
                <c:pt idx="4">
                  <c:v>2018-07-09 03:00</c:v>
                </c:pt>
                <c:pt idx="5">
                  <c:v>2018-07-09 04:00</c:v>
                </c:pt>
                <c:pt idx="6">
                  <c:v>2018-07-09 05:00</c:v>
                </c:pt>
                <c:pt idx="7">
                  <c:v>2018-07-09 06:00</c:v>
                </c:pt>
                <c:pt idx="8">
                  <c:v>2018-07-09 07:00</c:v>
                </c:pt>
                <c:pt idx="9">
                  <c:v>2018-07-09 08:00</c:v>
                </c:pt>
                <c:pt idx="10">
                  <c:v>2018-07-09 09:00</c:v>
                </c:pt>
                <c:pt idx="11">
                  <c:v>2018-07-09 10:00</c:v>
                </c:pt>
                <c:pt idx="12">
                  <c:v>2018-07-09 11:00</c:v>
                </c:pt>
                <c:pt idx="13">
                  <c:v>2018-07-09 12:00</c:v>
                </c:pt>
                <c:pt idx="14">
                  <c:v>2018-07-09 13:00</c:v>
                </c:pt>
                <c:pt idx="15">
                  <c:v>2018-07-09 14:00</c:v>
                </c:pt>
                <c:pt idx="16">
                  <c:v>2018-07-09 15:00</c:v>
                </c:pt>
                <c:pt idx="17">
                  <c:v>2018-07-09 16:00</c:v>
                </c:pt>
                <c:pt idx="18">
                  <c:v>2018-07-09 17:00</c:v>
                </c:pt>
                <c:pt idx="19">
                  <c:v>2018-07-09 18:00</c:v>
                </c:pt>
                <c:pt idx="20">
                  <c:v>2018-07-09 19:00</c:v>
                </c:pt>
                <c:pt idx="21">
                  <c:v>2018-07-09 20:00</c:v>
                </c:pt>
                <c:pt idx="22">
                  <c:v>2018-07-09 21:00</c:v>
                </c:pt>
                <c:pt idx="23">
                  <c:v>2018-07-09 22:00</c:v>
                </c:pt>
                <c:pt idx="24">
                  <c:v>2018-07-09 23:00</c:v>
                </c:pt>
                <c:pt idx="25">
                  <c:v>2018-07-10 00:00</c:v>
                </c:pt>
                <c:pt idx="26">
                  <c:v>2018-07-10 01:00</c:v>
                </c:pt>
                <c:pt idx="27">
                  <c:v>2018-07-10 02:00</c:v>
                </c:pt>
                <c:pt idx="28">
                  <c:v>2018-07-10 03:00</c:v>
                </c:pt>
                <c:pt idx="29">
                  <c:v>2018-07-10 04:00</c:v>
                </c:pt>
                <c:pt idx="30">
                  <c:v>2018-07-10 05:00</c:v>
                </c:pt>
                <c:pt idx="31">
                  <c:v>2018-07-10 06:00</c:v>
                </c:pt>
                <c:pt idx="32">
                  <c:v>2018-07-10 07:00</c:v>
                </c:pt>
                <c:pt idx="33">
                  <c:v>2018-07-10 08:00</c:v>
                </c:pt>
                <c:pt idx="34">
                  <c:v>2018-07-10 09:00</c:v>
                </c:pt>
                <c:pt idx="35">
                  <c:v>2018-07-10 10:00</c:v>
                </c:pt>
                <c:pt idx="36">
                  <c:v>2018-07-10 11:00</c:v>
                </c:pt>
                <c:pt idx="37">
                  <c:v>2018-07-10 12:00</c:v>
                </c:pt>
                <c:pt idx="38">
                  <c:v>2018-07-10 13:00</c:v>
                </c:pt>
                <c:pt idx="39">
                  <c:v>2018-07-10 14:00</c:v>
                </c:pt>
                <c:pt idx="40">
                  <c:v>2018-07-10 15:00</c:v>
                </c:pt>
                <c:pt idx="41">
                  <c:v>2018-07-10 16:00</c:v>
                </c:pt>
                <c:pt idx="42">
                  <c:v>2018-07-10 17:00</c:v>
                </c:pt>
                <c:pt idx="43">
                  <c:v>2018-07-10 18:00</c:v>
                </c:pt>
                <c:pt idx="44">
                  <c:v>2018-07-10 19:00</c:v>
                </c:pt>
                <c:pt idx="45">
                  <c:v>2018-07-10 20:00</c:v>
                </c:pt>
                <c:pt idx="46">
                  <c:v>2018-07-10 21:00</c:v>
                </c:pt>
                <c:pt idx="47">
                  <c:v>2018-07-10 22:00</c:v>
                </c:pt>
                <c:pt idx="48">
                  <c:v>2018-07-10 23:00</c:v>
                </c:pt>
                <c:pt idx="49">
                  <c:v>2018-07-11 00:00</c:v>
                </c:pt>
                <c:pt idx="50">
                  <c:v>2018-07-11 01:00</c:v>
                </c:pt>
                <c:pt idx="51">
                  <c:v>2018-07-11 02:00</c:v>
                </c:pt>
                <c:pt idx="52">
                  <c:v>2018-07-11 03:00</c:v>
                </c:pt>
                <c:pt idx="53">
                  <c:v>2018-07-11 04:00</c:v>
                </c:pt>
                <c:pt idx="54">
                  <c:v>2018-07-11 05:00</c:v>
                </c:pt>
                <c:pt idx="55">
                  <c:v>2018-07-11 06:00</c:v>
                </c:pt>
                <c:pt idx="56">
                  <c:v>2018-07-11 07:00</c:v>
                </c:pt>
                <c:pt idx="57">
                  <c:v>2018-07-11 08:00</c:v>
                </c:pt>
                <c:pt idx="58">
                  <c:v>2018-07-11 09:00</c:v>
                </c:pt>
                <c:pt idx="59">
                  <c:v>2018-07-11 10:00</c:v>
                </c:pt>
                <c:pt idx="60">
                  <c:v>2018-07-11 11:00</c:v>
                </c:pt>
                <c:pt idx="61">
                  <c:v>2018-07-11 12:00</c:v>
                </c:pt>
                <c:pt idx="62">
                  <c:v>2018-07-11 13:00</c:v>
                </c:pt>
                <c:pt idx="63">
                  <c:v>2018-07-11 14:00</c:v>
                </c:pt>
                <c:pt idx="64">
                  <c:v>2018-07-11 15:00</c:v>
                </c:pt>
                <c:pt idx="65">
                  <c:v>2018-07-11 16:00</c:v>
                </c:pt>
                <c:pt idx="66">
                  <c:v>2018-07-11 17:00</c:v>
                </c:pt>
                <c:pt idx="67">
                  <c:v>2018-07-11 18:00</c:v>
                </c:pt>
                <c:pt idx="68">
                  <c:v>2018-07-11 19:00</c:v>
                </c:pt>
                <c:pt idx="69">
                  <c:v>2018-07-11 20:00</c:v>
                </c:pt>
                <c:pt idx="70">
                  <c:v>2018-07-11 21:00</c:v>
                </c:pt>
                <c:pt idx="71">
                  <c:v>2018-07-11 22:00</c:v>
                </c:pt>
                <c:pt idx="72">
                  <c:v>2018-07-11 23:00</c:v>
                </c:pt>
                <c:pt idx="73">
                  <c:v>2018-07-12 00:00</c:v>
                </c:pt>
                <c:pt idx="74">
                  <c:v>2018-07-12 01:00</c:v>
                </c:pt>
                <c:pt idx="75">
                  <c:v>2018-07-12 02:00</c:v>
                </c:pt>
                <c:pt idx="76">
                  <c:v>2018-07-12 03:00</c:v>
                </c:pt>
                <c:pt idx="77">
                  <c:v>2018-07-12 04:00</c:v>
                </c:pt>
                <c:pt idx="78">
                  <c:v>2018-07-12 05:00</c:v>
                </c:pt>
                <c:pt idx="79">
                  <c:v>2018-07-12 06:00</c:v>
                </c:pt>
                <c:pt idx="80">
                  <c:v>2018-07-12 07:00</c:v>
                </c:pt>
                <c:pt idx="81">
                  <c:v>2018-07-12 08:00</c:v>
                </c:pt>
                <c:pt idx="82">
                  <c:v>2018-07-12 09:00</c:v>
                </c:pt>
                <c:pt idx="83">
                  <c:v>2018-07-12 10:00</c:v>
                </c:pt>
                <c:pt idx="84">
                  <c:v>2018-07-12 11:00</c:v>
                </c:pt>
                <c:pt idx="85">
                  <c:v>2018-07-12 12:00</c:v>
                </c:pt>
                <c:pt idx="86">
                  <c:v>2018-07-12 13:00</c:v>
                </c:pt>
                <c:pt idx="87">
                  <c:v>2018-07-12 14:00</c:v>
                </c:pt>
                <c:pt idx="88">
                  <c:v>2018-07-12 15:00</c:v>
                </c:pt>
                <c:pt idx="89">
                  <c:v>2018-07-12 16:00</c:v>
                </c:pt>
                <c:pt idx="90">
                  <c:v>2018-07-12 17:00</c:v>
                </c:pt>
                <c:pt idx="91">
                  <c:v>2018-07-12 18:00</c:v>
                </c:pt>
                <c:pt idx="92">
                  <c:v>2018-07-12 19:00</c:v>
                </c:pt>
                <c:pt idx="93">
                  <c:v>2018-07-12 20:00</c:v>
                </c:pt>
                <c:pt idx="94">
                  <c:v>2018-07-12 21:00</c:v>
                </c:pt>
                <c:pt idx="95">
                  <c:v>2018-07-12 22:00</c:v>
                </c:pt>
                <c:pt idx="96">
                  <c:v>2018-07-12 23:00</c:v>
                </c:pt>
                <c:pt idx="97">
                  <c:v>2018-07-13 00:00</c:v>
                </c:pt>
                <c:pt idx="98">
                  <c:v>2018-07-13 01:00</c:v>
                </c:pt>
                <c:pt idx="99">
                  <c:v>2018-07-13 02:00</c:v>
                </c:pt>
                <c:pt idx="100">
                  <c:v>2018-07-13 03:00</c:v>
                </c:pt>
                <c:pt idx="101">
                  <c:v>2018-07-13 04:00</c:v>
                </c:pt>
                <c:pt idx="102">
                  <c:v>2018-07-13 05:00</c:v>
                </c:pt>
                <c:pt idx="103">
                  <c:v>2018-07-13 06:00</c:v>
                </c:pt>
                <c:pt idx="104">
                  <c:v>2018-07-13 07:00</c:v>
                </c:pt>
                <c:pt idx="105">
                  <c:v>2018-07-13 08:00</c:v>
                </c:pt>
                <c:pt idx="106">
                  <c:v>2018-07-13 09:00</c:v>
                </c:pt>
                <c:pt idx="107">
                  <c:v>2018-07-13 10:00</c:v>
                </c:pt>
                <c:pt idx="108">
                  <c:v>2018-07-13 11:00</c:v>
                </c:pt>
                <c:pt idx="109">
                  <c:v>2018-07-13 12:00</c:v>
                </c:pt>
                <c:pt idx="110">
                  <c:v>2018-07-13 13:00</c:v>
                </c:pt>
                <c:pt idx="111">
                  <c:v>2018-07-13 14:00</c:v>
                </c:pt>
                <c:pt idx="112">
                  <c:v>2018-07-13 15:00</c:v>
                </c:pt>
                <c:pt idx="113">
                  <c:v>2018-07-13 16:00</c:v>
                </c:pt>
                <c:pt idx="114">
                  <c:v>2018-07-13 17:00</c:v>
                </c:pt>
                <c:pt idx="115">
                  <c:v>2018-07-13 18:00</c:v>
                </c:pt>
                <c:pt idx="116">
                  <c:v>2018-07-13 19:00</c:v>
                </c:pt>
                <c:pt idx="117">
                  <c:v>2018-07-13 20:00</c:v>
                </c:pt>
                <c:pt idx="118">
                  <c:v>2018-07-13 21:00</c:v>
                </c:pt>
                <c:pt idx="119">
                  <c:v>2018-07-13 22:00</c:v>
                </c:pt>
                <c:pt idx="120">
                  <c:v>2018-07-13 23:00</c:v>
                </c:pt>
                <c:pt idx="121">
                  <c:v>2018-07-16 00:00</c:v>
                </c:pt>
                <c:pt idx="122">
                  <c:v>2018-07-16 01:00</c:v>
                </c:pt>
                <c:pt idx="123">
                  <c:v>2018-07-16 02:00</c:v>
                </c:pt>
                <c:pt idx="124">
                  <c:v>2018-07-16 03:00</c:v>
                </c:pt>
                <c:pt idx="125">
                  <c:v>2018-07-16 04:00</c:v>
                </c:pt>
                <c:pt idx="126">
                  <c:v>2018-07-16 05:00</c:v>
                </c:pt>
                <c:pt idx="127">
                  <c:v>2018-07-16 06:00</c:v>
                </c:pt>
                <c:pt idx="128">
                  <c:v>2018-07-16 07:00</c:v>
                </c:pt>
                <c:pt idx="129">
                  <c:v>2018-07-16 08:00</c:v>
                </c:pt>
                <c:pt idx="130">
                  <c:v>2018-07-16 09:00</c:v>
                </c:pt>
                <c:pt idx="131">
                  <c:v>2018-07-16 10:00</c:v>
                </c:pt>
                <c:pt idx="132">
                  <c:v>2018-07-16 11:00</c:v>
                </c:pt>
                <c:pt idx="133">
                  <c:v>2018-07-16 12:00</c:v>
                </c:pt>
                <c:pt idx="134">
                  <c:v>2018-07-16 13:00</c:v>
                </c:pt>
                <c:pt idx="135">
                  <c:v>2018-07-16 14:00</c:v>
                </c:pt>
                <c:pt idx="136">
                  <c:v>2018-07-16 15:00</c:v>
                </c:pt>
                <c:pt idx="137">
                  <c:v>2018-07-16 16:00</c:v>
                </c:pt>
                <c:pt idx="138">
                  <c:v>2018-07-16 17:00</c:v>
                </c:pt>
                <c:pt idx="139">
                  <c:v>2018-07-16 18:00</c:v>
                </c:pt>
                <c:pt idx="140">
                  <c:v>2018-07-16 19:00</c:v>
                </c:pt>
                <c:pt idx="141">
                  <c:v>2018-07-16 20:00</c:v>
                </c:pt>
                <c:pt idx="142">
                  <c:v>2018-07-16 21:00</c:v>
                </c:pt>
                <c:pt idx="143">
                  <c:v>2018-07-16 22:00</c:v>
                </c:pt>
                <c:pt idx="144">
                  <c:v>2018-07-16 23:00</c:v>
                </c:pt>
                <c:pt idx="145">
                  <c:v>2018-07-17 00:00</c:v>
                </c:pt>
                <c:pt idx="146">
                  <c:v>2018-07-17 01:00</c:v>
                </c:pt>
                <c:pt idx="147">
                  <c:v>2018-07-17 02:00</c:v>
                </c:pt>
                <c:pt idx="148">
                  <c:v>2018-07-17 03:00</c:v>
                </c:pt>
                <c:pt idx="149">
                  <c:v>2018-07-17 04:00</c:v>
                </c:pt>
                <c:pt idx="150">
                  <c:v>2018-07-17 05:00</c:v>
                </c:pt>
                <c:pt idx="151">
                  <c:v>2018-07-17 06:00</c:v>
                </c:pt>
                <c:pt idx="152">
                  <c:v>2018-07-17 07:00</c:v>
                </c:pt>
                <c:pt idx="153">
                  <c:v>2018-07-17 08:00</c:v>
                </c:pt>
                <c:pt idx="154">
                  <c:v>2018-07-17 09:00</c:v>
                </c:pt>
                <c:pt idx="155">
                  <c:v>2018-07-17 10:00</c:v>
                </c:pt>
                <c:pt idx="156">
                  <c:v>2018-07-17 11:00</c:v>
                </c:pt>
                <c:pt idx="157">
                  <c:v>2018-07-17 12:00</c:v>
                </c:pt>
                <c:pt idx="158">
                  <c:v>2018-07-17 13:00</c:v>
                </c:pt>
                <c:pt idx="159">
                  <c:v>2018-07-17 14:00</c:v>
                </c:pt>
                <c:pt idx="160">
                  <c:v>2018-07-17 15:00</c:v>
                </c:pt>
                <c:pt idx="161">
                  <c:v>2018-07-17 16:00</c:v>
                </c:pt>
                <c:pt idx="162">
                  <c:v>2018-07-17 17:00</c:v>
                </c:pt>
                <c:pt idx="163">
                  <c:v>2018-07-17 18:00</c:v>
                </c:pt>
                <c:pt idx="164">
                  <c:v>2018-07-17 19:00</c:v>
                </c:pt>
                <c:pt idx="165">
                  <c:v>2018-07-17 20:00</c:v>
                </c:pt>
                <c:pt idx="166">
                  <c:v>2018-07-17 21:00</c:v>
                </c:pt>
                <c:pt idx="167">
                  <c:v>2018-07-17 22:00</c:v>
                </c:pt>
                <c:pt idx="168">
                  <c:v>2018-07-17 23:00</c:v>
                </c:pt>
                <c:pt idx="169">
                  <c:v>2018-07-18 00:00</c:v>
                </c:pt>
                <c:pt idx="170">
                  <c:v>2018-07-18 01:00</c:v>
                </c:pt>
                <c:pt idx="171">
                  <c:v>2018-07-18 02:00</c:v>
                </c:pt>
                <c:pt idx="172">
                  <c:v>2018-07-18 03:00</c:v>
                </c:pt>
                <c:pt idx="173">
                  <c:v>2018-07-18 04:00</c:v>
                </c:pt>
                <c:pt idx="174">
                  <c:v>2018-07-18 05:00</c:v>
                </c:pt>
                <c:pt idx="175">
                  <c:v>2018-07-18 06:00</c:v>
                </c:pt>
                <c:pt idx="176">
                  <c:v>2018-07-18 07:00</c:v>
                </c:pt>
                <c:pt idx="177">
                  <c:v>2018-07-18 08:00</c:v>
                </c:pt>
                <c:pt idx="178">
                  <c:v>2018-07-18 09:00</c:v>
                </c:pt>
                <c:pt idx="179">
                  <c:v>2018-07-18 10:00</c:v>
                </c:pt>
                <c:pt idx="180">
                  <c:v>2018-07-18 11:00</c:v>
                </c:pt>
                <c:pt idx="181">
                  <c:v>2018-07-18 12:00</c:v>
                </c:pt>
                <c:pt idx="182">
                  <c:v>2018-07-18 13:00</c:v>
                </c:pt>
                <c:pt idx="183">
                  <c:v>2018-07-18 14:00</c:v>
                </c:pt>
                <c:pt idx="184">
                  <c:v>2018-07-18 15:00</c:v>
                </c:pt>
                <c:pt idx="185">
                  <c:v>2018-07-18 16:00</c:v>
                </c:pt>
                <c:pt idx="186">
                  <c:v>2018-07-18 17:00</c:v>
                </c:pt>
                <c:pt idx="187">
                  <c:v>2018-07-18 18:00</c:v>
                </c:pt>
                <c:pt idx="188">
                  <c:v>2018-07-18 19:00</c:v>
                </c:pt>
                <c:pt idx="189">
                  <c:v>2018-07-18 20:00</c:v>
                </c:pt>
                <c:pt idx="190">
                  <c:v>2018-07-18 21:00</c:v>
                </c:pt>
                <c:pt idx="191">
                  <c:v>2018-07-18 22:00</c:v>
                </c:pt>
                <c:pt idx="192">
                  <c:v>2018-07-18 23:00</c:v>
                </c:pt>
                <c:pt idx="193">
                  <c:v>2018-07-19 00:00</c:v>
                </c:pt>
                <c:pt idx="194">
                  <c:v>2018-07-19 01:00</c:v>
                </c:pt>
                <c:pt idx="195">
                  <c:v>2018-07-19 02:00</c:v>
                </c:pt>
                <c:pt idx="196">
                  <c:v>2018-07-19 03:00</c:v>
                </c:pt>
                <c:pt idx="197">
                  <c:v>2018-07-19 04:00</c:v>
                </c:pt>
                <c:pt idx="198">
                  <c:v>2018-07-19 05:00</c:v>
                </c:pt>
                <c:pt idx="199">
                  <c:v>2018-07-19 06:00</c:v>
                </c:pt>
                <c:pt idx="200">
                  <c:v>2018-07-19 07:00</c:v>
                </c:pt>
                <c:pt idx="201">
                  <c:v>2018-07-19 08:00</c:v>
                </c:pt>
                <c:pt idx="202">
                  <c:v>2018-07-19 09:00</c:v>
                </c:pt>
                <c:pt idx="203">
                  <c:v>2018-07-19 10:00</c:v>
                </c:pt>
                <c:pt idx="204">
                  <c:v>2018-07-19 11:00</c:v>
                </c:pt>
                <c:pt idx="205">
                  <c:v>2018-07-19 12:00</c:v>
                </c:pt>
                <c:pt idx="206">
                  <c:v>2018-07-19 13:00</c:v>
                </c:pt>
                <c:pt idx="207">
                  <c:v>2018-07-19 14:00</c:v>
                </c:pt>
                <c:pt idx="208">
                  <c:v>2018-07-19 15:00</c:v>
                </c:pt>
                <c:pt idx="209">
                  <c:v>2018-07-19 16:00</c:v>
                </c:pt>
                <c:pt idx="210">
                  <c:v>2018-07-19 17:00</c:v>
                </c:pt>
                <c:pt idx="211">
                  <c:v>2018-07-19 18:00</c:v>
                </c:pt>
                <c:pt idx="212">
                  <c:v>2018-07-19 19:00</c:v>
                </c:pt>
                <c:pt idx="213">
                  <c:v>2018-07-19 20:00</c:v>
                </c:pt>
                <c:pt idx="214">
                  <c:v>2018-07-19 21:00</c:v>
                </c:pt>
                <c:pt idx="215">
                  <c:v>2018-07-19 22:00</c:v>
                </c:pt>
                <c:pt idx="216">
                  <c:v>2018-07-19 23:00</c:v>
                </c:pt>
                <c:pt idx="217">
                  <c:v>2018-07-20 00:00</c:v>
                </c:pt>
                <c:pt idx="218">
                  <c:v>2018-07-20 01:00</c:v>
                </c:pt>
                <c:pt idx="219">
                  <c:v>2018-07-20 02:00</c:v>
                </c:pt>
                <c:pt idx="220">
                  <c:v>2018-07-20 03:00</c:v>
                </c:pt>
                <c:pt idx="221">
                  <c:v>2018-07-20 04:00</c:v>
                </c:pt>
                <c:pt idx="222">
                  <c:v>2018-07-20 05:00</c:v>
                </c:pt>
                <c:pt idx="223">
                  <c:v>2018-07-20 06:00</c:v>
                </c:pt>
                <c:pt idx="224">
                  <c:v>2018-07-20 07:00</c:v>
                </c:pt>
                <c:pt idx="225">
                  <c:v>2018-07-20 08:00</c:v>
                </c:pt>
                <c:pt idx="226">
                  <c:v>2018-07-20 09:00</c:v>
                </c:pt>
                <c:pt idx="227">
                  <c:v>2018-07-20 10:00</c:v>
                </c:pt>
                <c:pt idx="228">
                  <c:v>2018-07-20 11:00</c:v>
                </c:pt>
                <c:pt idx="229">
                  <c:v>2018-07-20 12:00</c:v>
                </c:pt>
                <c:pt idx="230">
                  <c:v>2018-07-20 13:00</c:v>
                </c:pt>
                <c:pt idx="231">
                  <c:v>2018-07-20 14:00</c:v>
                </c:pt>
                <c:pt idx="232">
                  <c:v>2018-07-20 15:00</c:v>
                </c:pt>
                <c:pt idx="233">
                  <c:v>2018-07-20 16:00</c:v>
                </c:pt>
                <c:pt idx="234">
                  <c:v>2018-07-20 17:00</c:v>
                </c:pt>
                <c:pt idx="235">
                  <c:v>2018-07-20 18:00</c:v>
                </c:pt>
                <c:pt idx="236">
                  <c:v>2018-07-20 19:00</c:v>
                </c:pt>
                <c:pt idx="237">
                  <c:v>2018-07-20 20:00</c:v>
                </c:pt>
                <c:pt idx="238">
                  <c:v>2018-07-20 21:00</c:v>
                </c:pt>
                <c:pt idx="239">
                  <c:v>2018-07-20 22:00</c:v>
                </c:pt>
                <c:pt idx="240">
                  <c:v>2018-07-20 23:00</c:v>
                </c:pt>
                <c:pt idx="241">
                  <c:v>2018-07-23 00:00</c:v>
                </c:pt>
                <c:pt idx="242">
                  <c:v>2018-07-23 01:00</c:v>
                </c:pt>
                <c:pt idx="243">
                  <c:v>2018-07-23 02:00</c:v>
                </c:pt>
                <c:pt idx="244">
                  <c:v>2018-07-23 03:00</c:v>
                </c:pt>
                <c:pt idx="245">
                  <c:v>2018-07-23 04:00</c:v>
                </c:pt>
                <c:pt idx="246">
                  <c:v>2018-07-23 05:00</c:v>
                </c:pt>
                <c:pt idx="247">
                  <c:v>2018-07-23 06:00</c:v>
                </c:pt>
                <c:pt idx="248">
                  <c:v>2018-07-23 07:00</c:v>
                </c:pt>
                <c:pt idx="249">
                  <c:v>2018-07-23 08:00</c:v>
                </c:pt>
                <c:pt idx="250">
                  <c:v>2018-07-23 09:00</c:v>
                </c:pt>
                <c:pt idx="251">
                  <c:v>2018-07-23 10:00</c:v>
                </c:pt>
                <c:pt idx="252">
                  <c:v>2018-07-23 11:00</c:v>
                </c:pt>
                <c:pt idx="253">
                  <c:v>2018-07-23 12:00</c:v>
                </c:pt>
                <c:pt idx="254">
                  <c:v>2018-07-23 13:00</c:v>
                </c:pt>
                <c:pt idx="255">
                  <c:v>2018-07-23 14:00</c:v>
                </c:pt>
                <c:pt idx="256">
                  <c:v>2018-07-23 15:00</c:v>
                </c:pt>
                <c:pt idx="257">
                  <c:v>2018-07-23 16:00</c:v>
                </c:pt>
                <c:pt idx="258">
                  <c:v>2018-07-23 17:00</c:v>
                </c:pt>
                <c:pt idx="259">
                  <c:v>2018-07-23 18:00</c:v>
                </c:pt>
                <c:pt idx="260">
                  <c:v>2018-07-23 19:00</c:v>
                </c:pt>
                <c:pt idx="261">
                  <c:v>2018-07-23 20:00</c:v>
                </c:pt>
                <c:pt idx="262">
                  <c:v>2018-07-23 21:00</c:v>
                </c:pt>
                <c:pt idx="263">
                  <c:v>2018-07-23 22:00</c:v>
                </c:pt>
                <c:pt idx="264">
                  <c:v>2018-07-23 23:00</c:v>
                </c:pt>
                <c:pt idx="265">
                  <c:v>2018-07-24 00:00</c:v>
                </c:pt>
                <c:pt idx="266">
                  <c:v>2018-07-24 01:00</c:v>
                </c:pt>
                <c:pt idx="267">
                  <c:v>2018-07-24 02:00</c:v>
                </c:pt>
                <c:pt idx="268">
                  <c:v>2018-07-24 03:00</c:v>
                </c:pt>
                <c:pt idx="269">
                  <c:v>2018-07-24 04:00</c:v>
                </c:pt>
                <c:pt idx="270">
                  <c:v>2018-07-24 05:00</c:v>
                </c:pt>
                <c:pt idx="271">
                  <c:v>2018-07-24 06:00</c:v>
                </c:pt>
                <c:pt idx="272">
                  <c:v>2018-07-24 07:00</c:v>
                </c:pt>
                <c:pt idx="273">
                  <c:v>2018-07-24 08:00</c:v>
                </c:pt>
                <c:pt idx="274">
                  <c:v>2018-07-24 09:00</c:v>
                </c:pt>
                <c:pt idx="275">
                  <c:v>2018-07-24 10:00</c:v>
                </c:pt>
                <c:pt idx="276">
                  <c:v>2018-07-24 11:00</c:v>
                </c:pt>
                <c:pt idx="277">
                  <c:v>2018-07-24 12:00</c:v>
                </c:pt>
                <c:pt idx="278">
                  <c:v>2018-07-24 13:00</c:v>
                </c:pt>
                <c:pt idx="279">
                  <c:v>2018-07-24 14:00</c:v>
                </c:pt>
                <c:pt idx="280">
                  <c:v>2018-07-24 15:00</c:v>
                </c:pt>
                <c:pt idx="281">
                  <c:v>2018-07-24 16:00</c:v>
                </c:pt>
                <c:pt idx="282">
                  <c:v>2018-07-24 17:00</c:v>
                </c:pt>
                <c:pt idx="283">
                  <c:v>2018-07-24 18:00</c:v>
                </c:pt>
                <c:pt idx="284">
                  <c:v>2018-07-24 19:00</c:v>
                </c:pt>
                <c:pt idx="285">
                  <c:v>2018-07-24 20:00</c:v>
                </c:pt>
                <c:pt idx="286">
                  <c:v>2018-07-24 21:00</c:v>
                </c:pt>
                <c:pt idx="287">
                  <c:v>2018-07-24 22:00</c:v>
                </c:pt>
                <c:pt idx="288">
                  <c:v>2018-07-24 23:00</c:v>
                </c:pt>
                <c:pt idx="289">
                  <c:v>2018-07-25 00:00</c:v>
                </c:pt>
                <c:pt idx="290">
                  <c:v>2018-07-25 01:00</c:v>
                </c:pt>
                <c:pt idx="291">
                  <c:v>2018-07-25 02:00</c:v>
                </c:pt>
                <c:pt idx="292">
                  <c:v>2018-07-25 03:00</c:v>
                </c:pt>
                <c:pt idx="293">
                  <c:v>2018-07-25 04:00</c:v>
                </c:pt>
                <c:pt idx="294">
                  <c:v>2018-07-25 05:00</c:v>
                </c:pt>
                <c:pt idx="295">
                  <c:v>2018-07-25 06:00</c:v>
                </c:pt>
                <c:pt idx="296">
                  <c:v>2018-07-25 07:00</c:v>
                </c:pt>
                <c:pt idx="297">
                  <c:v>2018-07-25 08:00</c:v>
                </c:pt>
                <c:pt idx="298">
                  <c:v>2018-07-25 09:00</c:v>
                </c:pt>
                <c:pt idx="299">
                  <c:v>2018-07-25 10:00</c:v>
                </c:pt>
                <c:pt idx="300">
                  <c:v>2018-07-25 11:00</c:v>
                </c:pt>
                <c:pt idx="301">
                  <c:v>2018-07-25 12:00</c:v>
                </c:pt>
                <c:pt idx="302">
                  <c:v>2018-07-25 13:00</c:v>
                </c:pt>
                <c:pt idx="303">
                  <c:v>2018-07-25 14:00</c:v>
                </c:pt>
                <c:pt idx="304">
                  <c:v>2018-07-25 15:00</c:v>
                </c:pt>
                <c:pt idx="305">
                  <c:v>2018-07-25 16:00</c:v>
                </c:pt>
                <c:pt idx="306">
                  <c:v>2018-07-25 17:00</c:v>
                </c:pt>
                <c:pt idx="307">
                  <c:v>2018-07-25 18:00</c:v>
                </c:pt>
                <c:pt idx="308">
                  <c:v>2018-07-25 19:00</c:v>
                </c:pt>
                <c:pt idx="309">
                  <c:v>2018-07-25 20:00</c:v>
                </c:pt>
                <c:pt idx="310">
                  <c:v>2018-07-25 21:00</c:v>
                </c:pt>
                <c:pt idx="311">
                  <c:v>2018-07-25 22:00</c:v>
                </c:pt>
                <c:pt idx="312">
                  <c:v>2018-07-25 23:00</c:v>
                </c:pt>
                <c:pt idx="313">
                  <c:v>2018-07-26 00:00</c:v>
                </c:pt>
                <c:pt idx="314">
                  <c:v>2018-07-26 01:00</c:v>
                </c:pt>
                <c:pt idx="315">
                  <c:v>2018-07-26 02:00</c:v>
                </c:pt>
                <c:pt idx="316">
                  <c:v>2018-07-26 03:00</c:v>
                </c:pt>
                <c:pt idx="317">
                  <c:v>2018-07-26 04:00</c:v>
                </c:pt>
                <c:pt idx="318">
                  <c:v>2018-07-26 05:00</c:v>
                </c:pt>
                <c:pt idx="319">
                  <c:v>2018-07-26 06:00</c:v>
                </c:pt>
                <c:pt idx="320">
                  <c:v>2018-07-26 07:00</c:v>
                </c:pt>
                <c:pt idx="321">
                  <c:v>2018-07-26 08:00</c:v>
                </c:pt>
                <c:pt idx="322">
                  <c:v>2018-07-26 09:00</c:v>
                </c:pt>
                <c:pt idx="323">
                  <c:v>2018-07-26 10:00</c:v>
                </c:pt>
                <c:pt idx="324">
                  <c:v>2018-07-26 11:00</c:v>
                </c:pt>
                <c:pt idx="325">
                  <c:v>2018-07-26 12:00</c:v>
                </c:pt>
                <c:pt idx="326">
                  <c:v>2018-07-26 13:00</c:v>
                </c:pt>
                <c:pt idx="327">
                  <c:v>2018-07-26 14:00</c:v>
                </c:pt>
                <c:pt idx="328">
                  <c:v>2018-07-26 15:00</c:v>
                </c:pt>
                <c:pt idx="329">
                  <c:v>2018-07-26 16:00</c:v>
                </c:pt>
                <c:pt idx="330">
                  <c:v>2018-07-26 17:00</c:v>
                </c:pt>
                <c:pt idx="331">
                  <c:v>2018-07-26 18:00</c:v>
                </c:pt>
                <c:pt idx="332">
                  <c:v>2018-07-26 19:00</c:v>
                </c:pt>
                <c:pt idx="333">
                  <c:v>2018-07-26 20:00</c:v>
                </c:pt>
                <c:pt idx="334">
                  <c:v>2018-07-26 21:00</c:v>
                </c:pt>
                <c:pt idx="335">
                  <c:v>2018-07-26 22:00</c:v>
                </c:pt>
              </c:strCache>
            </c:strRef>
          </c:cat>
          <c:val>
            <c:numRef>
              <c:f>TradeError!$B$4:$B$340</c:f>
              <c:numCache>
                <c:formatCode>0.0000</c:formatCode>
                <c:ptCount val="336"/>
                <c:pt idx="0">
                  <c:v>6.2199999999999998E-3</c:v>
                </c:pt>
                <c:pt idx="1">
                  <c:v>1.1202999999999999E-2</c:v>
                </c:pt>
                <c:pt idx="2">
                  <c:v>2.8899999999999998E-4</c:v>
                </c:pt>
                <c:pt idx="3">
                  <c:v>3.5599999999999998E-4</c:v>
                </c:pt>
                <c:pt idx="4">
                  <c:v>3.68E-4</c:v>
                </c:pt>
                <c:pt idx="5">
                  <c:v>7.0699999999999995E-4</c:v>
                </c:pt>
                <c:pt idx="6">
                  <c:v>4.3600000000000003E-4</c:v>
                </c:pt>
                <c:pt idx="7">
                  <c:v>3.0299999999999999E-4</c:v>
                </c:pt>
                <c:pt idx="8">
                  <c:v>4.64E-4</c:v>
                </c:pt>
                <c:pt idx="9">
                  <c:v>4.66E-4</c:v>
                </c:pt>
                <c:pt idx="10">
                  <c:v>4.9100000000000001E-4</c:v>
                </c:pt>
                <c:pt idx="11">
                  <c:v>4.0200000000000001E-4</c:v>
                </c:pt>
                <c:pt idx="12">
                  <c:v>7.3399999999999995E-4</c:v>
                </c:pt>
                <c:pt idx="13">
                  <c:v>3.2200000000000002E-4</c:v>
                </c:pt>
                <c:pt idx="14">
                  <c:v>1.5E-5</c:v>
                </c:pt>
                <c:pt idx="15">
                  <c:v>1.0269999999999999E-3</c:v>
                </c:pt>
                <c:pt idx="16">
                  <c:v>2.99E-4</c:v>
                </c:pt>
                <c:pt idx="17">
                  <c:v>3.8299999999999999E-4</c:v>
                </c:pt>
                <c:pt idx="18">
                  <c:v>6.8499999999999995E-4</c:v>
                </c:pt>
                <c:pt idx="19">
                  <c:v>4.4099999999999999E-4</c:v>
                </c:pt>
                <c:pt idx="20">
                  <c:v>2.13E-4</c:v>
                </c:pt>
                <c:pt idx="21">
                  <c:v>4.6900000000000002E-4</c:v>
                </c:pt>
                <c:pt idx="22">
                  <c:v>9.0000000000000006E-5</c:v>
                </c:pt>
                <c:pt idx="23">
                  <c:v>1.54E-4</c:v>
                </c:pt>
                <c:pt idx="24">
                  <c:v>6.7999999999999999E-5</c:v>
                </c:pt>
                <c:pt idx="25">
                  <c:v>1.8599999999999999E-4</c:v>
                </c:pt>
                <c:pt idx="26">
                  <c:v>1.4100000000000001E-4</c:v>
                </c:pt>
                <c:pt idx="27">
                  <c:v>1.75E-4</c:v>
                </c:pt>
                <c:pt idx="28">
                  <c:v>1.6699999999999999E-4</c:v>
                </c:pt>
                <c:pt idx="29">
                  <c:v>2.1699999999999999E-4</c:v>
                </c:pt>
                <c:pt idx="30">
                  <c:v>1.12E-4</c:v>
                </c:pt>
                <c:pt idx="31">
                  <c:v>3.1500000000000001E-4</c:v>
                </c:pt>
                <c:pt idx="32">
                  <c:v>4.28E-4</c:v>
                </c:pt>
                <c:pt idx="33">
                  <c:v>2.1000000000000001E-4</c:v>
                </c:pt>
                <c:pt idx="34">
                  <c:v>2.99E-4</c:v>
                </c:pt>
                <c:pt idx="35">
                  <c:v>2.5000000000000001E-4</c:v>
                </c:pt>
                <c:pt idx="36">
                  <c:v>2.13E-4</c:v>
                </c:pt>
                <c:pt idx="37">
                  <c:v>9.1399999999999999E-4</c:v>
                </c:pt>
                <c:pt idx="38">
                  <c:v>1.2E-4</c:v>
                </c:pt>
                <c:pt idx="39">
                  <c:v>4.3600000000000003E-4</c:v>
                </c:pt>
                <c:pt idx="40">
                  <c:v>6.1799999999999995E-4</c:v>
                </c:pt>
                <c:pt idx="41">
                  <c:v>1.1900000000000001E-4</c:v>
                </c:pt>
                <c:pt idx="42">
                  <c:v>4.7800000000000002E-4</c:v>
                </c:pt>
                <c:pt idx="43">
                  <c:v>1.2780000000000001E-3</c:v>
                </c:pt>
                <c:pt idx="44">
                  <c:v>5.0500000000000002E-4</c:v>
                </c:pt>
                <c:pt idx="45">
                  <c:v>6.3000000000000003E-4</c:v>
                </c:pt>
                <c:pt idx="46">
                  <c:v>3.4900000000000003E-4</c:v>
                </c:pt>
                <c:pt idx="47">
                  <c:v>2.2699999999999999E-4</c:v>
                </c:pt>
                <c:pt idx="48">
                  <c:v>9.2999999999999997E-5</c:v>
                </c:pt>
                <c:pt idx="49">
                  <c:v>6.2000000000000003E-5</c:v>
                </c:pt>
                <c:pt idx="50">
                  <c:v>6.4700000000000001E-4</c:v>
                </c:pt>
                <c:pt idx="51">
                  <c:v>1.75E-4</c:v>
                </c:pt>
                <c:pt idx="52">
                  <c:v>1.22E-4</c:v>
                </c:pt>
                <c:pt idx="53">
                  <c:v>9.8999999999999994E-5</c:v>
                </c:pt>
                <c:pt idx="54">
                  <c:v>1.85E-4</c:v>
                </c:pt>
                <c:pt idx="55">
                  <c:v>2.22E-4</c:v>
                </c:pt>
                <c:pt idx="56">
                  <c:v>1.85E-4</c:v>
                </c:pt>
                <c:pt idx="57">
                  <c:v>1.8799999999999999E-4</c:v>
                </c:pt>
                <c:pt idx="58">
                  <c:v>6.0400000000000004E-4</c:v>
                </c:pt>
                <c:pt idx="59">
                  <c:v>3.0299999999999999E-4</c:v>
                </c:pt>
                <c:pt idx="60">
                  <c:v>1.13E-4</c:v>
                </c:pt>
                <c:pt idx="61">
                  <c:v>1.286E-3</c:v>
                </c:pt>
                <c:pt idx="62">
                  <c:v>4.9799999999999996E-4</c:v>
                </c:pt>
                <c:pt idx="63">
                  <c:v>2.5999999999999998E-5</c:v>
                </c:pt>
                <c:pt idx="64">
                  <c:v>3.614E-3</c:v>
                </c:pt>
                <c:pt idx="65">
                  <c:v>1.297E-3</c:v>
                </c:pt>
                <c:pt idx="66">
                  <c:v>8.0900000000000004E-4</c:v>
                </c:pt>
                <c:pt idx="67">
                  <c:v>6.4199999999999999E-4</c:v>
                </c:pt>
                <c:pt idx="68">
                  <c:v>5.9999999999999995E-4</c:v>
                </c:pt>
                <c:pt idx="69">
                  <c:v>1.4829999999999999E-3</c:v>
                </c:pt>
                <c:pt idx="70">
                  <c:v>6.4700000000000001E-4</c:v>
                </c:pt>
                <c:pt idx="71">
                  <c:v>4.7600000000000002E-4</c:v>
                </c:pt>
                <c:pt idx="72">
                  <c:v>1.56E-4</c:v>
                </c:pt>
                <c:pt idx="73">
                  <c:v>1.65E-4</c:v>
                </c:pt>
                <c:pt idx="74">
                  <c:v>3.86E-4</c:v>
                </c:pt>
                <c:pt idx="75">
                  <c:v>1.6799999999999999E-4</c:v>
                </c:pt>
                <c:pt idx="76">
                  <c:v>5.8E-5</c:v>
                </c:pt>
                <c:pt idx="77">
                  <c:v>3.5599999999999998E-4</c:v>
                </c:pt>
                <c:pt idx="78">
                  <c:v>1.3100000000000001E-4</c:v>
                </c:pt>
                <c:pt idx="79">
                  <c:v>1.5999999999999999E-5</c:v>
                </c:pt>
                <c:pt idx="80">
                  <c:v>1.64E-4</c:v>
                </c:pt>
                <c:pt idx="81">
                  <c:v>1.5799999999999999E-4</c:v>
                </c:pt>
                <c:pt idx="82">
                  <c:v>2.4399999999999999E-4</c:v>
                </c:pt>
                <c:pt idx="83">
                  <c:v>2.1800000000000001E-4</c:v>
                </c:pt>
                <c:pt idx="84">
                  <c:v>2.1999999999999999E-5</c:v>
                </c:pt>
                <c:pt idx="85">
                  <c:v>1.7799999999999999E-4</c:v>
                </c:pt>
                <c:pt idx="86">
                  <c:v>5.4799999999999998E-4</c:v>
                </c:pt>
                <c:pt idx="87">
                  <c:v>9.9400000000000009E-4</c:v>
                </c:pt>
                <c:pt idx="88">
                  <c:v>2.5460000000000001E-3</c:v>
                </c:pt>
                <c:pt idx="89">
                  <c:v>1.016E-3</c:v>
                </c:pt>
                <c:pt idx="90">
                  <c:v>2.8E-5</c:v>
                </c:pt>
                <c:pt idx="91">
                  <c:v>5.8900000000000001E-4</c:v>
                </c:pt>
                <c:pt idx="92">
                  <c:v>4.8200000000000001E-4</c:v>
                </c:pt>
                <c:pt idx="93">
                  <c:v>3.2000000000000003E-4</c:v>
                </c:pt>
                <c:pt idx="94">
                  <c:v>5.9199999999999997E-4</c:v>
                </c:pt>
                <c:pt idx="95">
                  <c:v>7.4999999999999993E-5</c:v>
                </c:pt>
                <c:pt idx="96">
                  <c:v>4.3660000000000001E-3</c:v>
                </c:pt>
                <c:pt idx="97">
                  <c:v>5.0000000000000001E-4</c:v>
                </c:pt>
                <c:pt idx="98">
                  <c:v>1.9900000000000001E-4</c:v>
                </c:pt>
                <c:pt idx="99">
                  <c:v>3.3799999999999998E-4</c:v>
                </c:pt>
                <c:pt idx="100">
                  <c:v>3.4400000000000001E-4</c:v>
                </c:pt>
                <c:pt idx="101">
                  <c:v>4.2099999999999999E-4</c:v>
                </c:pt>
                <c:pt idx="102">
                  <c:v>3.0499999999999999E-4</c:v>
                </c:pt>
                <c:pt idx="103">
                  <c:v>5.1500000000000005E-4</c:v>
                </c:pt>
                <c:pt idx="104">
                  <c:v>1.2300000000000001E-4</c:v>
                </c:pt>
                <c:pt idx="105">
                  <c:v>3.4999999999999997E-5</c:v>
                </c:pt>
                <c:pt idx="106">
                  <c:v>5.13E-4</c:v>
                </c:pt>
                <c:pt idx="107">
                  <c:v>3.6999999999999999E-4</c:v>
                </c:pt>
                <c:pt idx="108">
                  <c:v>5.8699999999999996E-4</c:v>
                </c:pt>
                <c:pt idx="109">
                  <c:v>2.9300000000000002E-4</c:v>
                </c:pt>
                <c:pt idx="110">
                  <c:v>4.5100000000000001E-4</c:v>
                </c:pt>
                <c:pt idx="111">
                  <c:v>2.1900000000000001E-4</c:v>
                </c:pt>
                <c:pt idx="112">
                  <c:v>9.9599999999999992E-4</c:v>
                </c:pt>
                <c:pt idx="113">
                  <c:v>5.2099999999999998E-4</c:v>
                </c:pt>
                <c:pt idx="114">
                  <c:v>2.006E-3</c:v>
                </c:pt>
                <c:pt idx="115">
                  <c:v>4.3899999999999999E-4</c:v>
                </c:pt>
                <c:pt idx="116">
                  <c:v>3.9399999999999998E-4</c:v>
                </c:pt>
                <c:pt idx="117">
                  <c:v>7.6099999999999996E-4</c:v>
                </c:pt>
                <c:pt idx="118">
                  <c:v>4.6299999999999998E-4</c:v>
                </c:pt>
                <c:pt idx="119">
                  <c:v>3.4E-5</c:v>
                </c:pt>
                <c:pt idx="120">
                  <c:v>1.56E-4</c:v>
                </c:pt>
                <c:pt idx="121">
                  <c:v>2.7599999999999999E-4</c:v>
                </c:pt>
                <c:pt idx="122">
                  <c:v>5.0699999999999996E-4</c:v>
                </c:pt>
                <c:pt idx="123">
                  <c:v>2.0699999999999999E-4</c:v>
                </c:pt>
                <c:pt idx="124">
                  <c:v>2.7E-4</c:v>
                </c:pt>
                <c:pt idx="125">
                  <c:v>2.4000000000000001E-5</c:v>
                </c:pt>
                <c:pt idx="126">
                  <c:v>1.5899999999999999E-4</c:v>
                </c:pt>
                <c:pt idx="127">
                  <c:v>1.9599999999999999E-4</c:v>
                </c:pt>
                <c:pt idx="128">
                  <c:v>2.7700000000000001E-4</c:v>
                </c:pt>
                <c:pt idx="129">
                  <c:v>1.7780000000000001E-3</c:v>
                </c:pt>
                <c:pt idx="130">
                  <c:v>6.6200000000000005E-4</c:v>
                </c:pt>
                <c:pt idx="131">
                  <c:v>4.8999999999999998E-5</c:v>
                </c:pt>
                <c:pt idx="132">
                  <c:v>8.1000000000000004E-5</c:v>
                </c:pt>
                <c:pt idx="133">
                  <c:v>3.7100000000000002E-4</c:v>
                </c:pt>
                <c:pt idx="134">
                  <c:v>3.8200000000000002E-4</c:v>
                </c:pt>
                <c:pt idx="135">
                  <c:v>2.7099999999999997E-4</c:v>
                </c:pt>
                <c:pt idx="136">
                  <c:v>2.3599999999999999E-4</c:v>
                </c:pt>
                <c:pt idx="137">
                  <c:v>1.8699999999999999E-4</c:v>
                </c:pt>
                <c:pt idx="138">
                  <c:v>4.1E-5</c:v>
                </c:pt>
                <c:pt idx="139">
                  <c:v>2.4499999999999999E-4</c:v>
                </c:pt>
                <c:pt idx="140">
                  <c:v>4.84E-4</c:v>
                </c:pt>
                <c:pt idx="141">
                  <c:v>7.6499999999999995E-4</c:v>
                </c:pt>
                <c:pt idx="142">
                  <c:v>4.1E-5</c:v>
                </c:pt>
                <c:pt idx="143">
                  <c:v>4.75E-4</c:v>
                </c:pt>
                <c:pt idx="144">
                  <c:v>3.0219999999999999E-3</c:v>
                </c:pt>
                <c:pt idx="145">
                  <c:v>3.0000000000000001E-6</c:v>
                </c:pt>
                <c:pt idx="146">
                  <c:v>2.2000000000000001E-4</c:v>
                </c:pt>
                <c:pt idx="147">
                  <c:v>3.4099999999999999E-4</c:v>
                </c:pt>
                <c:pt idx="148">
                  <c:v>2.5799999999999998E-4</c:v>
                </c:pt>
                <c:pt idx="149">
                  <c:v>4.1899999999999999E-4</c:v>
                </c:pt>
                <c:pt idx="150">
                  <c:v>1.83E-4</c:v>
                </c:pt>
                <c:pt idx="151">
                  <c:v>1.0939999999999999E-3</c:v>
                </c:pt>
                <c:pt idx="152">
                  <c:v>5.0799999999999999E-4</c:v>
                </c:pt>
                <c:pt idx="153">
                  <c:v>3.3199999999999999E-4</c:v>
                </c:pt>
                <c:pt idx="154">
                  <c:v>1.835E-3</c:v>
                </c:pt>
                <c:pt idx="155">
                  <c:v>6.0899999999999995E-4</c:v>
                </c:pt>
                <c:pt idx="156">
                  <c:v>6.11E-4</c:v>
                </c:pt>
                <c:pt idx="157">
                  <c:v>3.4900000000000003E-4</c:v>
                </c:pt>
                <c:pt idx="158">
                  <c:v>6.9899999999999997E-4</c:v>
                </c:pt>
                <c:pt idx="159">
                  <c:v>3.9599999999999998E-4</c:v>
                </c:pt>
                <c:pt idx="160">
                  <c:v>6.29E-4</c:v>
                </c:pt>
                <c:pt idx="161">
                  <c:v>5.2700000000000002E-4</c:v>
                </c:pt>
                <c:pt idx="162">
                  <c:v>7.8700000000000005E-4</c:v>
                </c:pt>
                <c:pt idx="163">
                  <c:v>4.6000000000000001E-4</c:v>
                </c:pt>
                <c:pt idx="164">
                  <c:v>1.689E-3</c:v>
                </c:pt>
                <c:pt idx="165">
                  <c:v>4.5100000000000001E-4</c:v>
                </c:pt>
                <c:pt idx="166">
                  <c:v>8.8800000000000001E-4</c:v>
                </c:pt>
                <c:pt idx="167">
                  <c:v>1.5200000000000001E-4</c:v>
                </c:pt>
                <c:pt idx="168">
                  <c:v>2.02E-4</c:v>
                </c:pt>
                <c:pt idx="169">
                  <c:v>1.54E-4</c:v>
                </c:pt>
                <c:pt idx="170">
                  <c:v>1.2899999999999999E-4</c:v>
                </c:pt>
                <c:pt idx="171">
                  <c:v>2.7E-4</c:v>
                </c:pt>
                <c:pt idx="172">
                  <c:v>3.59E-4</c:v>
                </c:pt>
                <c:pt idx="173">
                  <c:v>2.3499999999999999E-4</c:v>
                </c:pt>
                <c:pt idx="174">
                  <c:v>8.2999999999999998E-5</c:v>
                </c:pt>
                <c:pt idx="175">
                  <c:v>5.4600000000000004E-4</c:v>
                </c:pt>
                <c:pt idx="176">
                  <c:v>2.3599999999999999E-4</c:v>
                </c:pt>
                <c:pt idx="177">
                  <c:v>2.1499999999999999E-4</c:v>
                </c:pt>
                <c:pt idx="178">
                  <c:v>5.1500000000000005E-4</c:v>
                </c:pt>
                <c:pt idx="179">
                  <c:v>4.28E-4</c:v>
                </c:pt>
                <c:pt idx="180">
                  <c:v>9.7199999999999999E-4</c:v>
                </c:pt>
                <c:pt idx="181">
                  <c:v>2.9100000000000003E-4</c:v>
                </c:pt>
                <c:pt idx="182">
                  <c:v>4.0099999999999999E-4</c:v>
                </c:pt>
                <c:pt idx="183">
                  <c:v>5.9299999999999999E-4</c:v>
                </c:pt>
                <c:pt idx="184">
                  <c:v>1.0020000000000001E-3</c:v>
                </c:pt>
                <c:pt idx="185">
                  <c:v>5.4799999999999998E-4</c:v>
                </c:pt>
                <c:pt idx="186">
                  <c:v>3.9599999999999998E-4</c:v>
                </c:pt>
                <c:pt idx="187">
                  <c:v>1.3899999999999999E-4</c:v>
                </c:pt>
                <c:pt idx="188">
                  <c:v>1.0380000000000001E-3</c:v>
                </c:pt>
                <c:pt idx="189">
                  <c:v>1.026E-3</c:v>
                </c:pt>
                <c:pt idx="190">
                  <c:v>4.84E-4</c:v>
                </c:pt>
                <c:pt idx="191">
                  <c:v>3.7300000000000001E-4</c:v>
                </c:pt>
                <c:pt idx="192">
                  <c:v>2.8760000000000001E-3</c:v>
                </c:pt>
                <c:pt idx="193">
                  <c:v>1.8000000000000001E-4</c:v>
                </c:pt>
                <c:pt idx="194">
                  <c:v>3.79E-4</c:v>
                </c:pt>
                <c:pt idx="195">
                  <c:v>1.26E-4</c:v>
                </c:pt>
                <c:pt idx="196">
                  <c:v>7.5100000000000004E-4</c:v>
                </c:pt>
                <c:pt idx="197">
                  <c:v>2.0000000000000001E-4</c:v>
                </c:pt>
                <c:pt idx="198">
                  <c:v>2.8699999999999998E-4</c:v>
                </c:pt>
                <c:pt idx="199">
                  <c:v>5.71E-4</c:v>
                </c:pt>
                <c:pt idx="200">
                  <c:v>4.08E-4</c:v>
                </c:pt>
                <c:pt idx="201">
                  <c:v>3.2200000000000002E-4</c:v>
                </c:pt>
                <c:pt idx="202">
                  <c:v>2.2499999999999999E-4</c:v>
                </c:pt>
                <c:pt idx="203">
                  <c:v>8.4099999999999995E-4</c:v>
                </c:pt>
                <c:pt idx="204">
                  <c:v>3.8099999999999999E-4</c:v>
                </c:pt>
                <c:pt idx="205">
                  <c:v>5.0000000000000001E-4</c:v>
                </c:pt>
                <c:pt idx="206">
                  <c:v>1.7799999999999999E-4</c:v>
                </c:pt>
                <c:pt idx="207">
                  <c:v>5.8100000000000003E-4</c:v>
                </c:pt>
                <c:pt idx="208">
                  <c:v>7.0200000000000004E-4</c:v>
                </c:pt>
                <c:pt idx="209">
                  <c:v>1.7979999999999999E-3</c:v>
                </c:pt>
                <c:pt idx="210">
                  <c:v>7.9600000000000005E-4</c:v>
                </c:pt>
                <c:pt idx="211">
                  <c:v>1.5380000000000001E-3</c:v>
                </c:pt>
                <c:pt idx="212">
                  <c:v>1.35E-4</c:v>
                </c:pt>
                <c:pt idx="213">
                  <c:v>6.5760000000000002E-3</c:v>
                </c:pt>
                <c:pt idx="214">
                  <c:v>2.4689999999999998E-3</c:v>
                </c:pt>
                <c:pt idx="215">
                  <c:v>2.0769999999999999E-3</c:v>
                </c:pt>
                <c:pt idx="216">
                  <c:v>5.6899999999999995E-4</c:v>
                </c:pt>
                <c:pt idx="217">
                  <c:v>4.5800000000000002E-4</c:v>
                </c:pt>
                <c:pt idx="218">
                  <c:v>3.8200000000000002E-4</c:v>
                </c:pt>
                <c:pt idx="219">
                  <c:v>5.3399999999999997E-4</c:v>
                </c:pt>
                <c:pt idx="220">
                  <c:v>3.9599999999999998E-4</c:v>
                </c:pt>
                <c:pt idx="221">
                  <c:v>2.3800000000000001E-4</c:v>
                </c:pt>
                <c:pt idx="222">
                  <c:v>8.0800000000000002E-4</c:v>
                </c:pt>
                <c:pt idx="223">
                  <c:v>7.6400000000000003E-4</c:v>
                </c:pt>
                <c:pt idx="224">
                  <c:v>8.5700000000000001E-4</c:v>
                </c:pt>
                <c:pt idx="225">
                  <c:v>1.75E-4</c:v>
                </c:pt>
                <c:pt idx="226">
                  <c:v>4.1E-5</c:v>
                </c:pt>
                <c:pt idx="227">
                  <c:v>8.1899999999999996E-4</c:v>
                </c:pt>
                <c:pt idx="228">
                  <c:v>2.0000000000000001E-4</c:v>
                </c:pt>
                <c:pt idx="229">
                  <c:v>3.6499999999999998E-4</c:v>
                </c:pt>
                <c:pt idx="230">
                  <c:v>9.2199999999999997E-4</c:v>
                </c:pt>
                <c:pt idx="231">
                  <c:v>9.5E-4</c:v>
                </c:pt>
                <c:pt idx="232">
                  <c:v>4.1970000000000002E-3</c:v>
                </c:pt>
                <c:pt idx="233">
                  <c:v>7.9000000000000001E-4</c:v>
                </c:pt>
                <c:pt idx="234">
                  <c:v>3.7599999999999998E-4</c:v>
                </c:pt>
                <c:pt idx="235">
                  <c:v>8.7999999999999998E-5</c:v>
                </c:pt>
                <c:pt idx="236">
                  <c:v>7.5100000000000004E-4</c:v>
                </c:pt>
                <c:pt idx="237">
                  <c:v>7.5699999999999997E-4</c:v>
                </c:pt>
                <c:pt idx="238">
                  <c:v>1.2949999999999999E-3</c:v>
                </c:pt>
                <c:pt idx="239">
                  <c:v>1.0889999999999999E-3</c:v>
                </c:pt>
                <c:pt idx="240">
                  <c:v>3.1100000000000002E-4</c:v>
                </c:pt>
                <c:pt idx="241">
                  <c:v>6.6399999999999999E-4</c:v>
                </c:pt>
                <c:pt idx="242">
                  <c:v>7.2999999999999999E-5</c:v>
                </c:pt>
                <c:pt idx="243">
                  <c:v>6.7199999999999996E-4</c:v>
                </c:pt>
                <c:pt idx="244">
                  <c:v>2.7799999999999998E-4</c:v>
                </c:pt>
                <c:pt idx="245">
                  <c:v>4.5000000000000003E-5</c:v>
                </c:pt>
                <c:pt idx="246">
                  <c:v>2.3499999999999999E-4</c:v>
                </c:pt>
                <c:pt idx="247">
                  <c:v>2.9599999999999998E-4</c:v>
                </c:pt>
                <c:pt idx="248">
                  <c:v>8.8199999999999997E-4</c:v>
                </c:pt>
                <c:pt idx="249">
                  <c:v>1.07E-4</c:v>
                </c:pt>
                <c:pt idx="250">
                  <c:v>2.04E-4</c:v>
                </c:pt>
                <c:pt idx="251">
                  <c:v>1.1490000000000001E-3</c:v>
                </c:pt>
                <c:pt idx="252">
                  <c:v>1.238E-3</c:v>
                </c:pt>
                <c:pt idx="253">
                  <c:v>1.2310000000000001E-3</c:v>
                </c:pt>
                <c:pt idx="254">
                  <c:v>9.6299999999999999E-4</c:v>
                </c:pt>
                <c:pt idx="255">
                  <c:v>5.9299999999999999E-4</c:v>
                </c:pt>
                <c:pt idx="256">
                  <c:v>5.2999999999999998E-4</c:v>
                </c:pt>
                <c:pt idx="257">
                  <c:v>2.99E-4</c:v>
                </c:pt>
                <c:pt idx="258">
                  <c:v>4.1999999999999998E-5</c:v>
                </c:pt>
                <c:pt idx="259">
                  <c:v>5.6400000000000005E-4</c:v>
                </c:pt>
                <c:pt idx="260">
                  <c:v>1.45E-4</c:v>
                </c:pt>
                <c:pt idx="261">
                  <c:v>8.6000000000000003E-5</c:v>
                </c:pt>
                <c:pt idx="262">
                  <c:v>6.5700000000000003E-4</c:v>
                </c:pt>
                <c:pt idx="263">
                  <c:v>2.34E-4</c:v>
                </c:pt>
                <c:pt idx="264">
                  <c:v>5.7000000000000003E-5</c:v>
                </c:pt>
                <c:pt idx="265">
                  <c:v>6.3999999999999997E-5</c:v>
                </c:pt>
                <c:pt idx="266">
                  <c:v>4.2999999999999999E-4</c:v>
                </c:pt>
                <c:pt idx="267">
                  <c:v>5.4299999999999997E-4</c:v>
                </c:pt>
                <c:pt idx="268">
                  <c:v>5.7000000000000003E-5</c:v>
                </c:pt>
                <c:pt idx="269">
                  <c:v>4.7699999999999999E-4</c:v>
                </c:pt>
                <c:pt idx="270">
                  <c:v>1.6100000000000001E-4</c:v>
                </c:pt>
                <c:pt idx="271">
                  <c:v>3.2699999999999998E-4</c:v>
                </c:pt>
                <c:pt idx="272">
                  <c:v>1.83E-4</c:v>
                </c:pt>
                <c:pt idx="273">
                  <c:v>1.8799999999999999E-4</c:v>
                </c:pt>
                <c:pt idx="274">
                  <c:v>8.0199999999999998E-4</c:v>
                </c:pt>
                <c:pt idx="275">
                  <c:v>3.6319999999999998E-3</c:v>
                </c:pt>
                <c:pt idx="276">
                  <c:v>1.91E-3</c:v>
                </c:pt>
                <c:pt idx="277">
                  <c:v>2.12E-4</c:v>
                </c:pt>
                <c:pt idx="278">
                  <c:v>1.8469999999999999E-3</c:v>
                </c:pt>
                <c:pt idx="279">
                  <c:v>6.02E-4</c:v>
                </c:pt>
                <c:pt idx="280">
                  <c:v>8.0000000000000004E-4</c:v>
                </c:pt>
                <c:pt idx="281">
                  <c:v>1.2899999999999999E-3</c:v>
                </c:pt>
                <c:pt idx="282">
                  <c:v>2.7599999999999999E-4</c:v>
                </c:pt>
                <c:pt idx="283">
                  <c:v>5.6999999999999998E-4</c:v>
                </c:pt>
                <c:pt idx="284">
                  <c:v>7.0500000000000001E-4</c:v>
                </c:pt>
                <c:pt idx="285">
                  <c:v>5.6999999999999998E-4</c:v>
                </c:pt>
                <c:pt idx="286">
                  <c:v>1.84E-4</c:v>
                </c:pt>
                <c:pt idx="287">
                  <c:v>3.0499999999999999E-4</c:v>
                </c:pt>
                <c:pt idx="289">
                  <c:v>3.6699999999999998E-4</c:v>
                </c:pt>
                <c:pt idx="290">
                  <c:v>1.66E-4</c:v>
                </c:pt>
                <c:pt idx="291">
                  <c:v>4.5000000000000003E-5</c:v>
                </c:pt>
                <c:pt idx="292">
                  <c:v>5.1999999999999995E-4</c:v>
                </c:pt>
                <c:pt idx="293">
                  <c:v>3.3700000000000001E-4</c:v>
                </c:pt>
                <c:pt idx="294">
                  <c:v>1.0939999999999999E-3</c:v>
                </c:pt>
                <c:pt idx="295">
                  <c:v>2.5900000000000001E-4</c:v>
                </c:pt>
                <c:pt idx="296">
                  <c:v>2.3E-5</c:v>
                </c:pt>
                <c:pt idx="297">
                  <c:v>8.2899999999999998E-4</c:v>
                </c:pt>
                <c:pt idx="298">
                  <c:v>5.9699999999999998E-4</c:v>
                </c:pt>
                <c:pt idx="299">
                  <c:v>8.9800000000000004E-4</c:v>
                </c:pt>
                <c:pt idx="300">
                  <c:v>4.2299999999999998E-4</c:v>
                </c:pt>
                <c:pt idx="301">
                  <c:v>3.3799999999999998E-4</c:v>
                </c:pt>
                <c:pt idx="302">
                  <c:v>2.2499999999999999E-4</c:v>
                </c:pt>
                <c:pt idx="303">
                  <c:v>2.3499999999999999E-4</c:v>
                </c:pt>
                <c:pt idx="304">
                  <c:v>4.7699999999999999E-4</c:v>
                </c:pt>
                <c:pt idx="305">
                  <c:v>9.19E-4</c:v>
                </c:pt>
                <c:pt idx="306">
                  <c:v>7.7300000000000003E-4</c:v>
                </c:pt>
                <c:pt idx="307">
                  <c:v>6.5899999999999997E-4</c:v>
                </c:pt>
                <c:pt idx="308">
                  <c:v>1.15E-4</c:v>
                </c:pt>
                <c:pt idx="309">
                  <c:v>1.5920000000000001E-3</c:v>
                </c:pt>
                <c:pt idx="310">
                  <c:v>2.7099999999999997E-4</c:v>
                </c:pt>
                <c:pt idx="311">
                  <c:v>2.702E-3</c:v>
                </c:pt>
                <c:pt idx="312">
                  <c:v>1.1709999999999999E-3</c:v>
                </c:pt>
                <c:pt idx="313">
                  <c:v>4.4999999999999999E-4</c:v>
                </c:pt>
                <c:pt idx="314">
                  <c:v>7.8999999999999996E-5</c:v>
                </c:pt>
                <c:pt idx="315">
                  <c:v>1.01E-4</c:v>
                </c:pt>
                <c:pt idx="316">
                  <c:v>5.6400000000000005E-4</c:v>
                </c:pt>
                <c:pt idx="317">
                  <c:v>3.6699999999999998E-4</c:v>
                </c:pt>
                <c:pt idx="318">
                  <c:v>1.2E-4</c:v>
                </c:pt>
                <c:pt idx="319">
                  <c:v>1.3999999999999999E-4</c:v>
                </c:pt>
                <c:pt idx="320">
                  <c:v>1.11E-4</c:v>
                </c:pt>
                <c:pt idx="321">
                  <c:v>3.1999999999999999E-5</c:v>
                </c:pt>
                <c:pt idx="322">
                  <c:v>3.7500000000000001E-4</c:v>
                </c:pt>
                <c:pt idx="323">
                  <c:v>3.1000000000000001E-5</c:v>
                </c:pt>
                <c:pt idx="324">
                  <c:v>1.2780000000000001E-3</c:v>
                </c:pt>
                <c:pt idx="325">
                  <c:v>3.57E-4</c:v>
                </c:pt>
                <c:pt idx="326">
                  <c:v>6.9999999999999999E-6</c:v>
                </c:pt>
                <c:pt idx="327">
                  <c:v>7.4999999999999993E-5</c:v>
                </c:pt>
                <c:pt idx="328">
                  <c:v>1.3879999999999999E-3</c:v>
                </c:pt>
                <c:pt idx="329">
                  <c:v>1.6559999999999999E-3</c:v>
                </c:pt>
                <c:pt idx="330">
                  <c:v>1.6329999999999999E-3</c:v>
                </c:pt>
                <c:pt idx="331">
                  <c:v>1.3100000000000001E-4</c:v>
                </c:pt>
                <c:pt idx="332">
                  <c:v>1.1E-4</c:v>
                </c:pt>
                <c:pt idx="333">
                  <c:v>8.3600000000000005E-4</c:v>
                </c:pt>
                <c:pt idx="334">
                  <c:v>5.3499999999999999E-4</c:v>
                </c:pt>
                <c:pt idx="335">
                  <c:v>4.44E-4</c:v>
                </c:pt>
              </c:numCache>
            </c:numRef>
          </c:val>
          <c:smooth val="0"/>
        </c:ser>
        <c:ser>
          <c:idx val="1"/>
          <c:order val="1"/>
          <c:tx>
            <c:strRef>
              <c:f>TradeError!$C$3</c:f>
              <c:strCache>
                <c:ptCount val="1"/>
                <c:pt idx="0">
                  <c:v>errorL</c:v>
                </c:pt>
              </c:strCache>
            </c:strRef>
          </c:tx>
          <c:spPr>
            <a:ln w="28575" cap="rnd">
              <a:solidFill>
                <a:schemeClr val="accent2"/>
              </a:solidFill>
              <a:round/>
            </a:ln>
            <a:effectLst/>
          </c:spPr>
          <c:marker>
            <c:symbol val="none"/>
          </c:marker>
          <c:cat>
            <c:strRef>
              <c:f>TradeError!$A$4:$A$340</c:f>
              <c:strCache>
                <c:ptCount val="336"/>
                <c:pt idx="0">
                  <c:v>2018-07-06 23:00</c:v>
                </c:pt>
                <c:pt idx="1">
                  <c:v>2018-07-09 00:00</c:v>
                </c:pt>
                <c:pt idx="2">
                  <c:v>2018-07-09 01:00</c:v>
                </c:pt>
                <c:pt idx="3">
                  <c:v>2018-07-09 02:00</c:v>
                </c:pt>
                <c:pt idx="4">
                  <c:v>2018-07-09 03:00</c:v>
                </c:pt>
                <c:pt idx="5">
                  <c:v>2018-07-09 04:00</c:v>
                </c:pt>
                <c:pt idx="6">
                  <c:v>2018-07-09 05:00</c:v>
                </c:pt>
                <c:pt idx="7">
                  <c:v>2018-07-09 06:00</c:v>
                </c:pt>
                <c:pt idx="8">
                  <c:v>2018-07-09 07:00</c:v>
                </c:pt>
                <c:pt idx="9">
                  <c:v>2018-07-09 08:00</c:v>
                </c:pt>
                <c:pt idx="10">
                  <c:v>2018-07-09 09:00</c:v>
                </c:pt>
                <c:pt idx="11">
                  <c:v>2018-07-09 10:00</c:v>
                </c:pt>
                <c:pt idx="12">
                  <c:v>2018-07-09 11:00</c:v>
                </c:pt>
                <c:pt idx="13">
                  <c:v>2018-07-09 12:00</c:v>
                </c:pt>
                <c:pt idx="14">
                  <c:v>2018-07-09 13:00</c:v>
                </c:pt>
                <c:pt idx="15">
                  <c:v>2018-07-09 14:00</c:v>
                </c:pt>
                <c:pt idx="16">
                  <c:v>2018-07-09 15:00</c:v>
                </c:pt>
                <c:pt idx="17">
                  <c:v>2018-07-09 16:00</c:v>
                </c:pt>
                <c:pt idx="18">
                  <c:v>2018-07-09 17:00</c:v>
                </c:pt>
                <c:pt idx="19">
                  <c:v>2018-07-09 18:00</c:v>
                </c:pt>
                <c:pt idx="20">
                  <c:v>2018-07-09 19:00</c:v>
                </c:pt>
                <c:pt idx="21">
                  <c:v>2018-07-09 20:00</c:v>
                </c:pt>
                <c:pt idx="22">
                  <c:v>2018-07-09 21:00</c:v>
                </c:pt>
                <c:pt idx="23">
                  <c:v>2018-07-09 22:00</c:v>
                </c:pt>
                <c:pt idx="24">
                  <c:v>2018-07-09 23:00</c:v>
                </c:pt>
                <c:pt idx="25">
                  <c:v>2018-07-10 00:00</c:v>
                </c:pt>
                <c:pt idx="26">
                  <c:v>2018-07-10 01:00</c:v>
                </c:pt>
                <c:pt idx="27">
                  <c:v>2018-07-10 02:00</c:v>
                </c:pt>
                <c:pt idx="28">
                  <c:v>2018-07-10 03:00</c:v>
                </c:pt>
                <c:pt idx="29">
                  <c:v>2018-07-10 04:00</c:v>
                </c:pt>
                <c:pt idx="30">
                  <c:v>2018-07-10 05:00</c:v>
                </c:pt>
                <c:pt idx="31">
                  <c:v>2018-07-10 06:00</c:v>
                </c:pt>
                <c:pt idx="32">
                  <c:v>2018-07-10 07:00</c:v>
                </c:pt>
                <c:pt idx="33">
                  <c:v>2018-07-10 08:00</c:v>
                </c:pt>
                <c:pt idx="34">
                  <c:v>2018-07-10 09:00</c:v>
                </c:pt>
                <c:pt idx="35">
                  <c:v>2018-07-10 10:00</c:v>
                </c:pt>
                <c:pt idx="36">
                  <c:v>2018-07-10 11:00</c:v>
                </c:pt>
                <c:pt idx="37">
                  <c:v>2018-07-10 12:00</c:v>
                </c:pt>
                <c:pt idx="38">
                  <c:v>2018-07-10 13:00</c:v>
                </c:pt>
                <c:pt idx="39">
                  <c:v>2018-07-10 14:00</c:v>
                </c:pt>
                <c:pt idx="40">
                  <c:v>2018-07-10 15:00</c:v>
                </c:pt>
                <c:pt idx="41">
                  <c:v>2018-07-10 16:00</c:v>
                </c:pt>
                <c:pt idx="42">
                  <c:v>2018-07-10 17:00</c:v>
                </c:pt>
                <c:pt idx="43">
                  <c:v>2018-07-10 18:00</c:v>
                </c:pt>
                <c:pt idx="44">
                  <c:v>2018-07-10 19:00</c:v>
                </c:pt>
                <c:pt idx="45">
                  <c:v>2018-07-10 20:00</c:v>
                </c:pt>
                <c:pt idx="46">
                  <c:v>2018-07-10 21:00</c:v>
                </c:pt>
                <c:pt idx="47">
                  <c:v>2018-07-10 22:00</c:v>
                </c:pt>
                <c:pt idx="48">
                  <c:v>2018-07-10 23:00</c:v>
                </c:pt>
                <c:pt idx="49">
                  <c:v>2018-07-11 00:00</c:v>
                </c:pt>
                <c:pt idx="50">
                  <c:v>2018-07-11 01:00</c:v>
                </c:pt>
                <c:pt idx="51">
                  <c:v>2018-07-11 02:00</c:v>
                </c:pt>
                <c:pt idx="52">
                  <c:v>2018-07-11 03:00</c:v>
                </c:pt>
                <c:pt idx="53">
                  <c:v>2018-07-11 04:00</c:v>
                </c:pt>
                <c:pt idx="54">
                  <c:v>2018-07-11 05:00</c:v>
                </c:pt>
                <c:pt idx="55">
                  <c:v>2018-07-11 06:00</c:v>
                </c:pt>
                <c:pt idx="56">
                  <c:v>2018-07-11 07:00</c:v>
                </c:pt>
                <c:pt idx="57">
                  <c:v>2018-07-11 08:00</c:v>
                </c:pt>
                <c:pt idx="58">
                  <c:v>2018-07-11 09:00</c:v>
                </c:pt>
                <c:pt idx="59">
                  <c:v>2018-07-11 10:00</c:v>
                </c:pt>
                <c:pt idx="60">
                  <c:v>2018-07-11 11:00</c:v>
                </c:pt>
                <c:pt idx="61">
                  <c:v>2018-07-11 12:00</c:v>
                </c:pt>
                <c:pt idx="62">
                  <c:v>2018-07-11 13:00</c:v>
                </c:pt>
                <c:pt idx="63">
                  <c:v>2018-07-11 14:00</c:v>
                </c:pt>
                <c:pt idx="64">
                  <c:v>2018-07-11 15:00</c:v>
                </c:pt>
                <c:pt idx="65">
                  <c:v>2018-07-11 16:00</c:v>
                </c:pt>
                <c:pt idx="66">
                  <c:v>2018-07-11 17:00</c:v>
                </c:pt>
                <c:pt idx="67">
                  <c:v>2018-07-11 18:00</c:v>
                </c:pt>
                <c:pt idx="68">
                  <c:v>2018-07-11 19:00</c:v>
                </c:pt>
                <c:pt idx="69">
                  <c:v>2018-07-11 20:00</c:v>
                </c:pt>
                <c:pt idx="70">
                  <c:v>2018-07-11 21:00</c:v>
                </c:pt>
                <c:pt idx="71">
                  <c:v>2018-07-11 22:00</c:v>
                </c:pt>
                <c:pt idx="72">
                  <c:v>2018-07-11 23:00</c:v>
                </c:pt>
                <c:pt idx="73">
                  <c:v>2018-07-12 00:00</c:v>
                </c:pt>
                <c:pt idx="74">
                  <c:v>2018-07-12 01:00</c:v>
                </c:pt>
                <c:pt idx="75">
                  <c:v>2018-07-12 02:00</c:v>
                </c:pt>
                <c:pt idx="76">
                  <c:v>2018-07-12 03:00</c:v>
                </c:pt>
                <c:pt idx="77">
                  <c:v>2018-07-12 04:00</c:v>
                </c:pt>
                <c:pt idx="78">
                  <c:v>2018-07-12 05:00</c:v>
                </c:pt>
                <c:pt idx="79">
                  <c:v>2018-07-12 06:00</c:v>
                </c:pt>
                <c:pt idx="80">
                  <c:v>2018-07-12 07:00</c:v>
                </c:pt>
                <c:pt idx="81">
                  <c:v>2018-07-12 08:00</c:v>
                </c:pt>
                <c:pt idx="82">
                  <c:v>2018-07-12 09:00</c:v>
                </c:pt>
                <c:pt idx="83">
                  <c:v>2018-07-12 10:00</c:v>
                </c:pt>
                <c:pt idx="84">
                  <c:v>2018-07-12 11:00</c:v>
                </c:pt>
                <c:pt idx="85">
                  <c:v>2018-07-12 12:00</c:v>
                </c:pt>
                <c:pt idx="86">
                  <c:v>2018-07-12 13:00</c:v>
                </c:pt>
                <c:pt idx="87">
                  <c:v>2018-07-12 14:00</c:v>
                </c:pt>
                <c:pt idx="88">
                  <c:v>2018-07-12 15:00</c:v>
                </c:pt>
                <c:pt idx="89">
                  <c:v>2018-07-12 16:00</c:v>
                </c:pt>
                <c:pt idx="90">
                  <c:v>2018-07-12 17:00</c:v>
                </c:pt>
                <c:pt idx="91">
                  <c:v>2018-07-12 18:00</c:v>
                </c:pt>
                <c:pt idx="92">
                  <c:v>2018-07-12 19:00</c:v>
                </c:pt>
                <c:pt idx="93">
                  <c:v>2018-07-12 20:00</c:v>
                </c:pt>
                <c:pt idx="94">
                  <c:v>2018-07-12 21:00</c:v>
                </c:pt>
                <c:pt idx="95">
                  <c:v>2018-07-12 22:00</c:v>
                </c:pt>
                <c:pt idx="96">
                  <c:v>2018-07-12 23:00</c:v>
                </c:pt>
                <c:pt idx="97">
                  <c:v>2018-07-13 00:00</c:v>
                </c:pt>
                <c:pt idx="98">
                  <c:v>2018-07-13 01:00</c:v>
                </c:pt>
                <c:pt idx="99">
                  <c:v>2018-07-13 02:00</c:v>
                </c:pt>
                <c:pt idx="100">
                  <c:v>2018-07-13 03:00</c:v>
                </c:pt>
                <c:pt idx="101">
                  <c:v>2018-07-13 04:00</c:v>
                </c:pt>
                <c:pt idx="102">
                  <c:v>2018-07-13 05:00</c:v>
                </c:pt>
                <c:pt idx="103">
                  <c:v>2018-07-13 06:00</c:v>
                </c:pt>
                <c:pt idx="104">
                  <c:v>2018-07-13 07:00</c:v>
                </c:pt>
                <c:pt idx="105">
                  <c:v>2018-07-13 08:00</c:v>
                </c:pt>
                <c:pt idx="106">
                  <c:v>2018-07-13 09:00</c:v>
                </c:pt>
                <c:pt idx="107">
                  <c:v>2018-07-13 10:00</c:v>
                </c:pt>
                <c:pt idx="108">
                  <c:v>2018-07-13 11:00</c:v>
                </c:pt>
                <c:pt idx="109">
                  <c:v>2018-07-13 12:00</c:v>
                </c:pt>
                <c:pt idx="110">
                  <c:v>2018-07-13 13:00</c:v>
                </c:pt>
                <c:pt idx="111">
                  <c:v>2018-07-13 14:00</c:v>
                </c:pt>
                <c:pt idx="112">
                  <c:v>2018-07-13 15:00</c:v>
                </c:pt>
                <c:pt idx="113">
                  <c:v>2018-07-13 16:00</c:v>
                </c:pt>
                <c:pt idx="114">
                  <c:v>2018-07-13 17:00</c:v>
                </c:pt>
                <c:pt idx="115">
                  <c:v>2018-07-13 18:00</c:v>
                </c:pt>
                <c:pt idx="116">
                  <c:v>2018-07-13 19:00</c:v>
                </c:pt>
                <c:pt idx="117">
                  <c:v>2018-07-13 20:00</c:v>
                </c:pt>
                <c:pt idx="118">
                  <c:v>2018-07-13 21:00</c:v>
                </c:pt>
                <c:pt idx="119">
                  <c:v>2018-07-13 22:00</c:v>
                </c:pt>
                <c:pt idx="120">
                  <c:v>2018-07-13 23:00</c:v>
                </c:pt>
                <c:pt idx="121">
                  <c:v>2018-07-16 00:00</c:v>
                </c:pt>
                <c:pt idx="122">
                  <c:v>2018-07-16 01:00</c:v>
                </c:pt>
                <c:pt idx="123">
                  <c:v>2018-07-16 02:00</c:v>
                </c:pt>
                <c:pt idx="124">
                  <c:v>2018-07-16 03:00</c:v>
                </c:pt>
                <c:pt idx="125">
                  <c:v>2018-07-16 04:00</c:v>
                </c:pt>
                <c:pt idx="126">
                  <c:v>2018-07-16 05:00</c:v>
                </c:pt>
                <c:pt idx="127">
                  <c:v>2018-07-16 06:00</c:v>
                </c:pt>
                <c:pt idx="128">
                  <c:v>2018-07-16 07:00</c:v>
                </c:pt>
                <c:pt idx="129">
                  <c:v>2018-07-16 08:00</c:v>
                </c:pt>
                <c:pt idx="130">
                  <c:v>2018-07-16 09:00</c:v>
                </c:pt>
                <c:pt idx="131">
                  <c:v>2018-07-16 10:00</c:v>
                </c:pt>
                <c:pt idx="132">
                  <c:v>2018-07-16 11:00</c:v>
                </c:pt>
                <c:pt idx="133">
                  <c:v>2018-07-16 12:00</c:v>
                </c:pt>
                <c:pt idx="134">
                  <c:v>2018-07-16 13:00</c:v>
                </c:pt>
                <c:pt idx="135">
                  <c:v>2018-07-16 14:00</c:v>
                </c:pt>
                <c:pt idx="136">
                  <c:v>2018-07-16 15:00</c:v>
                </c:pt>
                <c:pt idx="137">
                  <c:v>2018-07-16 16:00</c:v>
                </c:pt>
                <c:pt idx="138">
                  <c:v>2018-07-16 17:00</c:v>
                </c:pt>
                <c:pt idx="139">
                  <c:v>2018-07-16 18:00</c:v>
                </c:pt>
                <c:pt idx="140">
                  <c:v>2018-07-16 19:00</c:v>
                </c:pt>
                <c:pt idx="141">
                  <c:v>2018-07-16 20:00</c:v>
                </c:pt>
                <c:pt idx="142">
                  <c:v>2018-07-16 21:00</c:v>
                </c:pt>
                <c:pt idx="143">
                  <c:v>2018-07-16 22:00</c:v>
                </c:pt>
                <c:pt idx="144">
                  <c:v>2018-07-16 23:00</c:v>
                </c:pt>
                <c:pt idx="145">
                  <c:v>2018-07-17 00:00</c:v>
                </c:pt>
                <c:pt idx="146">
                  <c:v>2018-07-17 01:00</c:v>
                </c:pt>
                <c:pt idx="147">
                  <c:v>2018-07-17 02:00</c:v>
                </c:pt>
                <c:pt idx="148">
                  <c:v>2018-07-17 03:00</c:v>
                </c:pt>
                <c:pt idx="149">
                  <c:v>2018-07-17 04:00</c:v>
                </c:pt>
                <c:pt idx="150">
                  <c:v>2018-07-17 05:00</c:v>
                </c:pt>
                <c:pt idx="151">
                  <c:v>2018-07-17 06:00</c:v>
                </c:pt>
                <c:pt idx="152">
                  <c:v>2018-07-17 07:00</c:v>
                </c:pt>
                <c:pt idx="153">
                  <c:v>2018-07-17 08:00</c:v>
                </c:pt>
                <c:pt idx="154">
                  <c:v>2018-07-17 09:00</c:v>
                </c:pt>
                <c:pt idx="155">
                  <c:v>2018-07-17 10:00</c:v>
                </c:pt>
                <c:pt idx="156">
                  <c:v>2018-07-17 11:00</c:v>
                </c:pt>
                <c:pt idx="157">
                  <c:v>2018-07-17 12:00</c:v>
                </c:pt>
                <c:pt idx="158">
                  <c:v>2018-07-17 13:00</c:v>
                </c:pt>
                <c:pt idx="159">
                  <c:v>2018-07-17 14:00</c:v>
                </c:pt>
                <c:pt idx="160">
                  <c:v>2018-07-17 15:00</c:v>
                </c:pt>
                <c:pt idx="161">
                  <c:v>2018-07-17 16:00</c:v>
                </c:pt>
                <c:pt idx="162">
                  <c:v>2018-07-17 17:00</c:v>
                </c:pt>
                <c:pt idx="163">
                  <c:v>2018-07-17 18:00</c:v>
                </c:pt>
                <c:pt idx="164">
                  <c:v>2018-07-17 19:00</c:v>
                </c:pt>
                <c:pt idx="165">
                  <c:v>2018-07-17 20:00</c:v>
                </c:pt>
                <c:pt idx="166">
                  <c:v>2018-07-17 21:00</c:v>
                </c:pt>
                <c:pt idx="167">
                  <c:v>2018-07-17 22:00</c:v>
                </c:pt>
                <c:pt idx="168">
                  <c:v>2018-07-17 23:00</c:v>
                </c:pt>
                <c:pt idx="169">
                  <c:v>2018-07-18 00:00</c:v>
                </c:pt>
                <c:pt idx="170">
                  <c:v>2018-07-18 01:00</c:v>
                </c:pt>
                <c:pt idx="171">
                  <c:v>2018-07-18 02:00</c:v>
                </c:pt>
                <c:pt idx="172">
                  <c:v>2018-07-18 03:00</c:v>
                </c:pt>
                <c:pt idx="173">
                  <c:v>2018-07-18 04:00</c:v>
                </c:pt>
                <c:pt idx="174">
                  <c:v>2018-07-18 05:00</c:v>
                </c:pt>
                <c:pt idx="175">
                  <c:v>2018-07-18 06:00</c:v>
                </c:pt>
                <c:pt idx="176">
                  <c:v>2018-07-18 07:00</c:v>
                </c:pt>
                <c:pt idx="177">
                  <c:v>2018-07-18 08:00</c:v>
                </c:pt>
                <c:pt idx="178">
                  <c:v>2018-07-18 09:00</c:v>
                </c:pt>
                <c:pt idx="179">
                  <c:v>2018-07-18 10:00</c:v>
                </c:pt>
                <c:pt idx="180">
                  <c:v>2018-07-18 11:00</c:v>
                </c:pt>
                <c:pt idx="181">
                  <c:v>2018-07-18 12:00</c:v>
                </c:pt>
                <c:pt idx="182">
                  <c:v>2018-07-18 13:00</c:v>
                </c:pt>
                <c:pt idx="183">
                  <c:v>2018-07-18 14:00</c:v>
                </c:pt>
                <c:pt idx="184">
                  <c:v>2018-07-18 15:00</c:v>
                </c:pt>
                <c:pt idx="185">
                  <c:v>2018-07-18 16:00</c:v>
                </c:pt>
                <c:pt idx="186">
                  <c:v>2018-07-18 17:00</c:v>
                </c:pt>
                <c:pt idx="187">
                  <c:v>2018-07-18 18:00</c:v>
                </c:pt>
                <c:pt idx="188">
                  <c:v>2018-07-18 19:00</c:v>
                </c:pt>
                <c:pt idx="189">
                  <c:v>2018-07-18 20:00</c:v>
                </c:pt>
                <c:pt idx="190">
                  <c:v>2018-07-18 21:00</c:v>
                </c:pt>
                <c:pt idx="191">
                  <c:v>2018-07-18 22:00</c:v>
                </c:pt>
                <c:pt idx="192">
                  <c:v>2018-07-18 23:00</c:v>
                </c:pt>
                <c:pt idx="193">
                  <c:v>2018-07-19 00:00</c:v>
                </c:pt>
                <c:pt idx="194">
                  <c:v>2018-07-19 01:00</c:v>
                </c:pt>
                <c:pt idx="195">
                  <c:v>2018-07-19 02:00</c:v>
                </c:pt>
                <c:pt idx="196">
                  <c:v>2018-07-19 03:00</c:v>
                </c:pt>
                <c:pt idx="197">
                  <c:v>2018-07-19 04:00</c:v>
                </c:pt>
                <c:pt idx="198">
                  <c:v>2018-07-19 05:00</c:v>
                </c:pt>
                <c:pt idx="199">
                  <c:v>2018-07-19 06:00</c:v>
                </c:pt>
                <c:pt idx="200">
                  <c:v>2018-07-19 07:00</c:v>
                </c:pt>
                <c:pt idx="201">
                  <c:v>2018-07-19 08:00</c:v>
                </c:pt>
                <c:pt idx="202">
                  <c:v>2018-07-19 09:00</c:v>
                </c:pt>
                <c:pt idx="203">
                  <c:v>2018-07-19 10:00</c:v>
                </c:pt>
                <c:pt idx="204">
                  <c:v>2018-07-19 11:00</c:v>
                </c:pt>
                <c:pt idx="205">
                  <c:v>2018-07-19 12:00</c:v>
                </c:pt>
                <c:pt idx="206">
                  <c:v>2018-07-19 13:00</c:v>
                </c:pt>
                <c:pt idx="207">
                  <c:v>2018-07-19 14:00</c:v>
                </c:pt>
                <c:pt idx="208">
                  <c:v>2018-07-19 15:00</c:v>
                </c:pt>
                <c:pt idx="209">
                  <c:v>2018-07-19 16:00</c:v>
                </c:pt>
                <c:pt idx="210">
                  <c:v>2018-07-19 17:00</c:v>
                </c:pt>
                <c:pt idx="211">
                  <c:v>2018-07-19 18:00</c:v>
                </c:pt>
                <c:pt idx="212">
                  <c:v>2018-07-19 19:00</c:v>
                </c:pt>
                <c:pt idx="213">
                  <c:v>2018-07-19 20:00</c:v>
                </c:pt>
                <c:pt idx="214">
                  <c:v>2018-07-19 21:00</c:v>
                </c:pt>
                <c:pt idx="215">
                  <c:v>2018-07-19 22:00</c:v>
                </c:pt>
                <c:pt idx="216">
                  <c:v>2018-07-19 23:00</c:v>
                </c:pt>
                <c:pt idx="217">
                  <c:v>2018-07-20 00:00</c:v>
                </c:pt>
                <c:pt idx="218">
                  <c:v>2018-07-20 01:00</c:v>
                </c:pt>
                <c:pt idx="219">
                  <c:v>2018-07-20 02:00</c:v>
                </c:pt>
                <c:pt idx="220">
                  <c:v>2018-07-20 03:00</c:v>
                </c:pt>
                <c:pt idx="221">
                  <c:v>2018-07-20 04:00</c:v>
                </c:pt>
                <c:pt idx="222">
                  <c:v>2018-07-20 05:00</c:v>
                </c:pt>
                <c:pt idx="223">
                  <c:v>2018-07-20 06:00</c:v>
                </c:pt>
                <c:pt idx="224">
                  <c:v>2018-07-20 07:00</c:v>
                </c:pt>
                <c:pt idx="225">
                  <c:v>2018-07-20 08:00</c:v>
                </c:pt>
                <c:pt idx="226">
                  <c:v>2018-07-20 09:00</c:v>
                </c:pt>
                <c:pt idx="227">
                  <c:v>2018-07-20 10:00</c:v>
                </c:pt>
                <c:pt idx="228">
                  <c:v>2018-07-20 11:00</c:v>
                </c:pt>
                <c:pt idx="229">
                  <c:v>2018-07-20 12:00</c:v>
                </c:pt>
                <c:pt idx="230">
                  <c:v>2018-07-20 13:00</c:v>
                </c:pt>
                <c:pt idx="231">
                  <c:v>2018-07-20 14:00</c:v>
                </c:pt>
                <c:pt idx="232">
                  <c:v>2018-07-20 15:00</c:v>
                </c:pt>
                <c:pt idx="233">
                  <c:v>2018-07-20 16:00</c:v>
                </c:pt>
                <c:pt idx="234">
                  <c:v>2018-07-20 17:00</c:v>
                </c:pt>
                <c:pt idx="235">
                  <c:v>2018-07-20 18:00</c:v>
                </c:pt>
                <c:pt idx="236">
                  <c:v>2018-07-20 19:00</c:v>
                </c:pt>
                <c:pt idx="237">
                  <c:v>2018-07-20 20:00</c:v>
                </c:pt>
                <c:pt idx="238">
                  <c:v>2018-07-20 21:00</c:v>
                </c:pt>
                <c:pt idx="239">
                  <c:v>2018-07-20 22:00</c:v>
                </c:pt>
                <c:pt idx="240">
                  <c:v>2018-07-20 23:00</c:v>
                </c:pt>
                <c:pt idx="241">
                  <c:v>2018-07-23 00:00</c:v>
                </c:pt>
                <c:pt idx="242">
                  <c:v>2018-07-23 01:00</c:v>
                </c:pt>
                <c:pt idx="243">
                  <c:v>2018-07-23 02:00</c:v>
                </c:pt>
                <c:pt idx="244">
                  <c:v>2018-07-23 03:00</c:v>
                </c:pt>
                <c:pt idx="245">
                  <c:v>2018-07-23 04:00</c:v>
                </c:pt>
                <c:pt idx="246">
                  <c:v>2018-07-23 05:00</c:v>
                </c:pt>
                <c:pt idx="247">
                  <c:v>2018-07-23 06:00</c:v>
                </c:pt>
                <c:pt idx="248">
                  <c:v>2018-07-23 07:00</c:v>
                </c:pt>
                <c:pt idx="249">
                  <c:v>2018-07-23 08:00</c:v>
                </c:pt>
                <c:pt idx="250">
                  <c:v>2018-07-23 09:00</c:v>
                </c:pt>
                <c:pt idx="251">
                  <c:v>2018-07-23 10:00</c:v>
                </c:pt>
                <c:pt idx="252">
                  <c:v>2018-07-23 11:00</c:v>
                </c:pt>
                <c:pt idx="253">
                  <c:v>2018-07-23 12:00</c:v>
                </c:pt>
                <c:pt idx="254">
                  <c:v>2018-07-23 13:00</c:v>
                </c:pt>
                <c:pt idx="255">
                  <c:v>2018-07-23 14:00</c:v>
                </c:pt>
                <c:pt idx="256">
                  <c:v>2018-07-23 15:00</c:v>
                </c:pt>
                <c:pt idx="257">
                  <c:v>2018-07-23 16:00</c:v>
                </c:pt>
                <c:pt idx="258">
                  <c:v>2018-07-23 17:00</c:v>
                </c:pt>
                <c:pt idx="259">
                  <c:v>2018-07-23 18:00</c:v>
                </c:pt>
                <c:pt idx="260">
                  <c:v>2018-07-23 19:00</c:v>
                </c:pt>
                <c:pt idx="261">
                  <c:v>2018-07-23 20:00</c:v>
                </c:pt>
                <c:pt idx="262">
                  <c:v>2018-07-23 21:00</c:v>
                </c:pt>
                <c:pt idx="263">
                  <c:v>2018-07-23 22:00</c:v>
                </c:pt>
                <c:pt idx="264">
                  <c:v>2018-07-23 23:00</c:v>
                </c:pt>
                <c:pt idx="265">
                  <c:v>2018-07-24 00:00</c:v>
                </c:pt>
                <c:pt idx="266">
                  <c:v>2018-07-24 01:00</c:v>
                </c:pt>
                <c:pt idx="267">
                  <c:v>2018-07-24 02:00</c:v>
                </c:pt>
                <c:pt idx="268">
                  <c:v>2018-07-24 03:00</c:v>
                </c:pt>
                <c:pt idx="269">
                  <c:v>2018-07-24 04:00</c:v>
                </c:pt>
                <c:pt idx="270">
                  <c:v>2018-07-24 05:00</c:v>
                </c:pt>
                <c:pt idx="271">
                  <c:v>2018-07-24 06:00</c:v>
                </c:pt>
                <c:pt idx="272">
                  <c:v>2018-07-24 07:00</c:v>
                </c:pt>
                <c:pt idx="273">
                  <c:v>2018-07-24 08:00</c:v>
                </c:pt>
                <c:pt idx="274">
                  <c:v>2018-07-24 09:00</c:v>
                </c:pt>
                <c:pt idx="275">
                  <c:v>2018-07-24 10:00</c:v>
                </c:pt>
                <c:pt idx="276">
                  <c:v>2018-07-24 11:00</c:v>
                </c:pt>
                <c:pt idx="277">
                  <c:v>2018-07-24 12:00</c:v>
                </c:pt>
                <c:pt idx="278">
                  <c:v>2018-07-24 13:00</c:v>
                </c:pt>
                <c:pt idx="279">
                  <c:v>2018-07-24 14:00</c:v>
                </c:pt>
                <c:pt idx="280">
                  <c:v>2018-07-24 15:00</c:v>
                </c:pt>
                <c:pt idx="281">
                  <c:v>2018-07-24 16:00</c:v>
                </c:pt>
                <c:pt idx="282">
                  <c:v>2018-07-24 17:00</c:v>
                </c:pt>
                <c:pt idx="283">
                  <c:v>2018-07-24 18:00</c:v>
                </c:pt>
                <c:pt idx="284">
                  <c:v>2018-07-24 19:00</c:v>
                </c:pt>
                <c:pt idx="285">
                  <c:v>2018-07-24 20:00</c:v>
                </c:pt>
                <c:pt idx="286">
                  <c:v>2018-07-24 21:00</c:v>
                </c:pt>
                <c:pt idx="287">
                  <c:v>2018-07-24 22:00</c:v>
                </c:pt>
                <c:pt idx="288">
                  <c:v>2018-07-24 23:00</c:v>
                </c:pt>
                <c:pt idx="289">
                  <c:v>2018-07-25 00:00</c:v>
                </c:pt>
                <c:pt idx="290">
                  <c:v>2018-07-25 01:00</c:v>
                </c:pt>
                <c:pt idx="291">
                  <c:v>2018-07-25 02:00</c:v>
                </c:pt>
                <c:pt idx="292">
                  <c:v>2018-07-25 03:00</c:v>
                </c:pt>
                <c:pt idx="293">
                  <c:v>2018-07-25 04:00</c:v>
                </c:pt>
                <c:pt idx="294">
                  <c:v>2018-07-25 05:00</c:v>
                </c:pt>
                <c:pt idx="295">
                  <c:v>2018-07-25 06:00</c:v>
                </c:pt>
                <c:pt idx="296">
                  <c:v>2018-07-25 07:00</c:v>
                </c:pt>
                <c:pt idx="297">
                  <c:v>2018-07-25 08:00</c:v>
                </c:pt>
                <c:pt idx="298">
                  <c:v>2018-07-25 09:00</c:v>
                </c:pt>
                <c:pt idx="299">
                  <c:v>2018-07-25 10:00</c:v>
                </c:pt>
                <c:pt idx="300">
                  <c:v>2018-07-25 11:00</c:v>
                </c:pt>
                <c:pt idx="301">
                  <c:v>2018-07-25 12:00</c:v>
                </c:pt>
                <c:pt idx="302">
                  <c:v>2018-07-25 13:00</c:v>
                </c:pt>
                <c:pt idx="303">
                  <c:v>2018-07-25 14:00</c:v>
                </c:pt>
                <c:pt idx="304">
                  <c:v>2018-07-25 15:00</c:v>
                </c:pt>
                <c:pt idx="305">
                  <c:v>2018-07-25 16:00</c:v>
                </c:pt>
                <c:pt idx="306">
                  <c:v>2018-07-25 17:00</c:v>
                </c:pt>
                <c:pt idx="307">
                  <c:v>2018-07-25 18:00</c:v>
                </c:pt>
                <c:pt idx="308">
                  <c:v>2018-07-25 19:00</c:v>
                </c:pt>
                <c:pt idx="309">
                  <c:v>2018-07-25 20:00</c:v>
                </c:pt>
                <c:pt idx="310">
                  <c:v>2018-07-25 21:00</c:v>
                </c:pt>
                <c:pt idx="311">
                  <c:v>2018-07-25 22:00</c:v>
                </c:pt>
                <c:pt idx="312">
                  <c:v>2018-07-25 23:00</c:v>
                </c:pt>
                <c:pt idx="313">
                  <c:v>2018-07-26 00:00</c:v>
                </c:pt>
                <c:pt idx="314">
                  <c:v>2018-07-26 01:00</c:v>
                </c:pt>
                <c:pt idx="315">
                  <c:v>2018-07-26 02:00</c:v>
                </c:pt>
                <c:pt idx="316">
                  <c:v>2018-07-26 03:00</c:v>
                </c:pt>
                <c:pt idx="317">
                  <c:v>2018-07-26 04:00</c:v>
                </c:pt>
                <c:pt idx="318">
                  <c:v>2018-07-26 05:00</c:v>
                </c:pt>
                <c:pt idx="319">
                  <c:v>2018-07-26 06:00</c:v>
                </c:pt>
                <c:pt idx="320">
                  <c:v>2018-07-26 07:00</c:v>
                </c:pt>
                <c:pt idx="321">
                  <c:v>2018-07-26 08:00</c:v>
                </c:pt>
                <c:pt idx="322">
                  <c:v>2018-07-26 09:00</c:v>
                </c:pt>
                <c:pt idx="323">
                  <c:v>2018-07-26 10:00</c:v>
                </c:pt>
                <c:pt idx="324">
                  <c:v>2018-07-26 11:00</c:v>
                </c:pt>
                <c:pt idx="325">
                  <c:v>2018-07-26 12:00</c:v>
                </c:pt>
                <c:pt idx="326">
                  <c:v>2018-07-26 13:00</c:v>
                </c:pt>
                <c:pt idx="327">
                  <c:v>2018-07-26 14:00</c:v>
                </c:pt>
                <c:pt idx="328">
                  <c:v>2018-07-26 15:00</c:v>
                </c:pt>
                <c:pt idx="329">
                  <c:v>2018-07-26 16:00</c:v>
                </c:pt>
                <c:pt idx="330">
                  <c:v>2018-07-26 17:00</c:v>
                </c:pt>
                <c:pt idx="331">
                  <c:v>2018-07-26 18:00</c:v>
                </c:pt>
                <c:pt idx="332">
                  <c:v>2018-07-26 19:00</c:v>
                </c:pt>
                <c:pt idx="333">
                  <c:v>2018-07-26 20:00</c:v>
                </c:pt>
                <c:pt idx="334">
                  <c:v>2018-07-26 21:00</c:v>
                </c:pt>
                <c:pt idx="335">
                  <c:v>2018-07-26 22:00</c:v>
                </c:pt>
              </c:strCache>
            </c:strRef>
          </c:cat>
          <c:val>
            <c:numRef>
              <c:f>TradeError!$C$4:$C$340</c:f>
              <c:numCache>
                <c:formatCode>0.0000</c:formatCode>
                <c:ptCount val="336"/>
                <c:pt idx="0">
                  <c:v>6.058E-3</c:v>
                </c:pt>
                <c:pt idx="1">
                  <c:v>1.0441000000000001E-2</c:v>
                </c:pt>
                <c:pt idx="2">
                  <c:v>4.3000000000000002E-5</c:v>
                </c:pt>
                <c:pt idx="3">
                  <c:v>2.5700000000000001E-4</c:v>
                </c:pt>
                <c:pt idx="4">
                  <c:v>4.7800000000000002E-4</c:v>
                </c:pt>
                <c:pt idx="5">
                  <c:v>1.36E-4</c:v>
                </c:pt>
                <c:pt idx="6">
                  <c:v>6.2000000000000003E-5</c:v>
                </c:pt>
                <c:pt idx="7">
                  <c:v>3.77E-4</c:v>
                </c:pt>
                <c:pt idx="8">
                  <c:v>3.2699999999999998E-4</c:v>
                </c:pt>
                <c:pt idx="9">
                  <c:v>8.6000000000000003E-5</c:v>
                </c:pt>
                <c:pt idx="10">
                  <c:v>1.7899999999999999E-4</c:v>
                </c:pt>
                <c:pt idx="11">
                  <c:v>9.7900000000000005E-4</c:v>
                </c:pt>
                <c:pt idx="12">
                  <c:v>7.9799999999999999E-4</c:v>
                </c:pt>
                <c:pt idx="13">
                  <c:v>1.06E-4</c:v>
                </c:pt>
                <c:pt idx="14">
                  <c:v>1.7000000000000001E-4</c:v>
                </c:pt>
                <c:pt idx="15">
                  <c:v>7.6199999999999998E-4</c:v>
                </c:pt>
                <c:pt idx="16">
                  <c:v>2.2599999999999999E-4</c:v>
                </c:pt>
                <c:pt idx="17">
                  <c:v>1.472E-3</c:v>
                </c:pt>
                <c:pt idx="18">
                  <c:v>5.8600000000000004E-4</c:v>
                </c:pt>
                <c:pt idx="19">
                  <c:v>8.1099999999999998E-4</c:v>
                </c:pt>
                <c:pt idx="20">
                  <c:v>6.7599999999999995E-4</c:v>
                </c:pt>
                <c:pt idx="21">
                  <c:v>7.0399999999999998E-4</c:v>
                </c:pt>
                <c:pt idx="22">
                  <c:v>1.0970000000000001E-3</c:v>
                </c:pt>
                <c:pt idx="23">
                  <c:v>2.5799999999999998E-4</c:v>
                </c:pt>
                <c:pt idx="24">
                  <c:v>2.5900000000000001E-4</c:v>
                </c:pt>
                <c:pt idx="25">
                  <c:v>1.7E-5</c:v>
                </c:pt>
                <c:pt idx="26">
                  <c:v>1.12E-4</c:v>
                </c:pt>
                <c:pt idx="27">
                  <c:v>7.2000000000000002E-5</c:v>
                </c:pt>
                <c:pt idx="28">
                  <c:v>1.73E-4</c:v>
                </c:pt>
                <c:pt idx="29">
                  <c:v>7.9199999999999995E-4</c:v>
                </c:pt>
                <c:pt idx="30">
                  <c:v>1.18E-4</c:v>
                </c:pt>
                <c:pt idx="31">
                  <c:v>1.9000000000000001E-4</c:v>
                </c:pt>
                <c:pt idx="32">
                  <c:v>1.7699999999999999E-4</c:v>
                </c:pt>
                <c:pt idx="33">
                  <c:v>1.2400000000000001E-4</c:v>
                </c:pt>
                <c:pt idx="34">
                  <c:v>4.2999999999999999E-4</c:v>
                </c:pt>
                <c:pt idx="35">
                  <c:v>1.75E-4</c:v>
                </c:pt>
                <c:pt idx="36">
                  <c:v>1.663E-3</c:v>
                </c:pt>
                <c:pt idx="37">
                  <c:v>3.4999999999999997E-5</c:v>
                </c:pt>
                <c:pt idx="38">
                  <c:v>8.2100000000000001E-4</c:v>
                </c:pt>
                <c:pt idx="39">
                  <c:v>2.1800000000000001E-4</c:v>
                </c:pt>
                <c:pt idx="40">
                  <c:v>7.0100000000000002E-4</c:v>
                </c:pt>
                <c:pt idx="41">
                  <c:v>5.04E-4</c:v>
                </c:pt>
                <c:pt idx="42">
                  <c:v>9.2E-5</c:v>
                </c:pt>
                <c:pt idx="43">
                  <c:v>7.4899999999999999E-4</c:v>
                </c:pt>
                <c:pt idx="44">
                  <c:v>2.7799999999999998E-4</c:v>
                </c:pt>
                <c:pt idx="45">
                  <c:v>6.78E-4</c:v>
                </c:pt>
                <c:pt idx="46">
                  <c:v>3.3799999999999998E-4</c:v>
                </c:pt>
                <c:pt idx="47">
                  <c:v>3.6000000000000002E-4</c:v>
                </c:pt>
                <c:pt idx="48">
                  <c:v>1.2899999999999999E-4</c:v>
                </c:pt>
                <c:pt idx="49">
                  <c:v>8.25E-4</c:v>
                </c:pt>
                <c:pt idx="50">
                  <c:v>2.8899999999999998E-4</c:v>
                </c:pt>
                <c:pt idx="51">
                  <c:v>4.6799999999999999E-4</c:v>
                </c:pt>
                <c:pt idx="52">
                  <c:v>2.22E-4</c:v>
                </c:pt>
                <c:pt idx="53">
                  <c:v>8.7999999999999998E-5</c:v>
                </c:pt>
                <c:pt idx="54">
                  <c:v>6.6000000000000005E-5</c:v>
                </c:pt>
                <c:pt idx="55">
                  <c:v>2.2000000000000001E-4</c:v>
                </c:pt>
                <c:pt idx="56">
                  <c:v>2.3699999999999999E-4</c:v>
                </c:pt>
                <c:pt idx="57">
                  <c:v>4.6500000000000003E-4</c:v>
                </c:pt>
                <c:pt idx="58">
                  <c:v>4.8999999999999998E-5</c:v>
                </c:pt>
                <c:pt idx="59">
                  <c:v>3.7399999999999998E-4</c:v>
                </c:pt>
                <c:pt idx="60">
                  <c:v>1.6900000000000001E-3</c:v>
                </c:pt>
                <c:pt idx="61">
                  <c:v>2.41E-4</c:v>
                </c:pt>
                <c:pt idx="62">
                  <c:v>7.6400000000000003E-4</c:v>
                </c:pt>
                <c:pt idx="63">
                  <c:v>5.1900000000000004E-4</c:v>
                </c:pt>
                <c:pt idx="64">
                  <c:v>2.14E-4</c:v>
                </c:pt>
                <c:pt idx="65">
                  <c:v>1.7060000000000001E-3</c:v>
                </c:pt>
                <c:pt idx="66">
                  <c:v>1.4339999999999999E-3</c:v>
                </c:pt>
                <c:pt idx="67">
                  <c:v>1.13E-4</c:v>
                </c:pt>
                <c:pt idx="68">
                  <c:v>1.307E-3</c:v>
                </c:pt>
                <c:pt idx="69">
                  <c:v>1.874E-3</c:v>
                </c:pt>
                <c:pt idx="70">
                  <c:v>7.6599999999999997E-4</c:v>
                </c:pt>
                <c:pt idx="71">
                  <c:v>5.8299999999999997E-4</c:v>
                </c:pt>
                <c:pt idx="72">
                  <c:v>5.5699999999999999E-4</c:v>
                </c:pt>
                <c:pt idx="73">
                  <c:v>1.2400000000000001E-4</c:v>
                </c:pt>
                <c:pt idx="74">
                  <c:v>1.2E-5</c:v>
                </c:pt>
                <c:pt idx="75">
                  <c:v>2.1100000000000001E-4</c:v>
                </c:pt>
                <c:pt idx="76">
                  <c:v>2.8600000000000001E-4</c:v>
                </c:pt>
                <c:pt idx="77">
                  <c:v>3.7599999999999998E-4</c:v>
                </c:pt>
                <c:pt idx="78">
                  <c:v>2.13E-4</c:v>
                </c:pt>
                <c:pt idx="79">
                  <c:v>4.8000000000000001E-5</c:v>
                </c:pt>
                <c:pt idx="80">
                  <c:v>2.8200000000000002E-4</c:v>
                </c:pt>
                <c:pt idx="81">
                  <c:v>4.6999999999999997E-5</c:v>
                </c:pt>
                <c:pt idx="82">
                  <c:v>4.8200000000000001E-4</c:v>
                </c:pt>
                <c:pt idx="83">
                  <c:v>4.3300000000000001E-4</c:v>
                </c:pt>
                <c:pt idx="84">
                  <c:v>1.37E-4</c:v>
                </c:pt>
                <c:pt idx="85">
                  <c:v>1.54E-4</c:v>
                </c:pt>
                <c:pt idx="86">
                  <c:v>7.6099999999999996E-4</c:v>
                </c:pt>
                <c:pt idx="87">
                  <c:v>4.2900000000000002E-4</c:v>
                </c:pt>
                <c:pt idx="88">
                  <c:v>7.2499999999999995E-4</c:v>
                </c:pt>
                <c:pt idx="89">
                  <c:v>5.3300000000000005E-4</c:v>
                </c:pt>
                <c:pt idx="90">
                  <c:v>2.4699999999999999E-4</c:v>
                </c:pt>
                <c:pt idx="91">
                  <c:v>2.4800000000000001E-4</c:v>
                </c:pt>
                <c:pt idx="92">
                  <c:v>7.9999999999999996E-6</c:v>
                </c:pt>
                <c:pt idx="93">
                  <c:v>6.6399999999999999E-4</c:v>
                </c:pt>
                <c:pt idx="94">
                  <c:v>2.32E-4</c:v>
                </c:pt>
                <c:pt idx="95">
                  <c:v>1.84E-4</c:v>
                </c:pt>
                <c:pt idx="96">
                  <c:v>4.1999999999999997E-3</c:v>
                </c:pt>
                <c:pt idx="97">
                  <c:v>5.0799999999999999E-4</c:v>
                </c:pt>
                <c:pt idx="98">
                  <c:v>1.2750000000000001E-3</c:v>
                </c:pt>
                <c:pt idx="99">
                  <c:v>3.4900000000000003E-4</c:v>
                </c:pt>
                <c:pt idx="100">
                  <c:v>2.6200000000000003E-4</c:v>
                </c:pt>
                <c:pt idx="101">
                  <c:v>1.8100000000000001E-4</c:v>
                </c:pt>
                <c:pt idx="102">
                  <c:v>2.7799999999999998E-4</c:v>
                </c:pt>
                <c:pt idx="103">
                  <c:v>4.0099999999999999E-4</c:v>
                </c:pt>
                <c:pt idx="104">
                  <c:v>1.25E-4</c:v>
                </c:pt>
                <c:pt idx="105">
                  <c:v>3.3599999999999998E-4</c:v>
                </c:pt>
                <c:pt idx="106">
                  <c:v>1.6720000000000001E-3</c:v>
                </c:pt>
                <c:pt idx="107">
                  <c:v>1.206E-3</c:v>
                </c:pt>
                <c:pt idx="108">
                  <c:v>7.2300000000000001E-4</c:v>
                </c:pt>
                <c:pt idx="109">
                  <c:v>4.57E-4</c:v>
                </c:pt>
                <c:pt idx="110">
                  <c:v>3.6900000000000002E-4</c:v>
                </c:pt>
                <c:pt idx="111">
                  <c:v>8.3100000000000003E-4</c:v>
                </c:pt>
                <c:pt idx="112">
                  <c:v>5.31E-4</c:v>
                </c:pt>
                <c:pt idx="113">
                  <c:v>1.45E-4</c:v>
                </c:pt>
                <c:pt idx="114">
                  <c:v>3.3E-4</c:v>
                </c:pt>
                <c:pt idx="115">
                  <c:v>5.0000000000000001E-4</c:v>
                </c:pt>
                <c:pt idx="116">
                  <c:v>7.4899999999999999E-4</c:v>
                </c:pt>
                <c:pt idx="117">
                  <c:v>1.93E-4</c:v>
                </c:pt>
                <c:pt idx="118">
                  <c:v>6.78E-4</c:v>
                </c:pt>
                <c:pt idx="119">
                  <c:v>2.4000000000000001E-5</c:v>
                </c:pt>
                <c:pt idx="120">
                  <c:v>2.5599999999999999E-4</c:v>
                </c:pt>
                <c:pt idx="121">
                  <c:v>2.5999999999999998E-4</c:v>
                </c:pt>
                <c:pt idx="122">
                  <c:v>4.4999999999999999E-4</c:v>
                </c:pt>
                <c:pt idx="123">
                  <c:v>3.1999999999999999E-5</c:v>
                </c:pt>
                <c:pt idx="124">
                  <c:v>1.3799999999999999E-4</c:v>
                </c:pt>
                <c:pt idx="125">
                  <c:v>6.2000000000000003E-5</c:v>
                </c:pt>
                <c:pt idx="126">
                  <c:v>2.5999999999999998E-5</c:v>
                </c:pt>
                <c:pt idx="127">
                  <c:v>1.66E-4</c:v>
                </c:pt>
                <c:pt idx="128">
                  <c:v>1.2300000000000001E-4</c:v>
                </c:pt>
                <c:pt idx="129">
                  <c:v>4.5100000000000001E-4</c:v>
                </c:pt>
                <c:pt idx="130">
                  <c:v>3.1999999999999999E-5</c:v>
                </c:pt>
                <c:pt idx="131">
                  <c:v>6.8000000000000005E-4</c:v>
                </c:pt>
                <c:pt idx="132">
                  <c:v>2.1599999999999999E-4</c:v>
                </c:pt>
                <c:pt idx="133">
                  <c:v>1.76E-4</c:v>
                </c:pt>
                <c:pt idx="134">
                  <c:v>6.02E-4</c:v>
                </c:pt>
                <c:pt idx="135">
                  <c:v>7.2300000000000001E-4</c:v>
                </c:pt>
                <c:pt idx="136">
                  <c:v>4.6099999999999998E-4</c:v>
                </c:pt>
                <c:pt idx="137">
                  <c:v>3.5500000000000001E-4</c:v>
                </c:pt>
                <c:pt idx="138">
                  <c:v>5.8200000000000005E-4</c:v>
                </c:pt>
                <c:pt idx="139">
                  <c:v>3.4200000000000002E-4</c:v>
                </c:pt>
                <c:pt idx="140">
                  <c:v>1.098E-3</c:v>
                </c:pt>
                <c:pt idx="141">
                  <c:v>1.188E-3</c:v>
                </c:pt>
                <c:pt idx="142">
                  <c:v>4.55E-4</c:v>
                </c:pt>
                <c:pt idx="143">
                  <c:v>1.2899999999999999E-4</c:v>
                </c:pt>
                <c:pt idx="144">
                  <c:v>3.0999999999999999E-3</c:v>
                </c:pt>
                <c:pt idx="145">
                  <c:v>7.7999999999999999E-5</c:v>
                </c:pt>
                <c:pt idx="146">
                  <c:v>1.1E-5</c:v>
                </c:pt>
                <c:pt idx="147">
                  <c:v>3.39E-4</c:v>
                </c:pt>
                <c:pt idx="148">
                  <c:v>7.1000000000000005E-5</c:v>
                </c:pt>
                <c:pt idx="149">
                  <c:v>1.7000000000000001E-4</c:v>
                </c:pt>
                <c:pt idx="150">
                  <c:v>7.4999999999999993E-5</c:v>
                </c:pt>
                <c:pt idx="151">
                  <c:v>2.5300000000000002E-4</c:v>
                </c:pt>
                <c:pt idx="152">
                  <c:v>1.05E-4</c:v>
                </c:pt>
                <c:pt idx="153">
                  <c:v>4.6999999999999997E-5</c:v>
                </c:pt>
                <c:pt idx="154">
                  <c:v>1.18E-4</c:v>
                </c:pt>
                <c:pt idx="155">
                  <c:v>3.3199999999999999E-4</c:v>
                </c:pt>
                <c:pt idx="156">
                  <c:v>4.7600000000000002E-4</c:v>
                </c:pt>
                <c:pt idx="157">
                  <c:v>3.97E-4</c:v>
                </c:pt>
                <c:pt idx="158">
                  <c:v>7.3700000000000002E-4</c:v>
                </c:pt>
                <c:pt idx="159">
                  <c:v>8.1800000000000004E-4</c:v>
                </c:pt>
                <c:pt idx="160">
                  <c:v>4.55E-4</c:v>
                </c:pt>
                <c:pt idx="161">
                  <c:v>4.8700000000000002E-4</c:v>
                </c:pt>
                <c:pt idx="162">
                  <c:v>2.9999999999999997E-4</c:v>
                </c:pt>
                <c:pt idx="163">
                  <c:v>1.7179999999999999E-3</c:v>
                </c:pt>
                <c:pt idx="164">
                  <c:v>3.3399999999999999E-4</c:v>
                </c:pt>
                <c:pt idx="165">
                  <c:v>1.1E-5</c:v>
                </c:pt>
                <c:pt idx="166">
                  <c:v>2.2599999999999999E-4</c:v>
                </c:pt>
                <c:pt idx="167">
                  <c:v>7.7300000000000003E-4</c:v>
                </c:pt>
                <c:pt idx="168">
                  <c:v>2.8600000000000001E-4</c:v>
                </c:pt>
                <c:pt idx="169">
                  <c:v>2.1800000000000001E-4</c:v>
                </c:pt>
                <c:pt idx="170">
                  <c:v>5.3000000000000001E-5</c:v>
                </c:pt>
                <c:pt idx="171">
                  <c:v>6.6200000000000005E-4</c:v>
                </c:pt>
                <c:pt idx="172">
                  <c:v>3.9100000000000002E-4</c:v>
                </c:pt>
                <c:pt idx="173">
                  <c:v>1.4999999999999999E-4</c:v>
                </c:pt>
                <c:pt idx="174">
                  <c:v>1.25E-4</c:v>
                </c:pt>
                <c:pt idx="175">
                  <c:v>3.1399999999999999E-4</c:v>
                </c:pt>
                <c:pt idx="176">
                  <c:v>7.9600000000000005E-4</c:v>
                </c:pt>
                <c:pt idx="177">
                  <c:v>4.8000000000000001E-4</c:v>
                </c:pt>
                <c:pt idx="178">
                  <c:v>4.2299999999999998E-4</c:v>
                </c:pt>
                <c:pt idx="179">
                  <c:v>4.1199999999999999E-4</c:v>
                </c:pt>
                <c:pt idx="180">
                  <c:v>7.2099999999999996E-4</c:v>
                </c:pt>
                <c:pt idx="181">
                  <c:v>7.3099999999999999E-4</c:v>
                </c:pt>
                <c:pt idx="182">
                  <c:v>1.07E-4</c:v>
                </c:pt>
                <c:pt idx="183">
                  <c:v>9.4799999999999995E-4</c:v>
                </c:pt>
                <c:pt idx="184">
                  <c:v>3.5100000000000002E-4</c:v>
                </c:pt>
                <c:pt idx="185">
                  <c:v>1.1559999999999999E-3</c:v>
                </c:pt>
                <c:pt idx="186">
                  <c:v>7.2000000000000005E-4</c:v>
                </c:pt>
                <c:pt idx="187">
                  <c:v>1.16E-4</c:v>
                </c:pt>
                <c:pt idx="188">
                  <c:v>5.8699999999999996E-4</c:v>
                </c:pt>
                <c:pt idx="189">
                  <c:v>1.22E-4</c:v>
                </c:pt>
                <c:pt idx="190">
                  <c:v>1.64E-4</c:v>
                </c:pt>
                <c:pt idx="191">
                  <c:v>8.1899999999999996E-4</c:v>
                </c:pt>
                <c:pt idx="192">
                  <c:v>2.7430000000000002E-3</c:v>
                </c:pt>
                <c:pt idx="193">
                  <c:v>1.0900000000000001E-4</c:v>
                </c:pt>
                <c:pt idx="194">
                  <c:v>1.07E-4</c:v>
                </c:pt>
                <c:pt idx="195">
                  <c:v>8.8999999999999995E-5</c:v>
                </c:pt>
                <c:pt idx="196">
                  <c:v>1.6899999999999999E-4</c:v>
                </c:pt>
                <c:pt idx="197">
                  <c:v>8.1499999999999997E-4</c:v>
                </c:pt>
                <c:pt idx="198">
                  <c:v>1.9699999999999999E-4</c:v>
                </c:pt>
                <c:pt idx="199">
                  <c:v>4.6099999999999998E-4</c:v>
                </c:pt>
                <c:pt idx="200">
                  <c:v>2.3499999999999999E-4</c:v>
                </c:pt>
                <c:pt idx="201">
                  <c:v>2.2800000000000001E-4</c:v>
                </c:pt>
                <c:pt idx="202">
                  <c:v>1.5499999999999999E-3</c:v>
                </c:pt>
                <c:pt idx="203">
                  <c:v>9.5699999999999995E-4</c:v>
                </c:pt>
                <c:pt idx="204">
                  <c:v>3.8499999999999998E-4</c:v>
                </c:pt>
                <c:pt idx="205">
                  <c:v>1.042E-3</c:v>
                </c:pt>
                <c:pt idx="206">
                  <c:v>0</c:v>
                </c:pt>
                <c:pt idx="207">
                  <c:v>2.9500000000000001E-4</c:v>
                </c:pt>
                <c:pt idx="208">
                  <c:v>1.3799999999999999E-3</c:v>
                </c:pt>
                <c:pt idx="209">
                  <c:v>1.2930000000000001E-3</c:v>
                </c:pt>
                <c:pt idx="210">
                  <c:v>7.9299999999999998E-4</c:v>
                </c:pt>
                <c:pt idx="211">
                  <c:v>7.7200000000000001E-4</c:v>
                </c:pt>
                <c:pt idx="212">
                  <c:v>6.9300000000000004E-4</c:v>
                </c:pt>
                <c:pt idx="213">
                  <c:v>3.8699999999999997E-4</c:v>
                </c:pt>
                <c:pt idx="214">
                  <c:v>1.292E-3</c:v>
                </c:pt>
                <c:pt idx="215">
                  <c:v>1.7200000000000001E-4</c:v>
                </c:pt>
                <c:pt idx="216">
                  <c:v>6.9999999999999999E-6</c:v>
                </c:pt>
                <c:pt idx="217">
                  <c:v>4.2200000000000001E-4</c:v>
                </c:pt>
                <c:pt idx="218">
                  <c:v>3.4499999999999998E-4</c:v>
                </c:pt>
                <c:pt idx="219">
                  <c:v>5.8100000000000003E-4</c:v>
                </c:pt>
                <c:pt idx="220">
                  <c:v>3.9300000000000001E-4</c:v>
                </c:pt>
                <c:pt idx="221">
                  <c:v>2.0539999999999998E-3</c:v>
                </c:pt>
                <c:pt idx="222">
                  <c:v>1.2030000000000001E-3</c:v>
                </c:pt>
                <c:pt idx="223">
                  <c:v>4.26E-4</c:v>
                </c:pt>
                <c:pt idx="224">
                  <c:v>4.8299999999999998E-4</c:v>
                </c:pt>
                <c:pt idx="225">
                  <c:v>5.5999999999999995E-4</c:v>
                </c:pt>
                <c:pt idx="226">
                  <c:v>1.157E-3</c:v>
                </c:pt>
                <c:pt idx="227">
                  <c:v>9.3099999999999997E-4</c:v>
                </c:pt>
                <c:pt idx="228">
                  <c:v>8.9300000000000002E-4</c:v>
                </c:pt>
                <c:pt idx="229">
                  <c:v>2.0799999999999999E-4</c:v>
                </c:pt>
                <c:pt idx="230">
                  <c:v>5.6499999999999996E-4</c:v>
                </c:pt>
                <c:pt idx="231">
                  <c:v>6.6600000000000003E-4</c:v>
                </c:pt>
                <c:pt idx="232">
                  <c:v>8.6700000000000004E-4</c:v>
                </c:pt>
                <c:pt idx="233">
                  <c:v>1.5169999999999999E-3</c:v>
                </c:pt>
                <c:pt idx="234">
                  <c:v>3.5300000000000002E-4</c:v>
                </c:pt>
                <c:pt idx="235">
                  <c:v>5.3399999999999997E-4</c:v>
                </c:pt>
                <c:pt idx="236">
                  <c:v>4.35E-4</c:v>
                </c:pt>
                <c:pt idx="237">
                  <c:v>5.6400000000000005E-4</c:v>
                </c:pt>
                <c:pt idx="238">
                  <c:v>1.2830000000000001E-3</c:v>
                </c:pt>
                <c:pt idx="239">
                  <c:v>2.03E-4</c:v>
                </c:pt>
                <c:pt idx="240">
                  <c:v>7.45E-4</c:v>
                </c:pt>
                <c:pt idx="241">
                  <c:v>4.1199999999999999E-4</c:v>
                </c:pt>
                <c:pt idx="242">
                  <c:v>5.1999999999999997E-5</c:v>
                </c:pt>
                <c:pt idx="243">
                  <c:v>8.8000000000000003E-4</c:v>
                </c:pt>
                <c:pt idx="244">
                  <c:v>2.6999999999999999E-5</c:v>
                </c:pt>
                <c:pt idx="245">
                  <c:v>3.4400000000000001E-4</c:v>
                </c:pt>
                <c:pt idx="246">
                  <c:v>4.8999999999999998E-5</c:v>
                </c:pt>
                <c:pt idx="247">
                  <c:v>1.8200000000000001E-4</c:v>
                </c:pt>
                <c:pt idx="248">
                  <c:v>5.9999999999999995E-4</c:v>
                </c:pt>
                <c:pt idx="249">
                  <c:v>4.6700000000000002E-4</c:v>
                </c:pt>
                <c:pt idx="250">
                  <c:v>4.6E-5</c:v>
                </c:pt>
                <c:pt idx="251">
                  <c:v>3.4999999999999997E-5</c:v>
                </c:pt>
                <c:pt idx="252">
                  <c:v>2.1090000000000002E-3</c:v>
                </c:pt>
                <c:pt idx="253">
                  <c:v>8.7900000000000001E-4</c:v>
                </c:pt>
                <c:pt idx="254">
                  <c:v>1.379E-3</c:v>
                </c:pt>
                <c:pt idx="255">
                  <c:v>1.168E-3</c:v>
                </c:pt>
                <c:pt idx="256">
                  <c:v>3.0499999999999999E-4</c:v>
                </c:pt>
                <c:pt idx="257">
                  <c:v>1.3090000000000001E-3</c:v>
                </c:pt>
                <c:pt idx="258">
                  <c:v>6.02E-4</c:v>
                </c:pt>
                <c:pt idx="259">
                  <c:v>9.7000000000000005E-4</c:v>
                </c:pt>
                <c:pt idx="260">
                  <c:v>1.6799999999999999E-4</c:v>
                </c:pt>
                <c:pt idx="261">
                  <c:v>5.62E-4</c:v>
                </c:pt>
                <c:pt idx="262">
                  <c:v>3.6699999999999998E-4</c:v>
                </c:pt>
                <c:pt idx="263">
                  <c:v>3.3500000000000001E-4</c:v>
                </c:pt>
                <c:pt idx="264">
                  <c:v>1.4999999999999999E-4</c:v>
                </c:pt>
                <c:pt idx="265">
                  <c:v>5.5400000000000002E-4</c:v>
                </c:pt>
                <c:pt idx="266">
                  <c:v>4.2499999999999998E-4</c:v>
                </c:pt>
                <c:pt idx="267">
                  <c:v>4.1999999999999998E-5</c:v>
                </c:pt>
                <c:pt idx="268">
                  <c:v>1.9000000000000001E-4</c:v>
                </c:pt>
                <c:pt idx="269">
                  <c:v>2.81E-4</c:v>
                </c:pt>
                <c:pt idx="270">
                  <c:v>7.1100000000000004E-4</c:v>
                </c:pt>
                <c:pt idx="271">
                  <c:v>1.6699999999999999E-4</c:v>
                </c:pt>
                <c:pt idx="272">
                  <c:v>7.5799999999999999E-4</c:v>
                </c:pt>
                <c:pt idx="273">
                  <c:v>5.6300000000000002E-4</c:v>
                </c:pt>
                <c:pt idx="274">
                  <c:v>2.1610000000000002E-3</c:v>
                </c:pt>
                <c:pt idx="275">
                  <c:v>6.3299999999999999E-4</c:v>
                </c:pt>
                <c:pt idx="276">
                  <c:v>2.6499999999999999E-4</c:v>
                </c:pt>
                <c:pt idx="277">
                  <c:v>1.379E-3</c:v>
                </c:pt>
                <c:pt idx="278">
                  <c:v>7.67E-4</c:v>
                </c:pt>
                <c:pt idx="279">
                  <c:v>1.64E-4</c:v>
                </c:pt>
                <c:pt idx="280">
                  <c:v>8.1800000000000004E-4</c:v>
                </c:pt>
                <c:pt idx="281">
                  <c:v>8.9300000000000002E-4</c:v>
                </c:pt>
                <c:pt idx="282">
                  <c:v>9.7999999999999997E-5</c:v>
                </c:pt>
                <c:pt idx="283">
                  <c:v>1.554E-3</c:v>
                </c:pt>
                <c:pt idx="284">
                  <c:v>1.2999999999999999E-5</c:v>
                </c:pt>
                <c:pt idx="285">
                  <c:v>2.1599999999999999E-4</c:v>
                </c:pt>
                <c:pt idx="286">
                  <c:v>6.3E-5</c:v>
                </c:pt>
                <c:pt idx="287">
                  <c:v>6.6399999999999999E-4</c:v>
                </c:pt>
                <c:pt idx="289">
                  <c:v>6.1899999999999998E-4</c:v>
                </c:pt>
                <c:pt idx="290">
                  <c:v>1.8100000000000001E-4</c:v>
                </c:pt>
                <c:pt idx="291">
                  <c:v>4.8000000000000001E-4</c:v>
                </c:pt>
                <c:pt idx="292">
                  <c:v>7.7999999999999999E-5</c:v>
                </c:pt>
                <c:pt idx="293">
                  <c:v>1.73E-4</c:v>
                </c:pt>
                <c:pt idx="294">
                  <c:v>6.9899999999999997E-4</c:v>
                </c:pt>
                <c:pt idx="295">
                  <c:v>2.9E-4</c:v>
                </c:pt>
                <c:pt idx="296">
                  <c:v>3.4999999999999997E-5</c:v>
                </c:pt>
                <c:pt idx="297">
                  <c:v>5.7600000000000001E-4</c:v>
                </c:pt>
                <c:pt idx="298">
                  <c:v>3.4999999999999997E-5</c:v>
                </c:pt>
                <c:pt idx="299">
                  <c:v>3.3500000000000001E-4</c:v>
                </c:pt>
                <c:pt idx="300">
                  <c:v>1.73E-4</c:v>
                </c:pt>
                <c:pt idx="301">
                  <c:v>8.34E-4</c:v>
                </c:pt>
                <c:pt idx="302">
                  <c:v>7.3099999999999999E-4</c:v>
                </c:pt>
                <c:pt idx="303">
                  <c:v>6.1700000000000004E-4</c:v>
                </c:pt>
                <c:pt idx="304">
                  <c:v>3.88E-4</c:v>
                </c:pt>
                <c:pt idx="305">
                  <c:v>6.4400000000000004E-4</c:v>
                </c:pt>
                <c:pt idx="306">
                  <c:v>2.0699999999999998E-3</c:v>
                </c:pt>
                <c:pt idx="307">
                  <c:v>2.8600000000000001E-4</c:v>
                </c:pt>
                <c:pt idx="308">
                  <c:v>1.3999999999999999E-4</c:v>
                </c:pt>
                <c:pt idx="309">
                  <c:v>8.5700000000000001E-4</c:v>
                </c:pt>
                <c:pt idx="310">
                  <c:v>6.1799999999999995E-4</c:v>
                </c:pt>
                <c:pt idx="311">
                  <c:v>6.6200000000000005E-4</c:v>
                </c:pt>
                <c:pt idx="312">
                  <c:v>2.1999999999999999E-5</c:v>
                </c:pt>
                <c:pt idx="313">
                  <c:v>5.5800000000000001E-4</c:v>
                </c:pt>
                <c:pt idx="314">
                  <c:v>5.9000000000000003E-4</c:v>
                </c:pt>
                <c:pt idx="315">
                  <c:v>6.5099999999999999E-4</c:v>
                </c:pt>
                <c:pt idx="316">
                  <c:v>2.33E-4</c:v>
                </c:pt>
                <c:pt idx="317">
                  <c:v>2.6200000000000003E-4</c:v>
                </c:pt>
                <c:pt idx="318">
                  <c:v>1.4999999999999999E-4</c:v>
                </c:pt>
                <c:pt idx="319">
                  <c:v>3.1100000000000002E-4</c:v>
                </c:pt>
                <c:pt idx="320">
                  <c:v>6.3999999999999997E-5</c:v>
                </c:pt>
                <c:pt idx="321">
                  <c:v>3.3E-4</c:v>
                </c:pt>
                <c:pt idx="322">
                  <c:v>2.6499999999999999E-4</c:v>
                </c:pt>
                <c:pt idx="323">
                  <c:v>4.0299999999999998E-4</c:v>
                </c:pt>
                <c:pt idx="324">
                  <c:v>1.438E-3</c:v>
                </c:pt>
                <c:pt idx="325">
                  <c:v>6.6000000000000005E-5</c:v>
                </c:pt>
                <c:pt idx="326">
                  <c:v>1.7100000000000001E-4</c:v>
                </c:pt>
                <c:pt idx="327">
                  <c:v>9.1000000000000003E-5</c:v>
                </c:pt>
                <c:pt idx="328">
                  <c:v>1.276E-3</c:v>
                </c:pt>
                <c:pt idx="329">
                  <c:v>1.516E-3</c:v>
                </c:pt>
                <c:pt idx="330">
                  <c:v>1.8519999999999999E-3</c:v>
                </c:pt>
                <c:pt idx="331">
                  <c:v>8.0099999999999995E-4</c:v>
                </c:pt>
                <c:pt idx="332">
                  <c:v>1.16E-4</c:v>
                </c:pt>
                <c:pt idx="333">
                  <c:v>1.7E-5</c:v>
                </c:pt>
                <c:pt idx="334">
                  <c:v>6.2100000000000002E-4</c:v>
                </c:pt>
                <c:pt idx="335">
                  <c:v>3.1100000000000002E-4</c:v>
                </c:pt>
              </c:numCache>
            </c:numRef>
          </c:val>
          <c:smooth val="0"/>
        </c:ser>
        <c:dLbls>
          <c:showLegendKey val="0"/>
          <c:showVal val="0"/>
          <c:showCatName val="0"/>
          <c:showSerName val="0"/>
          <c:showPercent val="0"/>
          <c:showBubbleSize val="0"/>
        </c:dLbls>
        <c:marker val="1"/>
        <c:smooth val="0"/>
        <c:axId val="1649029456"/>
        <c:axId val="1649018032"/>
      </c:lineChart>
      <c:lineChart>
        <c:grouping val="standard"/>
        <c:varyColors val="0"/>
        <c:ser>
          <c:idx val="2"/>
          <c:order val="2"/>
          <c:tx>
            <c:strRef>
              <c:f>TradeError!$D$3</c:f>
              <c:strCache>
                <c:ptCount val="1"/>
                <c:pt idx="0">
                  <c:v>Average of errHp</c:v>
                </c:pt>
              </c:strCache>
            </c:strRef>
          </c:tx>
          <c:spPr>
            <a:ln w="28575" cap="rnd">
              <a:solidFill>
                <a:schemeClr val="accent3"/>
              </a:solidFill>
              <a:round/>
            </a:ln>
            <a:effectLst/>
          </c:spPr>
          <c:marker>
            <c:symbol val="none"/>
          </c:marker>
          <c:cat>
            <c:strRef>
              <c:f>TradeError!$A$4:$A$340</c:f>
              <c:strCache>
                <c:ptCount val="336"/>
                <c:pt idx="0">
                  <c:v>2018-07-06 23:00</c:v>
                </c:pt>
                <c:pt idx="1">
                  <c:v>2018-07-09 00:00</c:v>
                </c:pt>
                <c:pt idx="2">
                  <c:v>2018-07-09 01:00</c:v>
                </c:pt>
                <c:pt idx="3">
                  <c:v>2018-07-09 02:00</c:v>
                </c:pt>
                <c:pt idx="4">
                  <c:v>2018-07-09 03:00</c:v>
                </c:pt>
                <c:pt idx="5">
                  <c:v>2018-07-09 04:00</c:v>
                </c:pt>
                <c:pt idx="6">
                  <c:v>2018-07-09 05:00</c:v>
                </c:pt>
                <c:pt idx="7">
                  <c:v>2018-07-09 06:00</c:v>
                </c:pt>
                <c:pt idx="8">
                  <c:v>2018-07-09 07:00</c:v>
                </c:pt>
                <c:pt idx="9">
                  <c:v>2018-07-09 08:00</c:v>
                </c:pt>
                <c:pt idx="10">
                  <c:v>2018-07-09 09:00</c:v>
                </c:pt>
                <c:pt idx="11">
                  <c:v>2018-07-09 10:00</c:v>
                </c:pt>
                <c:pt idx="12">
                  <c:v>2018-07-09 11:00</c:v>
                </c:pt>
                <c:pt idx="13">
                  <c:v>2018-07-09 12:00</c:v>
                </c:pt>
                <c:pt idx="14">
                  <c:v>2018-07-09 13:00</c:v>
                </c:pt>
                <c:pt idx="15">
                  <c:v>2018-07-09 14:00</c:v>
                </c:pt>
                <c:pt idx="16">
                  <c:v>2018-07-09 15:00</c:v>
                </c:pt>
                <c:pt idx="17">
                  <c:v>2018-07-09 16:00</c:v>
                </c:pt>
                <c:pt idx="18">
                  <c:v>2018-07-09 17:00</c:v>
                </c:pt>
                <c:pt idx="19">
                  <c:v>2018-07-09 18:00</c:v>
                </c:pt>
                <c:pt idx="20">
                  <c:v>2018-07-09 19:00</c:v>
                </c:pt>
                <c:pt idx="21">
                  <c:v>2018-07-09 20:00</c:v>
                </c:pt>
                <c:pt idx="22">
                  <c:v>2018-07-09 21:00</c:v>
                </c:pt>
                <c:pt idx="23">
                  <c:v>2018-07-09 22:00</c:v>
                </c:pt>
                <c:pt idx="24">
                  <c:v>2018-07-09 23:00</c:v>
                </c:pt>
                <c:pt idx="25">
                  <c:v>2018-07-10 00:00</c:v>
                </c:pt>
                <c:pt idx="26">
                  <c:v>2018-07-10 01:00</c:v>
                </c:pt>
                <c:pt idx="27">
                  <c:v>2018-07-10 02:00</c:v>
                </c:pt>
                <c:pt idx="28">
                  <c:v>2018-07-10 03:00</c:v>
                </c:pt>
                <c:pt idx="29">
                  <c:v>2018-07-10 04:00</c:v>
                </c:pt>
                <c:pt idx="30">
                  <c:v>2018-07-10 05:00</c:v>
                </c:pt>
                <c:pt idx="31">
                  <c:v>2018-07-10 06:00</c:v>
                </c:pt>
                <c:pt idx="32">
                  <c:v>2018-07-10 07:00</c:v>
                </c:pt>
                <c:pt idx="33">
                  <c:v>2018-07-10 08:00</c:v>
                </c:pt>
                <c:pt idx="34">
                  <c:v>2018-07-10 09:00</c:v>
                </c:pt>
                <c:pt idx="35">
                  <c:v>2018-07-10 10:00</c:v>
                </c:pt>
                <c:pt idx="36">
                  <c:v>2018-07-10 11:00</c:v>
                </c:pt>
                <c:pt idx="37">
                  <c:v>2018-07-10 12:00</c:v>
                </c:pt>
                <c:pt idx="38">
                  <c:v>2018-07-10 13:00</c:v>
                </c:pt>
                <c:pt idx="39">
                  <c:v>2018-07-10 14:00</c:v>
                </c:pt>
                <c:pt idx="40">
                  <c:v>2018-07-10 15:00</c:v>
                </c:pt>
                <c:pt idx="41">
                  <c:v>2018-07-10 16:00</c:v>
                </c:pt>
                <c:pt idx="42">
                  <c:v>2018-07-10 17:00</c:v>
                </c:pt>
                <c:pt idx="43">
                  <c:v>2018-07-10 18:00</c:v>
                </c:pt>
                <c:pt idx="44">
                  <c:v>2018-07-10 19:00</c:v>
                </c:pt>
                <c:pt idx="45">
                  <c:v>2018-07-10 20:00</c:v>
                </c:pt>
                <c:pt idx="46">
                  <c:v>2018-07-10 21:00</c:v>
                </c:pt>
                <c:pt idx="47">
                  <c:v>2018-07-10 22:00</c:v>
                </c:pt>
                <c:pt idx="48">
                  <c:v>2018-07-10 23:00</c:v>
                </c:pt>
                <c:pt idx="49">
                  <c:v>2018-07-11 00:00</c:v>
                </c:pt>
                <c:pt idx="50">
                  <c:v>2018-07-11 01:00</c:v>
                </c:pt>
                <c:pt idx="51">
                  <c:v>2018-07-11 02:00</c:v>
                </c:pt>
                <c:pt idx="52">
                  <c:v>2018-07-11 03:00</c:v>
                </c:pt>
                <c:pt idx="53">
                  <c:v>2018-07-11 04:00</c:v>
                </c:pt>
                <c:pt idx="54">
                  <c:v>2018-07-11 05:00</c:v>
                </c:pt>
                <c:pt idx="55">
                  <c:v>2018-07-11 06:00</c:v>
                </c:pt>
                <c:pt idx="56">
                  <c:v>2018-07-11 07:00</c:v>
                </c:pt>
                <c:pt idx="57">
                  <c:v>2018-07-11 08:00</c:v>
                </c:pt>
                <c:pt idx="58">
                  <c:v>2018-07-11 09:00</c:v>
                </c:pt>
                <c:pt idx="59">
                  <c:v>2018-07-11 10:00</c:v>
                </c:pt>
                <c:pt idx="60">
                  <c:v>2018-07-11 11:00</c:v>
                </c:pt>
                <c:pt idx="61">
                  <c:v>2018-07-11 12:00</c:v>
                </c:pt>
                <c:pt idx="62">
                  <c:v>2018-07-11 13:00</c:v>
                </c:pt>
                <c:pt idx="63">
                  <c:v>2018-07-11 14:00</c:v>
                </c:pt>
                <c:pt idx="64">
                  <c:v>2018-07-11 15:00</c:v>
                </c:pt>
                <c:pt idx="65">
                  <c:v>2018-07-11 16:00</c:v>
                </c:pt>
                <c:pt idx="66">
                  <c:v>2018-07-11 17:00</c:v>
                </c:pt>
                <c:pt idx="67">
                  <c:v>2018-07-11 18:00</c:v>
                </c:pt>
                <c:pt idx="68">
                  <c:v>2018-07-11 19:00</c:v>
                </c:pt>
                <c:pt idx="69">
                  <c:v>2018-07-11 20:00</c:v>
                </c:pt>
                <c:pt idx="70">
                  <c:v>2018-07-11 21:00</c:v>
                </c:pt>
                <c:pt idx="71">
                  <c:v>2018-07-11 22:00</c:v>
                </c:pt>
                <c:pt idx="72">
                  <c:v>2018-07-11 23:00</c:v>
                </c:pt>
                <c:pt idx="73">
                  <c:v>2018-07-12 00:00</c:v>
                </c:pt>
                <c:pt idx="74">
                  <c:v>2018-07-12 01:00</c:v>
                </c:pt>
                <c:pt idx="75">
                  <c:v>2018-07-12 02:00</c:v>
                </c:pt>
                <c:pt idx="76">
                  <c:v>2018-07-12 03:00</c:v>
                </c:pt>
                <c:pt idx="77">
                  <c:v>2018-07-12 04:00</c:v>
                </c:pt>
                <c:pt idx="78">
                  <c:v>2018-07-12 05:00</c:v>
                </c:pt>
                <c:pt idx="79">
                  <c:v>2018-07-12 06:00</c:v>
                </c:pt>
                <c:pt idx="80">
                  <c:v>2018-07-12 07:00</c:v>
                </c:pt>
                <c:pt idx="81">
                  <c:v>2018-07-12 08:00</c:v>
                </c:pt>
                <c:pt idx="82">
                  <c:v>2018-07-12 09:00</c:v>
                </c:pt>
                <c:pt idx="83">
                  <c:v>2018-07-12 10:00</c:v>
                </c:pt>
                <c:pt idx="84">
                  <c:v>2018-07-12 11:00</c:v>
                </c:pt>
                <c:pt idx="85">
                  <c:v>2018-07-12 12:00</c:v>
                </c:pt>
                <c:pt idx="86">
                  <c:v>2018-07-12 13:00</c:v>
                </c:pt>
                <c:pt idx="87">
                  <c:v>2018-07-12 14:00</c:v>
                </c:pt>
                <c:pt idx="88">
                  <c:v>2018-07-12 15:00</c:v>
                </c:pt>
                <c:pt idx="89">
                  <c:v>2018-07-12 16:00</c:v>
                </c:pt>
                <c:pt idx="90">
                  <c:v>2018-07-12 17:00</c:v>
                </c:pt>
                <c:pt idx="91">
                  <c:v>2018-07-12 18:00</c:v>
                </c:pt>
                <c:pt idx="92">
                  <c:v>2018-07-12 19:00</c:v>
                </c:pt>
                <c:pt idx="93">
                  <c:v>2018-07-12 20:00</c:v>
                </c:pt>
                <c:pt idx="94">
                  <c:v>2018-07-12 21:00</c:v>
                </c:pt>
                <c:pt idx="95">
                  <c:v>2018-07-12 22:00</c:v>
                </c:pt>
                <c:pt idx="96">
                  <c:v>2018-07-12 23:00</c:v>
                </c:pt>
                <c:pt idx="97">
                  <c:v>2018-07-13 00:00</c:v>
                </c:pt>
                <c:pt idx="98">
                  <c:v>2018-07-13 01:00</c:v>
                </c:pt>
                <c:pt idx="99">
                  <c:v>2018-07-13 02:00</c:v>
                </c:pt>
                <c:pt idx="100">
                  <c:v>2018-07-13 03:00</c:v>
                </c:pt>
                <c:pt idx="101">
                  <c:v>2018-07-13 04:00</c:v>
                </c:pt>
                <c:pt idx="102">
                  <c:v>2018-07-13 05:00</c:v>
                </c:pt>
                <c:pt idx="103">
                  <c:v>2018-07-13 06:00</c:v>
                </c:pt>
                <c:pt idx="104">
                  <c:v>2018-07-13 07:00</c:v>
                </c:pt>
                <c:pt idx="105">
                  <c:v>2018-07-13 08:00</c:v>
                </c:pt>
                <c:pt idx="106">
                  <c:v>2018-07-13 09:00</c:v>
                </c:pt>
                <c:pt idx="107">
                  <c:v>2018-07-13 10:00</c:v>
                </c:pt>
                <c:pt idx="108">
                  <c:v>2018-07-13 11:00</c:v>
                </c:pt>
                <c:pt idx="109">
                  <c:v>2018-07-13 12:00</c:v>
                </c:pt>
                <c:pt idx="110">
                  <c:v>2018-07-13 13:00</c:v>
                </c:pt>
                <c:pt idx="111">
                  <c:v>2018-07-13 14:00</c:v>
                </c:pt>
                <c:pt idx="112">
                  <c:v>2018-07-13 15:00</c:v>
                </c:pt>
                <c:pt idx="113">
                  <c:v>2018-07-13 16:00</c:v>
                </c:pt>
                <c:pt idx="114">
                  <c:v>2018-07-13 17:00</c:v>
                </c:pt>
                <c:pt idx="115">
                  <c:v>2018-07-13 18:00</c:v>
                </c:pt>
                <c:pt idx="116">
                  <c:v>2018-07-13 19:00</c:v>
                </c:pt>
                <c:pt idx="117">
                  <c:v>2018-07-13 20:00</c:v>
                </c:pt>
                <c:pt idx="118">
                  <c:v>2018-07-13 21:00</c:v>
                </c:pt>
                <c:pt idx="119">
                  <c:v>2018-07-13 22:00</c:v>
                </c:pt>
                <c:pt idx="120">
                  <c:v>2018-07-13 23:00</c:v>
                </c:pt>
                <c:pt idx="121">
                  <c:v>2018-07-16 00:00</c:v>
                </c:pt>
                <c:pt idx="122">
                  <c:v>2018-07-16 01:00</c:v>
                </c:pt>
                <c:pt idx="123">
                  <c:v>2018-07-16 02:00</c:v>
                </c:pt>
                <c:pt idx="124">
                  <c:v>2018-07-16 03:00</c:v>
                </c:pt>
                <c:pt idx="125">
                  <c:v>2018-07-16 04:00</c:v>
                </c:pt>
                <c:pt idx="126">
                  <c:v>2018-07-16 05:00</c:v>
                </c:pt>
                <c:pt idx="127">
                  <c:v>2018-07-16 06:00</c:v>
                </c:pt>
                <c:pt idx="128">
                  <c:v>2018-07-16 07:00</c:v>
                </c:pt>
                <c:pt idx="129">
                  <c:v>2018-07-16 08:00</c:v>
                </c:pt>
                <c:pt idx="130">
                  <c:v>2018-07-16 09:00</c:v>
                </c:pt>
                <c:pt idx="131">
                  <c:v>2018-07-16 10:00</c:v>
                </c:pt>
                <c:pt idx="132">
                  <c:v>2018-07-16 11:00</c:v>
                </c:pt>
                <c:pt idx="133">
                  <c:v>2018-07-16 12:00</c:v>
                </c:pt>
                <c:pt idx="134">
                  <c:v>2018-07-16 13:00</c:v>
                </c:pt>
                <c:pt idx="135">
                  <c:v>2018-07-16 14:00</c:v>
                </c:pt>
                <c:pt idx="136">
                  <c:v>2018-07-16 15:00</c:v>
                </c:pt>
                <c:pt idx="137">
                  <c:v>2018-07-16 16:00</c:v>
                </c:pt>
                <c:pt idx="138">
                  <c:v>2018-07-16 17:00</c:v>
                </c:pt>
                <c:pt idx="139">
                  <c:v>2018-07-16 18:00</c:v>
                </c:pt>
                <c:pt idx="140">
                  <c:v>2018-07-16 19:00</c:v>
                </c:pt>
                <c:pt idx="141">
                  <c:v>2018-07-16 20:00</c:v>
                </c:pt>
                <c:pt idx="142">
                  <c:v>2018-07-16 21:00</c:v>
                </c:pt>
                <c:pt idx="143">
                  <c:v>2018-07-16 22:00</c:v>
                </c:pt>
                <c:pt idx="144">
                  <c:v>2018-07-16 23:00</c:v>
                </c:pt>
                <c:pt idx="145">
                  <c:v>2018-07-17 00:00</c:v>
                </c:pt>
                <c:pt idx="146">
                  <c:v>2018-07-17 01:00</c:v>
                </c:pt>
                <c:pt idx="147">
                  <c:v>2018-07-17 02:00</c:v>
                </c:pt>
                <c:pt idx="148">
                  <c:v>2018-07-17 03:00</c:v>
                </c:pt>
                <c:pt idx="149">
                  <c:v>2018-07-17 04:00</c:v>
                </c:pt>
                <c:pt idx="150">
                  <c:v>2018-07-17 05:00</c:v>
                </c:pt>
                <c:pt idx="151">
                  <c:v>2018-07-17 06:00</c:v>
                </c:pt>
                <c:pt idx="152">
                  <c:v>2018-07-17 07:00</c:v>
                </c:pt>
                <c:pt idx="153">
                  <c:v>2018-07-17 08:00</c:v>
                </c:pt>
                <c:pt idx="154">
                  <c:v>2018-07-17 09:00</c:v>
                </c:pt>
                <c:pt idx="155">
                  <c:v>2018-07-17 10:00</c:v>
                </c:pt>
                <c:pt idx="156">
                  <c:v>2018-07-17 11:00</c:v>
                </c:pt>
                <c:pt idx="157">
                  <c:v>2018-07-17 12:00</c:v>
                </c:pt>
                <c:pt idx="158">
                  <c:v>2018-07-17 13:00</c:v>
                </c:pt>
                <c:pt idx="159">
                  <c:v>2018-07-17 14:00</c:v>
                </c:pt>
                <c:pt idx="160">
                  <c:v>2018-07-17 15:00</c:v>
                </c:pt>
                <c:pt idx="161">
                  <c:v>2018-07-17 16:00</c:v>
                </c:pt>
                <c:pt idx="162">
                  <c:v>2018-07-17 17:00</c:v>
                </c:pt>
                <c:pt idx="163">
                  <c:v>2018-07-17 18:00</c:v>
                </c:pt>
                <c:pt idx="164">
                  <c:v>2018-07-17 19:00</c:v>
                </c:pt>
                <c:pt idx="165">
                  <c:v>2018-07-17 20:00</c:v>
                </c:pt>
                <c:pt idx="166">
                  <c:v>2018-07-17 21:00</c:v>
                </c:pt>
                <c:pt idx="167">
                  <c:v>2018-07-17 22:00</c:v>
                </c:pt>
                <c:pt idx="168">
                  <c:v>2018-07-17 23:00</c:v>
                </c:pt>
                <c:pt idx="169">
                  <c:v>2018-07-18 00:00</c:v>
                </c:pt>
                <c:pt idx="170">
                  <c:v>2018-07-18 01:00</c:v>
                </c:pt>
                <c:pt idx="171">
                  <c:v>2018-07-18 02:00</c:v>
                </c:pt>
                <c:pt idx="172">
                  <c:v>2018-07-18 03:00</c:v>
                </c:pt>
                <c:pt idx="173">
                  <c:v>2018-07-18 04:00</c:v>
                </c:pt>
                <c:pt idx="174">
                  <c:v>2018-07-18 05:00</c:v>
                </c:pt>
                <c:pt idx="175">
                  <c:v>2018-07-18 06:00</c:v>
                </c:pt>
                <c:pt idx="176">
                  <c:v>2018-07-18 07:00</c:v>
                </c:pt>
                <c:pt idx="177">
                  <c:v>2018-07-18 08:00</c:v>
                </c:pt>
                <c:pt idx="178">
                  <c:v>2018-07-18 09:00</c:v>
                </c:pt>
                <c:pt idx="179">
                  <c:v>2018-07-18 10:00</c:v>
                </c:pt>
                <c:pt idx="180">
                  <c:v>2018-07-18 11:00</c:v>
                </c:pt>
                <c:pt idx="181">
                  <c:v>2018-07-18 12:00</c:v>
                </c:pt>
                <c:pt idx="182">
                  <c:v>2018-07-18 13:00</c:v>
                </c:pt>
                <c:pt idx="183">
                  <c:v>2018-07-18 14:00</c:v>
                </c:pt>
                <c:pt idx="184">
                  <c:v>2018-07-18 15:00</c:v>
                </c:pt>
                <c:pt idx="185">
                  <c:v>2018-07-18 16:00</c:v>
                </c:pt>
                <c:pt idx="186">
                  <c:v>2018-07-18 17:00</c:v>
                </c:pt>
                <c:pt idx="187">
                  <c:v>2018-07-18 18:00</c:v>
                </c:pt>
                <c:pt idx="188">
                  <c:v>2018-07-18 19:00</c:v>
                </c:pt>
                <c:pt idx="189">
                  <c:v>2018-07-18 20:00</c:v>
                </c:pt>
                <c:pt idx="190">
                  <c:v>2018-07-18 21:00</c:v>
                </c:pt>
                <c:pt idx="191">
                  <c:v>2018-07-18 22:00</c:v>
                </c:pt>
                <c:pt idx="192">
                  <c:v>2018-07-18 23:00</c:v>
                </c:pt>
                <c:pt idx="193">
                  <c:v>2018-07-19 00:00</c:v>
                </c:pt>
                <c:pt idx="194">
                  <c:v>2018-07-19 01:00</c:v>
                </c:pt>
                <c:pt idx="195">
                  <c:v>2018-07-19 02:00</c:v>
                </c:pt>
                <c:pt idx="196">
                  <c:v>2018-07-19 03:00</c:v>
                </c:pt>
                <c:pt idx="197">
                  <c:v>2018-07-19 04:00</c:v>
                </c:pt>
                <c:pt idx="198">
                  <c:v>2018-07-19 05:00</c:v>
                </c:pt>
                <c:pt idx="199">
                  <c:v>2018-07-19 06:00</c:v>
                </c:pt>
                <c:pt idx="200">
                  <c:v>2018-07-19 07:00</c:v>
                </c:pt>
                <c:pt idx="201">
                  <c:v>2018-07-19 08:00</c:v>
                </c:pt>
                <c:pt idx="202">
                  <c:v>2018-07-19 09:00</c:v>
                </c:pt>
                <c:pt idx="203">
                  <c:v>2018-07-19 10:00</c:v>
                </c:pt>
                <c:pt idx="204">
                  <c:v>2018-07-19 11:00</c:v>
                </c:pt>
                <c:pt idx="205">
                  <c:v>2018-07-19 12:00</c:v>
                </c:pt>
                <c:pt idx="206">
                  <c:v>2018-07-19 13:00</c:v>
                </c:pt>
                <c:pt idx="207">
                  <c:v>2018-07-19 14:00</c:v>
                </c:pt>
                <c:pt idx="208">
                  <c:v>2018-07-19 15:00</c:v>
                </c:pt>
                <c:pt idx="209">
                  <c:v>2018-07-19 16:00</c:v>
                </c:pt>
                <c:pt idx="210">
                  <c:v>2018-07-19 17:00</c:v>
                </c:pt>
                <c:pt idx="211">
                  <c:v>2018-07-19 18:00</c:v>
                </c:pt>
                <c:pt idx="212">
                  <c:v>2018-07-19 19:00</c:v>
                </c:pt>
                <c:pt idx="213">
                  <c:v>2018-07-19 20:00</c:v>
                </c:pt>
                <c:pt idx="214">
                  <c:v>2018-07-19 21:00</c:v>
                </c:pt>
                <c:pt idx="215">
                  <c:v>2018-07-19 22:00</c:v>
                </c:pt>
                <c:pt idx="216">
                  <c:v>2018-07-19 23:00</c:v>
                </c:pt>
                <c:pt idx="217">
                  <c:v>2018-07-20 00:00</c:v>
                </c:pt>
                <c:pt idx="218">
                  <c:v>2018-07-20 01:00</c:v>
                </c:pt>
                <c:pt idx="219">
                  <c:v>2018-07-20 02:00</c:v>
                </c:pt>
                <c:pt idx="220">
                  <c:v>2018-07-20 03:00</c:v>
                </c:pt>
                <c:pt idx="221">
                  <c:v>2018-07-20 04:00</c:v>
                </c:pt>
                <c:pt idx="222">
                  <c:v>2018-07-20 05:00</c:v>
                </c:pt>
                <c:pt idx="223">
                  <c:v>2018-07-20 06:00</c:v>
                </c:pt>
                <c:pt idx="224">
                  <c:v>2018-07-20 07:00</c:v>
                </c:pt>
                <c:pt idx="225">
                  <c:v>2018-07-20 08:00</c:v>
                </c:pt>
                <c:pt idx="226">
                  <c:v>2018-07-20 09:00</c:v>
                </c:pt>
                <c:pt idx="227">
                  <c:v>2018-07-20 10:00</c:v>
                </c:pt>
                <c:pt idx="228">
                  <c:v>2018-07-20 11:00</c:v>
                </c:pt>
                <c:pt idx="229">
                  <c:v>2018-07-20 12:00</c:v>
                </c:pt>
                <c:pt idx="230">
                  <c:v>2018-07-20 13:00</c:v>
                </c:pt>
                <c:pt idx="231">
                  <c:v>2018-07-20 14:00</c:v>
                </c:pt>
                <c:pt idx="232">
                  <c:v>2018-07-20 15:00</c:v>
                </c:pt>
                <c:pt idx="233">
                  <c:v>2018-07-20 16:00</c:v>
                </c:pt>
                <c:pt idx="234">
                  <c:v>2018-07-20 17:00</c:v>
                </c:pt>
                <c:pt idx="235">
                  <c:v>2018-07-20 18:00</c:v>
                </c:pt>
                <c:pt idx="236">
                  <c:v>2018-07-20 19:00</c:v>
                </c:pt>
                <c:pt idx="237">
                  <c:v>2018-07-20 20:00</c:v>
                </c:pt>
                <c:pt idx="238">
                  <c:v>2018-07-20 21:00</c:v>
                </c:pt>
                <c:pt idx="239">
                  <c:v>2018-07-20 22:00</c:v>
                </c:pt>
                <c:pt idx="240">
                  <c:v>2018-07-20 23:00</c:v>
                </c:pt>
                <c:pt idx="241">
                  <c:v>2018-07-23 00:00</c:v>
                </c:pt>
                <c:pt idx="242">
                  <c:v>2018-07-23 01:00</c:v>
                </c:pt>
                <c:pt idx="243">
                  <c:v>2018-07-23 02:00</c:v>
                </c:pt>
                <c:pt idx="244">
                  <c:v>2018-07-23 03:00</c:v>
                </c:pt>
                <c:pt idx="245">
                  <c:v>2018-07-23 04:00</c:v>
                </c:pt>
                <c:pt idx="246">
                  <c:v>2018-07-23 05:00</c:v>
                </c:pt>
                <c:pt idx="247">
                  <c:v>2018-07-23 06:00</c:v>
                </c:pt>
                <c:pt idx="248">
                  <c:v>2018-07-23 07:00</c:v>
                </c:pt>
                <c:pt idx="249">
                  <c:v>2018-07-23 08:00</c:v>
                </c:pt>
                <c:pt idx="250">
                  <c:v>2018-07-23 09:00</c:v>
                </c:pt>
                <c:pt idx="251">
                  <c:v>2018-07-23 10:00</c:v>
                </c:pt>
                <c:pt idx="252">
                  <c:v>2018-07-23 11:00</c:v>
                </c:pt>
                <c:pt idx="253">
                  <c:v>2018-07-23 12:00</c:v>
                </c:pt>
                <c:pt idx="254">
                  <c:v>2018-07-23 13:00</c:v>
                </c:pt>
                <c:pt idx="255">
                  <c:v>2018-07-23 14:00</c:v>
                </c:pt>
                <c:pt idx="256">
                  <c:v>2018-07-23 15:00</c:v>
                </c:pt>
                <c:pt idx="257">
                  <c:v>2018-07-23 16:00</c:v>
                </c:pt>
                <c:pt idx="258">
                  <c:v>2018-07-23 17:00</c:v>
                </c:pt>
                <c:pt idx="259">
                  <c:v>2018-07-23 18:00</c:v>
                </c:pt>
                <c:pt idx="260">
                  <c:v>2018-07-23 19:00</c:v>
                </c:pt>
                <c:pt idx="261">
                  <c:v>2018-07-23 20:00</c:v>
                </c:pt>
                <c:pt idx="262">
                  <c:v>2018-07-23 21:00</c:v>
                </c:pt>
                <c:pt idx="263">
                  <c:v>2018-07-23 22:00</c:v>
                </c:pt>
                <c:pt idx="264">
                  <c:v>2018-07-23 23:00</c:v>
                </c:pt>
                <c:pt idx="265">
                  <c:v>2018-07-24 00:00</c:v>
                </c:pt>
                <c:pt idx="266">
                  <c:v>2018-07-24 01:00</c:v>
                </c:pt>
                <c:pt idx="267">
                  <c:v>2018-07-24 02:00</c:v>
                </c:pt>
                <c:pt idx="268">
                  <c:v>2018-07-24 03:00</c:v>
                </c:pt>
                <c:pt idx="269">
                  <c:v>2018-07-24 04:00</c:v>
                </c:pt>
                <c:pt idx="270">
                  <c:v>2018-07-24 05:00</c:v>
                </c:pt>
                <c:pt idx="271">
                  <c:v>2018-07-24 06:00</c:v>
                </c:pt>
                <c:pt idx="272">
                  <c:v>2018-07-24 07:00</c:v>
                </c:pt>
                <c:pt idx="273">
                  <c:v>2018-07-24 08:00</c:v>
                </c:pt>
                <c:pt idx="274">
                  <c:v>2018-07-24 09:00</c:v>
                </c:pt>
                <c:pt idx="275">
                  <c:v>2018-07-24 10:00</c:v>
                </c:pt>
                <c:pt idx="276">
                  <c:v>2018-07-24 11:00</c:v>
                </c:pt>
                <c:pt idx="277">
                  <c:v>2018-07-24 12:00</c:v>
                </c:pt>
                <c:pt idx="278">
                  <c:v>2018-07-24 13:00</c:v>
                </c:pt>
                <c:pt idx="279">
                  <c:v>2018-07-24 14:00</c:v>
                </c:pt>
                <c:pt idx="280">
                  <c:v>2018-07-24 15:00</c:v>
                </c:pt>
                <c:pt idx="281">
                  <c:v>2018-07-24 16:00</c:v>
                </c:pt>
                <c:pt idx="282">
                  <c:v>2018-07-24 17:00</c:v>
                </c:pt>
                <c:pt idx="283">
                  <c:v>2018-07-24 18:00</c:v>
                </c:pt>
                <c:pt idx="284">
                  <c:v>2018-07-24 19:00</c:v>
                </c:pt>
                <c:pt idx="285">
                  <c:v>2018-07-24 20:00</c:v>
                </c:pt>
                <c:pt idx="286">
                  <c:v>2018-07-24 21:00</c:v>
                </c:pt>
                <c:pt idx="287">
                  <c:v>2018-07-24 22:00</c:v>
                </c:pt>
                <c:pt idx="288">
                  <c:v>2018-07-24 23:00</c:v>
                </c:pt>
                <c:pt idx="289">
                  <c:v>2018-07-25 00:00</c:v>
                </c:pt>
                <c:pt idx="290">
                  <c:v>2018-07-25 01:00</c:v>
                </c:pt>
                <c:pt idx="291">
                  <c:v>2018-07-25 02:00</c:v>
                </c:pt>
                <c:pt idx="292">
                  <c:v>2018-07-25 03:00</c:v>
                </c:pt>
                <c:pt idx="293">
                  <c:v>2018-07-25 04:00</c:v>
                </c:pt>
                <c:pt idx="294">
                  <c:v>2018-07-25 05:00</c:v>
                </c:pt>
                <c:pt idx="295">
                  <c:v>2018-07-25 06:00</c:v>
                </c:pt>
                <c:pt idx="296">
                  <c:v>2018-07-25 07:00</c:v>
                </c:pt>
                <c:pt idx="297">
                  <c:v>2018-07-25 08:00</c:v>
                </c:pt>
                <c:pt idx="298">
                  <c:v>2018-07-25 09:00</c:v>
                </c:pt>
                <c:pt idx="299">
                  <c:v>2018-07-25 10:00</c:v>
                </c:pt>
                <c:pt idx="300">
                  <c:v>2018-07-25 11:00</c:v>
                </c:pt>
                <c:pt idx="301">
                  <c:v>2018-07-25 12:00</c:v>
                </c:pt>
                <c:pt idx="302">
                  <c:v>2018-07-25 13:00</c:v>
                </c:pt>
                <c:pt idx="303">
                  <c:v>2018-07-25 14:00</c:v>
                </c:pt>
                <c:pt idx="304">
                  <c:v>2018-07-25 15:00</c:v>
                </c:pt>
                <c:pt idx="305">
                  <c:v>2018-07-25 16:00</c:v>
                </c:pt>
                <c:pt idx="306">
                  <c:v>2018-07-25 17:00</c:v>
                </c:pt>
                <c:pt idx="307">
                  <c:v>2018-07-25 18:00</c:v>
                </c:pt>
                <c:pt idx="308">
                  <c:v>2018-07-25 19:00</c:v>
                </c:pt>
                <c:pt idx="309">
                  <c:v>2018-07-25 20:00</c:v>
                </c:pt>
                <c:pt idx="310">
                  <c:v>2018-07-25 21:00</c:v>
                </c:pt>
                <c:pt idx="311">
                  <c:v>2018-07-25 22:00</c:v>
                </c:pt>
                <c:pt idx="312">
                  <c:v>2018-07-25 23:00</c:v>
                </c:pt>
                <c:pt idx="313">
                  <c:v>2018-07-26 00:00</c:v>
                </c:pt>
                <c:pt idx="314">
                  <c:v>2018-07-26 01:00</c:v>
                </c:pt>
                <c:pt idx="315">
                  <c:v>2018-07-26 02:00</c:v>
                </c:pt>
                <c:pt idx="316">
                  <c:v>2018-07-26 03:00</c:v>
                </c:pt>
                <c:pt idx="317">
                  <c:v>2018-07-26 04:00</c:v>
                </c:pt>
                <c:pt idx="318">
                  <c:v>2018-07-26 05:00</c:v>
                </c:pt>
                <c:pt idx="319">
                  <c:v>2018-07-26 06:00</c:v>
                </c:pt>
                <c:pt idx="320">
                  <c:v>2018-07-26 07:00</c:v>
                </c:pt>
                <c:pt idx="321">
                  <c:v>2018-07-26 08:00</c:v>
                </c:pt>
                <c:pt idx="322">
                  <c:v>2018-07-26 09:00</c:v>
                </c:pt>
                <c:pt idx="323">
                  <c:v>2018-07-26 10:00</c:v>
                </c:pt>
                <c:pt idx="324">
                  <c:v>2018-07-26 11:00</c:v>
                </c:pt>
                <c:pt idx="325">
                  <c:v>2018-07-26 12:00</c:v>
                </c:pt>
                <c:pt idx="326">
                  <c:v>2018-07-26 13:00</c:v>
                </c:pt>
                <c:pt idx="327">
                  <c:v>2018-07-26 14:00</c:v>
                </c:pt>
                <c:pt idx="328">
                  <c:v>2018-07-26 15:00</c:v>
                </c:pt>
                <c:pt idx="329">
                  <c:v>2018-07-26 16:00</c:v>
                </c:pt>
                <c:pt idx="330">
                  <c:v>2018-07-26 17:00</c:v>
                </c:pt>
                <c:pt idx="331">
                  <c:v>2018-07-26 18:00</c:v>
                </c:pt>
                <c:pt idx="332">
                  <c:v>2018-07-26 19:00</c:v>
                </c:pt>
                <c:pt idx="333">
                  <c:v>2018-07-26 20:00</c:v>
                </c:pt>
                <c:pt idx="334">
                  <c:v>2018-07-26 21:00</c:v>
                </c:pt>
                <c:pt idx="335">
                  <c:v>2018-07-26 22:00</c:v>
                </c:pt>
              </c:strCache>
            </c:strRef>
          </c:cat>
          <c:val>
            <c:numRef>
              <c:f>TradeError!$D$4:$D$340</c:f>
              <c:numCache>
                <c:formatCode>0%</c:formatCode>
                <c:ptCount val="336"/>
                <c:pt idx="0">
                  <c:v>7.4939759036144578</c:v>
                </c:pt>
                <c:pt idx="1">
                  <c:v>8.4871212121212114</c:v>
                </c:pt>
                <c:pt idx="2">
                  <c:v>0.31413043478260866</c:v>
                </c:pt>
                <c:pt idx="3">
                  <c:v>0.39555555555555555</c:v>
                </c:pt>
                <c:pt idx="4">
                  <c:v>0.39148936170212767</c:v>
                </c:pt>
                <c:pt idx="5">
                  <c:v>0.41588235294117648</c:v>
                </c:pt>
                <c:pt idx="6">
                  <c:v>0.55189873417721524</c:v>
                </c:pt>
                <c:pt idx="7">
                  <c:v>0.3443181818181818</c:v>
                </c:pt>
                <c:pt idx="8">
                  <c:v>0.92799999999999994</c:v>
                </c:pt>
                <c:pt idx="9">
                  <c:v>0.34776119402985073</c:v>
                </c:pt>
                <c:pt idx="10">
                  <c:v>0.28057142857142858</c:v>
                </c:pt>
                <c:pt idx="11">
                  <c:v>0.18190045248868777</c:v>
                </c:pt>
                <c:pt idx="12">
                  <c:v>0.46751592356687893</c:v>
                </c:pt>
                <c:pt idx="13">
                  <c:v>0.2576</c:v>
                </c:pt>
                <c:pt idx="14">
                  <c:v>1.282051282051282E-2</c:v>
                </c:pt>
                <c:pt idx="15">
                  <c:v>0.54338624338624331</c:v>
                </c:pt>
                <c:pt idx="16">
                  <c:v>0.20620689655172417</c:v>
                </c:pt>
                <c:pt idx="17">
                  <c:v>0.14132841328413281</c:v>
                </c:pt>
                <c:pt idx="18">
                  <c:v>0.36631016042780745</c:v>
                </c:pt>
                <c:pt idx="19">
                  <c:v>0.20900473933649288</c:v>
                </c:pt>
                <c:pt idx="20">
                  <c:v>0.23666666666666666</c:v>
                </c:pt>
                <c:pt idx="21">
                  <c:v>0.2605555555555556</c:v>
                </c:pt>
                <c:pt idx="22">
                  <c:v>0.1475409836065574</c:v>
                </c:pt>
                <c:pt idx="23">
                  <c:v>0.11159420289855074</c:v>
                </c:pt>
                <c:pt idx="24">
                  <c:v>9.9999999999999992E-2</c:v>
                </c:pt>
                <c:pt idx="25">
                  <c:v>0.21627906976744185</c:v>
                </c:pt>
                <c:pt idx="26">
                  <c:v>0.28200000000000003</c:v>
                </c:pt>
                <c:pt idx="27">
                  <c:v>0.20833333333333331</c:v>
                </c:pt>
                <c:pt idx="28">
                  <c:v>0.23194444444444443</c:v>
                </c:pt>
                <c:pt idx="29">
                  <c:v>0.15069444444444444</c:v>
                </c:pt>
                <c:pt idx="30">
                  <c:v>0.12584269662921349</c:v>
                </c:pt>
                <c:pt idx="31">
                  <c:v>0.33510638297872342</c:v>
                </c:pt>
                <c:pt idx="32">
                  <c:v>0.54177215189873418</c:v>
                </c:pt>
                <c:pt idx="33">
                  <c:v>0.3</c:v>
                </c:pt>
                <c:pt idx="34">
                  <c:v>0.17183908045977012</c:v>
                </c:pt>
                <c:pt idx="35">
                  <c:v>0.16233766233766234</c:v>
                </c:pt>
                <c:pt idx="36">
                  <c:v>7.8308823529411764E-2</c:v>
                </c:pt>
                <c:pt idx="37">
                  <c:v>0.75537190082644634</c:v>
                </c:pt>
                <c:pt idx="38">
                  <c:v>5.1724137931034482E-2</c:v>
                </c:pt>
                <c:pt idx="39">
                  <c:v>0.21909547738693469</c:v>
                </c:pt>
                <c:pt idx="40">
                  <c:v>0.268695652173913</c:v>
                </c:pt>
                <c:pt idx="41">
                  <c:v>8.2638888888888887E-2</c:v>
                </c:pt>
                <c:pt idx="42">
                  <c:v>0.24020100502512565</c:v>
                </c:pt>
                <c:pt idx="43">
                  <c:v>0.63582089552238807</c:v>
                </c:pt>
                <c:pt idx="44">
                  <c:v>0.31761006289308175</c:v>
                </c:pt>
                <c:pt idx="45">
                  <c:v>0.42</c:v>
                </c:pt>
                <c:pt idx="46">
                  <c:v>0.42560975609756102</c:v>
                </c:pt>
                <c:pt idx="47">
                  <c:v>0.46326530612244898</c:v>
                </c:pt>
                <c:pt idx="48">
                  <c:v>0.14531249999999998</c:v>
                </c:pt>
                <c:pt idx="49">
                  <c:v>4.4927536231884065E-2</c:v>
                </c:pt>
                <c:pt idx="50">
                  <c:v>0.92428571428571427</c:v>
                </c:pt>
                <c:pt idx="51">
                  <c:v>0.14462809917355374</c:v>
                </c:pt>
                <c:pt idx="52">
                  <c:v>0.1506172839506173</c:v>
                </c:pt>
                <c:pt idx="53">
                  <c:v>0.12222222222222222</c:v>
                </c:pt>
                <c:pt idx="54">
                  <c:v>0.21511627906976744</c:v>
                </c:pt>
                <c:pt idx="55">
                  <c:v>0.29599999999999999</c:v>
                </c:pt>
                <c:pt idx="56">
                  <c:v>0.23717948717948717</c:v>
                </c:pt>
                <c:pt idx="57">
                  <c:v>0.27647058823529408</c:v>
                </c:pt>
                <c:pt idx="58">
                  <c:v>0.38227848101265827</c:v>
                </c:pt>
                <c:pt idx="59">
                  <c:v>0.19423076923076923</c:v>
                </c:pt>
                <c:pt idx="60">
                  <c:v>3.4662576687116566E-2</c:v>
                </c:pt>
                <c:pt idx="61">
                  <c:v>0.78414634146341466</c:v>
                </c:pt>
                <c:pt idx="62">
                  <c:v>0.32129032258064516</c:v>
                </c:pt>
                <c:pt idx="63">
                  <c:v>1.268292682926829E-2</c:v>
                </c:pt>
                <c:pt idx="64">
                  <c:v>0.67425373134328359</c:v>
                </c:pt>
                <c:pt idx="65">
                  <c:v>0.90069444444444435</c:v>
                </c:pt>
                <c:pt idx="66">
                  <c:v>0.25440251572327044</c:v>
                </c:pt>
                <c:pt idx="67">
                  <c:v>0.35865921787709498</c:v>
                </c:pt>
                <c:pt idx="68">
                  <c:v>0.19999999999999998</c:v>
                </c:pt>
                <c:pt idx="69">
                  <c:v>0.46199376947040494</c:v>
                </c:pt>
                <c:pt idx="70">
                  <c:v>0.3718390804597701</c:v>
                </c:pt>
                <c:pt idx="71">
                  <c:v>0.49072164948453606</c:v>
                </c:pt>
                <c:pt idx="72">
                  <c:v>0.26440677966101694</c:v>
                </c:pt>
                <c:pt idx="73">
                  <c:v>0.19879518072289157</c:v>
                </c:pt>
                <c:pt idx="74">
                  <c:v>0.98974358974358978</c:v>
                </c:pt>
                <c:pt idx="75">
                  <c:v>0.30545454545454542</c:v>
                </c:pt>
                <c:pt idx="76">
                  <c:v>6.9879518072289162E-2</c:v>
                </c:pt>
                <c:pt idx="77">
                  <c:v>0.43950617283950616</c:v>
                </c:pt>
                <c:pt idx="78">
                  <c:v>0.17236842105263159</c:v>
                </c:pt>
                <c:pt idx="79">
                  <c:v>2.5806451612903226E-2</c:v>
                </c:pt>
                <c:pt idx="80">
                  <c:v>0.20499999999999999</c:v>
                </c:pt>
                <c:pt idx="81">
                  <c:v>0.1926829268292683</c:v>
                </c:pt>
                <c:pt idx="82">
                  <c:v>0.15947712418300655</c:v>
                </c:pt>
                <c:pt idx="83">
                  <c:v>0.11354166666666667</c:v>
                </c:pt>
                <c:pt idx="84">
                  <c:v>1.1111111111111112E-2</c:v>
                </c:pt>
                <c:pt idx="85">
                  <c:v>0.12447552447552446</c:v>
                </c:pt>
                <c:pt idx="86">
                  <c:v>0.26995073891625615</c:v>
                </c:pt>
                <c:pt idx="87">
                  <c:v>0.69027777777777777</c:v>
                </c:pt>
                <c:pt idx="88">
                  <c:v>0.73160919540229885</c:v>
                </c:pt>
                <c:pt idx="89">
                  <c:v>0.71048951048951048</c:v>
                </c:pt>
                <c:pt idx="90">
                  <c:v>1.6666666666666666E-2</c:v>
                </c:pt>
                <c:pt idx="91">
                  <c:v>0.33657142857142858</c:v>
                </c:pt>
                <c:pt idx="92">
                  <c:v>0.41551724137931034</c:v>
                </c:pt>
                <c:pt idx="93">
                  <c:v>0.186046511627907</c:v>
                </c:pt>
                <c:pt idx="94">
                  <c:v>0.69647058823529417</c:v>
                </c:pt>
                <c:pt idx="95">
                  <c:v>8.152173913043477E-2</c:v>
                </c:pt>
                <c:pt idx="96">
                  <c:v>7.9381818181818176</c:v>
                </c:pt>
                <c:pt idx="97">
                  <c:v>0.81967213114754101</c:v>
                </c:pt>
                <c:pt idx="98">
                  <c:v>0.14525547445255477</c:v>
                </c:pt>
                <c:pt idx="99">
                  <c:v>0.58275862068965512</c:v>
                </c:pt>
                <c:pt idx="100">
                  <c:v>0.39090909090909093</c:v>
                </c:pt>
                <c:pt idx="101">
                  <c:v>0.38981481481481478</c:v>
                </c:pt>
                <c:pt idx="102">
                  <c:v>0.36746987951807225</c:v>
                </c:pt>
                <c:pt idx="103">
                  <c:v>0.57865168539325851</c:v>
                </c:pt>
                <c:pt idx="104">
                  <c:v>0.13977272727272727</c:v>
                </c:pt>
                <c:pt idx="105">
                  <c:v>3.888888888888889E-2</c:v>
                </c:pt>
                <c:pt idx="106">
                  <c:v>0.24084507042253522</c:v>
                </c:pt>
                <c:pt idx="107">
                  <c:v>0.14624505928853754</c:v>
                </c:pt>
                <c:pt idx="108">
                  <c:v>0.24978723404255315</c:v>
                </c:pt>
                <c:pt idx="109">
                  <c:v>0.13502304147465438</c:v>
                </c:pt>
                <c:pt idx="110">
                  <c:v>0.27839506172839507</c:v>
                </c:pt>
                <c:pt idx="111">
                  <c:v>0.14038461538461539</c:v>
                </c:pt>
                <c:pt idx="112">
                  <c:v>0.46111111111111108</c:v>
                </c:pt>
                <c:pt idx="113">
                  <c:v>0.4869158878504673</c:v>
                </c:pt>
                <c:pt idx="114">
                  <c:v>0.67542087542087537</c:v>
                </c:pt>
                <c:pt idx="115">
                  <c:v>0.31811594202898552</c:v>
                </c:pt>
                <c:pt idx="116">
                  <c:v>0.32032520325203251</c:v>
                </c:pt>
                <c:pt idx="117">
                  <c:v>0.78453608247422668</c:v>
                </c:pt>
                <c:pt idx="118">
                  <c:v>0.53218390804597704</c:v>
                </c:pt>
                <c:pt idx="119">
                  <c:v>4.0963855421686748E-2</c:v>
                </c:pt>
                <c:pt idx="120">
                  <c:v>0.27368421052631581</c:v>
                </c:pt>
                <c:pt idx="121">
                  <c:v>0.26538461538461539</c:v>
                </c:pt>
                <c:pt idx="122">
                  <c:v>0.74558823529411755</c:v>
                </c:pt>
                <c:pt idx="123">
                  <c:v>0.30441176470588233</c:v>
                </c:pt>
                <c:pt idx="124">
                  <c:v>0.28421052631578947</c:v>
                </c:pt>
                <c:pt idx="125">
                  <c:v>2.6666666666666668E-2</c:v>
                </c:pt>
                <c:pt idx="126">
                  <c:v>0.21486486486486486</c:v>
                </c:pt>
                <c:pt idx="127">
                  <c:v>0.2481012658227848</c:v>
                </c:pt>
                <c:pt idx="128">
                  <c:v>0.5653061224489796</c:v>
                </c:pt>
                <c:pt idx="129">
                  <c:v>0.84666666666666679</c:v>
                </c:pt>
                <c:pt idx="130">
                  <c:v>0.57068965517241388</c:v>
                </c:pt>
                <c:pt idx="131">
                  <c:v>2.3902439024390241E-2</c:v>
                </c:pt>
                <c:pt idx="132">
                  <c:v>5.586206896551725E-2</c:v>
                </c:pt>
                <c:pt idx="133">
                  <c:v>0.22901234567901238</c:v>
                </c:pt>
                <c:pt idx="134">
                  <c:v>0.28296296296296297</c:v>
                </c:pt>
                <c:pt idx="135">
                  <c:v>0.24636363636363631</c:v>
                </c:pt>
                <c:pt idx="136">
                  <c:v>0.16388888888888886</c:v>
                </c:pt>
                <c:pt idx="137">
                  <c:v>0.1272108843537415</c:v>
                </c:pt>
                <c:pt idx="138">
                  <c:v>2.0918367346938777E-2</c:v>
                </c:pt>
                <c:pt idx="139">
                  <c:v>0.20762711864406777</c:v>
                </c:pt>
                <c:pt idx="140">
                  <c:v>0.26021505376344084</c:v>
                </c:pt>
                <c:pt idx="141">
                  <c:v>0.701834862385321</c:v>
                </c:pt>
                <c:pt idx="142">
                  <c:v>5.1249999999999997E-2</c:v>
                </c:pt>
                <c:pt idx="143">
                  <c:v>0.69852941176470584</c:v>
                </c:pt>
                <c:pt idx="144">
                  <c:v>4.6492307692307691</c:v>
                </c:pt>
                <c:pt idx="145">
                  <c:v>5.1724137931034482E-3</c:v>
                </c:pt>
                <c:pt idx="146">
                  <c:v>0.59459459459459463</c:v>
                </c:pt>
                <c:pt idx="147">
                  <c:v>0.62</c:v>
                </c:pt>
                <c:pt idx="148">
                  <c:v>0.29655172413793102</c:v>
                </c:pt>
                <c:pt idx="149">
                  <c:v>0.57397260273972606</c:v>
                </c:pt>
                <c:pt idx="150">
                  <c:v>0.27727272727272728</c:v>
                </c:pt>
                <c:pt idx="151">
                  <c:v>0.72450331125827805</c:v>
                </c:pt>
                <c:pt idx="152">
                  <c:v>0.84666666666666668</c:v>
                </c:pt>
                <c:pt idx="153">
                  <c:v>0.55333333333333334</c:v>
                </c:pt>
                <c:pt idx="154">
                  <c:v>0.73694779116465869</c:v>
                </c:pt>
                <c:pt idx="155">
                  <c:v>0.49512195121951219</c:v>
                </c:pt>
                <c:pt idx="156">
                  <c:v>0.36369047619047618</c:v>
                </c:pt>
                <c:pt idx="157">
                  <c:v>0.22516129032258067</c:v>
                </c:pt>
                <c:pt idx="158">
                  <c:v>0.47551020408163264</c:v>
                </c:pt>
                <c:pt idx="159">
                  <c:v>0.20204081632653062</c:v>
                </c:pt>
                <c:pt idx="160">
                  <c:v>0.3437158469945355</c:v>
                </c:pt>
                <c:pt idx="161">
                  <c:v>0.31000000000000005</c:v>
                </c:pt>
                <c:pt idx="162">
                  <c:v>0.33347457627118643</c:v>
                </c:pt>
                <c:pt idx="163">
                  <c:v>0.14886731391585761</c:v>
                </c:pt>
                <c:pt idx="164">
                  <c:v>1.2151079136690648</c:v>
                </c:pt>
                <c:pt idx="165">
                  <c:v>0.22663316582914572</c:v>
                </c:pt>
                <c:pt idx="166">
                  <c:v>0.78584070796460181</c:v>
                </c:pt>
                <c:pt idx="167">
                  <c:v>0.32340425531914896</c:v>
                </c:pt>
                <c:pt idx="168">
                  <c:v>0.35438596491228075</c:v>
                </c:pt>
                <c:pt idx="169">
                  <c:v>0.30196078431372547</c:v>
                </c:pt>
                <c:pt idx="170">
                  <c:v>0.3</c:v>
                </c:pt>
                <c:pt idx="171">
                  <c:v>0.28421052631578947</c:v>
                </c:pt>
                <c:pt idx="172">
                  <c:v>0.5056338028169014</c:v>
                </c:pt>
                <c:pt idx="173">
                  <c:v>0.22815533980582522</c:v>
                </c:pt>
                <c:pt idx="174">
                  <c:v>0.10641025641025641</c:v>
                </c:pt>
                <c:pt idx="175">
                  <c:v>1.0705882352941176</c:v>
                </c:pt>
                <c:pt idx="176">
                  <c:v>0.2185185185185185</c:v>
                </c:pt>
                <c:pt idx="177">
                  <c:v>0.15925925925925924</c:v>
                </c:pt>
                <c:pt idx="178">
                  <c:v>0.39312977099236646</c:v>
                </c:pt>
                <c:pt idx="179">
                  <c:v>0.19022222222222224</c:v>
                </c:pt>
                <c:pt idx="180">
                  <c:v>0.52258064516129032</c:v>
                </c:pt>
                <c:pt idx="181">
                  <c:v>0.20208333333333334</c:v>
                </c:pt>
                <c:pt idx="182">
                  <c:v>0.22784090909090907</c:v>
                </c:pt>
                <c:pt idx="183">
                  <c:v>0.29949494949494948</c:v>
                </c:pt>
                <c:pt idx="184">
                  <c:v>0.38837209302325587</c:v>
                </c:pt>
                <c:pt idx="185">
                  <c:v>0.30786516853932583</c:v>
                </c:pt>
                <c:pt idx="186">
                  <c:v>0.2429447852760736</c:v>
                </c:pt>
                <c:pt idx="187">
                  <c:v>0.10072463768115941</c:v>
                </c:pt>
                <c:pt idx="188">
                  <c:v>0.58977272727272734</c:v>
                </c:pt>
                <c:pt idx="189">
                  <c:v>1.2825</c:v>
                </c:pt>
                <c:pt idx="190">
                  <c:v>0.74461538461538468</c:v>
                </c:pt>
                <c:pt idx="191">
                  <c:v>0.3552380952380953</c:v>
                </c:pt>
                <c:pt idx="192">
                  <c:v>4.4937499999999995</c:v>
                </c:pt>
                <c:pt idx="193">
                  <c:v>0.20930232558139536</c:v>
                </c:pt>
                <c:pt idx="194">
                  <c:v>0.90238095238095228</c:v>
                </c:pt>
                <c:pt idx="195">
                  <c:v>0.2930232558139535</c:v>
                </c:pt>
                <c:pt idx="196">
                  <c:v>0.72912621359223295</c:v>
                </c:pt>
                <c:pt idx="197">
                  <c:v>0.12820512820512822</c:v>
                </c:pt>
                <c:pt idx="198">
                  <c:v>0.27333333333333332</c:v>
                </c:pt>
                <c:pt idx="199">
                  <c:v>0.46422764227642277</c:v>
                </c:pt>
                <c:pt idx="200">
                  <c:v>0.57464788732394367</c:v>
                </c:pt>
                <c:pt idx="201">
                  <c:v>0.32857142857142863</c:v>
                </c:pt>
                <c:pt idx="202">
                  <c:v>0.09</c:v>
                </c:pt>
                <c:pt idx="203">
                  <c:v>0.39669811320754716</c:v>
                </c:pt>
                <c:pt idx="204">
                  <c:v>0.25918367346938775</c:v>
                </c:pt>
                <c:pt idx="205">
                  <c:v>0.24271844660194172</c:v>
                </c:pt>
                <c:pt idx="206">
                  <c:v>9.3684210526315786E-2</c:v>
                </c:pt>
                <c:pt idx="207">
                  <c:v>0.39256756756756761</c:v>
                </c:pt>
                <c:pt idx="208">
                  <c:v>0.27209302325581397</c:v>
                </c:pt>
                <c:pt idx="209">
                  <c:v>0.72793522267206479</c:v>
                </c:pt>
                <c:pt idx="210">
                  <c:v>0.30733590733590738</c:v>
                </c:pt>
                <c:pt idx="211">
                  <c:v>0.8738636363636364</c:v>
                </c:pt>
                <c:pt idx="212">
                  <c:v>0.16666666666666669</c:v>
                </c:pt>
                <c:pt idx="213">
                  <c:v>0.90205761316872435</c:v>
                </c:pt>
                <c:pt idx="214">
                  <c:v>1.2102941176470587</c:v>
                </c:pt>
                <c:pt idx="215">
                  <c:v>1.888181818181818</c:v>
                </c:pt>
                <c:pt idx="216">
                  <c:v>0.34907975460122698</c:v>
                </c:pt>
                <c:pt idx="217">
                  <c:v>0.6450704225352113</c:v>
                </c:pt>
                <c:pt idx="218">
                  <c:v>0.79583333333333339</c:v>
                </c:pt>
                <c:pt idx="219">
                  <c:v>0.39850746268656712</c:v>
                </c:pt>
                <c:pt idx="220">
                  <c:v>0.46046511627906977</c:v>
                </c:pt>
                <c:pt idx="221">
                  <c:v>7.0833333333333331E-2</c:v>
                </c:pt>
                <c:pt idx="222">
                  <c:v>0.3941463414634146</c:v>
                </c:pt>
                <c:pt idx="223">
                  <c:v>0.7717171717171718</c:v>
                </c:pt>
                <c:pt idx="224">
                  <c:v>0.51626506024096386</c:v>
                </c:pt>
                <c:pt idx="225">
                  <c:v>0.14830508474576271</c:v>
                </c:pt>
                <c:pt idx="226">
                  <c:v>1.4642857142857143E-2</c:v>
                </c:pt>
                <c:pt idx="227">
                  <c:v>0.33703703703703702</c:v>
                </c:pt>
                <c:pt idx="228">
                  <c:v>0.12578616352201258</c:v>
                </c:pt>
                <c:pt idx="229">
                  <c:v>0.18622448979591835</c:v>
                </c:pt>
                <c:pt idx="230">
                  <c:v>0.57624999999999993</c:v>
                </c:pt>
                <c:pt idx="231">
                  <c:v>0.52777777777777779</c:v>
                </c:pt>
                <c:pt idx="232">
                  <c:v>0.78011152416356877</c:v>
                </c:pt>
                <c:pt idx="233">
                  <c:v>0.3779904306220096</c:v>
                </c:pt>
                <c:pt idx="234">
                  <c:v>0.20888888888888887</c:v>
                </c:pt>
                <c:pt idx="235">
                  <c:v>8.3018867924528297E-2</c:v>
                </c:pt>
                <c:pt idx="236">
                  <c:v>0.72912621359223295</c:v>
                </c:pt>
                <c:pt idx="237">
                  <c:v>0.45329341317365268</c:v>
                </c:pt>
                <c:pt idx="238">
                  <c:v>0.65736040609137059</c:v>
                </c:pt>
                <c:pt idx="239">
                  <c:v>1.089</c:v>
                </c:pt>
                <c:pt idx="240">
                  <c:v>0.2776785714285715</c:v>
                </c:pt>
                <c:pt idx="241">
                  <c:v>1.1649122807017545</c:v>
                </c:pt>
                <c:pt idx="242">
                  <c:v>6.5178571428571433E-2</c:v>
                </c:pt>
                <c:pt idx="243">
                  <c:v>0.54634146341463408</c:v>
                </c:pt>
                <c:pt idx="244">
                  <c:v>0.23166666666666666</c:v>
                </c:pt>
                <c:pt idx="245">
                  <c:v>2.7439024390243906E-2</c:v>
                </c:pt>
                <c:pt idx="246">
                  <c:v>0.23039215686274508</c:v>
                </c:pt>
                <c:pt idx="247">
                  <c:v>0.31489361702127661</c:v>
                </c:pt>
                <c:pt idx="248">
                  <c:v>0.88200000000000001</c:v>
                </c:pt>
                <c:pt idx="249">
                  <c:v>6.604938271604939E-2</c:v>
                </c:pt>
                <c:pt idx="250">
                  <c:v>0.13076923076923078</c:v>
                </c:pt>
                <c:pt idx="251">
                  <c:v>0.4031578947368421</c:v>
                </c:pt>
                <c:pt idx="252">
                  <c:v>0.41266666666666663</c:v>
                </c:pt>
                <c:pt idx="253">
                  <c:v>0.59182692307692319</c:v>
                </c:pt>
                <c:pt idx="254">
                  <c:v>0.49384615384615388</c:v>
                </c:pt>
                <c:pt idx="255">
                  <c:v>0.8471428571428572</c:v>
                </c:pt>
                <c:pt idx="256">
                  <c:v>0.34640522875816993</c:v>
                </c:pt>
                <c:pt idx="257">
                  <c:v>0.13056768558951964</c:v>
                </c:pt>
                <c:pt idx="258">
                  <c:v>3.5593220338983045E-2</c:v>
                </c:pt>
                <c:pt idx="259">
                  <c:v>0.36153846153846159</c:v>
                </c:pt>
                <c:pt idx="260">
                  <c:v>0.11068702290076336</c:v>
                </c:pt>
                <c:pt idx="261">
                  <c:v>3.6134453781512602E-2</c:v>
                </c:pt>
                <c:pt idx="262">
                  <c:v>0.67040816326530617</c:v>
                </c:pt>
                <c:pt idx="263">
                  <c:v>0.21869158878504671</c:v>
                </c:pt>
                <c:pt idx="264">
                  <c:v>8.6363636363636365E-2</c:v>
                </c:pt>
                <c:pt idx="265">
                  <c:v>6.6666666666666666E-2</c:v>
                </c:pt>
                <c:pt idx="266">
                  <c:v>0.63235294117647056</c:v>
                </c:pt>
                <c:pt idx="267">
                  <c:v>0.74383561643835616</c:v>
                </c:pt>
                <c:pt idx="268">
                  <c:v>9.3442622950819676E-2</c:v>
                </c:pt>
                <c:pt idx="269">
                  <c:v>0.40769230769230769</c:v>
                </c:pt>
                <c:pt idx="270">
                  <c:v>0.10062500000000001</c:v>
                </c:pt>
                <c:pt idx="271">
                  <c:v>0.51904761904761898</c:v>
                </c:pt>
                <c:pt idx="272">
                  <c:v>0.13455882352941176</c:v>
                </c:pt>
                <c:pt idx="273">
                  <c:v>0.20659340659340658</c:v>
                </c:pt>
                <c:pt idx="274">
                  <c:v>0.30264150943396223</c:v>
                </c:pt>
                <c:pt idx="275">
                  <c:v>0.72785571142284566</c:v>
                </c:pt>
                <c:pt idx="276">
                  <c:v>1.0159574468085106</c:v>
                </c:pt>
                <c:pt idx="277">
                  <c:v>0.17815126050420166</c:v>
                </c:pt>
                <c:pt idx="278">
                  <c:v>0.76322314049586781</c:v>
                </c:pt>
                <c:pt idx="279">
                  <c:v>0.4123287671232877</c:v>
                </c:pt>
                <c:pt idx="280">
                  <c:v>0.38095238095238099</c:v>
                </c:pt>
                <c:pt idx="281">
                  <c:v>0.56828193832599116</c:v>
                </c:pt>
                <c:pt idx="282">
                  <c:v>0.18278145695364237</c:v>
                </c:pt>
                <c:pt idx="283">
                  <c:v>0.21673003802281368</c:v>
                </c:pt>
                <c:pt idx="284">
                  <c:v>0.55511811023622049</c:v>
                </c:pt>
                <c:pt idx="285">
                  <c:v>0.4351145038167939</c:v>
                </c:pt>
                <c:pt idx="286">
                  <c:v>0.16283185840707964</c:v>
                </c:pt>
                <c:pt idx="287">
                  <c:v>0.37195121951219512</c:v>
                </c:pt>
                <c:pt idx="288">
                  <c:v>0</c:v>
                </c:pt>
                <c:pt idx="289">
                  <c:v>0.42183908045977009</c:v>
                </c:pt>
                <c:pt idx="290">
                  <c:v>0.48823529411764699</c:v>
                </c:pt>
                <c:pt idx="291">
                  <c:v>0.10975609756097562</c:v>
                </c:pt>
                <c:pt idx="292">
                  <c:v>0.5</c:v>
                </c:pt>
                <c:pt idx="293">
                  <c:v>0.25149253731343285</c:v>
                </c:pt>
                <c:pt idx="294">
                  <c:v>1.2431818181818179</c:v>
                </c:pt>
                <c:pt idx="295">
                  <c:v>0.33636363636363636</c:v>
                </c:pt>
                <c:pt idx="296">
                  <c:v>4.1818181818181817E-2</c:v>
                </c:pt>
                <c:pt idx="297">
                  <c:v>0.67398373983739834</c:v>
                </c:pt>
                <c:pt idx="298">
                  <c:v>0.31925133689839574</c:v>
                </c:pt>
                <c:pt idx="299">
                  <c:v>0.627972027972028</c:v>
                </c:pt>
                <c:pt idx="300">
                  <c:v>0.25792682926829269</c:v>
                </c:pt>
                <c:pt idx="301">
                  <c:v>0.32500000000000001</c:v>
                </c:pt>
                <c:pt idx="302">
                  <c:v>0.14423076923076922</c:v>
                </c:pt>
                <c:pt idx="303">
                  <c:v>0.25543478260869562</c:v>
                </c:pt>
                <c:pt idx="304">
                  <c:v>0.33591549295774648</c:v>
                </c:pt>
                <c:pt idx="305">
                  <c:v>0.53742690058479536</c:v>
                </c:pt>
                <c:pt idx="306">
                  <c:v>0.28629629629629627</c:v>
                </c:pt>
                <c:pt idx="307">
                  <c:v>0.37443181818181814</c:v>
                </c:pt>
                <c:pt idx="308">
                  <c:v>6.8047337278106509E-2</c:v>
                </c:pt>
                <c:pt idx="309">
                  <c:v>0.7013215859030838</c:v>
                </c:pt>
                <c:pt idx="310">
                  <c:v>0.15224719101123596</c:v>
                </c:pt>
                <c:pt idx="311">
                  <c:v>0.678894472361809</c:v>
                </c:pt>
                <c:pt idx="312">
                  <c:v>0.59744897959183674</c:v>
                </c:pt>
                <c:pt idx="313">
                  <c:v>0.33834586466165412</c:v>
                </c:pt>
                <c:pt idx="314">
                  <c:v>7.7450980392156851E-2</c:v>
                </c:pt>
                <c:pt idx="315">
                  <c:v>0.13466666666666666</c:v>
                </c:pt>
                <c:pt idx="316">
                  <c:v>0.69629629629629641</c:v>
                </c:pt>
                <c:pt idx="317">
                  <c:v>0.28015267175572517</c:v>
                </c:pt>
                <c:pt idx="318">
                  <c:v>0.14285714285714285</c:v>
                </c:pt>
                <c:pt idx="319">
                  <c:v>0.16470588235294117</c:v>
                </c:pt>
                <c:pt idx="320">
                  <c:v>0.22653061224489796</c:v>
                </c:pt>
                <c:pt idx="321">
                  <c:v>2.9090909090909087E-2</c:v>
                </c:pt>
                <c:pt idx="322">
                  <c:v>0.19329896907216496</c:v>
                </c:pt>
                <c:pt idx="323">
                  <c:v>1.9496855345911949E-2</c:v>
                </c:pt>
                <c:pt idx="324">
                  <c:v>0.73448275862068968</c:v>
                </c:pt>
                <c:pt idx="325">
                  <c:v>0.30775862068965515</c:v>
                </c:pt>
                <c:pt idx="326">
                  <c:v>6.9306930693069299E-3</c:v>
                </c:pt>
                <c:pt idx="327">
                  <c:v>6.8181818181818177E-2</c:v>
                </c:pt>
                <c:pt idx="328">
                  <c:v>0.35865633074935399</c:v>
                </c:pt>
                <c:pt idx="329">
                  <c:v>0.61333333333333329</c:v>
                </c:pt>
                <c:pt idx="330">
                  <c:v>0.54433333333333334</c:v>
                </c:pt>
                <c:pt idx="331">
                  <c:v>7.4011299435028252E-2</c:v>
                </c:pt>
                <c:pt idx="332">
                  <c:v>6.2857142857142861E-2</c:v>
                </c:pt>
                <c:pt idx="333">
                  <c:v>0.81165048543689322</c:v>
                </c:pt>
                <c:pt idx="334">
                  <c:v>0.31845238095238093</c:v>
                </c:pt>
                <c:pt idx="335">
                  <c:v>0.59199999999999997</c:v>
                </c:pt>
              </c:numCache>
            </c:numRef>
          </c:val>
          <c:smooth val="0"/>
        </c:ser>
        <c:ser>
          <c:idx val="3"/>
          <c:order val="3"/>
          <c:tx>
            <c:strRef>
              <c:f>TradeError!$E$3</c:f>
              <c:strCache>
                <c:ptCount val="1"/>
                <c:pt idx="0">
                  <c:v>Average of errLp</c:v>
                </c:pt>
              </c:strCache>
            </c:strRef>
          </c:tx>
          <c:spPr>
            <a:ln w="28575" cap="rnd">
              <a:solidFill>
                <a:schemeClr val="accent4"/>
              </a:solidFill>
              <a:round/>
            </a:ln>
            <a:effectLst/>
          </c:spPr>
          <c:marker>
            <c:symbol val="none"/>
          </c:marker>
          <c:cat>
            <c:strRef>
              <c:f>TradeError!$A$4:$A$340</c:f>
              <c:strCache>
                <c:ptCount val="336"/>
                <c:pt idx="0">
                  <c:v>2018-07-06 23:00</c:v>
                </c:pt>
                <c:pt idx="1">
                  <c:v>2018-07-09 00:00</c:v>
                </c:pt>
                <c:pt idx="2">
                  <c:v>2018-07-09 01:00</c:v>
                </c:pt>
                <c:pt idx="3">
                  <c:v>2018-07-09 02:00</c:v>
                </c:pt>
                <c:pt idx="4">
                  <c:v>2018-07-09 03:00</c:v>
                </c:pt>
                <c:pt idx="5">
                  <c:v>2018-07-09 04:00</c:v>
                </c:pt>
                <c:pt idx="6">
                  <c:v>2018-07-09 05:00</c:v>
                </c:pt>
                <c:pt idx="7">
                  <c:v>2018-07-09 06:00</c:v>
                </c:pt>
                <c:pt idx="8">
                  <c:v>2018-07-09 07:00</c:v>
                </c:pt>
                <c:pt idx="9">
                  <c:v>2018-07-09 08:00</c:v>
                </c:pt>
                <c:pt idx="10">
                  <c:v>2018-07-09 09:00</c:v>
                </c:pt>
                <c:pt idx="11">
                  <c:v>2018-07-09 10:00</c:v>
                </c:pt>
                <c:pt idx="12">
                  <c:v>2018-07-09 11:00</c:v>
                </c:pt>
                <c:pt idx="13">
                  <c:v>2018-07-09 12:00</c:v>
                </c:pt>
                <c:pt idx="14">
                  <c:v>2018-07-09 13:00</c:v>
                </c:pt>
                <c:pt idx="15">
                  <c:v>2018-07-09 14:00</c:v>
                </c:pt>
                <c:pt idx="16">
                  <c:v>2018-07-09 15:00</c:v>
                </c:pt>
                <c:pt idx="17">
                  <c:v>2018-07-09 16:00</c:v>
                </c:pt>
                <c:pt idx="18">
                  <c:v>2018-07-09 17:00</c:v>
                </c:pt>
                <c:pt idx="19">
                  <c:v>2018-07-09 18:00</c:v>
                </c:pt>
                <c:pt idx="20">
                  <c:v>2018-07-09 19:00</c:v>
                </c:pt>
                <c:pt idx="21">
                  <c:v>2018-07-09 20:00</c:v>
                </c:pt>
                <c:pt idx="22">
                  <c:v>2018-07-09 21:00</c:v>
                </c:pt>
                <c:pt idx="23">
                  <c:v>2018-07-09 22:00</c:v>
                </c:pt>
                <c:pt idx="24">
                  <c:v>2018-07-09 23:00</c:v>
                </c:pt>
                <c:pt idx="25">
                  <c:v>2018-07-10 00:00</c:v>
                </c:pt>
                <c:pt idx="26">
                  <c:v>2018-07-10 01:00</c:v>
                </c:pt>
                <c:pt idx="27">
                  <c:v>2018-07-10 02:00</c:v>
                </c:pt>
                <c:pt idx="28">
                  <c:v>2018-07-10 03:00</c:v>
                </c:pt>
                <c:pt idx="29">
                  <c:v>2018-07-10 04:00</c:v>
                </c:pt>
                <c:pt idx="30">
                  <c:v>2018-07-10 05:00</c:v>
                </c:pt>
                <c:pt idx="31">
                  <c:v>2018-07-10 06:00</c:v>
                </c:pt>
                <c:pt idx="32">
                  <c:v>2018-07-10 07:00</c:v>
                </c:pt>
                <c:pt idx="33">
                  <c:v>2018-07-10 08:00</c:v>
                </c:pt>
                <c:pt idx="34">
                  <c:v>2018-07-10 09:00</c:v>
                </c:pt>
                <c:pt idx="35">
                  <c:v>2018-07-10 10:00</c:v>
                </c:pt>
                <c:pt idx="36">
                  <c:v>2018-07-10 11:00</c:v>
                </c:pt>
                <c:pt idx="37">
                  <c:v>2018-07-10 12:00</c:v>
                </c:pt>
                <c:pt idx="38">
                  <c:v>2018-07-10 13:00</c:v>
                </c:pt>
                <c:pt idx="39">
                  <c:v>2018-07-10 14:00</c:v>
                </c:pt>
                <c:pt idx="40">
                  <c:v>2018-07-10 15:00</c:v>
                </c:pt>
                <c:pt idx="41">
                  <c:v>2018-07-10 16:00</c:v>
                </c:pt>
                <c:pt idx="42">
                  <c:v>2018-07-10 17:00</c:v>
                </c:pt>
                <c:pt idx="43">
                  <c:v>2018-07-10 18:00</c:v>
                </c:pt>
                <c:pt idx="44">
                  <c:v>2018-07-10 19:00</c:v>
                </c:pt>
                <c:pt idx="45">
                  <c:v>2018-07-10 20:00</c:v>
                </c:pt>
                <c:pt idx="46">
                  <c:v>2018-07-10 21:00</c:v>
                </c:pt>
                <c:pt idx="47">
                  <c:v>2018-07-10 22:00</c:v>
                </c:pt>
                <c:pt idx="48">
                  <c:v>2018-07-10 23:00</c:v>
                </c:pt>
                <c:pt idx="49">
                  <c:v>2018-07-11 00:00</c:v>
                </c:pt>
                <c:pt idx="50">
                  <c:v>2018-07-11 01:00</c:v>
                </c:pt>
                <c:pt idx="51">
                  <c:v>2018-07-11 02:00</c:v>
                </c:pt>
                <c:pt idx="52">
                  <c:v>2018-07-11 03:00</c:v>
                </c:pt>
                <c:pt idx="53">
                  <c:v>2018-07-11 04:00</c:v>
                </c:pt>
                <c:pt idx="54">
                  <c:v>2018-07-11 05:00</c:v>
                </c:pt>
                <c:pt idx="55">
                  <c:v>2018-07-11 06:00</c:v>
                </c:pt>
                <c:pt idx="56">
                  <c:v>2018-07-11 07:00</c:v>
                </c:pt>
                <c:pt idx="57">
                  <c:v>2018-07-11 08:00</c:v>
                </c:pt>
                <c:pt idx="58">
                  <c:v>2018-07-11 09:00</c:v>
                </c:pt>
                <c:pt idx="59">
                  <c:v>2018-07-11 10:00</c:v>
                </c:pt>
                <c:pt idx="60">
                  <c:v>2018-07-11 11:00</c:v>
                </c:pt>
                <c:pt idx="61">
                  <c:v>2018-07-11 12:00</c:v>
                </c:pt>
                <c:pt idx="62">
                  <c:v>2018-07-11 13:00</c:v>
                </c:pt>
                <c:pt idx="63">
                  <c:v>2018-07-11 14:00</c:v>
                </c:pt>
                <c:pt idx="64">
                  <c:v>2018-07-11 15:00</c:v>
                </c:pt>
                <c:pt idx="65">
                  <c:v>2018-07-11 16:00</c:v>
                </c:pt>
                <c:pt idx="66">
                  <c:v>2018-07-11 17:00</c:v>
                </c:pt>
                <c:pt idx="67">
                  <c:v>2018-07-11 18:00</c:v>
                </c:pt>
                <c:pt idx="68">
                  <c:v>2018-07-11 19:00</c:v>
                </c:pt>
                <c:pt idx="69">
                  <c:v>2018-07-11 20:00</c:v>
                </c:pt>
                <c:pt idx="70">
                  <c:v>2018-07-11 21:00</c:v>
                </c:pt>
                <c:pt idx="71">
                  <c:v>2018-07-11 22:00</c:v>
                </c:pt>
                <c:pt idx="72">
                  <c:v>2018-07-11 23:00</c:v>
                </c:pt>
                <c:pt idx="73">
                  <c:v>2018-07-12 00:00</c:v>
                </c:pt>
                <c:pt idx="74">
                  <c:v>2018-07-12 01:00</c:v>
                </c:pt>
                <c:pt idx="75">
                  <c:v>2018-07-12 02:00</c:v>
                </c:pt>
                <c:pt idx="76">
                  <c:v>2018-07-12 03:00</c:v>
                </c:pt>
                <c:pt idx="77">
                  <c:v>2018-07-12 04:00</c:v>
                </c:pt>
                <c:pt idx="78">
                  <c:v>2018-07-12 05:00</c:v>
                </c:pt>
                <c:pt idx="79">
                  <c:v>2018-07-12 06:00</c:v>
                </c:pt>
                <c:pt idx="80">
                  <c:v>2018-07-12 07:00</c:v>
                </c:pt>
                <c:pt idx="81">
                  <c:v>2018-07-12 08:00</c:v>
                </c:pt>
                <c:pt idx="82">
                  <c:v>2018-07-12 09:00</c:v>
                </c:pt>
                <c:pt idx="83">
                  <c:v>2018-07-12 10:00</c:v>
                </c:pt>
                <c:pt idx="84">
                  <c:v>2018-07-12 11:00</c:v>
                </c:pt>
                <c:pt idx="85">
                  <c:v>2018-07-12 12:00</c:v>
                </c:pt>
                <c:pt idx="86">
                  <c:v>2018-07-12 13:00</c:v>
                </c:pt>
                <c:pt idx="87">
                  <c:v>2018-07-12 14:00</c:v>
                </c:pt>
                <c:pt idx="88">
                  <c:v>2018-07-12 15:00</c:v>
                </c:pt>
                <c:pt idx="89">
                  <c:v>2018-07-12 16:00</c:v>
                </c:pt>
                <c:pt idx="90">
                  <c:v>2018-07-12 17:00</c:v>
                </c:pt>
                <c:pt idx="91">
                  <c:v>2018-07-12 18:00</c:v>
                </c:pt>
                <c:pt idx="92">
                  <c:v>2018-07-12 19:00</c:v>
                </c:pt>
                <c:pt idx="93">
                  <c:v>2018-07-12 20:00</c:v>
                </c:pt>
                <c:pt idx="94">
                  <c:v>2018-07-12 21:00</c:v>
                </c:pt>
                <c:pt idx="95">
                  <c:v>2018-07-12 22:00</c:v>
                </c:pt>
                <c:pt idx="96">
                  <c:v>2018-07-12 23:00</c:v>
                </c:pt>
                <c:pt idx="97">
                  <c:v>2018-07-13 00:00</c:v>
                </c:pt>
                <c:pt idx="98">
                  <c:v>2018-07-13 01:00</c:v>
                </c:pt>
                <c:pt idx="99">
                  <c:v>2018-07-13 02:00</c:v>
                </c:pt>
                <c:pt idx="100">
                  <c:v>2018-07-13 03:00</c:v>
                </c:pt>
                <c:pt idx="101">
                  <c:v>2018-07-13 04:00</c:v>
                </c:pt>
                <c:pt idx="102">
                  <c:v>2018-07-13 05:00</c:v>
                </c:pt>
                <c:pt idx="103">
                  <c:v>2018-07-13 06:00</c:v>
                </c:pt>
                <c:pt idx="104">
                  <c:v>2018-07-13 07:00</c:v>
                </c:pt>
                <c:pt idx="105">
                  <c:v>2018-07-13 08:00</c:v>
                </c:pt>
                <c:pt idx="106">
                  <c:v>2018-07-13 09:00</c:v>
                </c:pt>
                <c:pt idx="107">
                  <c:v>2018-07-13 10:00</c:v>
                </c:pt>
                <c:pt idx="108">
                  <c:v>2018-07-13 11:00</c:v>
                </c:pt>
                <c:pt idx="109">
                  <c:v>2018-07-13 12:00</c:v>
                </c:pt>
                <c:pt idx="110">
                  <c:v>2018-07-13 13:00</c:v>
                </c:pt>
                <c:pt idx="111">
                  <c:v>2018-07-13 14:00</c:v>
                </c:pt>
                <c:pt idx="112">
                  <c:v>2018-07-13 15:00</c:v>
                </c:pt>
                <c:pt idx="113">
                  <c:v>2018-07-13 16:00</c:v>
                </c:pt>
                <c:pt idx="114">
                  <c:v>2018-07-13 17:00</c:v>
                </c:pt>
                <c:pt idx="115">
                  <c:v>2018-07-13 18:00</c:v>
                </c:pt>
                <c:pt idx="116">
                  <c:v>2018-07-13 19:00</c:v>
                </c:pt>
                <c:pt idx="117">
                  <c:v>2018-07-13 20:00</c:v>
                </c:pt>
                <c:pt idx="118">
                  <c:v>2018-07-13 21:00</c:v>
                </c:pt>
                <c:pt idx="119">
                  <c:v>2018-07-13 22:00</c:v>
                </c:pt>
                <c:pt idx="120">
                  <c:v>2018-07-13 23:00</c:v>
                </c:pt>
                <c:pt idx="121">
                  <c:v>2018-07-16 00:00</c:v>
                </c:pt>
                <c:pt idx="122">
                  <c:v>2018-07-16 01:00</c:v>
                </c:pt>
                <c:pt idx="123">
                  <c:v>2018-07-16 02:00</c:v>
                </c:pt>
                <c:pt idx="124">
                  <c:v>2018-07-16 03:00</c:v>
                </c:pt>
                <c:pt idx="125">
                  <c:v>2018-07-16 04:00</c:v>
                </c:pt>
                <c:pt idx="126">
                  <c:v>2018-07-16 05:00</c:v>
                </c:pt>
                <c:pt idx="127">
                  <c:v>2018-07-16 06:00</c:v>
                </c:pt>
                <c:pt idx="128">
                  <c:v>2018-07-16 07:00</c:v>
                </c:pt>
                <c:pt idx="129">
                  <c:v>2018-07-16 08:00</c:v>
                </c:pt>
                <c:pt idx="130">
                  <c:v>2018-07-16 09:00</c:v>
                </c:pt>
                <c:pt idx="131">
                  <c:v>2018-07-16 10:00</c:v>
                </c:pt>
                <c:pt idx="132">
                  <c:v>2018-07-16 11:00</c:v>
                </c:pt>
                <c:pt idx="133">
                  <c:v>2018-07-16 12:00</c:v>
                </c:pt>
                <c:pt idx="134">
                  <c:v>2018-07-16 13:00</c:v>
                </c:pt>
                <c:pt idx="135">
                  <c:v>2018-07-16 14:00</c:v>
                </c:pt>
                <c:pt idx="136">
                  <c:v>2018-07-16 15:00</c:v>
                </c:pt>
                <c:pt idx="137">
                  <c:v>2018-07-16 16:00</c:v>
                </c:pt>
                <c:pt idx="138">
                  <c:v>2018-07-16 17:00</c:v>
                </c:pt>
                <c:pt idx="139">
                  <c:v>2018-07-16 18:00</c:v>
                </c:pt>
                <c:pt idx="140">
                  <c:v>2018-07-16 19:00</c:v>
                </c:pt>
                <c:pt idx="141">
                  <c:v>2018-07-16 20:00</c:v>
                </c:pt>
                <c:pt idx="142">
                  <c:v>2018-07-16 21:00</c:v>
                </c:pt>
                <c:pt idx="143">
                  <c:v>2018-07-16 22:00</c:v>
                </c:pt>
                <c:pt idx="144">
                  <c:v>2018-07-16 23:00</c:v>
                </c:pt>
                <c:pt idx="145">
                  <c:v>2018-07-17 00:00</c:v>
                </c:pt>
                <c:pt idx="146">
                  <c:v>2018-07-17 01:00</c:v>
                </c:pt>
                <c:pt idx="147">
                  <c:v>2018-07-17 02:00</c:v>
                </c:pt>
                <c:pt idx="148">
                  <c:v>2018-07-17 03:00</c:v>
                </c:pt>
                <c:pt idx="149">
                  <c:v>2018-07-17 04:00</c:v>
                </c:pt>
                <c:pt idx="150">
                  <c:v>2018-07-17 05:00</c:v>
                </c:pt>
                <c:pt idx="151">
                  <c:v>2018-07-17 06:00</c:v>
                </c:pt>
                <c:pt idx="152">
                  <c:v>2018-07-17 07:00</c:v>
                </c:pt>
                <c:pt idx="153">
                  <c:v>2018-07-17 08:00</c:v>
                </c:pt>
                <c:pt idx="154">
                  <c:v>2018-07-17 09:00</c:v>
                </c:pt>
                <c:pt idx="155">
                  <c:v>2018-07-17 10:00</c:v>
                </c:pt>
                <c:pt idx="156">
                  <c:v>2018-07-17 11:00</c:v>
                </c:pt>
                <c:pt idx="157">
                  <c:v>2018-07-17 12:00</c:v>
                </c:pt>
                <c:pt idx="158">
                  <c:v>2018-07-17 13:00</c:v>
                </c:pt>
                <c:pt idx="159">
                  <c:v>2018-07-17 14:00</c:v>
                </c:pt>
                <c:pt idx="160">
                  <c:v>2018-07-17 15:00</c:v>
                </c:pt>
                <c:pt idx="161">
                  <c:v>2018-07-17 16:00</c:v>
                </c:pt>
                <c:pt idx="162">
                  <c:v>2018-07-17 17:00</c:v>
                </c:pt>
                <c:pt idx="163">
                  <c:v>2018-07-17 18:00</c:v>
                </c:pt>
                <c:pt idx="164">
                  <c:v>2018-07-17 19:00</c:v>
                </c:pt>
                <c:pt idx="165">
                  <c:v>2018-07-17 20:00</c:v>
                </c:pt>
                <c:pt idx="166">
                  <c:v>2018-07-17 21:00</c:v>
                </c:pt>
                <c:pt idx="167">
                  <c:v>2018-07-17 22:00</c:v>
                </c:pt>
                <c:pt idx="168">
                  <c:v>2018-07-17 23:00</c:v>
                </c:pt>
                <c:pt idx="169">
                  <c:v>2018-07-18 00:00</c:v>
                </c:pt>
                <c:pt idx="170">
                  <c:v>2018-07-18 01:00</c:v>
                </c:pt>
                <c:pt idx="171">
                  <c:v>2018-07-18 02:00</c:v>
                </c:pt>
                <c:pt idx="172">
                  <c:v>2018-07-18 03:00</c:v>
                </c:pt>
                <c:pt idx="173">
                  <c:v>2018-07-18 04:00</c:v>
                </c:pt>
                <c:pt idx="174">
                  <c:v>2018-07-18 05:00</c:v>
                </c:pt>
                <c:pt idx="175">
                  <c:v>2018-07-18 06:00</c:v>
                </c:pt>
                <c:pt idx="176">
                  <c:v>2018-07-18 07:00</c:v>
                </c:pt>
                <c:pt idx="177">
                  <c:v>2018-07-18 08:00</c:v>
                </c:pt>
                <c:pt idx="178">
                  <c:v>2018-07-18 09:00</c:v>
                </c:pt>
                <c:pt idx="179">
                  <c:v>2018-07-18 10:00</c:v>
                </c:pt>
                <c:pt idx="180">
                  <c:v>2018-07-18 11:00</c:v>
                </c:pt>
                <c:pt idx="181">
                  <c:v>2018-07-18 12:00</c:v>
                </c:pt>
                <c:pt idx="182">
                  <c:v>2018-07-18 13:00</c:v>
                </c:pt>
                <c:pt idx="183">
                  <c:v>2018-07-18 14:00</c:v>
                </c:pt>
                <c:pt idx="184">
                  <c:v>2018-07-18 15:00</c:v>
                </c:pt>
                <c:pt idx="185">
                  <c:v>2018-07-18 16:00</c:v>
                </c:pt>
                <c:pt idx="186">
                  <c:v>2018-07-18 17:00</c:v>
                </c:pt>
                <c:pt idx="187">
                  <c:v>2018-07-18 18:00</c:v>
                </c:pt>
                <c:pt idx="188">
                  <c:v>2018-07-18 19:00</c:v>
                </c:pt>
                <c:pt idx="189">
                  <c:v>2018-07-18 20:00</c:v>
                </c:pt>
                <c:pt idx="190">
                  <c:v>2018-07-18 21:00</c:v>
                </c:pt>
                <c:pt idx="191">
                  <c:v>2018-07-18 22:00</c:v>
                </c:pt>
                <c:pt idx="192">
                  <c:v>2018-07-18 23:00</c:v>
                </c:pt>
                <c:pt idx="193">
                  <c:v>2018-07-19 00:00</c:v>
                </c:pt>
                <c:pt idx="194">
                  <c:v>2018-07-19 01:00</c:v>
                </c:pt>
                <c:pt idx="195">
                  <c:v>2018-07-19 02:00</c:v>
                </c:pt>
                <c:pt idx="196">
                  <c:v>2018-07-19 03:00</c:v>
                </c:pt>
                <c:pt idx="197">
                  <c:v>2018-07-19 04:00</c:v>
                </c:pt>
                <c:pt idx="198">
                  <c:v>2018-07-19 05:00</c:v>
                </c:pt>
                <c:pt idx="199">
                  <c:v>2018-07-19 06:00</c:v>
                </c:pt>
                <c:pt idx="200">
                  <c:v>2018-07-19 07:00</c:v>
                </c:pt>
                <c:pt idx="201">
                  <c:v>2018-07-19 08:00</c:v>
                </c:pt>
                <c:pt idx="202">
                  <c:v>2018-07-19 09:00</c:v>
                </c:pt>
                <c:pt idx="203">
                  <c:v>2018-07-19 10:00</c:v>
                </c:pt>
                <c:pt idx="204">
                  <c:v>2018-07-19 11:00</c:v>
                </c:pt>
                <c:pt idx="205">
                  <c:v>2018-07-19 12:00</c:v>
                </c:pt>
                <c:pt idx="206">
                  <c:v>2018-07-19 13:00</c:v>
                </c:pt>
                <c:pt idx="207">
                  <c:v>2018-07-19 14:00</c:v>
                </c:pt>
                <c:pt idx="208">
                  <c:v>2018-07-19 15:00</c:v>
                </c:pt>
                <c:pt idx="209">
                  <c:v>2018-07-19 16:00</c:v>
                </c:pt>
                <c:pt idx="210">
                  <c:v>2018-07-19 17:00</c:v>
                </c:pt>
                <c:pt idx="211">
                  <c:v>2018-07-19 18:00</c:v>
                </c:pt>
                <c:pt idx="212">
                  <c:v>2018-07-19 19:00</c:v>
                </c:pt>
                <c:pt idx="213">
                  <c:v>2018-07-19 20:00</c:v>
                </c:pt>
                <c:pt idx="214">
                  <c:v>2018-07-19 21:00</c:v>
                </c:pt>
                <c:pt idx="215">
                  <c:v>2018-07-19 22:00</c:v>
                </c:pt>
                <c:pt idx="216">
                  <c:v>2018-07-19 23:00</c:v>
                </c:pt>
                <c:pt idx="217">
                  <c:v>2018-07-20 00:00</c:v>
                </c:pt>
                <c:pt idx="218">
                  <c:v>2018-07-20 01:00</c:v>
                </c:pt>
                <c:pt idx="219">
                  <c:v>2018-07-20 02:00</c:v>
                </c:pt>
                <c:pt idx="220">
                  <c:v>2018-07-20 03:00</c:v>
                </c:pt>
                <c:pt idx="221">
                  <c:v>2018-07-20 04:00</c:v>
                </c:pt>
                <c:pt idx="222">
                  <c:v>2018-07-20 05:00</c:v>
                </c:pt>
                <c:pt idx="223">
                  <c:v>2018-07-20 06:00</c:v>
                </c:pt>
                <c:pt idx="224">
                  <c:v>2018-07-20 07:00</c:v>
                </c:pt>
                <c:pt idx="225">
                  <c:v>2018-07-20 08:00</c:v>
                </c:pt>
                <c:pt idx="226">
                  <c:v>2018-07-20 09:00</c:v>
                </c:pt>
                <c:pt idx="227">
                  <c:v>2018-07-20 10:00</c:v>
                </c:pt>
                <c:pt idx="228">
                  <c:v>2018-07-20 11:00</c:v>
                </c:pt>
                <c:pt idx="229">
                  <c:v>2018-07-20 12:00</c:v>
                </c:pt>
                <c:pt idx="230">
                  <c:v>2018-07-20 13:00</c:v>
                </c:pt>
                <c:pt idx="231">
                  <c:v>2018-07-20 14:00</c:v>
                </c:pt>
                <c:pt idx="232">
                  <c:v>2018-07-20 15:00</c:v>
                </c:pt>
                <c:pt idx="233">
                  <c:v>2018-07-20 16:00</c:v>
                </c:pt>
                <c:pt idx="234">
                  <c:v>2018-07-20 17:00</c:v>
                </c:pt>
                <c:pt idx="235">
                  <c:v>2018-07-20 18:00</c:v>
                </c:pt>
                <c:pt idx="236">
                  <c:v>2018-07-20 19:00</c:v>
                </c:pt>
                <c:pt idx="237">
                  <c:v>2018-07-20 20:00</c:v>
                </c:pt>
                <c:pt idx="238">
                  <c:v>2018-07-20 21:00</c:v>
                </c:pt>
                <c:pt idx="239">
                  <c:v>2018-07-20 22:00</c:v>
                </c:pt>
                <c:pt idx="240">
                  <c:v>2018-07-20 23:00</c:v>
                </c:pt>
                <c:pt idx="241">
                  <c:v>2018-07-23 00:00</c:v>
                </c:pt>
                <c:pt idx="242">
                  <c:v>2018-07-23 01:00</c:v>
                </c:pt>
                <c:pt idx="243">
                  <c:v>2018-07-23 02:00</c:v>
                </c:pt>
                <c:pt idx="244">
                  <c:v>2018-07-23 03:00</c:v>
                </c:pt>
                <c:pt idx="245">
                  <c:v>2018-07-23 04:00</c:v>
                </c:pt>
                <c:pt idx="246">
                  <c:v>2018-07-23 05:00</c:v>
                </c:pt>
                <c:pt idx="247">
                  <c:v>2018-07-23 06:00</c:v>
                </c:pt>
                <c:pt idx="248">
                  <c:v>2018-07-23 07:00</c:v>
                </c:pt>
                <c:pt idx="249">
                  <c:v>2018-07-23 08:00</c:v>
                </c:pt>
                <c:pt idx="250">
                  <c:v>2018-07-23 09:00</c:v>
                </c:pt>
                <c:pt idx="251">
                  <c:v>2018-07-23 10:00</c:v>
                </c:pt>
                <c:pt idx="252">
                  <c:v>2018-07-23 11:00</c:v>
                </c:pt>
                <c:pt idx="253">
                  <c:v>2018-07-23 12:00</c:v>
                </c:pt>
                <c:pt idx="254">
                  <c:v>2018-07-23 13:00</c:v>
                </c:pt>
                <c:pt idx="255">
                  <c:v>2018-07-23 14:00</c:v>
                </c:pt>
                <c:pt idx="256">
                  <c:v>2018-07-23 15:00</c:v>
                </c:pt>
                <c:pt idx="257">
                  <c:v>2018-07-23 16:00</c:v>
                </c:pt>
                <c:pt idx="258">
                  <c:v>2018-07-23 17:00</c:v>
                </c:pt>
                <c:pt idx="259">
                  <c:v>2018-07-23 18:00</c:v>
                </c:pt>
                <c:pt idx="260">
                  <c:v>2018-07-23 19:00</c:v>
                </c:pt>
                <c:pt idx="261">
                  <c:v>2018-07-23 20:00</c:v>
                </c:pt>
                <c:pt idx="262">
                  <c:v>2018-07-23 21:00</c:v>
                </c:pt>
                <c:pt idx="263">
                  <c:v>2018-07-23 22:00</c:v>
                </c:pt>
                <c:pt idx="264">
                  <c:v>2018-07-23 23:00</c:v>
                </c:pt>
                <c:pt idx="265">
                  <c:v>2018-07-24 00:00</c:v>
                </c:pt>
                <c:pt idx="266">
                  <c:v>2018-07-24 01:00</c:v>
                </c:pt>
                <c:pt idx="267">
                  <c:v>2018-07-24 02:00</c:v>
                </c:pt>
                <c:pt idx="268">
                  <c:v>2018-07-24 03:00</c:v>
                </c:pt>
                <c:pt idx="269">
                  <c:v>2018-07-24 04:00</c:v>
                </c:pt>
                <c:pt idx="270">
                  <c:v>2018-07-24 05:00</c:v>
                </c:pt>
                <c:pt idx="271">
                  <c:v>2018-07-24 06:00</c:v>
                </c:pt>
                <c:pt idx="272">
                  <c:v>2018-07-24 07:00</c:v>
                </c:pt>
                <c:pt idx="273">
                  <c:v>2018-07-24 08:00</c:v>
                </c:pt>
                <c:pt idx="274">
                  <c:v>2018-07-24 09:00</c:v>
                </c:pt>
                <c:pt idx="275">
                  <c:v>2018-07-24 10:00</c:v>
                </c:pt>
                <c:pt idx="276">
                  <c:v>2018-07-24 11:00</c:v>
                </c:pt>
                <c:pt idx="277">
                  <c:v>2018-07-24 12:00</c:v>
                </c:pt>
                <c:pt idx="278">
                  <c:v>2018-07-24 13:00</c:v>
                </c:pt>
                <c:pt idx="279">
                  <c:v>2018-07-24 14:00</c:v>
                </c:pt>
                <c:pt idx="280">
                  <c:v>2018-07-24 15:00</c:v>
                </c:pt>
                <c:pt idx="281">
                  <c:v>2018-07-24 16:00</c:v>
                </c:pt>
                <c:pt idx="282">
                  <c:v>2018-07-24 17:00</c:v>
                </c:pt>
                <c:pt idx="283">
                  <c:v>2018-07-24 18:00</c:v>
                </c:pt>
                <c:pt idx="284">
                  <c:v>2018-07-24 19:00</c:v>
                </c:pt>
                <c:pt idx="285">
                  <c:v>2018-07-24 20:00</c:v>
                </c:pt>
                <c:pt idx="286">
                  <c:v>2018-07-24 21:00</c:v>
                </c:pt>
                <c:pt idx="287">
                  <c:v>2018-07-24 22:00</c:v>
                </c:pt>
                <c:pt idx="288">
                  <c:v>2018-07-24 23:00</c:v>
                </c:pt>
                <c:pt idx="289">
                  <c:v>2018-07-25 00:00</c:v>
                </c:pt>
                <c:pt idx="290">
                  <c:v>2018-07-25 01:00</c:v>
                </c:pt>
                <c:pt idx="291">
                  <c:v>2018-07-25 02:00</c:v>
                </c:pt>
                <c:pt idx="292">
                  <c:v>2018-07-25 03:00</c:v>
                </c:pt>
                <c:pt idx="293">
                  <c:v>2018-07-25 04:00</c:v>
                </c:pt>
                <c:pt idx="294">
                  <c:v>2018-07-25 05:00</c:v>
                </c:pt>
                <c:pt idx="295">
                  <c:v>2018-07-25 06:00</c:v>
                </c:pt>
                <c:pt idx="296">
                  <c:v>2018-07-25 07:00</c:v>
                </c:pt>
                <c:pt idx="297">
                  <c:v>2018-07-25 08:00</c:v>
                </c:pt>
                <c:pt idx="298">
                  <c:v>2018-07-25 09:00</c:v>
                </c:pt>
                <c:pt idx="299">
                  <c:v>2018-07-25 10:00</c:v>
                </c:pt>
                <c:pt idx="300">
                  <c:v>2018-07-25 11:00</c:v>
                </c:pt>
                <c:pt idx="301">
                  <c:v>2018-07-25 12:00</c:v>
                </c:pt>
                <c:pt idx="302">
                  <c:v>2018-07-25 13:00</c:v>
                </c:pt>
                <c:pt idx="303">
                  <c:v>2018-07-25 14:00</c:v>
                </c:pt>
                <c:pt idx="304">
                  <c:v>2018-07-25 15:00</c:v>
                </c:pt>
                <c:pt idx="305">
                  <c:v>2018-07-25 16:00</c:v>
                </c:pt>
                <c:pt idx="306">
                  <c:v>2018-07-25 17:00</c:v>
                </c:pt>
                <c:pt idx="307">
                  <c:v>2018-07-25 18:00</c:v>
                </c:pt>
                <c:pt idx="308">
                  <c:v>2018-07-25 19:00</c:v>
                </c:pt>
                <c:pt idx="309">
                  <c:v>2018-07-25 20:00</c:v>
                </c:pt>
                <c:pt idx="310">
                  <c:v>2018-07-25 21:00</c:v>
                </c:pt>
                <c:pt idx="311">
                  <c:v>2018-07-25 22:00</c:v>
                </c:pt>
                <c:pt idx="312">
                  <c:v>2018-07-25 23:00</c:v>
                </c:pt>
                <c:pt idx="313">
                  <c:v>2018-07-26 00:00</c:v>
                </c:pt>
                <c:pt idx="314">
                  <c:v>2018-07-26 01:00</c:v>
                </c:pt>
                <c:pt idx="315">
                  <c:v>2018-07-26 02:00</c:v>
                </c:pt>
                <c:pt idx="316">
                  <c:v>2018-07-26 03:00</c:v>
                </c:pt>
                <c:pt idx="317">
                  <c:v>2018-07-26 04:00</c:v>
                </c:pt>
                <c:pt idx="318">
                  <c:v>2018-07-26 05:00</c:v>
                </c:pt>
                <c:pt idx="319">
                  <c:v>2018-07-26 06:00</c:v>
                </c:pt>
                <c:pt idx="320">
                  <c:v>2018-07-26 07:00</c:v>
                </c:pt>
                <c:pt idx="321">
                  <c:v>2018-07-26 08:00</c:v>
                </c:pt>
                <c:pt idx="322">
                  <c:v>2018-07-26 09:00</c:v>
                </c:pt>
                <c:pt idx="323">
                  <c:v>2018-07-26 10:00</c:v>
                </c:pt>
                <c:pt idx="324">
                  <c:v>2018-07-26 11:00</c:v>
                </c:pt>
                <c:pt idx="325">
                  <c:v>2018-07-26 12:00</c:v>
                </c:pt>
                <c:pt idx="326">
                  <c:v>2018-07-26 13:00</c:v>
                </c:pt>
                <c:pt idx="327">
                  <c:v>2018-07-26 14:00</c:v>
                </c:pt>
                <c:pt idx="328">
                  <c:v>2018-07-26 15:00</c:v>
                </c:pt>
                <c:pt idx="329">
                  <c:v>2018-07-26 16:00</c:v>
                </c:pt>
                <c:pt idx="330">
                  <c:v>2018-07-26 17:00</c:v>
                </c:pt>
                <c:pt idx="331">
                  <c:v>2018-07-26 18:00</c:v>
                </c:pt>
                <c:pt idx="332">
                  <c:v>2018-07-26 19:00</c:v>
                </c:pt>
                <c:pt idx="333">
                  <c:v>2018-07-26 20:00</c:v>
                </c:pt>
                <c:pt idx="334">
                  <c:v>2018-07-26 21:00</c:v>
                </c:pt>
                <c:pt idx="335">
                  <c:v>2018-07-26 22:00</c:v>
                </c:pt>
              </c:strCache>
            </c:strRef>
          </c:cat>
          <c:val>
            <c:numRef>
              <c:f>TradeError!$E$4:$E$340</c:f>
              <c:numCache>
                <c:formatCode>0%</c:formatCode>
                <c:ptCount val="336"/>
                <c:pt idx="0">
                  <c:v>7.2987951807228919</c:v>
                </c:pt>
                <c:pt idx="1">
                  <c:v>7.9098484848484851</c:v>
                </c:pt>
                <c:pt idx="2">
                  <c:v>4.6739130434782609E-2</c:v>
                </c:pt>
                <c:pt idx="3">
                  <c:v>0.28555555555555556</c:v>
                </c:pt>
                <c:pt idx="4">
                  <c:v>0.50851063829787235</c:v>
                </c:pt>
                <c:pt idx="5">
                  <c:v>0.08</c:v>
                </c:pt>
                <c:pt idx="6">
                  <c:v>7.848101265822785E-2</c:v>
                </c:pt>
                <c:pt idx="7">
                  <c:v>0.42840909090909091</c:v>
                </c:pt>
                <c:pt idx="8">
                  <c:v>0.65399999999999991</c:v>
                </c:pt>
                <c:pt idx="9">
                  <c:v>6.4179104477611937E-2</c:v>
                </c:pt>
                <c:pt idx="10">
                  <c:v>0.10228571428571427</c:v>
                </c:pt>
                <c:pt idx="11">
                  <c:v>0.4429864253393665</c:v>
                </c:pt>
                <c:pt idx="12">
                  <c:v>0.50828025477707006</c:v>
                </c:pt>
                <c:pt idx="13">
                  <c:v>8.48E-2</c:v>
                </c:pt>
                <c:pt idx="14">
                  <c:v>0.14529914529914531</c:v>
                </c:pt>
                <c:pt idx="15">
                  <c:v>0.40317460317460319</c:v>
                </c:pt>
                <c:pt idx="16">
                  <c:v>0.15586206896551724</c:v>
                </c:pt>
                <c:pt idx="17">
                  <c:v>0.54317343173431731</c:v>
                </c:pt>
                <c:pt idx="18">
                  <c:v>0.31336898395721929</c:v>
                </c:pt>
                <c:pt idx="19">
                  <c:v>0.38436018957345974</c:v>
                </c:pt>
                <c:pt idx="20">
                  <c:v>0.75111111111111106</c:v>
                </c:pt>
                <c:pt idx="21">
                  <c:v>0.39111111111111113</c:v>
                </c:pt>
                <c:pt idx="22">
                  <c:v>1.7983606557377052</c:v>
                </c:pt>
                <c:pt idx="23">
                  <c:v>0.18695652173913044</c:v>
                </c:pt>
                <c:pt idx="24">
                  <c:v>0.38088235294117645</c:v>
                </c:pt>
                <c:pt idx="25">
                  <c:v>1.9767441860465116E-2</c:v>
                </c:pt>
                <c:pt idx="26">
                  <c:v>0.224</c:v>
                </c:pt>
                <c:pt idx="27">
                  <c:v>8.5714285714285715E-2</c:v>
                </c:pt>
                <c:pt idx="28">
                  <c:v>0.24027777777777776</c:v>
                </c:pt>
                <c:pt idx="29">
                  <c:v>0.54999999999999993</c:v>
                </c:pt>
                <c:pt idx="30">
                  <c:v>0.13258426966292136</c:v>
                </c:pt>
                <c:pt idx="31">
                  <c:v>0.2021276595744681</c:v>
                </c:pt>
                <c:pt idx="32">
                  <c:v>0.22405063291139241</c:v>
                </c:pt>
                <c:pt idx="33">
                  <c:v>0.17714285714285716</c:v>
                </c:pt>
                <c:pt idx="34">
                  <c:v>0.2471264367816092</c:v>
                </c:pt>
                <c:pt idx="35">
                  <c:v>0.11363636363636365</c:v>
                </c:pt>
                <c:pt idx="36">
                  <c:v>0.61139705882352935</c:v>
                </c:pt>
                <c:pt idx="37">
                  <c:v>2.8925619834710745E-2</c:v>
                </c:pt>
                <c:pt idx="38">
                  <c:v>0.35387931034482761</c:v>
                </c:pt>
                <c:pt idx="39">
                  <c:v>0.10954773869346734</c:v>
                </c:pt>
                <c:pt idx="40">
                  <c:v>0.30478260869565221</c:v>
                </c:pt>
                <c:pt idx="41">
                  <c:v>0.35</c:v>
                </c:pt>
                <c:pt idx="42">
                  <c:v>4.6231155778894473E-2</c:v>
                </c:pt>
                <c:pt idx="43">
                  <c:v>0.37263681592039799</c:v>
                </c:pt>
                <c:pt idx="44">
                  <c:v>0.17484276729559747</c:v>
                </c:pt>
                <c:pt idx="45">
                  <c:v>0.45200000000000001</c:v>
                </c:pt>
                <c:pt idx="46">
                  <c:v>0.41219512195121949</c:v>
                </c:pt>
                <c:pt idx="47">
                  <c:v>0.73469387755102045</c:v>
                </c:pt>
                <c:pt idx="48">
                  <c:v>0.20156249999999998</c:v>
                </c:pt>
                <c:pt idx="49">
                  <c:v>0.59782608695652173</c:v>
                </c:pt>
                <c:pt idx="50">
                  <c:v>0.41285714285714281</c:v>
                </c:pt>
                <c:pt idx="51">
                  <c:v>0.38677685950413226</c:v>
                </c:pt>
                <c:pt idx="52">
                  <c:v>0.27407407407407408</c:v>
                </c:pt>
                <c:pt idx="53">
                  <c:v>0.10864197530864197</c:v>
                </c:pt>
                <c:pt idx="54">
                  <c:v>7.6744186046511634E-2</c:v>
                </c:pt>
                <c:pt idx="55">
                  <c:v>0.29333333333333333</c:v>
                </c:pt>
                <c:pt idx="56">
                  <c:v>0.30384615384615382</c:v>
                </c:pt>
                <c:pt idx="57">
                  <c:v>0.68382352941176472</c:v>
                </c:pt>
                <c:pt idx="58">
                  <c:v>3.10126582278481E-2</c:v>
                </c:pt>
                <c:pt idx="59">
                  <c:v>0.23974358974358972</c:v>
                </c:pt>
                <c:pt idx="60">
                  <c:v>0.51840490797546013</c:v>
                </c:pt>
                <c:pt idx="61">
                  <c:v>0.14695121951219511</c:v>
                </c:pt>
                <c:pt idx="62">
                  <c:v>0.49290322580645163</c:v>
                </c:pt>
                <c:pt idx="63">
                  <c:v>0.25317073170731708</c:v>
                </c:pt>
                <c:pt idx="64">
                  <c:v>3.9925373134328354E-2</c:v>
                </c:pt>
                <c:pt idx="65">
                  <c:v>1.1847222222222222</c:v>
                </c:pt>
                <c:pt idx="66">
                  <c:v>0.45094339622641505</c:v>
                </c:pt>
                <c:pt idx="67">
                  <c:v>6.3128491620111735E-2</c:v>
                </c:pt>
                <c:pt idx="68">
                  <c:v>0.43566666666666665</c:v>
                </c:pt>
                <c:pt idx="69">
                  <c:v>0.58380062305295943</c:v>
                </c:pt>
                <c:pt idx="70">
                  <c:v>0.44022988505747124</c:v>
                </c:pt>
                <c:pt idx="71">
                  <c:v>0.60103092783505152</c:v>
                </c:pt>
                <c:pt idx="72">
                  <c:v>0.94406779661016937</c:v>
                </c:pt>
                <c:pt idx="73">
                  <c:v>0.14939759036144579</c:v>
                </c:pt>
                <c:pt idx="74">
                  <c:v>3.0769230769230771E-2</c:v>
                </c:pt>
                <c:pt idx="75">
                  <c:v>0.38363636363636361</c:v>
                </c:pt>
                <c:pt idx="76">
                  <c:v>0.34457831325301208</c:v>
                </c:pt>
                <c:pt idx="77">
                  <c:v>0.46419753086419752</c:v>
                </c:pt>
                <c:pt idx="78">
                  <c:v>0.28026315789473683</c:v>
                </c:pt>
                <c:pt idx="79">
                  <c:v>7.7419354838709681E-2</c:v>
                </c:pt>
                <c:pt idx="80">
                  <c:v>0.35250000000000004</c:v>
                </c:pt>
                <c:pt idx="81">
                  <c:v>5.7317073170731703E-2</c:v>
                </c:pt>
                <c:pt idx="82">
                  <c:v>0.31503267973856214</c:v>
                </c:pt>
                <c:pt idx="83">
                  <c:v>0.22552083333333334</c:v>
                </c:pt>
                <c:pt idx="84">
                  <c:v>6.9191919191919193E-2</c:v>
                </c:pt>
                <c:pt idx="85">
                  <c:v>0.10769230769230768</c:v>
                </c:pt>
                <c:pt idx="86">
                  <c:v>0.37487684729064036</c:v>
                </c:pt>
                <c:pt idx="87">
                  <c:v>0.29791666666666666</c:v>
                </c:pt>
                <c:pt idx="88">
                  <c:v>0.20833333333333331</c:v>
                </c:pt>
                <c:pt idx="89">
                  <c:v>0.37272727272727274</c:v>
                </c:pt>
                <c:pt idx="90">
                  <c:v>0.1470238095238095</c:v>
                </c:pt>
                <c:pt idx="91">
                  <c:v>0.14171428571428571</c:v>
                </c:pt>
                <c:pt idx="92">
                  <c:v>6.8965517241379309E-3</c:v>
                </c:pt>
                <c:pt idx="93">
                  <c:v>0.38604651162790699</c:v>
                </c:pt>
                <c:pt idx="94">
                  <c:v>0.27294117647058824</c:v>
                </c:pt>
                <c:pt idx="95">
                  <c:v>0.19999999999999998</c:v>
                </c:pt>
                <c:pt idx="96">
                  <c:v>7.6363636363636358</c:v>
                </c:pt>
                <c:pt idx="97">
                  <c:v>0.83278688524590161</c:v>
                </c:pt>
                <c:pt idx="98">
                  <c:v>0.93065693430656948</c:v>
                </c:pt>
                <c:pt idx="99">
                  <c:v>0.60172413793103452</c:v>
                </c:pt>
                <c:pt idx="100">
                  <c:v>0.29772727272727273</c:v>
                </c:pt>
                <c:pt idx="101">
                  <c:v>0.1675925925925926</c:v>
                </c:pt>
                <c:pt idx="102">
                  <c:v>0.33493975903614454</c:v>
                </c:pt>
                <c:pt idx="103">
                  <c:v>0.45056179775280902</c:v>
                </c:pt>
                <c:pt idx="104">
                  <c:v>0.14204545454545453</c:v>
                </c:pt>
                <c:pt idx="105">
                  <c:v>0.37333333333333335</c:v>
                </c:pt>
                <c:pt idx="106">
                  <c:v>0.78497652582159627</c:v>
                </c:pt>
                <c:pt idx="107">
                  <c:v>0.47667984189723317</c:v>
                </c:pt>
                <c:pt idx="108">
                  <c:v>0.30765957446808512</c:v>
                </c:pt>
                <c:pt idx="109">
                  <c:v>0.21059907834101382</c:v>
                </c:pt>
                <c:pt idx="110">
                  <c:v>0.2277777777777778</c:v>
                </c:pt>
                <c:pt idx="111">
                  <c:v>0.53269230769230769</c:v>
                </c:pt>
                <c:pt idx="112">
                  <c:v>0.24583333333333332</c:v>
                </c:pt>
                <c:pt idx="113">
                  <c:v>0.1355140186915888</c:v>
                </c:pt>
                <c:pt idx="114">
                  <c:v>0.1111111111111111</c:v>
                </c:pt>
                <c:pt idx="115">
                  <c:v>0.36231884057971014</c:v>
                </c:pt>
                <c:pt idx="116">
                  <c:v>0.60894308943089437</c:v>
                </c:pt>
                <c:pt idx="117">
                  <c:v>0.19896907216494844</c:v>
                </c:pt>
                <c:pt idx="118">
                  <c:v>0.77931034482758621</c:v>
                </c:pt>
                <c:pt idx="119">
                  <c:v>2.891566265060241E-2</c:v>
                </c:pt>
                <c:pt idx="120">
                  <c:v>0.44912280701754387</c:v>
                </c:pt>
                <c:pt idx="121">
                  <c:v>0.25</c:v>
                </c:pt>
                <c:pt idx="122">
                  <c:v>0.66176470588235292</c:v>
                </c:pt>
                <c:pt idx="123">
                  <c:v>4.7058823529411757E-2</c:v>
                </c:pt>
                <c:pt idx="124">
                  <c:v>0.14526315789473684</c:v>
                </c:pt>
                <c:pt idx="125">
                  <c:v>6.8888888888888888E-2</c:v>
                </c:pt>
                <c:pt idx="126">
                  <c:v>3.513513513513513E-2</c:v>
                </c:pt>
                <c:pt idx="127">
                  <c:v>0.21012658227848099</c:v>
                </c:pt>
                <c:pt idx="128">
                  <c:v>0.25102040816326532</c:v>
                </c:pt>
                <c:pt idx="129">
                  <c:v>0.21476190476190479</c:v>
                </c:pt>
                <c:pt idx="130">
                  <c:v>2.7586206896551724E-2</c:v>
                </c:pt>
                <c:pt idx="131">
                  <c:v>0.33170731707317075</c:v>
                </c:pt>
                <c:pt idx="132">
                  <c:v>0.14896551724137932</c:v>
                </c:pt>
                <c:pt idx="133">
                  <c:v>0.10864197530864197</c:v>
                </c:pt>
                <c:pt idx="134">
                  <c:v>0.44592592592592589</c:v>
                </c:pt>
                <c:pt idx="135">
                  <c:v>0.65727272727272723</c:v>
                </c:pt>
                <c:pt idx="136">
                  <c:v>0.32013888888888886</c:v>
                </c:pt>
                <c:pt idx="137">
                  <c:v>0.2414965986394558</c:v>
                </c:pt>
                <c:pt idx="138">
                  <c:v>0.29693877551020414</c:v>
                </c:pt>
                <c:pt idx="139">
                  <c:v>0.28983050847457625</c:v>
                </c:pt>
                <c:pt idx="140">
                  <c:v>0.5903225806451613</c:v>
                </c:pt>
                <c:pt idx="141">
                  <c:v>1.0899082568807339</c:v>
                </c:pt>
                <c:pt idx="142">
                  <c:v>0.56874999999999998</c:v>
                </c:pt>
                <c:pt idx="143">
                  <c:v>0.18970588235294114</c:v>
                </c:pt>
                <c:pt idx="144">
                  <c:v>4.7692307692307692</c:v>
                </c:pt>
                <c:pt idx="145">
                  <c:v>0.13448275862068965</c:v>
                </c:pt>
                <c:pt idx="146">
                  <c:v>2.9729729729729728E-2</c:v>
                </c:pt>
                <c:pt idx="147">
                  <c:v>0.61636363636363634</c:v>
                </c:pt>
                <c:pt idx="148">
                  <c:v>8.1609195402298856E-2</c:v>
                </c:pt>
                <c:pt idx="149">
                  <c:v>0.23287671232876714</c:v>
                </c:pt>
                <c:pt idx="150">
                  <c:v>0.11363636363636363</c:v>
                </c:pt>
                <c:pt idx="151">
                  <c:v>0.16754966887417219</c:v>
                </c:pt>
                <c:pt idx="152">
                  <c:v>0.17500000000000002</c:v>
                </c:pt>
                <c:pt idx="153">
                  <c:v>7.8333333333333338E-2</c:v>
                </c:pt>
                <c:pt idx="154">
                  <c:v>4.7389558232931728E-2</c:v>
                </c:pt>
                <c:pt idx="155">
                  <c:v>0.26991869918699185</c:v>
                </c:pt>
                <c:pt idx="156">
                  <c:v>0.28333333333333333</c:v>
                </c:pt>
                <c:pt idx="157">
                  <c:v>0.25612903225806455</c:v>
                </c:pt>
                <c:pt idx="158">
                  <c:v>0.50136054421768705</c:v>
                </c:pt>
                <c:pt idx="159">
                  <c:v>0.41734693877551021</c:v>
                </c:pt>
                <c:pt idx="160">
                  <c:v>0.24863387978142076</c:v>
                </c:pt>
                <c:pt idx="161">
                  <c:v>0.28647058823529414</c:v>
                </c:pt>
                <c:pt idx="162">
                  <c:v>0.1271186440677966</c:v>
                </c:pt>
                <c:pt idx="163">
                  <c:v>0.55598705501618118</c:v>
                </c:pt>
                <c:pt idx="164">
                  <c:v>0.24028776978417266</c:v>
                </c:pt>
                <c:pt idx="165">
                  <c:v>5.5276381909547733E-3</c:v>
                </c:pt>
                <c:pt idx="166">
                  <c:v>0.2</c:v>
                </c:pt>
                <c:pt idx="167">
                  <c:v>1.64468085106383</c:v>
                </c:pt>
                <c:pt idx="168">
                  <c:v>0.50175438596491229</c:v>
                </c:pt>
                <c:pt idx="169">
                  <c:v>0.42745098039215684</c:v>
                </c:pt>
                <c:pt idx="170">
                  <c:v>0.12325581395348838</c:v>
                </c:pt>
                <c:pt idx="171">
                  <c:v>0.69684210526315793</c:v>
                </c:pt>
                <c:pt idx="172">
                  <c:v>0.55070422535211272</c:v>
                </c:pt>
                <c:pt idx="173">
                  <c:v>0.14563106796116501</c:v>
                </c:pt>
                <c:pt idx="174">
                  <c:v>0.16025641025641027</c:v>
                </c:pt>
                <c:pt idx="175">
                  <c:v>0.61568627450980384</c:v>
                </c:pt>
                <c:pt idx="176">
                  <c:v>0.73703703703703705</c:v>
                </c:pt>
                <c:pt idx="177">
                  <c:v>0.35555555555555557</c:v>
                </c:pt>
                <c:pt idx="178">
                  <c:v>0.3229007633587786</c:v>
                </c:pt>
                <c:pt idx="179">
                  <c:v>0.18311111111111111</c:v>
                </c:pt>
                <c:pt idx="180">
                  <c:v>0.38763440860215048</c:v>
                </c:pt>
                <c:pt idx="181">
                  <c:v>0.50763888888888886</c:v>
                </c:pt>
                <c:pt idx="182">
                  <c:v>6.0795454545454541E-2</c:v>
                </c:pt>
                <c:pt idx="183">
                  <c:v>0.47878787878787876</c:v>
                </c:pt>
                <c:pt idx="184">
                  <c:v>0.13604651162790699</c:v>
                </c:pt>
                <c:pt idx="185">
                  <c:v>0.64943820224719095</c:v>
                </c:pt>
                <c:pt idx="186">
                  <c:v>0.441717791411043</c:v>
                </c:pt>
                <c:pt idx="187">
                  <c:v>8.4057971014492763E-2</c:v>
                </c:pt>
                <c:pt idx="188">
                  <c:v>0.33352272727272725</c:v>
                </c:pt>
                <c:pt idx="189">
                  <c:v>0.1525</c:v>
                </c:pt>
                <c:pt idx="190">
                  <c:v>0.25230769230769234</c:v>
                </c:pt>
                <c:pt idx="191">
                  <c:v>0.78</c:v>
                </c:pt>
                <c:pt idx="192">
                  <c:v>4.2859375000000002</c:v>
                </c:pt>
                <c:pt idx="193">
                  <c:v>0.12674418604651164</c:v>
                </c:pt>
                <c:pt idx="194">
                  <c:v>0.25476190476190474</c:v>
                </c:pt>
                <c:pt idx="195">
                  <c:v>0.2069767441860465</c:v>
                </c:pt>
                <c:pt idx="196">
                  <c:v>0.16407766990291259</c:v>
                </c:pt>
                <c:pt idx="197">
                  <c:v>0.52243589743589747</c:v>
                </c:pt>
                <c:pt idx="198">
                  <c:v>0.18761904761904763</c:v>
                </c:pt>
                <c:pt idx="199">
                  <c:v>0.37479674796747969</c:v>
                </c:pt>
                <c:pt idx="200">
                  <c:v>0.33098591549295775</c:v>
                </c:pt>
                <c:pt idx="201">
                  <c:v>0.23265306122448981</c:v>
                </c:pt>
                <c:pt idx="202">
                  <c:v>0.62</c:v>
                </c:pt>
                <c:pt idx="203">
                  <c:v>0.45141509433962262</c:v>
                </c:pt>
                <c:pt idx="204">
                  <c:v>0.26190476190476192</c:v>
                </c:pt>
                <c:pt idx="205">
                  <c:v>0.50582524271844653</c:v>
                </c:pt>
                <c:pt idx="206">
                  <c:v>0</c:v>
                </c:pt>
                <c:pt idx="207">
                  <c:v>0.19932432432432434</c:v>
                </c:pt>
                <c:pt idx="208">
                  <c:v>0.53488372093023262</c:v>
                </c:pt>
                <c:pt idx="209">
                  <c:v>0.52348178137651824</c:v>
                </c:pt>
                <c:pt idx="210">
                  <c:v>0.3061776061776062</c:v>
                </c:pt>
                <c:pt idx="211">
                  <c:v>0.4386363636363636</c:v>
                </c:pt>
                <c:pt idx="212">
                  <c:v>0.85555555555555562</c:v>
                </c:pt>
                <c:pt idx="213">
                  <c:v>5.3086419753086422E-2</c:v>
                </c:pt>
                <c:pt idx="214">
                  <c:v>0.6333333333333333</c:v>
                </c:pt>
                <c:pt idx="215">
                  <c:v>0.15636363636363637</c:v>
                </c:pt>
                <c:pt idx="216">
                  <c:v>4.2944785276073623E-3</c:v>
                </c:pt>
                <c:pt idx="217">
                  <c:v>0.59436619718309858</c:v>
                </c:pt>
                <c:pt idx="218">
                  <c:v>0.71875</c:v>
                </c:pt>
                <c:pt idx="219">
                  <c:v>0.43358208955223881</c:v>
                </c:pt>
                <c:pt idx="220">
                  <c:v>0.45697674418604656</c:v>
                </c:pt>
                <c:pt idx="221">
                  <c:v>0.61130952380952375</c:v>
                </c:pt>
                <c:pt idx="222">
                  <c:v>0.58682926829268289</c:v>
                </c:pt>
                <c:pt idx="223">
                  <c:v>0.4303030303030303</c:v>
                </c:pt>
                <c:pt idx="224">
                  <c:v>0.29096385542168673</c:v>
                </c:pt>
                <c:pt idx="225">
                  <c:v>0.47457627118644063</c:v>
                </c:pt>
                <c:pt idx="226">
                  <c:v>0.41321428571428576</c:v>
                </c:pt>
                <c:pt idx="227">
                  <c:v>0.38312757201646092</c:v>
                </c:pt>
                <c:pt idx="228">
                  <c:v>0.56163522012578615</c:v>
                </c:pt>
                <c:pt idx="229">
                  <c:v>0.10612244897959183</c:v>
                </c:pt>
                <c:pt idx="230">
                  <c:v>0.35312499999999997</c:v>
                </c:pt>
                <c:pt idx="231">
                  <c:v>0.37000000000000005</c:v>
                </c:pt>
                <c:pt idx="232">
                  <c:v>0.16115241635687733</c:v>
                </c:pt>
                <c:pt idx="233">
                  <c:v>0.72583732057416273</c:v>
                </c:pt>
                <c:pt idx="234">
                  <c:v>0.19611111111111112</c:v>
                </c:pt>
                <c:pt idx="235">
                  <c:v>0.50377358490566038</c:v>
                </c:pt>
                <c:pt idx="236">
                  <c:v>0.42233009708737862</c:v>
                </c:pt>
                <c:pt idx="237">
                  <c:v>0.33772455089820363</c:v>
                </c:pt>
                <c:pt idx="238">
                  <c:v>0.65126903553299498</c:v>
                </c:pt>
                <c:pt idx="239">
                  <c:v>0.20299999999999999</c:v>
                </c:pt>
                <c:pt idx="240">
                  <c:v>0.66517857142857151</c:v>
                </c:pt>
                <c:pt idx="241">
                  <c:v>0.72280701754385968</c:v>
                </c:pt>
                <c:pt idx="242">
                  <c:v>4.642857142857143E-2</c:v>
                </c:pt>
                <c:pt idx="243">
                  <c:v>0.71544715447154472</c:v>
                </c:pt>
                <c:pt idx="244">
                  <c:v>2.2500000000000003E-2</c:v>
                </c:pt>
                <c:pt idx="245">
                  <c:v>0.20975609756097563</c:v>
                </c:pt>
                <c:pt idx="246">
                  <c:v>4.8039215686274506E-2</c:v>
                </c:pt>
                <c:pt idx="247">
                  <c:v>0.19361702127659575</c:v>
                </c:pt>
                <c:pt idx="248">
                  <c:v>0.6</c:v>
                </c:pt>
                <c:pt idx="249">
                  <c:v>0.28827160493827164</c:v>
                </c:pt>
                <c:pt idx="250">
                  <c:v>2.9487179487179487E-2</c:v>
                </c:pt>
                <c:pt idx="251">
                  <c:v>1.2280701754385963E-2</c:v>
                </c:pt>
                <c:pt idx="252">
                  <c:v>0.70300000000000007</c:v>
                </c:pt>
                <c:pt idx="253">
                  <c:v>0.4225961538461539</c:v>
                </c:pt>
                <c:pt idx="254">
                  <c:v>0.7071794871794872</c:v>
                </c:pt>
                <c:pt idx="255">
                  <c:v>1.6685714285714286</c:v>
                </c:pt>
                <c:pt idx="256">
                  <c:v>0.19934640522875818</c:v>
                </c:pt>
                <c:pt idx="257">
                  <c:v>0.57161572052401755</c:v>
                </c:pt>
                <c:pt idx="258">
                  <c:v>0.51016949152542368</c:v>
                </c:pt>
                <c:pt idx="259">
                  <c:v>0.62179487179487181</c:v>
                </c:pt>
                <c:pt idx="260">
                  <c:v>0.12824427480916031</c:v>
                </c:pt>
                <c:pt idx="261">
                  <c:v>0.2361344537815126</c:v>
                </c:pt>
                <c:pt idx="262">
                  <c:v>0.37448979591836734</c:v>
                </c:pt>
                <c:pt idx="263">
                  <c:v>0.31308411214953275</c:v>
                </c:pt>
                <c:pt idx="264">
                  <c:v>0.22727272727272727</c:v>
                </c:pt>
                <c:pt idx="265">
                  <c:v>0.57708333333333339</c:v>
                </c:pt>
                <c:pt idx="266">
                  <c:v>0.62499999999999989</c:v>
                </c:pt>
                <c:pt idx="267">
                  <c:v>5.7534246575342465E-2</c:v>
                </c:pt>
                <c:pt idx="268">
                  <c:v>0.31147540983606559</c:v>
                </c:pt>
                <c:pt idx="269">
                  <c:v>0.24017094017094015</c:v>
                </c:pt>
                <c:pt idx="270">
                  <c:v>0.44437500000000002</c:v>
                </c:pt>
                <c:pt idx="271">
                  <c:v>0.26507936507936508</c:v>
                </c:pt>
                <c:pt idx="272">
                  <c:v>0.5573529411764705</c:v>
                </c:pt>
                <c:pt idx="273">
                  <c:v>0.6186813186813187</c:v>
                </c:pt>
                <c:pt idx="274">
                  <c:v>0.81547169811320763</c:v>
                </c:pt>
                <c:pt idx="275">
                  <c:v>0.12685370741482965</c:v>
                </c:pt>
                <c:pt idx="276">
                  <c:v>0.14095744680851063</c:v>
                </c:pt>
                <c:pt idx="277">
                  <c:v>1.1588235294117646</c:v>
                </c:pt>
                <c:pt idx="278">
                  <c:v>0.31694214876033061</c:v>
                </c:pt>
                <c:pt idx="279">
                  <c:v>0.11232876712328768</c:v>
                </c:pt>
                <c:pt idx="280">
                  <c:v>0.38952380952380955</c:v>
                </c:pt>
                <c:pt idx="281">
                  <c:v>0.39339207048458152</c:v>
                </c:pt>
                <c:pt idx="282">
                  <c:v>6.4900662251655625E-2</c:v>
                </c:pt>
                <c:pt idx="283">
                  <c:v>0.59087452471482893</c:v>
                </c:pt>
                <c:pt idx="284">
                  <c:v>1.0236220472440943E-2</c:v>
                </c:pt>
                <c:pt idx="285">
                  <c:v>0.16488549618320611</c:v>
                </c:pt>
                <c:pt idx="286">
                  <c:v>5.5752212389380537E-2</c:v>
                </c:pt>
                <c:pt idx="287">
                  <c:v>0.80975609756097566</c:v>
                </c:pt>
                <c:pt idx="288">
                  <c:v>0</c:v>
                </c:pt>
                <c:pt idx="289">
                  <c:v>0.71149425287356316</c:v>
                </c:pt>
                <c:pt idx="290">
                  <c:v>0.53235294117647058</c:v>
                </c:pt>
                <c:pt idx="291">
                  <c:v>1.1707317073170733</c:v>
                </c:pt>
                <c:pt idx="292">
                  <c:v>7.5000000000000011E-2</c:v>
                </c:pt>
                <c:pt idx="293">
                  <c:v>0.1291044776119403</c:v>
                </c:pt>
                <c:pt idx="294">
                  <c:v>0.7943181818181817</c:v>
                </c:pt>
                <c:pt idx="295">
                  <c:v>0.37662337662337664</c:v>
                </c:pt>
                <c:pt idx="296">
                  <c:v>6.363636363636363E-2</c:v>
                </c:pt>
                <c:pt idx="297">
                  <c:v>0.4682926829268293</c:v>
                </c:pt>
                <c:pt idx="298">
                  <c:v>1.871657754010695E-2</c:v>
                </c:pt>
                <c:pt idx="299">
                  <c:v>0.23426573426573427</c:v>
                </c:pt>
                <c:pt idx="300">
                  <c:v>0.10548780487804879</c:v>
                </c:pt>
                <c:pt idx="301">
                  <c:v>0.80192307692307696</c:v>
                </c:pt>
                <c:pt idx="302">
                  <c:v>0.46858974358974359</c:v>
                </c:pt>
                <c:pt idx="303">
                  <c:v>0.67065217391304355</c:v>
                </c:pt>
                <c:pt idx="304">
                  <c:v>0.27323943661971828</c:v>
                </c:pt>
                <c:pt idx="305">
                  <c:v>0.37660818713450295</c:v>
                </c:pt>
                <c:pt idx="306">
                  <c:v>0.7666666666666665</c:v>
                </c:pt>
                <c:pt idx="307">
                  <c:v>0.16250000000000001</c:v>
                </c:pt>
                <c:pt idx="308">
                  <c:v>8.2840236686390525E-2</c:v>
                </c:pt>
                <c:pt idx="309">
                  <c:v>0.37753303964757712</c:v>
                </c:pt>
                <c:pt idx="310">
                  <c:v>0.34719101123595503</c:v>
                </c:pt>
                <c:pt idx="311">
                  <c:v>0.1663316582914573</c:v>
                </c:pt>
                <c:pt idx="312">
                  <c:v>1.1224489795918367E-2</c:v>
                </c:pt>
                <c:pt idx="313">
                  <c:v>0.41954887218045112</c:v>
                </c:pt>
                <c:pt idx="314">
                  <c:v>0.57843137254901955</c:v>
                </c:pt>
                <c:pt idx="315">
                  <c:v>0.86799999999999999</c:v>
                </c:pt>
                <c:pt idx="316">
                  <c:v>0.28765432098765431</c:v>
                </c:pt>
                <c:pt idx="317">
                  <c:v>0.2</c:v>
                </c:pt>
                <c:pt idx="318">
                  <c:v>0.17857142857142855</c:v>
                </c:pt>
                <c:pt idx="319">
                  <c:v>0.36588235294117649</c:v>
                </c:pt>
                <c:pt idx="320">
                  <c:v>0.1306122448979592</c:v>
                </c:pt>
                <c:pt idx="321">
                  <c:v>0.3</c:v>
                </c:pt>
                <c:pt idx="322">
                  <c:v>0.13659793814432988</c:v>
                </c:pt>
                <c:pt idx="323">
                  <c:v>0.25345911949685535</c:v>
                </c:pt>
                <c:pt idx="324">
                  <c:v>0.82643678160919543</c:v>
                </c:pt>
                <c:pt idx="325">
                  <c:v>5.6896551724137934E-2</c:v>
                </c:pt>
                <c:pt idx="326">
                  <c:v>0.16930693069306932</c:v>
                </c:pt>
                <c:pt idx="327">
                  <c:v>8.2727272727272719E-2</c:v>
                </c:pt>
                <c:pt idx="328">
                  <c:v>0.32971576227390181</c:v>
                </c:pt>
                <c:pt idx="329">
                  <c:v>0.56148148148148147</c:v>
                </c:pt>
                <c:pt idx="330">
                  <c:v>0.61733333333333329</c:v>
                </c:pt>
                <c:pt idx="331">
                  <c:v>0.4525423728813559</c:v>
                </c:pt>
                <c:pt idx="332">
                  <c:v>6.6285714285714281E-2</c:v>
                </c:pt>
                <c:pt idx="333">
                  <c:v>1.6504854368932037E-2</c:v>
                </c:pt>
                <c:pt idx="334">
                  <c:v>0.36964285714285716</c:v>
                </c:pt>
                <c:pt idx="335">
                  <c:v>0.41466666666666668</c:v>
                </c:pt>
              </c:numCache>
            </c:numRef>
          </c:val>
          <c:smooth val="0"/>
        </c:ser>
        <c:dLbls>
          <c:showLegendKey val="0"/>
          <c:showVal val="0"/>
          <c:showCatName val="0"/>
          <c:showSerName val="0"/>
          <c:showPercent val="0"/>
          <c:showBubbleSize val="0"/>
        </c:dLbls>
        <c:marker val="1"/>
        <c:smooth val="0"/>
        <c:axId val="1649020752"/>
        <c:axId val="1649030544"/>
      </c:lineChart>
      <c:catAx>
        <c:axId val="1649029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018032"/>
        <c:crosses val="autoZero"/>
        <c:auto val="1"/>
        <c:lblAlgn val="ctr"/>
        <c:lblOffset val="100"/>
        <c:noMultiLvlLbl val="0"/>
      </c:catAx>
      <c:valAx>
        <c:axId val="1649018032"/>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029456"/>
        <c:crosses val="autoZero"/>
        <c:crossBetween val="between"/>
      </c:valAx>
      <c:valAx>
        <c:axId val="1649030544"/>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020752"/>
        <c:crosses val="max"/>
        <c:crossBetween val="between"/>
      </c:valAx>
      <c:catAx>
        <c:axId val="1649020752"/>
        <c:scaling>
          <c:orientation val="minMax"/>
        </c:scaling>
        <c:delete val="1"/>
        <c:axPos val="b"/>
        <c:numFmt formatCode="General" sourceLinked="1"/>
        <c:majorTickMark val="out"/>
        <c:minorTickMark val="none"/>
        <c:tickLblPos val="nextTo"/>
        <c:crossAx val="1649030544"/>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portrait"/>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[Tester.xlsm]Internals-SCGD!PivotTable1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SCGD BackPropagation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ln w="28575" cap="rnd">
            <a:solidFill>
              <a:schemeClr val="accent1"/>
            </a:solidFill>
            <a:round/>
          </a:ln>
          <a:effectLst/>
        </c:spPr>
        <c:marker>
          <c:symbol val="none"/>
        </c:marker>
      </c:pivotFmt>
    </c:pivotFmts>
    <c:plotArea>
      <c:layout/>
      <c:lineChart>
        <c:grouping val="standard"/>
        <c:varyColors val="0"/>
        <c:ser>
          <c:idx val="0"/>
          <c:order val="0"/>
          <c:tx>
            <c:strRef>
              <c:f>'Internals-SCGD'!$B$3</c:f>
              <c:strCache>
                <c:ptCount val="1"/>
                <c:pt idx="0">
                  <c:v>Min of GTSE_NEW</c:v>
                </c:pt>
              </c:strCache>
            </c:strRef>
          </c:tx>
          <c:spPr>
            <a:ln w="28575" cap="rnd">
              <a:solidFill>
                <a:schemeClr val="accent1"/>
              </a:solidFill>
              <a:round/>
            </a:ln>
            <a:effectLst/>
          </c:spPr>
          <c:marker>
            <c:symbol val="none"/>
          </c:marker>
          <c:cat>
            <c:strRef>
              <c:f>'Internals-SCGD'!$A$4:$A$35</c:f>
              <c:strCach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strCache>
            </c:strRef>
          </c:cat>
          <c:val>
            <c:numRef>
              <c:f>'Internals-SCGD'!$B$4:$B$35</c:f>
              <c:numCache>
                <c:formatCode>0.00</c:formatCode>
                <c:ptCount val="31"/>
                <c:pt idx="0">
                  <c:v>47575.66796875</c:v>
                </c:pt>
                <c:pt idx="1">
                  <c:v>53800.94140625</c:v>
                </c:pt>
                <c:pt idx="2">
                  <c:v>53800.94140625</c:v>
                </c:pt>
                <c:pt idx="3">
                  <c:v>53800.94140625</c:v>
                </c:pt>
                <c:pt idx="4">
                  <c:v>53800.94140625</c:v>
                </c:pt>
                <c:pt idx="5">
                  <c:v>53800.93359375</c:v>
                </c:pt>
                <c:pt idx="6">
                  <c:v>53800.921875</c:v>
                </c:pt>
                <c:pt idx="7">
                  <c:v>53800.87109375</c:v>
                </c:pt>
                <c:pt idx="8">
                  <c:v>53800.6875</c:v>
                </c:pt>
                <c:pt idx="9">
                  <c:v>53800.0234375</c:v>
                </c:pt>
                <c:pt idx="10">
                  <c:v>53797.3046875</c:v>
                </c:pt>
                <c:pt idx="11">
                  <c:v>53786.47265625</c:v>
                </c:pt>
                <c:pt idx="12">
                  <c:v>53743.34765625</c:v>
                </c:pt>
                <c:pt idx="13">
                  <c:v>53573.25</c:v>
                </c:pt>
                <c:pt idx="14">
                  <c:v>52931.24609375</c:v>
                </c:pt>
                <c:pt idx="15">
                  <c:v>50873.62890625</c:v>
                </c:pt>
                <c:pt idx="16">
                  <c:v>47044.19921875</c:v>
                </c:pt>
                <c:pt idx="17">
                  <c:v>129349.0859375</c:v>
                </c:pt>
                <c:pt idx="18">
                  <c:v>50140.76953125</c:v>
                </c:pt>
                <c:pt idx="19">
                  <c:v>45611.31640625</c:v>
                </c:pt>
                <c:pt idx="20">
                  <c:v>45375.37109375</c:v>
                </c:pt>
                <c:pt idx="21">
                  <c:v>46909.51171875</c:v>
                </c:pt>
                <c:pt idx="22">
                  <c:v>45446.31640625</c:v>
                </c:pt>
                <c:pt idx="23">
                  <c:v>45370.12109375</c:v>
                </c:pt>
                <c:pt idx="24">
                  <c:v>45342.98828125</c:v>
                </c:pt>
                <c:pt idx="25">
                  <c:v>45339.0859375</c:v>
                </c:pt>
                <c:pt idx="26">
                  <c:v>53230.90625</c:v>
                </c:pt>
                <c:pt idx="27">
                  <c:v>45775.140625</c:v>
                </c:pt>
                <c:pt idx="28">
                  <c:v>45358.98828125</c:v>
                </c:pt>
                <c:pt idx="29">
                  <c:v>45338.55078125</c:v>
                </c:pt>
                <c:pt idx="30">
                  <c:v>45336.1328125</c:v>
                </c:pt>
              </c:numCache>
            </c:numRef>
          </c:val>
          <c:smooth val="0"/>
        </c:ser>
        <c:dLbls>
          <c:showLegendKey val="0"/>
          <c:showVal val="0"/>
          <c:showCatName val="0"/>
          <c:showSerName val="0"/>
          <c:showPercent val="0"/>
          <c:showBubbleSize val="0"/>
        </c:dLbls>
        <c:marker val="1"/>
        <c:smooth val="0"/>
        <c:axId val="1649015856"/>
        <c:axId val="1649022384"/>
      </c:lineChart>
      <c:lineChart>
        <c:grouping val="standard"/>
        <c:varyColors val="0"/>
        <c:ser>
          <c:idx val="1"/>
          <c:order val="1"/>
          <c:tx>
            <c:strRef>
              <c:f>'Internals-SCGD'!$C$3</c:f>
              <c:strCache>
                <c:ptCount val="1"/>
                <c:pt idx="0">
                  <c:v>Min of RNORM</c:v>
                </c:pt>
              </c:strCache>
            </c:strRef>
          </c:tx>
          <c:spPr>
            <a:ln w="28575" cap="rnd">
              <a:solidFill>
                <a:schemeClr val="accent2"/>
              </a:solidFill>
              <a:round/>
            </a:ln>
            <a:effectLst/>
          </c:spPr>
          <c:marker>
            <c:symbol val="none"/>
          </c:marker>
          <c:cat>
            <c:strRef>
              <c:f>'Internals-SCGD'!$A$4:$A$35</c:f>
              <c:strCach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strCache>
            </c:strRef>
          </c:cat>
          <c:val>
            <c:numRef>
              <c:f>'Internals-SCGD'!$C$4:$C$35</c:f>
              <c:numCache>
                <c:formatCode>General</c:formatCode>
                <c:ptCount val="31"/>
                <c:pt idx="0">
                  <c:v>6006.98681640625</c:v>
                </c:pt>
                <c:pt idx="1">
                  <c:v>6006.98681640625</c:v>
                </c:pt>
                <c:pt idx="2">
                  <c:v>6006.98681640625</c:v>
                </c:pt>
                <c:pt idx="3">
                  <c:v>6006.98681640625</c:v>
                </c:pt>
                <c:pt idx="4">
                  <c:v>6006.98681640625</c:v>
                </c:pt>
                <c:pt idx="5">
                  <c:v>6006.98681640625</c:v>
                </c:pt>
                <c:pt idx="6">
                  <c:v>6006.98681640625</c:v>
                </c:pt>
                <c:pt idx="7">
                  <c:v>6006.98681640625</c:v>
                </c:pt>
                <c:pt idx="8">
                  <c:v>6006.98681640625</c:v>
                </c:pt>
                <c:pt idx="9">
                  <c:v>6006.98681640625</c:v>
                </c:pt>
                <c:pt idx="10">
                  <c:v>6006.98681640625</c:v>
                </c:pt>
                <c:pt idx="11">
                  <c:v>6006.98681640625</c:v>
                </c:pt>
                <c:pt idx="12">
                  <c:v>6006.98681640625</c:v>
                </c:pt>
                <c:pt idx="13">
                  <c:v>6006.98681640625</c:v>
                </c:pt>
                <c:pt idx="14">
                  <c:v>6006.98681640625</c:v>
                </c:pt>
                <c:pt idx="15">
                  <c:v>6006.98681640625</c:v>
                </c:pt>
                <c:pt idx="16">
                  <c:v>9723.353515625</c:v>
                </c:pt>
                <c:pt idx="17">
                  <c:v>9723.353515625</c:v>
                </c:pt>
                <c:pt idx="18">
                  <c:v>9723.353515625</c:v>
                </c:pt>
                <c:pt idx="19">
                  <c:v>1740.19396972656</c:v>
                </c:pt>
                <c:pt idx="20">
                  <c:v>1037.98657226563</c:v>
                </c:pt>
                <c:pt idx="21">
                  <c:v>1037.98657226563</c:v>
                </c:pt>
                <c:pt idx="22">
                  <c:v>1037.98657226563</c:v>
                </c:pt>
                <c:pt idx="23">
                  <c:v>591.6494140625</c:v>
                </c:pt>
                <c:pt idx="24">
                  <c:v>398.42935180664102</c:v>
                </c:pt>
                <c:pt idx="25">
                  <c:v>338.89654541015602</c:v>
                </c:pt>
                <c:pt idx="26">
                  <c:v>338.89654541015602</c:v>
                </c:pt>
                <c:pt idx="27">
                  <c:v>338.89654541015602</c:v>
                </c:pt>
                <c:pt idx="28">
                  <c:v>338.89654541015602</c:v>
                </c:pt>
                <c:pt idx="29">
                  <c:v>94.532814025878906</c:v>
                </c:pt>
                <c:pt idx="30">
                  <c:v>61.373088836669901</c:v>
                </c:pt>
              </c:numCache>
            </c:numRef>
          </c:val>
          <c:smooth val="0"/>
        </c:ser>
        <c:dLbls>
          <c:showLegendKey val="0"/>
          <c:showVal val="0"/>
          <c:showCatName val="0"/>
          <c:showSerName val="0"/>
          <c:showPercent val="0"/>
          <c:showBubbleSize val="0"/>
        </c:dLbls>
        <c:marker val="1"/>
        <c:smooth val="0"/>
        <c:axId val="1865185248"/>
        <c:axId val="1865181440"/>
      </c:lineChart>
      <c:catAx>
        <c:axId val="16490158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022384"/>
        <c:crosses val="autoZero"/>
        <c:auto val="1"/>
        <c:lblAlgn val="ctr"/>
        <c:lblOffset val="100"/>
        <c:noMultiLvlLbl val="0"/>
      </c:catAx>
      <c:valAx>
        <c:axId val="16490223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015856"/>
        <c:crosses val="autoZero"/>
        <c:crossBetween val="between"/>
      </c:valAx>
      <c:valAx>
        <c:axId val="1865181440"/>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65185248"/>
        <c:crosses val="max"/>
        <c:crossBetween val="between"/>
      </c:valAx>
      <c:catAx>
        <c:axId val="1865185248"/>
        <c:scaling>
          <c:orientation val="minMax"/>
        </c:scaling>
        <c:delete val="1"/>
        <c:axPos val="b"/>
        <c:numFmt formatCode="General" sourceLinked="1"/>
        <c:majorTickMark val="out"/>
        <c:minorTickMark val="none"/>
        <c:tickLblPos val="nextTo"/>
        <c:crossAx val="1865181440"/>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[Tester.xlsm]MSE_vs_Err!PivotTable2</c:name>
    <c:fmtId val="6"/>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9"/>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1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3"/>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s>
    <c:plotArea>
      <c:layout/>
      <c:lineChart>
        <c:grouping val="standard"/>
        <c:varyColors val="0"/>
        <c:ser>
          <c:idx val="1"/>
          <c:order val="1"/>
          <c:tx>
            <c:strRef>
              <c:f>MSE_vs_Err!$C$4:$C$6</c:f>
              <c:strCache>
                <c:ptCount val="1"/>
                <c:pt idx="0">
                  <c:v>INS - Average of RUNMSE</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MSE_vs_Err!$A$7:$A$35</c:f>
              <c:strCache>
                <c:ptCount val="28"/>
                <c:pt idx="0">
                  <c:v>0.00250</c:v>
                </c:pt>
                <c:pt idx="1">
                  <c:v>0.00256</c:v>
                </c:pt>
                <c:pt idx="2">
                  <c:v>0.00261</c:v>
                </c:pt>
                <c:pt idx="3">
                  <c:v>0.00261</c:v>
                </c:pt>
                <c:pt idx="4">
                  <c:v>0.00265</c:v>
                </c:pt>
                <c:pt idx="5">
                  <c:v>0.00265</c:v>
                </c:pt>
                <c:pt idx="6">
                  <c:v>0.00269</c:v>
                </c:pt>
                <c:pt idx="7">
                  <c:v>0.00271</c:v>
                </c:pt>
                <c:pt idx="8">
                  <c:v>0.00272</c:v>
                </c:pt>
                <c:pt idx="9">
                  <c:v>0.00273</c:v>
                </c:pt>
                <c:pt idx="10">
                  <c:v>0.00273</c:v>
                </c:pt>
                <c:pt idx="11">
                  <c:v>0.00273</c:v>
                </c:pt>
                <c:pt idx="12">
                  <c:v>0.00273</c:v>
                </c:pt>
                <c:pt idx="13">
                  <c:v>0.00274</c:v>
                </c:pt>
                <c:pt idx="14">
                  <c:v>0.00274</c:v>
                </c:pt>
                <c:pt idx="15">
                  <c:v>0.00274</c:v>
                </c:pt>
                <c:pt idx="16">
                  <c:v>0.00274</c:v>
                </c:pt>
                <c:pt idx="17">
                  <c:v>0.00274</c:v>
                </c:pt>
                <c:pt idx="18">
                  <c:v>0.00278</c:v>
                </c:pt>
                <c:pt idx="19">
                  <c:v>0.00280</c:v>
                </c:pt>
                <c:pt idx="20">
                  <c:v>0.00284</c:v>
                </c:pt>
                <c:pt idx="21">
                  <c:v>0.00287</c:v>
                </c:pt>
                <c:pt idx="22">
                  <c:v>0.00331</c:v>
                </c:pt>
                <c:pt idx="23">
                  <c:v>0.00333</c:v>
                </c:pt>
                <c:pt idx="24">
                  <c:v>0.00334</c:v>
                </c:pt>
                <c:pt idx="25">
                  <c:v>0.00336</c:v>
                </c:pt>
                <c:pt idx="26">
                  <c:v>0.00339</c:v>
                </c:pt>
                <c:pt idx="27">
                  <c:v>0.00341</c:v>
                </c:pt>
              </c:strCache>
            </c:strRef>
          </c:cat>
          <c:val>
            <c:numRef>
              <c:f>MSE_vs_Err!$C$7:$C$35</c:f>
              <c:numCache>
                <c:formatCode>0.00000</c:formatCode>
                <c:ptCount val="28"/>
                <c:pt idx="0">
                  <c:v>2.5045186660632374E-3</c:v>
                </c:pt>
                <c:pt idx="1">
                  <c:v>2.5630468979848226E-3</c:v>
                </c:pt>
                <c:pt idx="2">
                  <c:v>2.6094244824981902E-3</c:v>
                </c:pt>
                <c:pt idx="3">
                  <c:v>2.6104636095401856E-3</c:v>
                </c:pt>
                <c:pt idx="4">
                  <c:v>2.6511082773499014E-3</c:v>
                </c:pt>
                <c:pt idx="5">
                  <c:v>2.6523258939838276E-3</c:v>
                </c:pt>
                <c:pt idx="6">
                  <c:v>2.6922531523068927E-3</c:v>
                </c:pt>
                <c:pt idx="7">
                  <c:v>2.7077459680566792E-3</c:v>
                </c:pt>
                <c:pt idx="8">
                  <c:v>2.7150907390394857E-3</c:v>
                </c:pt>
                <c:pt idx="9">
                  <c:v>2.7267208623176194E-3</c:v>
                </c:pt>
                <c:pt idx="10">
                  <c:v>2.6094244824981902E-3</c:v>
                </c:pt>
                <c:pt idx="11">
                  <c:v>3.3380647395034203E-3</c:v>
                </c:pt>
                <c:pt idx="12">
                  <c:v>2.7300304051260131E-3</c:v>
                </c:pt>
                <c:pt idx="13">
                  <c:v>2.7267208623176194E-3</c:v>
                </c:pt>
                <c:pt idx="14">
                  <c:v>2.7393519240135398E-3</c:v>
                </c:pt>
                <c:pt idx="15">
                  <c:v>2.739571537557617E-3</c:v>
                </c:pt>
                <c:pt idx="16">
                  <c:v>2.740248835534663E-3</c:v>
                </c:pt>
                <c:pt idx="17">
                  <c:v>2.7408566146298508E-3</c:v>
                </c:pt>
                <c:pt idx="18">
                  <c:v>2.777186140328763E-3</c:v>
                </c:pt>
                <c:pt idx="19">
                  <c:v>2.8036685881023121E-3</c:v>
                </c:pt>
                <c:pt idx="20">
                  <c:v>2.8386868138961098E-3</c:v>
                </c:pt>
                <c:pt idx="21">
                  <c:v>2.8654319099386317E-3</c:v>
                </c:pt>
                <c:pt idx="22">
                  <c:v>3.3087662542233879E-3</c:v>
                </c:pt>
                <c:pt idx="23">
                  <c:v>3.3281145014955565E-3</c:v>
                </c:pt>
                <c:pt idx="24">
                  <c:v>3.3380647395034203E-3</c:v>
                </c:pt>
                <c:pt idx="25">
                  <c:v>3.364669375301286E-3</c:v>
                </c:pt>
                <c:pt idx="26">
                  <c:v>3.3867012060050596E-3</c:v>
                </c:pt>
                <c:pt idx="27">
                  <c:v>3.4071583270424955E-3</c:v>
                </c:pt>
              </c:numCache>
            </c:numRef>
          </c:val>
          <c:smooth val="0"/>
        </c:ser>
        <c:dLbls>
          <c:showLegendKey val="0"/>
          <c:showVal val="0"/>
          <c:showCatName val="0"/>
          <c:showSerName val="0"/>
          <c:showPercent val="0"/>
          <c:showBubbleSize val="0"/>
        </c:dLbls>
        <c:marker val="1"/>
        <c:smooth val="0"/>
        <c:axId val="1865183072"/>
        <c:axId val="1865181984"/>
      </c:lineChart>
      <c:lineChart>
        <c:grouping val="standard"/>
        <c:varyColors val="0"/>
        <c:ser>
          <c:idx val="0"/>
          <c:order val="0"/>
          <c:tx>
            <c:strRef>
              <c:f>MSE_vs_Err!$B$4:$B$6</c:f>
              <c:strCache>
                <c:ptCount val="1"/>
                <c:pt idx="0">
                  <c:v>INS - Average of AVGERROR</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MSE_vs_Err!$A$7:$A$35</c:f>
              <c:strCache>
                <c:ptCount val="28"/>
                <c:pt idx="0">
                  <c:v>0.00250</c:v>
                </c:pt>
                <c:pt idx="1">
                  <c:v>0.00256</c:v>
                </c:pt>
                <c:pt idx="2">
                  <c:v>0.00261</c:v>
                </c:pt>
                <c:pt idx="3">
                  <c:v>0.00261</c:v>
                </c:pt>
                <c:pt idx="4">
                  <c:v>0.00265</c:v>
                </c:pt>
                <c:pt idx="5">
                  <c:v>0.00265</c:v>
                </c:pt>
                <c:pt idx="6">
                  <c:v>0.00269</c:v>
                </c:pt>
                <c:pt idx="7">
                  <c:v>0.00271</c:v>
                </c:pt>
                <c:pt idx="8">
                  <c:v>0.00272</c:v>
                </c:pt>
                <c:pt idx="9">
                  <c:v>0.00273</c:v>
                </c:pt>
                <c:pt idx="10">
                  <c:v>0.00273</c:v>
                </c:pt>
                <c:pt idx="11">
                  <c:v>0.00273</c:v>
                </c:pt>
                <c:pt idx="12">
                  <c:v>0.00273</c:v>
                </c:pt>
                <c:pt idx="13">
                  <c:v>0.00274</c:v>
                </c:pt>
                <c:pt idx="14">
                  <c:v>0.00274</c:v>
                </c:pt>
                <c:pt idx="15">
                  <c:v>0.00274</c:v>
                </c:pt>
                <c:pt idx="16">
                  <c:v>0.00274</c:v>
                </c:pt>
                <c:pt idx="17">
                  <c:v>0.00274</c:v>
                </c:pt>
                <c:pt idx="18">
                  <c:v>0.00278</c:v>
                </c:pt>
                <c:pt idx="19">
                  <c:v>0.00280</c:v>
                </c:pt>
                <c:pt idx="20">
                  <c:v>0.00284</c:v>
                </c:pt>
                <c:pt idx="21">
                  <c:v>0.00287</c:v>
                </c:pt>
                <c:pt idx="22">
                  <c:v>0.00331</c:v>
                </c:pt>
                <c:pt idx="23">
                  <c:v>0.00333</c:v>
                </c:pt>
                <c:pt idx="24">
                  <c:v>0.00334</c:v>
                </c:pt>
                <c:pt idx="25">
                  <c:v>0.00336</c:v>
                </c:pt>
                <c:pt idx="26">
                  <c:v>0.00339</c:v>
                </c:pt>
                <c:pt idx="27">
                  <c:v>0.00341</c:v>
                </c:pt>
              </c:strCache>
            </c:strRef>
          </c:cat>
          <c:val>
            <c:numRef>
              <c:f>MSE_vs_Err!$B$7:$B$35</c:f>
              <c:numCache>
                <c:formatCode>0.0000</c:formatCode>
                <c:ptCount val="28"/>
                <c:pt idx="0">
                  <c:v>5.2624937840933968E-4</c:v>
                </c:pt>
                <c:pt idx="1">
                  <c:v>5.2458034340805077E-4</c:v>
                </c:pt>
                <c:pt idx="2">
                  <c:v>5.7429471474759514E-4</c:v>
                </c:pt>
                <c:pt idx="3">
                  <c:v>5.4383389544418296E-4</c:v>
                </c:pt>
                <c:pt idx="4">
                  <c:v>5.7620313747686904E-4</c:v>
                </c:pt>
                <c:pt idx="5">
                  <c:v>5.7716538400809554E-4</c:v>
                </c:pt>
                <c:pt idx="6">
                  <c:v>5.4572651137382291E-4</c:v>
                </c:pt>
                <c:pt idx="7">
                  <c:v>5.4984983102363797E-4</c:v>
                </c:pt>
                <c:pt idx="8">
                  <c:v>5.3902086198638762E-4</c:v>
                </c:pt>
                <c:pt idx="9">
                  <c:v>5.3940753164438324E-4</c:v>
                </c:pt>
                <c:pt idx="10">
                  <c:v>5.7429471474759514E-4</c:v>
                </c:pt>
                <c:pt idx="11">
                  <c:v>6.3158793252639906E-4</c:v>
                </c:pt>
                <c:pt idx="12">
                  <c:v>5.5852550369073868E-4</c:v>
                </c:pt>
                <c:pt idx="13">
                  <c:v>5.3940753164438324E-4</c:v>
                </c:pt>
                <c:pt idx="14">
                  <c:v>5.460864848306898E-4</c:v>
                </c:pt>
                <c:pt idx="15">
                  <c:v>5.5276122529683753E-4</c:v>
                </c:pt>
                <c:pt idx="16">
                  <c:v>5.4577898917464391E-4</c:v>
                </c:pt>
                <c:pt idx="17">
                  <c:v>5.5393187055687932E-4</c:v>
                </c:pt>
                <c:pt idx="18">
                  <c:v>5.6014690739753642E-4</c:v>
                </c:pt>
                <c:pt idx="19">
                  <c:v>5.891261087240038E-4</c:v>
                </c:pt>
                <c:pt idx="20">
                  <c:v>5.9262057067797046E-4</c:v>
                </c:pt>
                <c:pt idx="21">
                  <c:v>5.9984870938559827E-4</c:v>
                </c:pt>
                <c:pt idx="22">
                  <c:v>6.2104985737802603E-4</c:v>
                </c:pt>
                <c:pt idx="23">
                  <c:v>6.0805584837855808E-4</c:v>
                </c:pt>
                <c:pt idx="24">
                  <c:v>6.3158793252639906E-4</c:v>
                </c:pt>
                <c:pt idx="25">
                  <c:v>6.2414599727991685E-4</c:v>
                </c:pt>
                <c:pt idx="26">
                  <c:v>6.5895715237916631E-4</c:v>
                </c:pt>
                <c:pt idx="27">
                  <c:v>6.6756625752982903E-4</c:v>
                </c:pt>
              </c:numCache>
            </c:numRef>
          </c:val>
          <c:smooth val="0"/>
        </c:ser>
        <c:dLbls>
          <c:showLegendKey val="0"/>
          <c:showVal val="0"/>
          <c:showCatName val="0"/>
          <c:showSerName val="0"/>
          <c:showPercent val="0"/>
          <c:showBubbleSize val="0"/>
        </c:dLbls>
        <c:marker val="1"/>
        <c:smooth val="0"/>
        <c:axId val="1865186336"/>
        <c:axId val="1865193952"/>
      </c:lineChart>
      <c:catAx>
        <c:axId val="18651830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65181984"/>
        <c:crosses val="autoZero"/>
        <c:auto val="1"/>
        <c:lblAlgn val="ctr"/>
        <c:lblOffset val="100"/>
        <c:noMultiLvlLbl val="0"/>
      </c:catAx>
      <c:valAx>
        <c:axId val="1865181984"/>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65183072"/>
        <c:crosses val="autoZero"/>
        <c:crossBetween val="between"/>
      </c:valAx>
      <c:valAx>
        <c:axId val="1865193952"/>
        <c:scaling>
          <c:orientation val="minMax"/>
        </c:scaling>
        <c:delete val="0"/>
        <c:axPos val="r"/>
        <c:numFmt formatCode="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65186336"/>
        <c:crosses val="max"/>
        <c:crossBetween val="between"/>
      </c:valAx>
      <c:catAx>
        <c:axId val="1865186336"/>
        <c:scaling>
          <c:orientation val="minMax"/>
        </c:scaling>
        <c:delete val="1"/>
        <c:axPos val="b"/>
        <c:numFmt formatCode="General" sourceLinked="1"/>
        <c:majorTickMark val="out"/>
        <c:minorTickMark val="none"/>
        <c:tickLblPos val="nextTo"/>
        <c:crossAx val="1865193952"/>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8.xml"/></Relationships>
</file>

<file path=xl/chartsheets/sheet1.xml><?xml version="1.0" encoding="utf-8"?>
<chartsheet xmlns="http://schemas.openxmlformats.org/spreadsheetml/2006/main" xmlns:r="http://schemas.openxmlformats.org/officeDocument/2006/relationships">
  <sheetPr/>
  <sheetViews>
    <sheetView zoomScale="132" workbookViewId="0" zoomToFit="1"/>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7.xml.rels><?xml version="1.0" encoding="UTF-8" standalone="yes"?>
<Relationships xmlns="http://schemas.openxmlformats.org/package/2006/relationships"><Relationship Id="rId1" Type="http://schemas.openxmlformats.org/officeDocument/2006/relationships/chart" Target="../charts/chart6.xml"/></Relationships>
</file>

<file path=xl/drawings/_rels/drawing8.xml.rels><?xml version="1.0" encoding="UTF-8" standalone="yes"?>
<Relationships xmlns="http://schemas.openxmlformats.org/package/2006/relationships"><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3</xdr:col>
      <xdr:colOff>114299</xdr:colOff>
      <xdr:row>3</xdr:row>
      <xdr:rowOff>1680</xdr:rowOff>
    </xdr:from>
    <xdr:to>
      <xdr:col>11</xdr:col>
      <xdr:colOff>510988</xdr:colOff>
      <xdr:row>44</xdr:row>
      <xdr:rowOff>53790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12</xdr:col>
      <xdr:colOff>45160</xdr:colOff>
      <xdr:row>15</xdr:row>
      <xdr:rowOff>154865</xdr:rowOff>
    </xdr:from>
    <xdr:to>
      <xdr:col>15</xdr:col>
      <xdr:colOff>41350</xdr:colOff>
      <xdr:row>43</xdr:row>
      <xdr:rowOff>35859</xdr:rowOff>
    </xdr:to>
    <mc:AlternateContent xmlns:mc="http://schemas.openxmlformats.org/markup-compatibility/2006" xmlns:a14="http://schemas.microsoft.com/office/drawing/2010/main">
      <mc:Choice Requires="a14">
        <xdr:graphicFrame macro="">
          <xdr:nvGraphicFramePr>
            <xdr:cNvPr id="3" name="PROCESSID"/>
            <xdr:cNvGraphicFramePr/>
          </xdr:nvGraphicFramePr>
          <xdr:xfrm>
            <a:off x="0" y="0"/>
            <a:ext cx="0" cy="0"/>
          </xdr:xfrm>
          <a:graphic>
            <a:graphicData uri="http://schemas.microsoft.com/office/drawing/2010/slicer">
              <sle:slicer xmlns:sle="http://schemas.microsoft.com/office/drawing/2010/slicer" name="PROCESSID"/>
            </a:graphicData>
          </a:graphic>
        </xdr:graphicFrame>
      </mc:Choice>
      <mc:Fallback xmlns="">
        <xdr:sp macro="" textlink="">
          <xdr:nvSpPr>
            <xdr:cNvPr id="0" name=""/>
            <xdr:cNvSpPr>
              <a:spLocks noTextEdit="1"/>
            </xdr:cNvSpPr>
          </xdr:nvSpPr>
          <xdr:spPr>
            <a:xfrm>
              <a:off x="9063654" y="2898065"/>
              <a:ext cx="1824990" cy="490122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600075</xdr:colOff>
      <xdr:row>2</xdr:row>
      <xdr:rowOff>22860</xdr:rowOff>
    </xdr:from>
    <xdr:to>
      <xdr:col>14</xdr:col>
      <xdr:colOff>600075</xdr:colOff>
      <xdr:row>15</xdr:row>
      <xdr:rowOff>62865</xdr:rowOff>
    </xdr:to>
    <mc:AlternateContent xmlns:mc="http://schemas.openxmlformats.org/markup-compatibility/2006" xmlns:a14="http://schemas.microsoft.com/office/drawing/2010/main">
      <mc:Choice Requires="a14">
        <xdr:graphicFrame macro="">
          <xdr:nvGraphicFramePr>
            <xdr:cNvPr id="5" name="SIMULATIONID"/>
            <xdr:cNvGraphicFramePr/>
          </xdr:nvGraphicFramePr>
          <xdr:xfrm>
            <a:off x="0" y="0"/>
            <a:ext cx="0" cy="0"/>
          </xdr:xfrm>
          <a:graphic>
            <a:graphicData uri="http://schemas.microsoft.com/office/drawing/2010/slicer">
              <sle:slicer xmlns:sle="http://schemas.microsoft.com/office/drawing/2010/slicer" name="SIMULATIONID"/>
            </a:graphicData>
          </a:graphic>
        </xdr:graphicFrame>
      </mc:Choice>
      <mc:Fallback xmlns="">
        <xdr:sp macro="" textlink="">
          <xdr:nvSpPr>
            <xdr:cNvPr id="0" name=""/>
            <xdr:cNvSpPr>
              <a:spLocks noTextEdit="1"/>
            </xdr:cNvSpPr>
          </xdr:nvSpPr>
          <xdr:spPr>
            <a:xfrm>
              <a:off x="9008969" y="435236"/>
              <a:ext cx="1828800" cy="237082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7</xdr:col>
      <xdr:colOff>369794</xdr:colOff>
      <xdr:row>6</xdr:row>
      <xdr:rowOff>179294</xdr:rowOff>
    </xdr:from>
    <xdr:to>
      <xdr:col>24</xdr:col>
      <xdr:colOff>336176</xdr:colOff>
      <xdr:row>49</xdr:row>
      <xdr:rowOff>89647</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4</xdr:col>
      <xdr:colOff>150719</xdr:colOff>
      <xdr:row>10</xdr:row>
      <xdr:rowOff>104775</xdr:rowOff>
    </xdr:from>
    <xdr:ext cx="1815353" cy="2524125"/>
    <mc:AlternateContent xmlns:mc="http://schemas.openxmlformats.org/markup-compatibility/2006" xmlns:a14="http://schemas.microsoft.com/office/drawing/2010/main">
      <mc:Choice Requires="a14">
        <xdr:graphicFrame macro="">
          <xdr:nvGraphicFramePr>
            <xdr:cNvPr id="3" name="PROCESSID 1"/>
            <xdr:cNvGraphicFramePr/>
          </xdr:nvGraphicFramePr>
          <xdr:xfrm>
            <a:off x="0" y="0"/>
            <a:ext cx="0" cy="0"/>
          </xdr:xfrm>
          <a:graphic>
            <a:graphicData uri="http://schemas.microsoft.com/office/drawing/2010/slicer">
              <sle:slicer xmlns:sle="http://schemas.microsoft.com/office/drawing/2010/slicer" name="PROCESSID 1"/>
            </a:graphicData>
          </a:graphic>
        </xdr:graphicFrame>
      </mc:Choice>
      <mc:Fallback xmlns="">
        <xdr:sp macro="" textlink="">
          <xdr:nvSpPr>
            <xdr:cNvPr id="0" name=""/>
            <xdr:cNvSpPr>
              <a:spLocks noTextEdit="1"/>
            </xdr:cNvSpPr>
          </xdr:nvSpPr>
          <xdr:spPr>
            <a:xfrm>
              <a:off x="5619190" y="2009775"/>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164166</xdr:colOff>
      <xdr:row>24</xdr:row>
      <xdr:rowOff>28574</xdr:rowOff>
    </xdr:from>
    <xdr:ext cx="1815353" cy="3422838"/>
    <mc:AlternateContent xmlns:mc="http://schemas.openxmlformats.org/markup-compatibility/2006" xmlns:a14="http://schemas.microsoft.com/office/drawing/2010/main">
      <mc:Choice Requires="a14">
        <xdr:graphicFrame macro="">
          <xdr:nvGraphicFramePr>
            <xdr:cNvPr id="4" name="FEATURE"/>
            <xdr:cNvGraphicFramePr/>
          </xdr:nvGraphicFramePr>
          <xdr:xfrm>
            <a:off x="0" y="0"/>
            <a:ext cx="0" cy="0"/>
          </xdr:xfrm>
          <a:graphic>
            <a:graphicData uri="http://schemas.microsoft.com/office/drawing/2010/slicer">
              <sle:slicer xmlns:sle="http://schemas.microsoft.com/office/drawing/2010/slicer" name="FEATURE"/>
            </a:graphicData>
          </a:graphic>
        </xdr:graphicFrame>
      </mc:Choice>
      <mc:Fallback xmlns="">
        <xdr:sp macro="" textlink="">
          <xdr:nvSpPr>
            <xdr:cNvPr id="0" name=""/>
            <xdr:cNvSpPr>
              <a:spLocks noTextEdit="1"/>
            </xdr:cNvSpPr>
          </xdr:nvSpPr>
          <xdr:spPr>
            <a:xfrm>
              <a:off x="5632637" y="4600574"/>
              <a:ext cx="1815353" cy="342283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10</xdr:col>
      <xdr:colOff>219075</xdr:colOff>
      <xdr:row>0</xdr:row>
      <xdr:rowOff>104776</xdr:rowOff>
    </xdr:from>
    <xdr:ext cx="1815353" cy="1143000"/>
    <mc:AlternateContent xmlns:mc="http://schemas.openxmlformats.org/markup-compatibility/2006" xmlns:a14="http://schemas.microsoft.com/office/drawing/2010/main">
      <mc:Choice Requires="a14">
        <xdr:graphicFrame macro="">
          <xdr:nvGraphicFramePr>
            <xdr:cNvPr id="5" name="MSER"/>
            <xdr:cNvGraphicFramePr/>
          </xdr:nvGraphicFramePr>
          <xdr:xfrm>
            <a:off x="0" y="0"/>
            <a:ext cx="0" cy="0"/>
          </xdr:xfrm>
          <a:graphic>
            <a:graphicData uri="http://schemas.microsoft.com/office/drawing/2010/slicer">
              <sle:slicer xmlns:sle="http://schemas.microsoft.com/office/drawing/2010/slicer" name="MSER"/>
            </a:graphicData>
          </a:graphic>
        </xdr:graphicFrame>
      </mc:Choice>
      <mc:Fallback xmlns="">
        <xdr:sp macro="" textlink="">
          <xdr:nvSpPr>
            <xdr:cNvPr id="0" name=""/>
            <xdr:cNvSpPr>
              <a:spLocks noTextEdit="1"/>
            </xdr:cNvSpPr>
          </xdr:nvSpPr>
          <xdr:spPr>
            <a:xfrm>
              <a:off x="9318251" y="104776"/>
              <a:ext cx="1815353"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174251</xdr:colOff>
      <xdr:row>42</xdr:row>
      <xdr:rowOff>112059</xdr:rowOff>
    </xdr:from>
    <xdr:ext cx="1815353" cy="2524125"/>
    <mc:AlternateContent xmlns:mc="http://schemas.openxmlformats.org/markup-compatibility/2006" xmlns:a14="http://schemas.microsoft.com/office/drawing/2010/main">
      <mc:Choice Requires="a14">
        <xdr:graphicFrame macro="">
          <xdr:nvGraphicFramePr>
            <xdr:cNvPr id="6" name="THREADID"/>
            <xdr:cNvGraphicFramePr/>
          </xdr:nvGraphicFramePr>
          <xdr:xfrm>
            <a:off x="0" y="0"/>
            <a:ext cx="0" cy="0"/>
          </xdr:xfrm>
          <a:graphic>
            <a:graphicData uri="http://schemas.microsoft.com/office/drawing/2010/slicer">
              <sle:slicer xmlns:sle="http://schemas.microsoft.com/office/drawing/2010/slicer" name="THREADID"/>
            </a:graphicData>
          </a:graphic>
        </xdr:graphicFrame>
      </mc:Choice>
      <mc:Fallback xmlns="">
        <xdr:sp macro="" textlink="">
          <xdr:nvSpPr>
            <xdr:cNvPr id="0" name=""/>
            <xdr:cNvSpPr>
              <a:spLocks noTextEdit="1"/>
            </xdr:cNvSpPr>
          </xdr:nvSpPr>
          <xdr:spPr>
            <a:xfrm>
              <a:off x="5642722" y="8113059"/>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114300</xdr:colOff>
      <xdr:row>1</xdr:row>
      <xdr:rowOff>85725</xdr:rowOff>
    </xdr:from>
    <xdr:ext cx="1815353" cy="1707216"/>
    <mc:AlternateContent xmlns:mc="http://schemas.openxmlformats.org/markup-compatibility/2006" xmlns:a14="http://schemas.microsoft.com/office/drawing/2010/main">
      <mc:Choice Requires="a14">
        <xdr:graphicFrame macro="">
          <xdr:nvGraphicFramePr>
            <xdr:cNvPr id="7" name="NETPROCESSID"/>
            <xdr:cNvGraphicFramePr/>
          </xdr:nvGraphicFramePr>
          <xdr:xfrm>
            <a:off x="0" y="0"/>
            <a:ext cx="0" cy="0"/>
          </xdr:xfrm>
          <a:graphic>
            <a:graphicData uri="http://schemas.microsoft.com/office/drawing/2010/slicer">
              <sle:slicer xmlns:sle="http://schemas.microsoft.com/office/drawing/2010/slicer" name="NETPROCESSID"/>
            </a:graphicData>
          </a:graphic>
        </xdr:graphicFrame>
      </mc:Choice>
      <mc:Fallback xmlns="">
        <xdr:sp macro="" textlink="">
          <xdr:nvSpPr>
            <xdr:cNvPr id="0" name=""/>
            <xdr:cNvSpPr>
              <a:spLocks noTextEdit="1"/>
            </xdr:cNvSpPr>
          </xdr:nvSpPr>
          <xdr:spPr>
            <a:xfrm>
              <a:off x="5582771" y="276225"/>
              <a:ext cx="1815353" cy="170721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editAs="oneCell">
    <xdr:from>
      <xdr:col>20</xdr:col>
      <xdr:colOff>526116</xdr:colOff>
      <xdr:row>0</xdr:row>
      <xdr:rowOff>60512</xdr:rowOff>
    </xdr:from>
    <xdr:to>
      <xdr:col>23</xdr:col>
      <xdr:colOff>539563</xdr:colOff>
      <xdr:row>13</xdr:row>
      <xdr:rowOff>108137</xdr:rowOff>
    </xdr:to>
    <mc:AlternateContent xmlns:mc="http://schemas.openxmlformats.org/markup-compatibility/2006" xmlns:a14="http://schemas.microsoft.com/office/drawing/2010/main">
      <mc:Choice Requires="a14">
        <xdr:graphicFrame macro="">
          <xdr:nvGraphicFramePr>
            <xdr:cNvPr id="8" name="COREID"/>
            <xdr:cNvGraphicFramePr/>
          </xdr:nvGraphicFramePr>
          <xdr:xfrm>
            <a:off x="0" y="0"/>
            <a:ext cx="0" cy="0"/>
          </xdr:xfrm>
          <a:graphic>
            <a:graphicData uri="http://schemas.microsoft.com/office/drawing/2010/slicer">
              <sle:slicer xmlns:sle="http://schemas.microsoft.com/office/drawing/2010/slicer" name="COREID"/>
            </a:graphicData>
          </a:graphic>
        </xdr:graphicFrame>
      </mc:Choice>
      <mc:Fallback xmlns="">
        <xdr:sp macro="" textlink="">
          <xdr:nvSpPr>
            <xdr:cNvPr id="0" name=""/>
            <xdr:cNvSpPr>
              <a:spLocks noTextEdit="1"/>
            </xdr:cNvSpPr>
          </xdr:nvSpPr>
          <xdr:spPr>
            <a:xfrm>
              <a:off x="15676469" y="60512"/>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447675</xdr:colOff>
      <xdr:row>0</xdr:row>
      <xdr:rowOff>116541</xdr:rowOff>
    </xdr:from>
    <xdr:to>
      <xdr:col>18</xdr:col>
      <xdr:colOff>461122</xdr:colOff>
      <xdr:row>8</xdr:row>
      <xdr:rowOff>33618</xdr:rowOff>
    </xdr:to>
    <mc:AlternateContent xmlns:mc="http://schemas.openxmlformats.org/markup-compatibility/2006" xmlns:a14="http://schemas.microsoft.com/office/drawing/2010/main">
      <mc:Choice Requires="a14">
        <xdr:graphicFrame macro="">
          <xdr:nvGraphicFramePr>
            <xdr:cNvPr id="9" name="LAYER"/>
            <xdr:cNvGraphicFramePr/>
          </xdr:nvGraphicFramePr>
          <xdr:xfrm>
            <a:off x="0" y="0"/>
            <a:ext cx="0" cy="0"/>
          </xdr:xfrm>
          <a:graphic>
            <a:graphicData uri="http://schemas.microsoft.com/office/drawing/2010/slicer">
              <sle:slicer xmlns:sle="http://schemas.microsoft.com/office/drawing/2010/slicer" name="LAYER"/>
            </a:graphicData>
          </a:graphic>
        </xdr:graphicFrame>
      </mc:Choice>
      <mc:Fallback xmlns="">
        <xdr:sp macro="" textlink="">
          <xdr:nvSpPr>
            <xdr:cNvPr id="0" name=""/>
            <xdr:cNvSpPr>
              <a:spLocks noTextEdit="1"/>
            </xdr:cNvSpPr>
          </xdr:nvSpPr>
          <xdr:spPr>
            <a:xfrm>
              <a:off x="12572440" y="116541"/>
              <a:ext cx="1828800" cy="144107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7</xdr:col>
      <xdr:colOff>313764</xdr:colOff>
      <xdr:row>6</xdr:row>
      <xdr:rowOff>134472</xdr:rowOff>
    </xdr:from>
    <xdr:to>
      <xdr:col>24</xdr:col>
      <xdr:colOff>560294</xdr:colOff>
      <xdr:row>47</xdr:row>
      <xdr:rowOff>44824</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4</xdr:col>
      <xdr:colOff>149598</xdr:colOff>
      <xdr:row>1</xdr:row>
      <xdr:rowOff>91328</xdr:rowOff>
    </xdr:from>
    <xdr:ext cx="1815353" cy="2524125"/>
    <mc:AlternateContent xmlns:mc="http://schemas.openxmlformats.org/markup-compatibility/2006" xmlns:a14="http://schemas.microsoft.com/office/drawing/2010/main">
      <mc:Choice Requires="a14">
        <xdr:graphicFrame macro="">
          <xdr:nvGraphicFramePr>
            <xdr:cNvPr id="3" name="PROCESSID 2"/>
            <xdr:cNvGraphicFramePr/>
          </xdr:nvGraphicFramePr>
          <xdr:xfrm>
            <a:off x="0" y="0"/>
            <a:ext cx="0" cy="0"/>
          </xdr:xfrm>
          <a:graphic>
            <a:graphicData uri="http://schemas.microsoft.com/office/drawing/2010/slicer">
              <sle:slicer xmlns:sle="http://schemas.microsoft.com/office/drawing/2010/slicer" name="PROCESSID 2"/>
            </a:graphicData>
          </a:graphic>
        </xdr:graphicFrame>
      </mc:Choice>
      <mc:Fallback xmlns="">
        <xdr:sp macro="" textlink="">
          <xdr:nvSpPr>
            <xdr:cNvPr id="0" name=""/>
            <xdr:cNvSpPr>
              <a:spLocks noTextEdit="1"/>
            </xdr:cNvSpPr>
          </xdr:nvSpPr>
          <xdr:spPr>
            <a:xfrm>
              <a:off x="5237069" y="281828"/>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164166</xdr:colOff>
      <xdr:row>15</xdr:row>
      <xdr:rowOff>95810</xdr:rowOff>
    </xdr:from>
    <xdr:ext cx="1815353" cy="3344396"/>
    <mc:AlternateContent xmlns:mc="http://schemas.openxmlformats.org/markup-compatibility/2006" xmlns:a14="http://schemas.microsoft.com/office/drawing/2010/main">
      <mc:Choice Requires="a14">
        <xdr:graphicFrame macro="">
          <xdr:nvGraphicFramePr>
            <xdr:cNvPr id="4" name="FEATURE 1"/>
            <xdr:cNvGraphicFramePr/>
          </xdr:nvGraphicFramePr>
          <xdr:xfrm>
            <a:off x="0" y="0"/>
            <a:ext cx="0" cy="0"/>
          </xdr:xfrm>
          <a:graphic>
            <a:graphicData uri="http://schemas.microsoft.com/office/drawing/2010/slicer">
              <sle:slicer xmlns:sle="http://schemas.microsoft.com/office/drawing/2010/slicer" name="FEATURE 1"/>
            </a:graphicData>
          </a:graphic>
        </xdr:graphicFrame>
      </mc:Choice>
      <mc:Fallback xmlns="">
        <xdr:sp macro="" textlink="">
          <xdr:nvSpPr>
            <xdr:cNvPr id="0" name=""/>
            <xdr:cNvSpPr>
              <a:spLocks noTextEdit="1"/>
            </xdr:cNvSpPr>
          </xdr:nvSpPr>
          <xdr:spPr>
            <a:xfrm>
              <a:off x="5251637" y="2953310"/>
              <a:ext cx="1815353" cy="334439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10</xdr:col>
      <xdr:colOff>219075</xdr:colOff>
      <xdr:row>0</xdr:row>
      <xdr:rowOff>104776</xdr:rowOff>
    </xdr:from>
    <xdr:ext cx="1815353" cy="1143000"/>
    <mc:AlternateContent xmlns:mc="http://schemas.openxmlformats.org/markup-compatibility/2006" xmlns:a14="http://schemas.microsoft.com/office/drawing/2010/main">
      <mc:Choice Requires="a14">
        <xdr:graphicFrame macro="">
          <xdr:nvGraphicFramePr>
            <xdr:cNvPr id="5" name="MSER 1"/>
            <xdr:cNvGraphicFramePr/>
          </xdr:nvGraphicFramePr>
          <xdr:xfrm>
            <a:off x="0" y="0"/>
            <a:ext cx="0" cy="0"/>
          </xdr:xfrm>
          <a:graphic>
            <a:graphicData uri="http://schemas.microsoft.com/office/drawing/2010/slicer">
              <sle:slicer xmlns:sle="http://schemas.microsoft.com/office/drawing/2010/slicer" name="MSER 1"/>
            </a:graphicData>
          </a:graphic>
        </xdr:graphicFrame>
      </mc:Choice>
      <mc:Fallback xmlns="">
        <xdr:sp macro="" textlink="">
          <xdr:nvSpPr>
            <xdr:cNvPr id="0" name=""/>
            <xdr:cNvSpPr>
              <a:spLocks noTextEdit="1"/>
            </xdr:cNvSpPr>
          </xdr:nvSpPr>
          <xdr:spPr>
            <a:xfrm>
              <a:off x="8937251" y="104776"/>
              <a:ext cx="1815353"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140633</xdr:colOff>
      <xdr:row>34</xdr:row>
      <xdr:rowOff>0</xdr:rowOff>
    </xdr:from>
    <xdr:ext cx="1815353" cy="2524125"/>
    <mc:AlternateContent xmlns:mc="http://schemas.openxmlformats.org/markup-compatibility/2006" xmlns:a14="http://schemas.microsoft.com/office/drawing/2010/main">
      <mc:Choice Requires="a14">
        <xdr:graphicFrame macro="">
          <xdr:nvGraphicFramePr>
            <xdr:cNvPr id="6" name="THREADID 1"/>
            <xdr:cNvGraphicFramePr/>
          </xdr:nvGraphicFramePr>
          <xdr:xfrm>
            <a:off x="0" y="0"/>
            <a:ext cx="0" cy="0"/>
          </xdr:xfrm>
          <a:graphic>
            <a:graphicData uri="http://schemas.microsoft.com/office/drawing/2010/slicer">
              <sle:slicer xmlns:sle="http://schemas.microsoft.com/office/drawing/2010/slicer" name="THREADID 1"/>
            </a:graphicData>
          </a:graphic>
        </xdr:graphicFrame>
      </mc:Choice>
      <mc:Fallback xmlns="">
        <xdr:sp macro="" textlink="">
          <xdr:nvSpPr>
            <xdr:cNvPr id="0" name=""/>
            <xdr:cNvSpPr>
              <a:spLocks noTextEdit="1"/>
            </xdr:cNvSpPr>
          </xdr:nvSpPr>
          <xdr:spPr>
            <a:xfrm>
              <a:off x="5228104" y="6477000"/>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editAs="oneCell">
    <xdr:from>
      <xdr:col>14</xdr:col>
      <xdr:colOff>470087</xdr:colOff>
      <xdr:row>0</xdr:row>
      <xdr:rowOff>150160</xdr:rowOff>
    </xdr:from>
    <xdr:to>
      <xdr:col>17</xdr:col>
      <xdr:colOff>483534</xdr:colOff>
      <xdr:row>7</xdr:row>
      <xdr:rowOff>56030</xdr:rowOff>
    </xdr:to>
    <mc:AlternateContent xmlns:mc="http://schemas.openxmlformats.org/markup-compatibility/2006" xmlns:a14="http://schemas.microsoft.com/office/drawing/2010/main">
      <mc:Choice Requires="a14">
        <xdr:graphicFrame macro="">
          <xdr:nvGraphicFramePr>
            <xdr:cNvPr id="8" name="LAYER 1"/>
            <xdr:cNvGraphicFramePr/>
          </xdr:nvGraphicFramePr>
          <xdr:xfrm>
            <a:off x="0" y="0"/>
            <a:ext cx="0" cy="0"/>
          </xdr:xfrm>
          <a:graphic>
            <a:graphicData uri="http://schemas.microsoft.com/office/drawing/2010/slicer">
              <sle:slicer xmlns:sle="http://schemas.microsoft.com/office/drawing/2010/slicer" name="LAYER 1"/>
            </a:graphicData>
          </a:graphic>
        </xdr:graphicFrame>
      </mc:Choice>
      <mc:Fallback xmlns="">
        <xdr:sp macro="" textlink="">
          <xdr:nvSpPr>
            <xdr:cNvPr id="0" name=""/>
            <xdr:cNvSpPr>
              <a:spLocks noTextEdit="1"/>
            </xdr:cNvSpPr>
          </xdr:nvSpPr>
          <xdr:spPr>
            <a:xfrm>
              <a:off x="11608734" y="150160"/>
              <a:ext cx="1828800" cy="123937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33057</xdr:colOff>
      <xdr:row>0</xdr:row>
      <xdr:rowOff>127748</xdr:rowOff>
    </xdr:from>
    <xdr:to>
      <xdr:col>25</xdr:col>
      <xdr:colOff>46504</xdr:colOff>
      <xdr:row>13</xdr:row>
      <xdr:rowOff>175373</xdr:rowOff>
    </xdr:to>
    <mc:AlternateContent xmlns:mc="http://schemas.openxmlformats.org/markup-compatibility/2006" xmlns:a14="http://schemas.microsoft.com/office/drawing/2010/main">
      <mc:Choice Requires="a14">
        <xdr:graphicFrame macro="">
          <xdr:nvGraphicFramePr>
            <xdr:cNvPr id="9" name="COREID 1"/>
            <xdr:cNvGraphicFramePr/>
          </xdr:nvGraphicFramePr>
          <xdr:xfrm>
            <a:off x="0" y="0"/>
            <a:ext cx="0" cy="0"/>
          </xdr:xfrm>
          <a:graphic>
            <a:graphicData uri="http://schemas.microsoft.com/office/drawing/2010/slicer">
              <sle:slicer xmlns:sle="http://schemas.microsoft.com/office/drawing/2010/slicer" name="COREID 1"/>
            </a:graphicData>
          </a:graphic>
        </xdr:graphicFrame>
      </mc:Choice>
      <mc:Fallback xmlns="">
        <xdr:sp macro="" textlink="">
          <xdr:nvSpPr>
            <xdr:cNvPr id="0" name=""/>
            <xdr:cNvSpPr>
              <a:spLocks noTextEdit="1"/>
            </xdr:cNvSpPr>
          </xdr:nvSpPr>
          <xdr:spPr>
            <a:xfrm>
              <a:off x="16012645" y="127748"/>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7</xdr:col>
      <xdr:colOff>190500</xdr:colOff>
      <xdr:row>7</xdr:row>
      <xdr:rowOff>33617</xdr:rowOff>
    </xdr:from>
    <xdr:to>
      <xdr:col>23</xdr:col>
      <xdr:colOff>515471</xdr:colOff>
      <xdr:row>50</xdr:row>
      <xdr:rowOff>89646</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4</xdr:col>
      <xdr:colOff>57150</xdr:colOff>
      <xdr:row>1</xdr:row>
      <xdr:rowOff>28575</xdr:rowOff>
    </xdr:from>
    <xdr:ext cx="1815353" cy="2524125"/>
    <mc:AlternateContent xmlns:mc="http://schemas.openxmlformats.org/markup-compatibility/2006" xmlns:a14="http://schemas.microsoft.com/office/drawing/2010/main">
      <mc:Choice Requires="a14">
        <xdr:graphicFrame macro="">
          <xdr:nvGraphicFramePr>
            <xdr:cNvPr id="3" name="PROCESSID 3"/>
            <xdr:cNvGraphicFramePr/>
          </xdr:nvGraphicFramePr>
          <xdr:xfrm>
            <a:off x="0" y="0"/>
            <a:ext cx="0" cy="0"/>
          </xdr:xfrm>
          <a:graphic>
            <a:graphicData uri="http://schemas.microsoft.com/office/drawing/2010/slicer">
              <sle:slicer xmlns:sle="http://schemas.microsoft.com/office/drawing/2010/slicer" name="PROCESSID 3"/>
            </a:graphicData>
          </a:graphic>
        </xdr:graphicFrame>
      </mc:Choice>
      <mc:Fallback xmlns="">
        <xdr:sp macro="" textlink="">
          <xdr:nvSpPr>
            <xdr:cNvPr id="0" name=""/>
            <xdr:cNvSpPr>
              <a:spLocks noTextEdit="1"/>
            </xdr:cNvSpPr>
          </xdr:nvSpPr>
          <xdr:spPr>
            <a:xfrm>
              <a:off x="5794562" y="219075"/>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95250</xdr:colOff>
      <xdr:row>14</xdr:row>
      <xdr:rowOff>133350</xdr:rowOff>
    </xdr:from>
    <xdr:ext cx="1815353" cy="3463738"/>
    <mc:AlternateContent xmlns:mc="http://schemas.openxmlformats.org/markup-compatibility/2006" xmlns:a14="http://schemas.microsoft.com/office/drawing/2010/main">
      <mc:Choice Requires="a14">
        <xdr:graphicFrame macro="">
          <xdr:nvGraphicFramePr>
            <xdr:cNvPr id="4" name="FEATURE 2"/>
            <xdr:cNvGraphicFramePr/>
          </xdr:nvGraphicFramePr>
          <xdr:xfrm>
            <a:off x="0" y="0"/>
            <a:ext cx="0" cy="0"/>
          </xdr:xfrm>
          <a:graphic>
            <a:graphicData uri="http://schemas.microsoft.com/office/drawing/2010/slicer">
              <sle:slicer xmlns:sle="http://schemas.microsoft.com/office/drawing/2010/slicer" name="FEATURE 2"/>
            </a:graphicData>
          </a:graphic>
        </xdr:graphicFrame>
      </mc:Choice>
      <mc:Fallback xmlns="">
        <xdr:sp macro="" textlink="">
          <xdr:nvSpPr>
            <xdr:cNvPr id="0" name=""/>
            <xdr:cNvSpPr>
              <a:spLocks noTextEdit="1"/>
            </xdr:cNvSpPr>
          </xdr:nvSpPr>
          <xdr:spPr>
            <a:xfrm>
              <a:off x="5832662" y="2800350"/>
              <a:ext cx="1815353" cy="346373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10</xdr:col>
      <xdr:colOff>219075</xdr:colOff>
      <xdr:row>0</xdr:row>
      <xdr:rowOff>104776</xdr:rowOff>
    </xdr:from>
    <xdr:ext cx="1815353" cy="1143000"/>
    <mc:AlternateContent xmlns:mc="http://schemas.openxmlformats.org/markup-compatibility/2006" xmlns:a14="http://schemas.microsoft.com/office/drawing/2010/main">
      <mc:Choice Requires="a14">
        <xdr:graphicFrame macro="">
          <xdr:nvGraphicFramePr>
            <xdr:cNvPr id="5" name="MSER 2"/>
            <xdr:cNvGraphicFramePr/>
          </xdr:nvGraphicFramePr>
          <xdr:xfrm>
            <a:off x="0" y="0"/>
            <a:ext cx="0" cy="0"/>
          </xdr:xfrm>
          <a:graphic>
            <a:graphicData uri="http://schemas.microsoft.com/office/drawing/2010/slicer">
              <sle:slicer xmlns:sle="http://schemas.microsoft.com/office/drawing/2010/slicer" name="MSER 2"/>
            </a:graphicData>
          </a:graphic>
        </xdr:graphicFrame>
      </mc:Choice>
      <mc:Fallback xmlns="">
        <xdr:sp macro="" textlink="">
          <xdr:nvSpPr>
            <xdr:cNvPr id="0" name=""/>
            <xdr:cNvSpPr>
              <a:spLocks noTextEdit="1"/>
            </xdr:cNvSpPr>
          </xdr:nvSpPr>
          <xdr:spPr>
            <a:xfrm>
              <a:off x="9587193" y="104776"/>
              <a:ext cx="1815353"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114300</xdr:colOff>
      <xdr:row>35</xdr:row>
      <xdr:rowOff>79562</xdr:rowOff>
    </xdr:from>
    <xdr:ext cx="1815353" cy="2524125"/>
    <mc:AlternateContent xmlns:mc="http://schemas.openxmlformats.org/markup-compatibility/2006" xmlns:a14="http://schemas.microsoft.com/office/drawing/2010/main">
      <mc:Choice Requires="a14">
        <xdr:graphicFrame macro="">
          <xdr:nvGraphicFramePr>
            <xdr:cNvPr id="6" name="THREADID 2"/>
            <xdr:cNvGraphicFramePr/>
          </xdr:nvGraphicFramePr>
          <xdr:xfrm>
            <a:off x="0" y="0"/>
            <a:ext cx="0" cy="0"/>
          </xdr:xfrm>
          <a:graphic>
            <a:graphicData uri="http://schemas.microsoft.com/office/drawing/2010/slicer">
              <sle:slicer xmlns:sle="http://schemas.microsoft.com/office/drawing/2010/slicer" name="THREADID 2"/>
            </a:graphicData>
          </a:graphic>
        </xdr:graphicFrame>
      </mc:Choice>
      <mc:Fallback xmlns="">
        <xdr:sp macro="" textlink="">
          <xdr:nvSpPr>
            <xdr:cNvPr id="0" name=""/>
            <xdr:cNvSpPr>
              <a:spLocks noTextEdit="1"/>
            </xdr:cNvSpPr>
          </xdr:nvSpPr>
          <xdr:spPr>
            <a:xfrm>
              <a:off x="5851712" y="6747062"/>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editAs="oneCell">
    <xdr:from>
      <xdr:col>14</xdr:col>
      <xdr:colOff>369235</xdr:colOff>
      <xdr:row>0</xdr:row>
      <xdr:rowOff>71718</xdr:rowOff>
    </xdr:from>
    <xdr:to>
      <xdr:col>17</xdr:col>
      <xdr:colOff>382682</xdr:colOff>
      <xdr:row>7</xdr:row>
      <xdr:rowOff>112059</xdr:rowOff>
    </xdr:to>
    <mc:AlternateContent xmlns:mc="http://schemas.openxmlformats.org/markup-compatibility/2006" xmlns:a14="http://schemas.microsoft.com/office/drawing/2010/main">
      <mc:Choice Requires="a14">
        <xdr:graphicFrame macro="">
          <xdr:nvGraphicFramePr>
            <xdr:cNvPr id="7" name="LAYER 2"/>
            <xdr:cNvGraphicFramePr/>
          </xdr:nvGraphicFramePr>
          <xdr:xfrm>
            <a:off x="0" y="0"/>
            <a:ext cx="0" cy="0"/>
          </xdr:xfrm>
          <a:graphic>
            <a:graphicData uri="http://schemas.microsoft.com/office/drawing/2010/slicer">
              <sle:slicer xmlns:sle="http://schemas.microsoft.com/office/drawing/2010/slicer" name="LAYER 2"/>
            </a:graphicData>
          </a:graphic>
        </xdr:graphicFrame>
      </mc:Choice>
      <mc:Fallback xmlns="">
        <xdr:sp macro="" textlink="">
          <xdr:nvSpPr>
            <xdr:cNvPr id="0" name=""/>
            <xdr:cNvSpPr>
              <a:spLocks noTextEdit="1"/>
            </xdr:cNvSpPr>
          </xdr:nvSpPr>
          <xdr:spPr>
            <a:xfrm>
              <a:off x="12157823" y="71718"/>
              <a:ext cx="1828800" cy="137384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21</xdr:col>
      <xdr:colOff>44263</xdr:colOff>
      <xdr:row>0</xdr:row>
      <xdr:rowOff>150159</xdr:rowOff>
    </xdr:from>
    <xdr:to>
      <xdr:col>24</xdr:col>
      <xdr:colOff>57710</xdr:colOff>
      <xdr:row>14</xdr:row>
      <xdr:rowOff>7284</xdr:rowOff>
    </xdr:to>
    <mc:AlternateContent xmlns:mc="http://schemas.openxmlformats.org/markup-compatibility/2006" xmlns:a14="http://schemas.microsoft.com/office/drawing/2010/main">
      <mc:Choice Requires="a14">
        <xdr:graphicFrame macro="">
          <xdr:nvGraphicFramePr>
            <xdr:cNvPr id="8" name="COREID 2"/>
            <xdr:cNvGraphicFramePr/>
          </xdr:nvGraphicFramePr>
          <xdr:xfrm>
            <a:off x="0" y="0"/>
            <a:ext cx="0" cy="0"/>
          </xdr:xfrm>
          <a:graphic>
            <a:graphicData uri="http://schemas.microsoft.com/office/drawing/2010/slicer">
              <sle:slicer xmlns:sle="http://schemas.microsoft.com/office/drawing/2010/slicer" name="COREID 2"/>
            </a:graphicData>
          </a:graphic>
        </xdr:graphicFrame>
      </mc:Choice>
      <mc:Fallback xmlns="">
        <xdr:sp macro="" textlink="">
          <xdr:nvSpPr>
            <xdr:cNvPr id="0" name=""/>
            <xdr:cNvSpPr>
              <a:spLocks noTextEdit="1"/>
            </xdr:cNvSpPr>
          </xdr:nvSpPr>
          <xdr:spPr>
            <a:xfrm>
              <a:off x="16068675" y="150159"/>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oneCellAnchor>
    <xdr:from>
      <xdr:col>7</xdr:col>
      <xdr:colOff>123825</xdr:colOff>
      <xdr:row>2</xdr:row>
      <xdr:rowOff>47625</xdr:rowOff>
    </xdr:from>
    <xdr:ext cx="1828800" cy="2466975"/>
    <mc:AlternateContent xmlns:mc="http://schemas.openxmlformats.org/markup-compatibility/2006" xmlns:a14="http://schemas.microsoft.com/office/drawing/2010/main">
      <mc:Choice Requires="a14">
        <xdr:graphicFrame macro="">
          <xdr:nvGraphicFramePr>
            <xdr:cNvPr id="2" name="CLIENTPID"/>
            <xdr:cNvGraphicFramePr/>
          </xdr:nvGraphicFramePr>
          <xdr:xfrm>
            <a:off x="0" y="0"/>
            <a:ext cx="0" cy="0"/>
          </xdr:xfrm>
          <a:graphic>
            <a:graphicData uri="http://schemas.microsoft.com/office/drawing/2010/slicer">
              <sle:slicer xmlns:sle="http://schemas.microsoft.com/office/drawing/2010/slicer" name="CLIENTPID"/>
            </a:graphicData>
          </a:graphic>
        </xdr:graphicFrame>
      </mc:Choice>
      <mc:Fallback xmlns="">
        <xdr:sp macro="" textlink="">
          <xdr:nvSpPr>
            <xdr:cNvPr id="0" name=""/>
            <xdr:cNvSpPr>
              <a:spLocks noTextEdit="1"/>
            </xdr:cNvSpPr>
          </xdr:nvSpPr>
          <xdr:spPr>
            <a:xfrm>
              <a:off x="3962400" y="47625"/>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xdr:from>
      <xdr:col>11</xdr:col>
      <xdr:colOff>123825</xdr:colOff>
      <xdr:row>2</xdr:row>
      <xdr:rowOff>156210</xdr:rowOff>
    </xdr:from>
    <xdr:to>
      <xdr:col>21</xdr:col>
      <xdr:colOff>390523</xdr:colOff>
      <xdr:row>32</xdr:row>
      <xdr:rowOff>106680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7</xdr:col>
      <xdr:colOff>133350</xdr:colOff>
      <xdr:row>15</xdr:row>
      <xdr:rowOff>123825</xdr:rowOff>
    </xdr:from>
    <xdr:to>
      <xdr:col>10</xdr:col>
      <xdr:colOff>361950</xdr:colOff>
      <xdr:row>26</xdr:row>
      <xdr:rowOff>121920</xdr:rowOff>
    </xdr:to>
    <mc:AlternateContent xmlns:mc="http://schemas.openxmlformats.org/markup-compatibility/2006" xmlns:a14="http://schemas.microsoft.com/office/drawing/2010/main">
      <mc:Choice Requires="a14">
        <xdr:graphicFrame macro="">
          <xdr:nvGraphicFramePr>
            <xdr:cNvPr id="4" name="ENGINEPID"/>
            <xdr:cNvGraphicFramePr/>
          </xdr:nvGraphicFramePr>
          <xdr:xfrm>
            <a:off x="0" y="0"/>
            <a:ext cx="0" cy="0"/>
          </xdr:xfrm>
          <a:graphic>
            <a:graphicData uri="http://schemas.microsoft.com/office/drawing/2010/slicer">
              <sle:slicer xmlns:sle="http://schemas.microsoft.com/office/drawing/2010/slicer" name="ENGINEPID"/>
            </a:graphicData>
          </a:graphic>
        </xdr:graphicFrame>
      </mc:Choice>
      <mc:Fallback xmlns="">
        <xdr:sp macro="" textlink="">
          <xdr:nvSpPr>
            <xdr:cNvPr id="0" name=""/>
            <xdr:cNvSpPr>
              <a:spLocks noTextEdit="1"/>
            </xdr:cNvSpPr>
          </xdr:nvSpPr>
          <xdr:spPr>
            <a:xfrm>
              <a:off x="3971925" y="26003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106680</xdr:colOff>
      <xdr:row>26</xdr:row>
      <xdr:rowOff>22860</xdr:rowOff>
    </xdr:from>
    <xdr:to>
      <xdr:col>10</xdr:col>
      <xdr:colOff>335280</xdr:colOff>
      <xdr:row>36</xdr:row>
      <xdr:rowOff>57150</xdr:rowOff>
    </xdr:to>
    <mc:AlternateContent xmlns:mc="http://schemas.openxmlformats.org/markup-compatibility/2006" xmlns:a14="http://schemas.microsoft.com/office/drawing/2010/main">
      <mc:Choice Requires="a14">
        <xdr:graphicFrame macro="">
          <xdr:nvGraphicFramePr>
            <xdr:cNvPr id="5" name="SESSIONID"/>
            <xdr:cNvGraphicFramePr/>
          </xdr:nvGraphicFramePr>
          <xdr:xfrm>
            <a:off x="0" y="0"/>
            <a:ext cx="0" cy="0"/>
          </xdr:xfrm>
          <a:graphic>
            <a:graphicData uri="http://schemas.microsoft.com/office/drawing/2010/slicer">
              <sle:slicer xmlns:sle="http://schemas.microsoft.com/office/drawing/2010/slicer" name="SESSIONID"/>
            </a:graphicData>
          </a:graphic>
        </xdr:graphicFrame>
      </mc:Choice>
      <mc:Fallback xmlns="">
        <xdr:sp macro="" textlink="">
          <xdr:nvSpPr>
            <xdr:cNvPr id="0" name=""/>
            <xdr:cNvSpPr>
              <a:spLocks noTextEdit="1"/>
            </xdr:cNvSpPr>
          </xdr:nvSpPr>
          <xdr:spPr>
            <a:xfrm>
              <a:off x="3962400" y="4411980"/>
              <a:ext cx="1859280" cy="186309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editAs="oneCell">
    <xdr:from>
      <xdr:col>7</xdr:col>
      <xdr:colOff>923925</xdr:colOff>
      <xdr:row>19</xdr:row>
      <xdr:rowOff>161925</xdr:rowOff>
    </xdr:from>
    <xdr:to>
      <xdr:col>9</xdr:col>
      <xdr:colOff>390525</xdr:colOff>
      <xdr:row>33</xdr:row>
      <xdr:rowOff>19050</xdr:rowOff>
    </xdr:to>
    <mc:AlternateContent xmlns:mc="http://schemas.openxmlformats.org/markup-compatibility/2006" xmlns:a14="http://schemas.microsoft.com/office/drawing/2010/main">
      <mc:Choice Requires="a14">
        <xdr:graphicFrame macro="">
          <xdr:nvGraphicFramePr>
            <xdr:cNvPr id="2" name="SOURCETSID 2"/>
            <xdr:cNvGraphicFramePr/>
          </xdr:nvGraphicFramePr>
          <xdr:xfrm>
            <a:off x="0" y="0"/>
            <a:ext cx="0" cy="0"/>
          </xdr:xfrm>
          <a:graphic>
            <a:graphicData uri="http://schemas.microsoft.com/office/drawing/2010/slicer">
              <sle:slicer xmlns:sle="http://schemas.microsoft.com/office/drawing/2010/slicer" name="SOURCETSID 2"/>
            </a:graphicData>
          </a:graphic>
        </xdr:graphicFrame>
      </mc:Choice>
      <mc:Fallback xmlns="">
        <xdr:sp macro="" textlink="">
          <xdr:nvSpPr>
            <xdr:cNvPr id="0" name=""/>
            <xdr:cNvSpPr>
              <a:spLocks noTextEdit="1"/>
            </xdr:cNvSpPr>
          </xdr:nvSpPr>
          <xdr:spPr>
            <a:xfrm>
              <a:off x="8572500" y="37814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552450</xdr:colOff>
      <xdr:row>19</xdr:row>
      <xdr:rowOff>171450</xdr:rowOff>
    </xdr:from>
    <xdr:to>
      <xdr:col>12</xdr:col>
      <xdr:colOff>19050</xdr:colOff>
      <xdr:row>33</xdr:row>
      <xdr:rowOff>28575</xdr:rowOff>
    </xdr:to>
    <mc:AlternateContent xmlns:mc="http://schemas.openxmlformats.org/markup-compatibility/2006" xmlns:a14="http://schemas.microsoft.com/office/drawing/2010/main">
      <mc:Choice Requires="a14">
        <xdr:graphicFrame macro="">
          <xdr:nvGraphicFramePr>
            <xdr:cNvPr id="3" name="BPALGO"/>
            <xdr:cNvGraphicFramePr/>
          </xdr:nvGraphicFramePr>
          <xdr:xfrm>
            <a:off x="0" y="0"/>
            <a:ext cx="0" cy="0"/>
          </xdr:xfrm>
          <a:graphic>
            <a:graphicData uri="http://schemas.microsoft.com/office/drawing/2010/slicer">
              <sle:slicer xmlns:sle="http://schemas.microsoft.com/office/drawing/2010/slicer" name="BPALGO"/>
            </a:graphicData>
          </a:graphic>
        </xdr:graphicFrame>
      </mc:Choice>
      <mc:Fallback xmlns="">
        <xdr:sp macro="" textlink="">
          <xdr:nvSpPr>
            <xdr:cNvPr id="0" name=""/>
            <xdr:cNvSpPr>
              <a:spLocks noTextEdit="1"/>
            </xdr:cNvSpPr>
          </xdr:nvSpPr>
          <xdr:spPr>
            <a:xfrm>
              <a:off x="10572750" y="37909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123825</xdr:colOff>
      <xdr:row>19</xdr:row>
      <xdr:rowOff>123825</xdr:rowOff>
    </xdr:from>
    <xdr:to>
      <xdr:col>13</xdr:col>
      <xdr:colOff>771525</xdr:colOff>
      <xdr:row>32</xdr:row>
      <xdr:rowOff>171450</xdr:rowOff>
    </xdr:to>
    <mc:AlternateContent xmlns:mc="http://schemas.openxmlformats.org/markup-compatibility/2006" xmlns:a14="http://schemas.microsoft.com/office/drawing/2010/main">
      <mc:Choice Requires="a14">
        <xdr:graphicFrame macro="">
          <xdr:nvGraphicFramePr>
            <xdr:cNvPr id="4" name="CORE0USECONTEXT"/>
            <xdr:cNvGraphicFramePr/>
          </xdr:nvGraphicFramePr>
          <xdr:xfrm>
            <a:off x="0" y="0"/>
            <a:ext cx="0" cy="0"/>
          </xdr:xfrm>
          <a:graphic>
            <a:graphicData uri="http://schemas.microsoft.com/office/drawing/2010/slicer">
              <sle:slicer xmlns:sle="http://schemas.microsoft.com/office/drawing/2010/slicer" name="CORE0USECONTEXT"/>
            </a:graphicData>
          </a:graphic>
        </xdr:graphicFrame>
      </mc:Choice>
      <mc:Fallback xmlns="">
        <xdr:sp macro="" textlink="">
          <xdr:nvSpPr>
            <xdr:cNvPr id="0" name=""/>
            <xdr:cNvSpPr>
              <a:spLocks noTextEdit="1"/>
            </xdr:cNvSpPr>
          </xdr:nvSpPr>
          <xdr:spPr>
            <a:xfrm>
              <a:off x="12506325" y="37433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257175</xdr:colOff>
      <xdr:row>19</xdr:row>
      <xdr:rowOff>171450</xdr:rowOff>
    </xdr:from>
    <xdr:to>
      <xdr:col>7</xdr:col>
      <xdr:colOff>904875</xdr:colOff>
      <xdr:row>33</xdr:row>
      <xdr:rowOff>28575</xdr:rowOff>
    </xdr:to>
    <mc:AlternateContent xmlns:mc="http://schemas.openxmlformats.org/markup-compatibility/2006" xmlns:a14="http://schemas.microsoft.com/office/drawing/2010/main">
      <mc:Choice Requires="a14">
        <xdr:graphicFrame macro="">
          <xdr:nvGraphicFramePr>
            <xdr:cNvPr id="5" name="MaxEpochs"/>
            <xdr:cNvGraphicFramePr/>
          </xdr:nvGraphicFramePr>
          <xdr:xfrm>
            <a:off x="0" y="0"/>
            <a:ext cx="0" cy="0"/>
          </xdr:xfrm>
          <a:graphic>
            <a:graphicData uri="http://schemas.microsoft.com/office/drawing/2010/slicer">
              <sle:slicer xmlns:sle="http://schemas.microsoft.com/office/drawing/2010/slicer" name="MaxEpochs"/>
            </a:graphicData>
          </a:graphic>
        </xdr:graphicFrame>
      </mc:Choice>
      <mc:Fallback xmlns="">
        <xdr:sp macro="" textlink="">
          <xdr:nvSpPr>
            <xdr:cNvPr id="0" name=""/>
            <xdr:cNvSpPr>
              <a:spLocks noTextEdit="1"/>
            </xdr:cNvSpPr>
          </xdr:nvSpPr>
          <xdr:spPr>
            <a:xfrm>
              <a:off x="6600825" y="37909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342900</xdr:colOff>
      <xdr:row>4</xdr:row>
      <xdr:rowOff>123825</xdr:rowOff>
    </xdr:from>
    <xdr:to>
      <xdr:col>13</xdr:col>
      <xdr:colOff>990600</xdr:colOff>
      <xdr:row>17</xdr:row>
      <xdr:rowOff>171450</xdr:rowOff>
    </xdr:to>
    <mc:AlternateContent xmlns:mc="http://schemas.openxmlformats.org/markup-compatibility/2006" xmlns:a14="http://schemas.microsoft.com/office/drawing/2010/main">
      <mc:Choice Requires="a14">
        <xdr:graphicFrame macro="">
          <xdr:nvGraphicFramePr>
            <xdr:cNvPr id="6" name="SampleLen"/>
            <xdr:cNvGraphicFramePr/>
          </xdr:nvGraphicFramePr>
          <xdr:xfrm>
            <a:off x="0" y="0"/>
            <a:ext cx="0" cy="0"/>
          </xdr:xfrm>
          <a:graphic>
            <a:graphicData uri="http://schemas.microsoft.com/office/drawing/2010/slicer">
              <sle:slicer xmlns:sle="http://schemas.microsoft.com/office/drawing/2010/slicer" name="SampleLen"/>
            </a:graphicData>
          </a:graphic>
        </xdr:graphicFrame>
      </mc:Choice>
      <mc:Fallback xmlns="">
        <xdr:sp macro="" textlink="">
          <xdr:nvSpPr>
            <xdr:cNvPr id="0" name=""/>
            <xdr:cNvSpPr>
              <a:spLocks noTextEdit="1"/>
            </xdr:cNvSpPr>
          </xdr:nvSpPr>
          <xdr:spPr>
            <a:xfrm>
              <a:off x="13201650" y="8858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xdr:twoCellAnchor>
    <xdr:from>
      <xdr:col>4</xdr:col>
      <xdr:colOff>541020</xdr:colOff>
      <xdr:row>3</xdr:row>
      <xdr:rowOff>15240</xdr:rowOff>
    </xdr:from>
    <xdr:to>
      <xdr:col>15</xdr:col>
      <xdr:colOff>243840</xdr:colOff>
      <xdr:row>40</xdr:row>
      <xdr:rowOff>83820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99060</xdr:colOff>
      <xdr:row>7</xdr:row>
      <xdr:rowOff>175260</xdr:rowOff>
    </xdr:from>
    <xdr:to>
      <xdr:col>1</xdr:col>
      <xdr:colOff>1028700</xdr:colOff>
      <xdr:row>21</xdr:row>
      <xdr:rowOff>81915</xdr:rowOff>
    </xdr:to>
    <mc:AlternateContent xmlns:mc="http://schemas.openxmlformats.org/markup-compatibility/2006" xmlns:a14="http://schemas.microsoft.com/office/drawing/2010/main">
      <mc:Choice Requires="a14">
        <xdr:graphicFrame macro="">
          <xdr:nvGraphicFramePr>
            <xdr:cNvPr id="3" name="PROCESSID 4"/>
            <xdr:cNvGraphicFramePr/>
          </xdr:nvGraphicFramePr>
          <xdr:xfrm>
            <a:off x="0" y="0"/>
            <a:ext cx="0" cy="0"/>
          </xdr:xfrm>
          <a:graphic>
            <a:graphicData uri="http://schemas.microsoft.com/office/drawing/2010/slicer">
              <sle:slicer xmlns:sle="http://schemas.microsoft.com/office/drawing/2010/slicer" name="PROCESSID 4"/>
            </a:graphicData>
          </a:graphic>
        </xdr:graphicFrame>
      </mc:Choice>
      <mc:Fallback xmlns="">
        <xdr:sp macro="" textlink="">
          <xdr:nvSpPr>
            <xdr:cNvPr id="0" name=""/>
            <xdr:cNvSpPr>
              <a:spLocks noTextEdit="1"/>
            </xdr:cNvSpPr>
          </xdr:nvSpPr>
          <xdr:spPr>
            <a:xfrm>
              <a:off x="99060" y="145542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8.xml><?xml version="1.0" encoding="utf-8"?>
<xdr:wsDr xmlns:xdr="http://schemas.openxmlformats.org/drawingml/2006/spreadsheetDrawing" xmlns:a="http://schemas.openxmlformats.org/drawingml/2006/main">
  <xdr:absoluteAnchor>
    <xdr:pos x="0" y="0"/>
    <xdr:ext cx="8659091" cy="6285057"/>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r:id="rId1" refreshedBy="gcaglion" refreshedDate="43443.053558101848" createdVersion="5" refreshedVersion="5" minRefreshableVersion="3" recordCount="322">
  <cacheSource type="external" connectionId="4"/>
  <cacheFields count="16">
    <cacheField name="TRAINPID" numFmtId="0" sqlType="6">
      <sharedItems containsSemiMixedTypes="0" containsString="0" containsNumber="1" containsInteger="1" minValue="444" maxValue="12120"/>
    </cacheField>
    <cacheField name="TRAINTID" numFmtId="0" sqlType="6">
      <sharedItems containsSemiMixedTypes="0" containsString="0" containsNumber="1" containsInteger="1" minValue="348" maxValue="11172"/>
    </cacheField>
    <cacheField name="SIMULATIONID" numFmtId="0" sqlType="6">
      <sharedItems containsSemiMixedTypes="0" containsString="0" containsNumber="1" containsInteger="1" minValue="0" maxValue="100" count="29">
        <n v="81"/>
        <n v="8"/>
        <n v="21"/>
        <n v="5"/>
        <n v="9"/>
        <n v="80"/>
        <n v="94"/>
        <n v="11"/>
        <n v="3"/>
        <n v="99"/>
        <n v="82"/>
        <n v="6"/>
        <n v="97"/>
        <n v="83"/>
        <n v="85"/>
        <n v="86"/>
        <n v="89"/>
        <n v="95"/>
        <n v="87"/>
        <n v="98"/>
        <n v="7"/>
        <n v="100"/>
        <n v="77"/>
        <n v="0" u="1"/>
        <n v="79" u="1"/>
        <n v="2" u="1"/>
        <n v="20" u="1"/>
        <n v="10" u="1"/>
        <n v="4" u="1"/>
      </sharedItems>
    </cacheField>
    <cacheField name="TRAINDATE0" numFmtId="0" sqlType="12">
      <sharedItems count="4">
        <s v="2014-10-31-00:00"/>
        <s v="2016-10-31-00:00"/>
        <s v="2015-10-30-16:00"/>
        <s v="2016-12-30-16:00"/>
      </sharedItems>
    </cacheField>
    <cacheField name="TRAINMSE" numFmtId="0" sqlType="6">
      <sharedItems containsSemiMixedTypes="0" containsString="0" containsNumber="1" minValue="2.4342648684978498E-3" maxValue="1.0282183885574301" count="234">
        <n v="2.7074584737420099E-2"/>
        <n v="7.49623961746693E-3"/>
        <n v="2.80366791412234E-3"/>
        <n v="9.7838370129466092E-3"/>
        <n v="7.4931550770998001E-3"/>
        <n v="2.74024973623455E-3"/>
        <n v="5.9921238571405402E-3"/>
        <n v="1.1201404966414001E-2"/>
        <n v="1.12030422315001E-2"/>
        <n v="3.3281163778155999E-3"/>
        <n v="2.8654306661337601E-3"/>
        <n v="6.6507076844573004E-3"/>
        <n v="2.4440472479909702E-3"/>
        <n v="2.4540114682167799E-3"/>
        <n v="1.2687980197370099E-2"/>
        <n v="8.5597289726138098E-3"/>
        <n v="1.1204740963876201E-2"/>
        <n v="2.6107667945325401E-3"/>
        <n v="7.4978019110858397E-3"/>
        <n v="2.70978473126888E-2"/>
        <n v="2.6102387346327301E-3"/>
        <n v="3.4071581903845102E-3"/>
        <n v="8.8912760838866199E-3"/>
        <n v="3.3867016900330799E-3"/>
        <n v="2.7077475097030401E-3"/>
        <n v="1.12036168575287E-2"/>
        <n v="2.7300291694700701E-3"/>
        <n v="1.1197222396731399E-2"/>
        <n v="7.5012347660958802E-3"/>
        <n v="2.7210310101509101E-2"/>
        <n v="9.9655510857701302E-3"/>
        <n v="1.12034613266587E-2"/>
        <n v="2.6104634162038599E-3"/>
        <n v="8.8729169219732302E-3"/>
        <n v="7.4808029457926802E-3"/>
        <n v="5.7582599110901399E-3"/>
        <n v="8.7292185053229297E-3"/>
        <n v="5.7880883105099201E-3"/>
        <n v="2.7054641395807301E-2"/>
        <n v="3.3646663650870301E-3"/>
        <n v="2.6094238273799402E-3"/>
        <n v="2.7287094853818399E-3"/>
        <n v="7.5055630877614004E-3"/>
        <n v="2.7771864552050799E-3"/>
        <n v="8.0314101651310903E-3"/>
        <n v="8.4699476137757301E-3"/>
        <n v="7.5051747262477901E-3"/>
        <n v="5.7365288957953496E-3"/>
        <n v="1.12056815996766E-2"/>
        <n v="9.9611422047019005E-3"/>
        <n v="2.8386912308633301E-3"/>
        <n v="9.8830880597233807E-3"/>
        <n v="5.9937052428722399E-3"/>
        <n v="2.4342648684978498E-3"/>
        <n v="6.65307184681296E-3"/>
        <n v="7.4951588176190896E-3"/>
        <n v="8.7550068274140393E-3"/>
        <n v="6.6465437412261998E-3"/>
        <n v="5.7495203800499396E-3"/>
        <n v="2.5630462914705298E-3"/>
        <n v="7.4536958709359204E-3"/>
        <n v="6.5925279632210697E-3"/>
        <n v="6.5962155349552597E-3"/>
        <n v="1.1201532557606701E-2"/>
        <n v="2.6122750714421298E-3"/>
        <n v="1.1200299486517899E-2"/>
        <n v="7.4947285465896104E-3"/>
        <n v="2.6523263659328201E-3"/>
        <n v="1.8778694793582001E-2"/>
        <n v="1.19441244751215E-2"/>
        <n v="6.6596292890608302E-3"/>
        <n v="1.12025868147612E-2"/>
        <n v="7.4292612262070196E-3"/>
        <n v="6.8075996823608901E-3"/>
        <n v="5.9930612333118898E-3"/>
        <n v="9.7861792892217601E-3"/>
        <n v="7.5040454976260697E-3"/>
        <n v="2.6511079631745798E-3"/>
        <n v="2.7395684737712101E-3"/>
        <n v="8.2716112956404703E-3"/>
        <n v="4.0877256542444203E-3"/>
        <n v="6.5783793106675096E-3"/>
        <n v="1.1203668080270301E-2"/>
        <n v="8.8744033128023096E-3"/>
        <n v="1.04821901768446E-2"/>
        <n v="2.7267211116850402E-3"/>
        <n v="2.73931701667607E-3"/>
        <n v="8.0537423491478001E-3"/>
        <n v="1.2871799059212201E-2"/>
        <n v="2.4579013697802999E-3"/>
        <n v="9.2099662870168703E-3"/>
        <n v="2.7408548630773999E-3"/>
        <n v="7.5005860999226596E-3"/>
        <n v="2.7393507771193999E-3"/>
        <n v="1.0979195125400999E-2"/>
        <n v="2.5045182555913899E-3"/>
        <n v="2.7288943529128998E-3"/>
        <n v="3.3380659297108698E-3"/>
        <n v="3.3087665215134599E-3"/>
        <n v="2.7150895912200199E-3"/>
        <n v="2.6922526303678799E-3"/>
        <n v="1.1206429451703999E-2"/>
        <n v="1.1203778907656701E-2"/>
        <n v="9.2100892215967196E-3"/>
        <n v="7.91726913303137E-3"/>
        <n v="1.12044289708138E-2"/>
        <n v="8.7526859715580906E-3"/>
        <n v="2.4606117513030802E-3"/>
        <n v="3.15008452162147E-3"/>
        <n v="9.2089986428618396E-3"/>
        <n v="9.7862994298338907E-3"/>
        <n v="6.7999577149748802E-3"/>
        <n v="1.1203227564692501E-2"/>
        <n v="3.4187177661806302E-3"/>
        <n v="9.2582358047366108E-3"/>
        <n v="1.03349108248949E-2"/>
        <n v="1.2001728639006601E-2"/>
        <n v="6.3639134168624904E-3"/>
        <n v="5.7969172485172697E-3"/>
        <n v="1.17812938988209E-2"/>
        <n v="1.00987553596497E-2"/>
        <n v="6.8028238601982602E-3"/>
        <n v="6.5803998149931396E-3"/>
        <n v="6.6562332212925001E-3"/>
        <n v="6.94530038163066E-3"/>
        <n v="7.9200500622391701E-3"/>
        <n v="6.6527016460895504E-3"/>
        <n v="7.9185413196682895E-3" u="1"/>
        <n v="5.3330636583268599E-3" u="1"/>
        <n v="1.29659762606025E-2" u="1"/>
        <n v="9.8593076691031508E-3" u="1"/>
        <n v="1.0622643865644901E-2" u="1"/>
        <n v="5.73085015639663E-3" u="1"/>
        <n v="5.7898620143532796E-3" u="1"/>
        <n v="8.4545863792300207E-3" u="1"/>
        <n v="1.2868245132267499E-2" u="1"/>
        <n v="3.5429322160780399E-3" u="1"/>
        <n v="5.7517713867127904E-3" u="1"/>
        <n v="5.9909084811806696E-3" u="1"/>
        <n v="7.2578280232846702E-3" u="1"/>
        <n v="8.7742740288376808E-3" u="1"/>
        <n v="1.12031288444996E-2" u="1"/>
        <n v="1.28077957779169E-2" u="1"/>
        <n v="7.50005804002285E-3" u="1"/>
        <n v="1.8553182482719401E-2" u="1"/>
        <n v="6.1168088577687697E-3" u="1"/>
        <n v="9.7872484475374204E-3" u="1"/>
        <n v="1.3331755995750399E-2" u="1"/>
        <n v="8.7040439248085005E-3" u="1"/>
        <n v="1.3333062641322601E-2" u="1"/>
        <n v="2.6241478044539699E-3" u="1"/>
        <n v="8.4476880729198508E-3" u="1"/>
        <n v="1.12088304013014E-2" u="1"/>
        <n v="9.2134550213813799E-3" u="1"/>
        <n v="1.0282183885574301" u="1"/>
        <n v="4.2497599497437503E-3" u="1"/>
        <n v="5.0100344233214899E-3" u="1"/>
        <n v="6.6533531062305E-3" u="1"/>
        <n v="6.6601159051060703E-3" u="1"/>
        <n v="1.16110844537616E-2" u="1"/>
        <n v="5.7934522628784197E-3" u="1"/>
        <n v="6.6530262120068099E-3" u="1"/>
        <n v="5.7153380475938303E-3" u="1"/>
        <n v="8.6533129215240496E-3" u="1"/>
        <n v="1.02104637771845E-2" u="1"/>
        <n v="1.33298672735691E-2" u="1"/>
        <n v="7.8085083514451998E-3" u="1"/>
        <n v="7.4951732531189901E-3" u="1"/>
        <n v="3.9153276011347797E-3" u="1"/>
        <n v="4.2458185926079802E-3" u="1"/>
        <n v="1.29418987780809E-2" u="1"/>
        <n v="2.4593563284724998E-3" u="1"/>
        <n v="9.8585681989788992E-3" u="1"/>
        <n v="5.9916446916758997E-3" u="1"/>
        <n v="6.5891915000975097E-3" u="1"/>
        <n v="3.2578576356172601E-3" u="1"/>
        <n v="3.3310586586594599E-3" u="1"/>
        <n v="6.5795225091278596E-3" u="1"/>
        <n v="8.4693934768438305E-3" u="1"/>
        <n v="1.2514072470367E-2" u="1"/>
        <n v="9.2050442472100293E-3" u="1"/>
        <n v="9.8917633295059204E-3" u="1"/>
        <n v="7.4144620448350898E-3" u="1"/>
        <n v="9.7855245694518107E-3" u="1"/>
        <n v="1.12018547952175E-2" u="1"/>
        <n v="9.7871264442801493E-3" u="1"/>
        <n v="3.5288722719997198E-3" u="1"/>
        <n v="3.6164242774248101E-3" u="1"/>
        <n v="1.28635503351688E-2" u="1"/>
        <n v="1.28733776509762E-2" u="1"/>
        <n v="8.4706656634807604E-3" u="1"/>
        <n v="8.6632333695888502E-3" u="1"/>
        <n v="9.7855105996131897E-3" u="1"/>
        <n v="5.7918517850339404E-3" u="1"/>
        <n v="8.4696225821971893E-3" u="1"/>
        <n v="1.0051598772406601E-2" u="1"/>
        <n v="1.0220465660095199" u="1"/>
        <n v="2.6127274613827502E-3" u="1"/>
        <n v="4.4311140663921798E-3" u="1"/>
        <n v="9.8375426605343801E-3" u="1"/>
        <n v="1.2873607687652101E-2" u="1"/>
        <n v="2.4387633893638802E-3" u="1"/>
        <n v="2.4417645763605798E-3" u="1"/>
        <n v="4.55339206382632E-3" u="1"/>
        <n v="1.1213299818337E-2" u="1"/>
        <n v="1.02107729762793E-2" u="1"/>
        <n v="1.12064899876714E-2" u="1"/>
        <n v="8.4731355309486407E-3" u="1"/>
        <n v="4.2406627908349002E-3" u="1"/>
        <n v="9.9751325324177707E-3" u="1"/>
        <n v="1.12058883532882E-2" u="1"/>
        <n v="5.3288894705474403E-3" u="1"/>
        <n v="9.2066703364252992E-3" u="1"/>
        <n v="6.0418415814638103E-2" u="1"/>
        <n v="8.8871447369456309E-3" u="1"/>
        <n v="1.2950975447893099E-2" u="1"/>
        <n v="4.3660523369908298E-3" u="1"/>
        <n v="6.93677691742778E-3" u="1"/>
        <n v="1.2924125418066999E-2" u="1"/>
        <n v="1.02117815986276E-2" u="1"/>
        <n v="7.4539650231599799E-3" u="1"/>
        <n v="9.8622897639870592E-3" u="1"/>
        <n v="7.5062471441924598E-3" u="1"/>
        <n v="3.2247381750494198E-3" u="1"/>
        <n v="8.2243634387850796E-3" u="1"/>
        <n v="5.7342257350683204E-3" u="1"/>
        <n v="6.7938906140625503E-3" u="1"/>
        <n v="1.26247173175216E-2" u="1"/>
        <n v="1.1624519713223E-2" u="1"/>
        <n v="8.4472531452775002E-3" u="1"/>
        <n v="1.2869279831647901E-2" u="1"/>
        <n v="1.12039456143975E-2" u="1"/>
        <n v="9.8501453176140803E-3" u="1"/>
        <n v="1.12169487401843E-2" u="1"/>
      </sharedItems>
    </cacheField>
    <cacheField name="Engine" numFmtId="0" sqlType="12">
      <sharedItems count="8">
        <s v="Engine.xml"/>
        <s v="Config\Engines\engine1.xml"/>
        <s v="STD-1-1.xml"/>
        <s v="Config\Engines\engine3.xml"/>
        <s v="STD-2.xml"/>
        <s v="Config\Engines\engine2.xml"/>
        <s v="Config\Engines\Engine1SCGD.xml"/>
        <s v="C:\Users\gcaglion\dev\zzz\Config\Engines\Engine1.xml"/>
      </sharedItems>
    </cacheField>
    <cacheField name="Shape" numFmtId="0" sqlType="12">
      <sharedItems count="7">
        <s v="DataShape.xml"/>
        <s v="Config\DataShapes\dataShape1.xml"/>
        <s v="200-1.xml"/>
        <s v="50-1.xml"/>
        <s v="Config\DataShapes\dataShape2.xml"/>
        <s v="100-1.xml"/>
        <s v="C:\Users\gcaglion\dev\zzz\Config\DataShapes\DataShape2.xml"/>
      </sharedItems>
    </cacheField>
    <cacheField name="TrainDS" numFmtId="0" sqlType="12">
      <sharedItems count="12">
        <s v="Train.xml"/>
        <s v="Config\DataSets\trainDS1.xml"/>
        <s v="18000.xml"/>
        <s v="Config\DataSets\trainDS2.xml"/>
        <s v="24000.xml"/>
        <s v="Config\DataSets\trainDS4.xml"/>
        <s v="12000.xml"/>
        <s v="Config\DataSets\trainDS5.xml"/>
        <s v="Config\DataSets\trainDS6.xml"/>
        <s v="Config\DataSets\trainDS3.xml"/>
        <s v="6000.xml"/>
        <s v="C:\Users\gcaglion\dev\zzz\Config\DataSets\trainDS5.xml"/>
      </sharedItems>
    </cacheField>
    <cacheField name="BPALGO" numFmtId="0" sqlType="12">
      <sharedItems count="3">
        <s v="UNKNOWN"/>
        <s v="STD"/>
        <s v="SCGD"/>
      </sharedItems>
    </cacheField>
    <cacheField name="RUNTYPE" numFmtId="0" sqlType="12">
      <sharedItems count="2">
        <s v="INS"/>
        <s v="OOS"/>
      </sharedItems>
    </cacheField>
    <cacheField name="INFERPID" numFmtId="0" sqlType="6">
      <sharedItems containsSemiMixedTypes="0" containsString="0" containsNumber="1" containsInteger="1" minValue="32" maxValue="12156"/>
    </cacheField>
    <cacheField name="INFERTID" numFmtId="0" sqlType="6">
      <sharedItems containsSemiMixedTypes="0" containsString="0" containsNumber="1" containsInteger="1" minValue="32" maxValue="12232"/>
    </cacheField>
    <cacheField name="INFERDATE0" numFmtId="0" sqlType="12">
      <sharedItems count="34">
        <s v="2014-10-31-00:00"/>
        <s v="2016-10-31-00:00"/>
        <s v="2015-10-30-16:00"/>
        <s v="2016-12-01-00:00"/>
        <s v="2017-03-31-16:00"/>
        <s v="2017-03-01-00:00"/>
        <s v="2017-02-01-00:00"/>
        <s v="2016-12-30-16:00"/>
        <s v="2016-11-01-00:00"/>
        <s v="ÍÍÍÍÍÍÍÍÍÍÍÍÍÍÍÍÍÍÍÍÍÍÍÍÍÍÍÍÍÍÍÍÍÍÍÍÍÍÍÍÍÍÍÍÍÍÍÍÍÍÍÍÍÍÍÍÍÍÍÍÍÍÍÍ"/>
        <s v="2017-01-31-00:00"/>
        <s v="2017-05-31-00:00"/>
        <s v="2016-11-29-22:00" u="1"/>
        <s v="2015-08-30-22:00" u="1"/>
        <s v="2016-08-31-00:00" u="1"/>
        <s v="2015-12-24-12:00" u="1"/>
        <s v="2014-08-29-16:00" u="1"/>
        <s v="2014-10-30-22:00" u="1"/>
        <s v="2015-10-29-00:00" u="1"/>
        <s v="2015-10-30-14:00" u="1"/>
        <s v="2014-12-31-00:00" u="1"/>
        <s v="2014-10-27-14:19" u="1"/>
        <s v="2014-08-29-14:00" u="1"/>
        <s v="2014-10-30-20:00" u="1"/>
        <s v="2016-12-30-15:00" u="1"/>
        <s v="2014-10-30-23:00" u="1"/>
        <s v="2015-10-30-15:00" u="1"/>
        <s v="2014-12-31-15:00" u="1"/>
        <s v="2017-10-30-22:00" u="1"/>
        <s v="2017-11-29-22:00" u="1"/>
        <s v="2016-08-30-22:00" u="1"/>
        <s v="2016-10-30-22:00" u="1"/>
        <s v="2017-10-29-00:00" u="1"/>
        <s v="2016-10-28-00:00" u="1"/>
      </sharedItems>
    </cacheField>
    <cacheField name="AVGBARWIDTH" numFmtId="0" sqlType="6">
      <sharedItems containsSemiMixedTypes="0" containsString="0" containsNumber="1" minValue="-2.1069237736421765E+34" maxValue="2.3377571089276072E-3"/>
    </cacheField>
    <cacheField name="AVGERROR" numFmtId="0" sqlType="6">
      <sharedItems containsSemiMixedTypes="0" containsString="0" containsNumber="1" minValue="3.8647369303035811E-4" maxValue="4099150.8746546963"/>
    </cacheField>
    <cacheField name="RUNMSE" numFmtId="0" sqlType="6">
      <sharedItems containsSemiMixedTypes="0" containsString="0" containsNumber="1" minValue="2.4606122016135271E-3" maxValue="1.862803554603264E+17"/>
    </cacheField>
  </cacheFields>
  <extLst>
    <ext xmlns:x14="http://schemas.microsoft.com/office/spreadsheetml/2009/9/main" uri="{725AE2AE-9491-48be-B2B4-4EB974FC3084}">
      <x14:pivotCacheDefinition pivotCacheId="3"/>
    </ext>
  </extLst>
</pivotCacheDefinition>
</file>

<file path=xl/pivotCache/pivotCacheDefinition2.xml><?xml version="1.0" encoding="utf-8"?>
<pivotCacheDefinition xmlns="http://schemas.openxmlformats.org/spreadsheetml/2006/main" xmlns:r="http://schemas.openxmlformats.org/officeDocument/2006/relationships" r:id="rId1" refreshedBy="gcaglion" refreshedDate="43501.552832754627" createdVersion="5" refreshedVersion="5" minRefreshableVersion="3" recordCount="93">
  <cacheSource type="external" connectionId="8"/>
  <cacheFields count="15">
    <cacheField name="PROCESSID" numFmtId="0" sqlType="6">
      <sharedItems containsSemiMixedTypes="0" containsString="0" containsNumber="1" containsInteger="1" minValue="572" maxValue="14944" count="33">
        <n v="4012"/>
        <n v="4028"/>
        <n v="8856"/>
        <n v="14944" u="1"/>
        <n v="9624" u="1"/>
        <n v="7176" u="1"/>
        <n v="12976" u="1"/>
        <n v="12768" u="1"/>
        <n v="10856" u="1"/>
        <n v="9324" u="1"/>
        <n v="3076" u="1"/>
        <n v="10272" u="1"/>
        <n v="7140" u="1"/>
        <n v="11276" u="1"/>
        <n v="1592" u="1"/>
        <n v="14648" u="1"/>
        <n v="572" u="1"/>
        <n v="9196" u="1"/>
        <n v="10200" u="1"/>
        <n v="1268" u="1"/>
        <n v="2656" u="1"/>
        <n v="1900" u="1"/>
        <n v="3456" u="1"/>
        <n v="8744" u="1"/>
        <n v="12720" u="1"/>
        <n v="1356" u="1"/>
        <n v="6604" u="1"/>
        <n v="14616" u="1"/>
        <n v="8072" u="1"/>
        <n v="14844" u="1"/>
        <n v="4352" u="1"/>
        <n v="13652" u="1"/>
        <n v="6976" u="1"/>
      </sharedItems>
    </cacheField>
    <cacheField name="THREADID" numFmtId="0" sqlType="6">
      <sharedItems containsSemiMixedTypes="0" containsString="0" containsNumber="1" containsInteger="1" minValue="572" maxValue="9580" count="3">
        <n v="9580"/>
        <n v="572"/>
        <n v="5444"/>
      </sharedItems>
    </cacheField>
    <cacheField name="ITERATION" numFmtId="0" sqlType="6">
      <sharedItems containsSemiMixedTypes="0" containsString="0" containsNumber="1" containsInteger="1" minValue="0" maxValue="298" count="299">
        <n v="0"/>
        <n v="1"/>
        <n v="2"/>
        <n v="3"/>
        <n v="4"/>
        <n v="5"/>
        <n v="6"/>
        <n v="7"/>
        <n v="8"/>
        <n v="9"/>
        <n v="10"/>
        <n v="11"/>
        <n v="12"/>
        <n v="13"/>
        <n v="14"/>
        <n v="15"/>
        <n v="16"/>
        <n v="17"/>
        <n v="18"/>
        <n v="19"/>
        <n v="20"/>
        <n v="21"/>
        <n v="22"/>
        <n v="23"/>
        <n v="24"/>
        <n v="25"/>
        <n v="26"/>
        <n v="27"/>
        <n v="28"/>
        <n v="29"/>
        <n v="30"/>
        <n v="31"/>
        <n v="32"/>
        <n v="96" u="1"/>
        <n v="135" u="1"/>
        <n v="206" u="1"/>
        <n v="298" u="1"/>
        <n v="57" u="1"/>
        <n v="121" u="1"/>
        <n v="185" u="1"/>
        <n v="256" u="1"/>
        <n v="34" u="1"/>
        <n v="75" u="1"/>
        <n v="164" u="1"/>
        <n v="235" u="1"/>
        <n v="285" u="1"/>
        <n v="100" u="1"/>
        <n v="143" u="1"/>
        <n v="214" u="1"/>
        <n v="59" u="1"/>
        <n v="125" u="1"/>
        <n v="193" u="1"/>
        <n v="272" u="1"/>
        <n v="36" u="1"/>
        <n v="79" u="1"/>
        <n v="172" u="1"/>
        <n v="243" u="1"/>
        <n v="104" u="1"/>
        <n v="151" u="1"/>
        <n v="222" u="1"/>
        <n v="259" u="1"/>
        <n v="61" u="1"/>
        <n v="130" u="1"/>
        <n v="201" u="1"/>
        <n v="288" u="1"/>
        <n v="38" u="1"/>
        <n v="83" u="1"/>
        <n v="180" u="1"/>
        <n v="251" u="1"/>
        <n v="108" u="1"/>
        <n v="159" u="1"/>
        <n v="230" u="1"/>
        <n v="275" u="1"/>
        <n v="63" u="1"/>
        <n v="138" u="1"/>
        <n v="209" u="1"/>
        <n v="40" u="1"/>
        <n v="87" u="1"/>
        <n v="188" u="1"/>
        <n v="262" u="1"/>
        <n v="112" u="1"/>
        <n v="167" u="1"/>
        <n v="238" u="1"/>
        <n v="291" u="1"/>
        <n v="66" u="1"/>
        <n v="146" u="1"/>
        <n v="217" u="1"/>
        <n v="42" u="1"/>
        <n v="91" u="1"/>
        <n v="196" u="1"/>
        <n v="278" u="1"/>
        <n v="116" u="1"/>
        <n v="175" u="1"/>
        <n v="246" u="1"/>
        <n v="70" u="1"/>
        <n v="154" u="1"/>
        <n v="225" u="1"/>
        <n v="265" u="1"/>
        <n v="44" u="1"/>
        <n v="95" u="1"/>
        <n v="133" u="1"/>
        <n v="204" u="1"/>
        <n v="294" u="1"/>
        <n v="120" u="1"/>
        <n v="183" u="1"/>
        <n v="254" u="1"/>
        <n v="74" u="1"/>
        <n v="162" u="1"/>
        <n v="233" u="1"/>
        <n v="281" u="1"/>
        <n v="46" u="1"/>
        <n v="99" u="1"/>
        <n v="141" u="1"/>
        <n v="212" u="1"/>
        <n v="124" u="1"/>
        <n v="191" u="1"/>
        <n v="268" u="1"/>
        <n v="78" u="1"/>
        <n v="170" u="1"/>
        <n v="241" u="1"/>
        <n v="297" u="1"/>
        <n v="48" u="1"/>
        <n v="103" u="1"/>
        <n v="149" u="1"/>
        <n v="220" u="1"/>
        <n v="128" u="1"/>
        <n v="199" u="1"/>
        <n v="284" u="1"/>
        <n v="82" u="1"/>
        <n v="178" u="1"/>
        <n v="249" u="1"/>
        <n v="50" u="1"/>
        <n v="107" u="1"/>
        <n v="157" u="1"/>
        <n v="228" u="1"/>
        <n v="271" u="1"/>
        <n v="136" u="1"/>
        <n v="207" u="1"/>
        <n v="86" u="1"/>
        <n v="186" u="1"/>
        <n v="258" u="1"/>
        <n v="52" u="1"/>
        <n v="111" u="1"/>
        <n v="165" u="1"/>
        <n v="236" u="1"/>
        <n v="287" u="1"/>
        <n v="65" u="1"/>
        <n v="144" u="1"/>
        <n v="215" u="1"/>
        <n v="90" u="1"/>
        <n v="194" u="1"/>
        <n v="274" u="1"/>
        <n v="54" u="1"/>
        <n v="115" u="1"/>
        <n v="173" u="1"/>
        <n v="244" u="1"/>
        <n v="69" u="1"/>
        <n v="152" u="1"/>
        <n v="223" u="1"/>
        <n v="261" u="1"/>
        <n v="94" u="1"/>
        <n v="131" u="1"/>
        <n v="202" u="1"/>
        <n v="290" u="1"/>
        <n v="56" u="1"/>
        <n v="119" u="1"/>
        <n v="181" u="1"/>
        <n v="252" u="1"/>
        <n v="33" u="1"/>
        <n v="73" u="1"/>
        <n v="160" u="1"/>
        <n v="231" u="1"/>
        <n v="277" u="1"/>
        <n v="98" u="1"/>
        <n v="139" u="1"/>
        <n v="210" u="1"/>
        <n v="58" u="1"/>
        <n v="123" u="1"/>
        <n v="189" u="1"/>
        <n v="264" u="1"/>
        <n v="35" u="1"/>
        <n v="77" u="1"/>
        <n v="168" u="1"/>
        <n v="239" u="1"/>
        <n v="293" u="1"/>
        <n v="102" u="1"/>
        <n v="147" u="1"/>
        <n v="218" u="1"/>
        <n v="60" u="1"/>
        <n v="127" u="1"/>
        <n v="197" u="1"/>
        <n v="280" u="1"/>
        <n v="37" u="1"/>
        <n v="81" u="1"/>
        <n v="176" u="1"/>
        <n v="247" u="1"/>
        <n v="106" u="1"/>
        <n v="155" u="1"/>
        <n v="226" u="1"/>
        <n v="267" u="1"/>
        <n v="62" u="1"/>
        <n v="134" u="1"/>
        <n v="205" u="1"/>
        <n v="296" u="1"/>
        <n v="39" u="1"/>
        <n v="85" u="1"/>
        <n v="184" u="1"/>
        <n v="255" u="1"/>
        <n v="110" u="1"/>
        <n v="163" u="1"/>
        <n v="234" u="1"/>
        <n v="283" u="1"/>
        <n v="64" u="1"/>
        <n v="142" u="1"/>
        <n v="213" u="1"/>
        <n v="41" u="1"/>
        <n v="89" u="1"/>
        <n v="192" u="1"/>
        <n v="270" u="1"/>
        <n v="114" u="1"/>
        <n v="171" u="1"/>
        <n v="242" u="1"/>
        <n v="68" u="1"/>
        <n v="150" u="1"/>
        <n v="221" u="1"/>
        <n v="257" u="1"/>
        <n v="43" u="1"/>
        <n v="93" u="1"/>
        <n v="129" u="1"/>
        <n v="200" u="1"/>
        <n v="286" u="1"/>
        <n v="118" u="1"/>
        <n v="179" u="1"/>
        <n v="250" u="1"/>
        <n v="72" u="1"/>
        <n v="158" u="1"/>
        <n v="229" u="1"/>
        <n v="273" u="1"/>
        <n v="45" u="1"/>
        <n v="97" u="1"/>
        <n v="137" u="1"/>
        <n v="208" u="1"/>
        <n v="122" u="1"/>
        <n v="187" u="1"/>
        <n v="260" u="1"/>
        <n v="76" u="1"/>
        <n v="166" u="1"/>
        <n v="237" u="1"/>
        <n v="289" u="1"/>
        <n v="47" u="1"/>
        <n v="101" u="1"/>
        <n v="145" u="1"/>
        <n v="216" u="1"/>
        <n v="126" u="1"/>
        <n v="195" u="1"/>
        <n v="276" u="1"/>
        <n v="80" u="1"/>
        <n v="174" u="1"/>
        <n v="245" u="1"/>
        <n v="49" u="1"/>
        <n v="105" u="1"/>
        <n v="153" u="1"/>
        <n v="224" u="1"/>
        <n v="263" u="1"/>
        <n v="132" u="1"/>
        <n v="203" u="1"/>
        <n v="292" u="1"/>
        <n v="84" u="1"/>
        <n v="182" u="1"/>
        <n v="253" u="1"/>
        <n v="51" u="1"/>
        <n v="109" u="1"/>
        <n v="161" u="1"/>
        <n v="232" u="1"/>
        <n v="279" u="1"/>
        <n v="140" u="1"/>
        <n v="211" u="1"/>
        <n v="88" u="1"/>
        <n v="190" u="1"/>
        <n v="266" u="1"/>
        <n v="53" u="1"/>
        <n v="113" u="1"/>
        <n v="169" u="1"/>
        <n v="240" u="1"/>
        <n v="295" u="1"/>
        <n v="67" u="1"/>
        <n v="148" u="1"/>
        <n v="219" u="1"/>
        <n v="92" u="1"/>
        <n v="198" u="1"/>
        <n v="282" u="1"/>
        <n v="55" u="1"/>
        <n v="117" u="1"/>
        <n v="177" u="1"/>
        <n v="248" u="1"/>
        <n v="71" u="1"/>
        <n v="156" u="1"/>
        <n v="227" u="1"/>
        <n v="269" u="1"/>
      </sharedItems>
    </cacheField>
    <cacheField name="DELTA" numFmtId="0" sqlType="6">
      <sharedItems containsSemiMixedTypes="0" containsString="0" containsNumber="1" containsInteger="1" minValue="6820114" maxValue="1.0624786614467E+30"/>
    </cacheField>
    <cacheField name="MU" numFmtId="0" sqlType="6">
      <sharedItems containsSemiMixedTypes="0" containsString="0" containsNumber="1" minValue="-213809152" maxValue="24451088"/>
    </cacheField>
    <cacheField name="ALPHA" numFmtId="0" sqlType="6">
      <sharedItems containsSemiMixedTypes="0" containsString="0" containsNumber="1" minValue="-1.4855082554277E-4" maxValue="8.2321958616375906E-3"/>
    </cacheField>
    <cacheField name="BETA" numFmtId="0" sqlType="6">
      <sharedItems containsSemiMixedTypes="0" containsString="0" containsNumber="1" minValue="-0.39535203576088002" maxValue="47.018848419189503"/>
    </cacheField>
    <cacheField name="LAMBDA" numFmtId="0" sqlType="6">
      <sharedItems containsSemiMixedTypes="0" containsString="0" containsNumber="1" minValue="4.9999999873762104E-7" maxValue="3.2171877981056501E+26"/>
    </cacheField>
    <cacheField name="LAMBDAU" numFmtId="0" sqlType="6">
      <sharedItems containsSemiMixedTypes="0" containsString="0" containsNumber="1" minValue="0" maxValue="31843746"/>
    </cacheField>
    <cacheField name="GTSE_OLD" numFmtId="0" sqlType="6">
      <sharedItems containsSemiMixedTypes="0" containsString="0" containsNumber="1" minValue="1370.49865722656" maxValue="57452.3671875"/>
    </cacheField>
    <cacheField name="GTSE_NEW" numFmtId="0" sqlType="6">
      <sharedItems containsSemiMixedTypes="0" containsString="0" containsNumber="1" minValue="1370.45874023437" maxValue="1014756.3125"/>
    </cacheField>
    <cacheField name="COMP" numFmtId="0" sqlType="6">
      <sharedItems containsSemiMixedTypes="0" containsString="0" containsNumber="1" minValue="-1104.53454589844" maxValue="342.59634399414102"/>
    </cacheField>
    <cacheField name="PNORM" numFmtId="0" sqlType="6">
      <sharedItems containsSemiMixedTypes="0" containsString="0" containsNumber="1" minValue="29.686891555786101" maxValue="255816.21875" count="30">
        <n v="4910.36572265625"/>
        <n v="151.97381591796901"/>
        <n v="644.60443115234398"/>
        <n v="162.88836669921901"/>
        <n v="162.16696166992199"/>
        <n v="162.54241943359401"/>
        <n v="162.54248046875"/>
        <n v="815.44329833984398"/>
        <n v="7259.8076171875"/>
        <n v="2153.26953125"/>
        <n v="912.2666015625"/>
        <n v="492.45343017578102"/>
        <n v="344.35726928710898"/>
        <n v="384.23675537109398"/>
        <n v="111.28579711914099"/>
        <n v="38.7900390625"/>
        <n v="33.267677307128899"/>
        <n v="33.408241271972699"/>
        <n v="29.686891555786101"/>
        <n v="54.128990173339801"/>
        <n v="1326.0615234375"/>
        <n v="41485.828125"/>
        <n v="255816.21875"/>
        <n v="14363.447265625"/>
        <n v="5721.9345703125"/>
        <n v="1800.28637695312"/>
        <n v="2860.56982421875"/>
        <n v="639.48455810546898"/>
        <n v="106.39646148681599"/>
        <n v="56.462253570556598"/>
      </sharedItems>
    </cacheField>
    <cacheField name="RNORM" numFmtId="0" sqlType="6">
      <sharedItems containsSemiMixedTypes="0" containsString="0" containsNumber="1" minValue="28.583316802978501" maxValue="9723.353515625" count="29">
        <n v="946.64831542968795"/>
        <n v="97.584426879882798"/>
        <n v="162.94985961914099"/>
        <n v="162.91909790039099"/>
        <n v="162.54257202148401"/>
        <n v="162.54249572753901"/>
        <n v="815.44329833984398"/>
        <n v="2367.26513671875"/>
        <n v="869.67681884765602"/>
        <n v="825.04156494140602"/>
        <n v="453.33895874023398"/>
        <n v="369.76080322265602"/>
        <n v="328.87136840820301"/>
        <n v="139.51307678222699"/>
        <n v="52.245601654052699"/>
        <n v="34.7837944030762"/>
        <n v="29.4341430664063"/>
        <n v="28.583316802978501"/>
        <n v="36.617885589599602"/>
        <n v="209.124267578125"/>
        <n v="6006.98681640625"/>
        <n v="9723.353515625"/>
        <n v="1740.19396972656"/>
        <n v="1037.98657226563"/>
        <n v="591.6494140625"/>
        <n v="398.42935180664102"/>
        <n v="338.89654541015602"/>
        <n v="94.532814025878906"/>
        <n v="61.373088836669901"/>
      </sharedItems>
    </cacheField>
    <cacheField name="DW" numFmtId="0" sqlType="6">
      <sharedItems containsSemiMixedTypes="0" containsString="0" containsNumber="1" containsInteger="1" minValue="0" maxValue="0" count="1">
        <n v="0"/>
      </sharedItems>
    </cacheField>
  </cacheFields>
  <extLst>
    <ext xmlns:x14="http://schemas.microsoft.com/office/spreadsheetml/2009/9/main" uri="{725AE2AE-9491-48be-B2B4-4EB974FC3084}">
      <x14:pivotCacheDefinition pivotCacheId="4"/>
    </ext>
  </extLst>
</pivotCacheDefinition>
</file>

<file path=xl/pivotCache/pivotCacheDefinition3.xml><?xml version="1.0" encoding="utf-8"?>
<pivotCacheDefinition xmlns="http://schemas.openxmlformats.org/spreadsheetml/2006/main" xmlns:r="http://schemas.openxmlformats.org/officeDocument/2006/relationships" r:id="rId1" refreshedBy="gcaglion" refreshedDate="43504.572164467594" createdVersion="5" refreshedVersion="5" minRefreshableVersion="3" recordCount="720">
  <cacheSource type="external" connectionId="9"/>
  <cacheFields count="25">
    <cacheField name="CLIENTPID" numFmtId="0" sqlType="6">
      <sharedItems containsSemiMixedTypes="0" containsString="0" containsNumber="1" containsInteger="1" minValue="224" maxValue="14296" count="109">
        <n v="5316"/>
        <n v="9416"/>
        <n v="10916"/>
        <n v="12624"/>
        <n v="1248" u="1"/>
        <n v="8412" u="1"/>
        <n v="10116" u="1"/>
        <n v="11252" u="1"/>
        <n v="2900" u="1"/>
        <n v="5680" u="1"/>
        <n v="5964" u="1"/>
        <n v="9984" u="1"/>
        <n v="11972" u="1"/>
        <n v="12540" u="1"/>
        <n v="10628" u="1"/>
        <n v="472" u="1"/>
        <n v="7427" u="1"/>
        <n v="1376" u="1"/>
        <n v="7536" u="1"/>
        <n v="13696" u="1"/>
        <n v="548" u="1"/>
        <n v="6192" u="1"/>
        <n v="8180" u="1"/>
        <n v="11008" u="1"/>
        <n v="4952" u="1"/>
        <n v="2612" u="1"/>
        <n v="6420" u="1"/>
        <n v="9552" u="1"/>
        <n v="5076" u="1"/>
        <n v="12544" u="1"/>
        <n v="4584" u="1"/>
        <n v="8928" u="1"/>
        <n v="1251" u="1"/>
        <n v="9572" u="1"/>
        <n v="5796" u="1"/>
        <n v="10860" u="1"/>
        <n v="11996" u="1"/>
        <n v="1244" u="1"/>
        <n v="8144" u="1"/>
        <n v="11372" u="1"/>
        <n v="6696" u="1"/>
        <n v="6876" u="1"/>
        <n v="8012" u="1"/>
        <n v="6204" u="1"/>
        <n v="2400" u="1"/>
        <n v="8088" u="1"/>
        <n v="9972" u="1"/>
        <n v="5144" u="1"/>
        <n v="6280" u="1"/>
        <n v="1436" u="1"/>
        <n v="9348" u="1"/>
        <n v="1268" u="1"/>
        <n v="9992" u="1"/>
        <n v="11696" u="1"/>
        <n v="11204" u="1"/>
        <n v="2940" u="1"/>
        <n v="1900" u="1"/>
        <n v="2888" u="1"/>
        <n v="4132" u="1"/>
        <n v="9880" u="1"/>
        <n v="4104" u="1"/>
        <n v="10524" u="1"/>
        <n v="5420" u="1"/>
        <n v="8328" u="1"/>
        <n v="8896" u="1"/>
        <n v="8156" u="1"/>
        <n v="12664" u="1"/>
        <n v="6528" u="1"/>
        <n v="2988" u="1"/>
        <n v="5572" u="1"/>
        <n v="9276" u="1"/>
        <n v="11832" u="1"/>
        <n v="2316" u="1"/>
        <n v="3116" u="1"/>
        <n v="8936" u="1"/>
        <n v="7504" u="1"/>
        <n v="4276" u="1"/>
        <n v="5980" u="1"/>
        <n v="7968" u="1"/>
        <n v="5308" u="1"/>
        <n v="6728" u="1"/>
        <n v="10944" u="1"/>
        <n v="12364" u="1"/>
        <n v="9884" u="1"/>
        <n v="4712" u="1"/>
        <n v="10888" u="1"/>
        <n v="14296" u="1"/>
        <n v="7448" u="1"/>
        <n v="1257" u="1"/>
        <n v="2596" u="1"/>
        <n v="4788" u="1"/>
        <n v="7344" u="1"/>
        <n v="11892" u="1"/>
        <n v="224" u="1"/>
        <n v="1008" u="1"/>
        <n v="3060" u="1"/>
        <n v="5716" u="1"/>
        <n v="11344" u="1"/>
        <n v="3988" u="1"/>
        <n v="7184" u="1"/>
        <n v="7648" u="1"/>
        <n v="8808" u="1"/>
        <n v="9660" u="1"/>
        <n v="12784" u="1"/>
        <n v="8600" u="1"/>
        <n v="4064" u="1"/>
        <n v="8008" u="1"/>
        <n v="8084" u="1"/>
        <n v="12236" u="1"/>
      </sharedItems>
    </cacheField>
    <cacheField name="SESSIONID" numFmtId="0" sqlType="6">
      <sharedItems containsSemiMixedTypes="0" containsString="0" containsNumber="1" containsInteger="1" minValue="51" maxValue="32209" count="114">
        <n v="10822"/>
        <n v="7521"/>
        <n v="7181"/>
        <n v="5666"/>
        <n v="26771" u="1"/>
        <n v="30889" u="1"/>
        <n v="1035" u="1"/>
        <n v="17703" u="1"/>
        <n v="897" u="1"/>
        <n v="10126" u="1"/>
        <n v="600" u="1"/>
        <n v="4055" u="1"/>
        <n v="28444" u="1"/>
        <n v="25259" u="1"/>
        <n v="15750" u="1"/>
        <n v="12636" u="1"/>
        <n v="16647" u="1"/>
        <n v="17002" u="1"/>
        <n v="25877" u="1"/>
        <n v="6022" u="1"/>
        <n v="767" u="1"/>
        <n v="13513" u="1"/>
        <n v="29883" u="1"/>
        <n v="4252" u="1"/>
        <n v="28909" u="1"/>
        <n v="28077" u="1"/>
        <n v="31627" u="1"/>
        <n v="1161" u="1"/>
        <n v="2120" u="1"/>
        <n v="9065" u="1"/>
        <n v="27874" u="1"/>
        <n v="18441" u="1"/>
        <n v="14192" u="1"/>
        <n v="17396" u="1"/>
        <n v="24567" u="1"/>
        <n v="14410" u="1"/>
        <n v="21169" u="1"/>
        <n v="30480" u="1"/>
        <n v="1050" u="1"/>
        <n v="7936" u="1"/>
        <n v="8248" u="1"/>
        <n v="13010" u="1"/>
        <n v="10956" u="1"/>
        <n v="11524" u="1"/>
        <n v="15571" u="1"/>
        <n v="16281" u="1"/>
        <n v="28319" u="1"/>
        <n v="11742" u="1"/>
        <n v="13872" u="1"/>
        <n v="27832" u="1"/>
        <n v="21817" u="1"/>
        <n v="31047" u="1"/>
        <n v="8917" u="1"/>
        <n v="18490" u="1"/>
        <n v="14039" u="1"/>
        <n v="19656" u="1"/>
        <n v="98" u="1"/>
        <n v="16704" u="1"/>
        <n v="21390" u="1"/>
        <n v="189" u="1"/>
        <n v="5519" u="1"/>
        <n v="16501" u="1"/>
        <n v="13572" u="1"/>
        <n v="22830" u="1"/>
        <n v="23043" u="1"/>
        <n v="13577" u="1"/>
        <n v="11168" u="1"/>
        <n v="16531" u="1"/>
        <n v="27546" u="1"/>
        <n v="29250" u="1"/>
        <n v="5780" u="1"/>
        <n v="26988" u="1"/>
        <n v="17200" u="1"/>
        <n v="23377" u="1"/>
        <n v="10052" u="1"/>
        <n v="25517" u="1"/>
        <n v="25730" u="1"/>
        <n v="29635" u="1"/>
        <n v="8637" u="1"/>
        <n v="9205" u="1"/>
        <n v="22200" u="1"/>
        <n v="5473" u="1"/>
        <n v="8647" u="1"/>
        <n v="16743" u="1"/>
        <n v="16178" u="1"/>
        <n v="22504" u="1"/>
        <n v="27474" u="1"/>
        <n v="24928" u="1"/>
        <n v="26561" u="1"/>
        <n v="31460" u="1"/>
        <n v="14418" u="1"/>
        <n v="16448" u="1"/>
        <n v="473" u="1"/>
        <n v="15498" u="1"/>
        <n v="30242" u="1"/>
        <n v="25160" u="1"/>
        <n v="7458" u="1"/>
        <n v="32209" u="1"/>
        <n v="7851" u="1"/>
        <n v="15391" u="1"/>
        <n v="20078" u="1"/>
        <n v="51" u="1"/>
        <n v="3226" u="1"/>
        <n v="30332" u="1"/>
        <n v="930" u="1"/>
        <n v="9092" u="1"/>
        <n v="14630" u="1"/>
        <n v="846" u="1"/>
        <n v="3264" u="1"/>
        <n v="14280" u="1"/>
        <n v="6948" u="1"/>
        <n v="12733" u="1"/>
        <n v="17034" u="1"/>
        <n v="19235" u="1"/>
      </sharedItems>
    </cacheField>
    <cacheField name="TICKETID" numFmtId="0" sqlType="6">
      <sharedItems containsSemiMixedTypes="0" containsString="0" containsNumber="1" containsInteger="1" minValue="-1" maxValue="662"/>
    </cacheField>
    <cacheField name="ENGINEPID" numFmtId="0" sqlType="6">
      <sharedItems containsSemiMixedTypes="0" containsString="0" containsNumber="1" containsInteger="1" minValue="2" maxValue="13224" count="37">
        <n v="4384"/>
        <n v="2936"/>
        <n v="10364" u="1"/>
        <n v="5340" u="1"/>
        <n v="13224" u="1"/>
        <n v="8624" u="1"/>
        <n v="5748" u="1"/>
        <n v="12260" u="1"/>
        <n v="2" u="1"/>
        <n v="5304" u="1"/>
        <n v="8948" u="1"/>
        <n v="2092" u="1"/>
        <n v="3228" u="1"/>
        <n v="5768" u="1"/>
        <n v="12868" u="1"/>
        <n v="9252" u="1"/>
        <n v="5920" u="1"/>
        <n v="9044" u="1"/>
        <n v="6564" u="1"/>
        <n v="8420" u="1"/>
        <n v="7284" u="1"/>
        <n v="7360" u="1"/>
        <n v="12000" u="1"/>
        <n v="8384" u="1"/>
        <n v="5212" u="1"/>
        <n v="5648" u="1"/>
        <n v="4124" u="1"/>
        <n v="1252" u="1"/>
        <n v="2444" u="1"/>
        <n v="3012" u="1"/>
        <n v="10964" u="1"/>
        <n v="5820" u="1"/>
        <n v="4935" u="1"/>
        <n v="5688" u="1"/>
        <n v="5764" u="1"/>
        <n v="7800" u="1"/>
        <n v="11952" u="1"/>
      </sharedItems>
    </cacheField>
    <cacheField name="LASTBART" numFmtId="0" sqlType="11">
      <sharedItems containsSemiMixedTypes="0" containsNonDate="0" containsDate="1" containsString="0" minDate="2017-06-30T23:00:00" maxDate="2019-01-24T17:00:00" count="1720">
        <d v="2018-07-20T02:00:00"/>
        <d v="2018-07-20T09:00:00"/>
        <d v="2018-07-17T08:00:00"/>
        <d v="2018-07-17T22:00:00"/>
        <d v="2018-07-18T00:00:00"/>
        <d v="2018-07-19T07:00:00"/>
        <d v="2018-07-19T12:00:00"/>
        <d v="2018-07-19T13:00:00"/>
        <d v="2018-07-13T00:00:00"/>
        <d v="2018-07-13T18:00:00"/>
        <d v="2018-07-13T23:00:00"/>
        <d v="2018-07-16T00:00:00"/>
        <d v="2018-07-16T02:00:00"/>
        <d v="2018-07-16T04:00:00"/>
        <d v="2018-07-16T17:00:00"/>
        <d v="2018-07-16T23:00:00"/>
        <d v="2018-07-17T00:00:00"/>
        <d v="2018-07-09T21:00:00"/>
        <d v="2018-07-10T07:00:00"/>
        <d v="2018-07-10T09:00:00"/>
        <d v="2018-07-10T10:00:00"/>
        <d v="2018-07-10T22:00:00"/>
        <d v="2018-07-10T23:00:00"/>
        <d v="2018-07-12T03:00:00"/>
        <d v="2018-07-25T12:00:00"/>
        <d v="2018-07-26T00:00:00"/>
        <d v="2018-07-26T05:00:00"/>
        <d v="2018-07-06T23:00:00"/>
        <d v="2018-07-09T13:00:00"/>
        <d v="2018-07-09T16:00:00"/>
        <d v="2018-07-20T13:00:00"/>
        <d v="2018-07-24T11:00:00"/>
        <d v="2018-07-24T14:00:00"/>
        <d v="2018-07-24T19:00:00"/>
        <d v="2018-07-09T00:00:00"/>
        <d v="2018-07-09T01:00:00"/>
        <d v="2018-07-09T02:00:00"/>
        <d v="2018-07-09T03:00:00"/>
        <d v="2018-07-09T04:00:00"/>
        <d v="2018-07-09T05:00:00"/>
        <d v="2018-07-09T06:00:00"/>
        <d v="2018-07-09T07:00:00"/>
        <d v="2018-07-09T08:00:00"/>
        <d v="2018-07-09T09:00:00"/>
        <d v="2018-07-09T10:00:00"/>
        <d v="2018-07-09T11:00:00"/>
        <d v="2018-07-09T12:00:00"/>
        <d v="2018-07-09T14:00:00"/>
        <d v="2018-07-09T15:00:00"/>
        <d v="2018-07-09T17:00:00"/>
        <d v="2018-07-09T18:00:00"/>
        <d v="2018-07-09T19:00:00"/>
        <d v="2018-07-09T20:00:00"/>
        <d v="2018-07-09T22:00:00"/>
        <d v="2018-07-09T23:00:00"/>
        <d v="2018-07-10T00:00:00"/>
        <d v="2018-07-10T01:00:00"/>
        <d v="2018-07-10T02:00:00"/>
        <d v="2018-07-10T03:00:00"/>
        <d v="2018-07-10T04:00:00"/>
        <d v="2018-07-10T05:00:00"/>
        <d v="2018-07-10T06:00:00"/>
        <d v="2018-07-10T08:00:00"/>
        <d v="2018-07-10T11:00:00"/>
        <d v="2018-07-10T12:00:00"/>
        <d v="2018-07-10T13:00:00"/>
        <d v="2018-07-10T14:00:00"/>
        <d v="2018-07-10T15:00:00"/>
        <d v="2018-07-10T16:00:00"/>
        <d v="2018-07-10T17:00:00"/>
        <d v="2018-07-10T18:00:00"/>
        <d v="2018-07-10T19:00:00"/>
        <d v="2018-07-10T20:00:00"/>
        <d v="2018-07-10T21:00:00"/>
        <d v="2018-07-11T00:00:00"/>
        <d v="2018-07-11T01:00:00"/>
        <d v="2018-07-11T02:00:00"/>
        <d v="2018-07-11T03:00:00"/>
        <d v="2018-07-11T04:00:00"/>
        <d v="2018-07-11T05:00:00"/>
        <d v="2018-07-11T06:00:00"/>
        <d v="2018-07-11T07:00:00"/>
        <d v="2018-07-11T08:00:00"/>
        <d v="2018-07-11T09:00:00"/>
        <d v="2018-07-11T10:00:00"/>
        <d v="2018-07-11T11:00:00"/>
        <d v="2018-07-11T12:00:00"/>
        <d v="2018-07-11T13:00:00"/>
        <d v="2018-07-11T14:00:00"/>
        <d v="2018-07-11T15:00:00"/>
        <d v="2018-07-11T16:00:00"/>
        <d v="2018-07-11T17:00:00"/>
        <d v="2018-07-11T18:00:00"/>
        <d v="2018-07-11T19:00:00"/>
        <d v="2018-07-11T20:00:00"/>
        <d v="2018-07-11T21:00:00"/>
        <d v="2018-07-11T22:00:00"/>
        <d v="2018-07-11T23:00:00"/>
        <d v="2018-07-12T00:00:00"/>
        <d v="2018-07-12T01:00:00"/>
        <d v="2018-07-12T02:00:00"/>
        <d v="2018-07-12T04:00:00"/>
        <d v="2018-07-12T05:00:00"/>
        <d v="2018-07-12T06:00:00"/>
        <d v="2018-07-12T07:00:00"/>
        <d v="2018-07-12T08:00:00"/>
        <d v="2018-07-12T09:00:00"/>
        <d v="2018-07-12T10:00:00"/>
        <d v="2018-07-12T11:00:00"/>
        <d v="2018-07-12T12:00:00"/>
        <d v="2018-07-12T13:00:00"/>
        <d v="2018-07-12T14:00:00"/>
        <d v="2018-07-12T15:00:00"/>
        <d v="2018-07-12T16:00:00"/>
        <d v="2018-07-12T17:00:00"/>
        <d v="2018-07-12T18:00:00"/>
        <d v="2018-07-12T19:00:00"/>
        <d v="2018-07-12T20:00:00"/>
        <d v="2018-07-12T21:00:00"/>
        <d v="2018-07-12T22:00:00"/>
        <d v="2018-07-12T23:00:00"/>
        <d v="2018-07-13T01:00:00"/>
        <d v="2018-07-13T02:00:00"/>
        <d v="2018-07-13T03:00:00"/>
        <d v="2018-07-13T04:00:00"/>
        <d v="2018-07-13T05:00:00"/>
        <d v="2018-07-13T06:00:00"/>
        <d v="2018-07-13T07:00:00"/>
        <d v="2018-07-13T08:00:00"/>
        <d v="2018-07-13T09:00:00"/>
        <d v="2018-07-13T10:00:00"/>
        <d v="2018-07-13T11:00:00"/>
        <d v="2018-07-13T12:00:00"/>
        <d v="2018-07-13T13:00:00"/>
        <d v="2018-07-13T14:00:00"/>
        <d v="2018-07-13T15:00:00"/>
        <d v="2018-07-13T16:00:00"/>
        <d v="2018-07-13T17:00:00"/>
        <d v="2018-07-13T19:00:00"/>
        <d v="2018-07-13T20:00:00"/>
        <d v="2018-07-13T21:00:00"/>
        <d v="2018-07-13T22:00:00"/>
        <d v="2018-07-16T01:00:00"/>
        <d v="2018-07-16T03:00:00"/>
        <d v="2018-07-16T05:00:00"/>
        <d v="2018-07-16T06:00:00"/>
        <d v="2018-07-16T07:00:00"/>
        <d v="2018-07-16T08:00:00"/>
        <d v="2018-07-16T09:00:00"/>
        <d v="2018-07-16T10:00:00"/>
        <d v="2018-07-16T11:00:00"/>
        <d v="2018-07-16T12:00:00"/>
        <d v="2018-07-16T13:00:00"/>
        <d v="2018-07-16T14:00:00"/>
        <d v="2018-07-16T15:00:00"/>
        <d v="2018-07-16T16:00:00"/>
        <d v="2018-07-16T18:00:00"/>
        <d v="2018-07-16T19:00:00"/>
        <d v="2018-07-16T20:00:00"/>
        <d v="2018-07-16T21:00:00"/>
        <d v="2018-07-16T22:00:00"/>
        <d v="2018-07-17T01:00:00"/>
        <d v="2018-07-17T02:00:00"/>
        <d v="2018-07-17T03:00:00"/>
        <d v="2018-07-17T04:00:00"/>
        <d v="2018-07-17T05:00:00"/>
        <d v="2018-07-17T06:00:00"/>
        <d v="2018-07-17T07:00:00"/>
        <d v="2018-07-17T09:00:00"/>
        <d v="2018-07-17T10:00:00"/>
        <d v="2018-07-17T11:00:00"/>
        <d v="2018-07-17T12:00:00"/>
        <d v="2018-07-17T13:00:00"/>
        <d v="2018-07-17T14:00:00"/>
        <d v="2018-07-17T15:00:00"/>
        <d v="2018-07-17T16:00:00"/>
        <d v="2018-07-17T17:00:00"/>
        <d v="2018-07-17T18:00:00"/>
        <d v="2018-07-17T19:00:00"/>
        <d v="2018-07-17T20:00:00"/>
        <d v="2018-07-17T21:00:00"/>
        <d v="2018-07-17T23:00:00"/>
        <d v="2018-07-18T01:00:00"/>
        <d v="2018-07-18T02:00:00"/>
        <d v="2018-07-18T03:00:00"/>
        <d v="2018-07-18T04:00:00"/>
        <d v="2018-07-18T05:00:00"/>
        <d v="2018-07-18T06:00:00"/>
        <d v="2018-07-18T07:00:00"/>
        <d v="2018-07-18T08:00:00"/>
        <d v="2018-07-18T09:00:00"/>
        <d v="2018-07-18T10:00:00"/>
        <d v="2018-07-18T11:00:00"/>
        <d v="2018-07-18T12:00:00"/>
        <d v="2018-07-18T13:00:00"/>
        <d v="2018-07-18T14:00:00"/>
        <d v="2018-07-18T15:00:00"/>
        <d v="2018-07-18T16:00:00"/>
        <d v="2018-07-18T17:00:00"/>
        <d v="2018-07-18T18:00:00"/>
        <d v="2018-07-18T19:00:00"/>
        <d v="2018-07-18T20:00:00"/>
        <d v="2018-07-18T21:00:00"/>
        <d v="2018-07-18T22:00:00"/>
        <d v="2018-07-18T23:00:00"/>
        <d v="2018-07-19T00:00:00"/>
        <d v="2018-07-19T01:00:00"/>
        <d v="2018-07-19T02:00:00"/>
        <d v="2018-07-19T03:00:00"/>
        <d v="2018-07-19T04:00:00"/>
        <d v="2018-07-19T05:00:00"/>
        <d v="2018-07-19T06:00:00"/>
        <d v="2018-07-19T08:00:00"/>
        <d v="2018-07-19T09:00:00"/>
        <d v="2018-07-19T10:00:00"/>
        <d v="2018-07-19T11:00:00"/>
        <d v="2018-07-19T14:00:00"/>
        <d v="2018-07-19T15:00:00"/>
        <d v="2018-07-19T16:00:00"/>
        <d v="2018-07-19T17:00:00"/>
        <d v="2018-07-19T18:00:00"/>
        <d v="2018-07-19T19:00:00"/>
        <d v="2018-07-19T20:00:00"/>
        <d v="2018-07-19T21:00:00"/>
        <d v="2018-07-19T22:00:00"/>
        <d v="2018-07-19T23:00:00"/>
        <d v="2018-07-20T00:00:00"/>
        <d v="2018-07-20T01:00:00"/>
        <d v="2018-07-20T03:00:00"/>
        <d v="2018-07-20T04:00:00"/>
        <d v="2018-07-20T05:00:00"/>
        <d v="2018-07-20T06:00:00"/>
        <d v="2018-07-20T07:00:00"/>
        <d v="2018-07-20T08:00:00"/>
        <d v="2018-07-20T10:00:00"/>
        <d v="2018-07-20T11:00:00"/>
        <d v="2018-07-20T12:00:00"/>
        <d v="2018-07-20T14:00:00"/>
        <d v="2018-07-20T15:00:00"/>
        <d v="2018-07-20T16:00:00"/>
        <d v="2018-07-20T17:00:00"/>
        <d v="2018-07-20T18:00:00"/>
        <d v="2018-07-20T19:00:00"/>
        <d v="2018-07-20T20:00:00"/>
        <d v="2018-07-20T21:00:00"/>
        <d v="2018-07-20T22:00:00"/>
        <d v="2018-07-20T23:00:00"/>
        <d v="2018-07-23T00:00:00"/>
        <d v="2018-07-23T01:00:00"/>
        <d v="2018-07-23T02:00:00"/>
        <d v="2018-07-23T03:00:00"/>
        <d v="2018-07-23T04:00:00"/>
        <d v="2018-07-23T05:00:00"/>
        <d v="2018-07-23T06:00:00"/>
        <d v="2018-07-23T07:00:00"/>
        <d v="2018-07-23T08:00:00"/>
        <d v="2018-07-23T09:00:00"/>
        <d v="2018-07-23T10:00:00"/>
        <d v="2018-07-23T11:00:00"/>
        <d v="2018-07-23T12:00:00"/>
        <d v="2018-07-23T13:00:00"/>
        <d v="2018-07-23T14:00:00"/>
        <d v="2018-07-23T15:00:00"/>
        <d v="2018-07-23T16:00:00"/>
        <d v="2018-07-23T17:00:00"/>
        <d v="2018-07-23T18:00:00"/>
        <d v="2018-07-23T19:00:00"/>
        <d v="2018-07-23T20:00:00"/>
        <d v="2018-07-23T21:00:00"/>
        <d v="2018-07-23T22:00:00"/>
        <d v="2018-07-23T23:00:00"/>
        <d v="2018-07-24T00:00:00"/>
        <d v="2018-07-24T01:00:00"/>
        <d v="2018-07-24T02:00:00"/>
        <d v="2018-07-24T03:00:00"/>
        <d v="2018-07-24T04:00:00"/>
        <d v="2018-07-24T05:00:00"/>
        <d v="2018-07-24T06:00:00"/>
        <d v="2018-07-24T07:00:00"/>
        <d v="2018-07-24T08:00:00"/>
        <d v="2018-07-24T09:00:00"/>
        <d v="2018-07-24T10:00:00"/>
        <d v="2018-07-24T12:00:00"/>
        <d v="2018-07-24T13:00:00"/>
        <d v="2018-07-24T15:00:00"/>
        <d v="2018-07-24T16:00:00"/>
        <d v="2018-07-24T17:00:00"/>
        <d v="2018-07-24T18:00:00"/>
        <d v="2018-07-24T20:00:00"/>
        <d v="2018-07-24T21:00:00"/>
        <d v="2018-07-24T22:00:00"/>
        <d v="2018-07-24T23:00:00"/>
        <d v="2018-07-25T00:00:00"/>
        <d v="2018-07-25T01:00:00"/>
        <d v="2018-07-25T02:00:00"/>
        <d v="2018-07-25T03:00:00"/>
        <d v="2018-07-25T04:00:00"/>
        <d v="2018-07-25T05:00:00"/>
        <d v="2018-07-25T06:00:00"/>
        <d v="2018-07-25T07:00:00"/>
        <d v="2018-07-25T08:00:00"/>
        <d v="2018-07-25T09:00:00"/>
        <d v="2018-07-25T10:00:00"/>
        <d v="2018-07-25T11:00:00"/>
        <d v="2018-07-25T13:00:00"/>
        <d v="2018-07-25T14:00:00"/>
        <d v="2018-07-25T15:00:00"/>
        <d v="2018-07-25T16:00:00"/>
        <d v="2018-07-25T17:00:00"/>
        <d v="2018-07-25T18:00:00"/>
        <d v="2018-07-25T19:00:00"/>
        <d v="2018-07-25T20:00:00"/>
        <d v="2018-07-25T21:00:00"/>
        <d v="2018-07-25T22:00:00"/>
        <d v="2018-07-25T23:00:00"/>
        <d v="2018-07-26T01:00:00"/>
        <d v="2018-07-26T02:00:00"/>
        <d v="2018-07-26T03:00:00"/>
        <d v="2018-07-26T04:00:00"/>
        <d v="2018-07-26T06:00:00"/>
        <d v="2018-07-26T07:00:00"/>
        <d v="2018-07-26T08:00:00"/>
        <d v="2018-07-26T09:00:00"/>
        <d v="2018-07-26T10:00:00"/>
        <d v="2018-07-26T11:00:00"/>
        <d v="2018-07-26T12:00:00"/>
        <d v="2018-07-26T13:00:00"/>
        <d v="2018-07-26T14:00:00"/>
        <d v="2018-07-26T15:00:00"/>
        <d v="2018-07-26T16:00:00"/>
        <d v="2018-07-26T17:00:00"/>
        <d v="2018-07-26T18:00:00"/>
        <d v="2018-07-26T19:00:00"/>
        <d v="2018-07-26T20:00:00"/>
        <d v="2018-07-26T21:00:00"/>
        <d v="2018-07-26T22:00:00"/>
        <d v="2017-12-15T09:00:00" u="1"/>
        <d v="2017-12-15T10:00:00" u="1"/>
        <d v="2017-12-15T12:00:00" u="1"/>
        <d v="2017-12-15T13:00:00" u="1"/>
        <d v="2017-12-15T15:00:00" u="1"/>
        <d v="2017-12-15T16:00:00" u="1"/>
        <d v="2017-12-15T17:00:00" u="1"/>
        <d v="2017-12-15T18:00:00" u="1"/>
        <d v="2017-12-15T19:00:00" u="1"/>
        <d v="2017-12-15T20:00:00" u="1"/>
        <d v="2017-12-15T21:00:00" u="1"/>
        <d v="2017-11-21T00:00:00" u="1"/>
        <d v="2017-11-21T01:00:00" u="1"/>
        <d v="2017-11-21T02:00:00" u="1"/>
        <d v="2017-11-21T03:00:00" u="1"/>
        <d v="2017-11-21T04:00:00" u="1"/>
        <d v="2017-11-21T05:00:00" u="1"/>
        <d v="2017-11-21T06:00:00" u="1"/>
        <d v="2017-11-21T07:00:00" u="1"/>
        <d v="2017-11-21T08:00:00" u="1"/>
        <d v="2017-11-21T09:00:00" u="1"/>
        <d v="2017-11-21T10:00:00" u="1"/>
        <d v="2017-11-21T11:00:00" u="1"/>
        <d v="2017-11-21T12:00:00" u="1"/>
        <d v="2017-11-21T14:00:00" u="1"/>
        <d v="2017-11-21T15:00:00" u="1"/>
        <d v="2017-11-21T16:00:00" u="1"/>
        <d v="2017-11-21T17:00:00" u="1"/>
        <d v="2017-11-21T18:00:00" u="1"/>
        <d v="2017-11-21T20:00:00" u="1"/>
        <d v="2017-11-21T21:00:00" u="1"/>
        <d v="2017-11-21T22:00:00" u="1"/>
        <d v="2017-11-21T23:00:00" u="1"/>
        <d v="2017-11-23T00:00:00" u="1"/>
        <d v="2017-11-23T01:00:00" u="1"/>
        <d v="2017-11-23T02:00:00" u="1"/>
        <d v="2017-11-23T03:00:00" u="1"/>
        <d v="2017-12-19T01:00:00" u="1"/>
        <d v="2017-11-23T04:00:00" u="1"/>
        <d v="2017-11-23T05:00:00" u="1"/>
        <d v="2017-12-19T03:00:00" u="1"/>
        <d v="2017-11-23T06:00:00" u="1"/>
        <d v="2017-11-23T07:00:00" u="1"/>
        <d v="2017-12-19T05:00:00" u="1"/>
        <d v="2017-11-23T08:00:00" u="1"/>
        <d v="2017-11-23T09:00:00" u="1"/>
        <d v="2017-11-23T10:00:00" u="1"/>
        <d v="2017-12-19T08:00:00" u="1"/>
        <d v="2017-11-23T11:00:00" u="1"/>
        <d v="2017-11-23T12:00:00" u="1"/>
        <d v="2017-11-23T13:00:00" u="1"/>
        <d v="2017-11-23T14:00:00" u="1"/>
        <d v="2017-12-19T12:00:00" u="1"/>
        <d v="2017-11-23T15:00:00" u="1"/>
        <d v="2017-11-23T16:00:00" u="1"/>
        <d v="2017-11-23T17:00:00" u="1"/>
        <d v="2017-12-19T15:00:00" u="1"/>
        <d v="2017-11-23T18:00:00" u="1"/>
        <d v="2017-12-19T16:00:00" u="1"/>
        <d v="2017-11-23T19:00:00" u="1"/>
        <d v="2017-12-19T17:00:00" u="1"/>
        <d v="2017-11-23T20:00:00" u="1"/>
        <d v="2017-12-19T18:00:00" u="1"/>
        <d v="2017-11-23T21:00:00" u="1"/>
        <d v="2017-12-19T19:00:00" u="1"/>
        <d v="2017-11-23T22:00:00" u="1"/>
        <d v="2017-12-19T20:00:00" u="1"/>
        <d v="2017-11-23T23:00:00" u="1"/>
        <d v="2017-12-19T21:00:00" u="1"/>
        <d v="2017-11-25T00:00:00" u="1"/>
        <d v="2017-12-21T01:00:00" u="1"/>
        <d v="2017-11-27T01:00:00" u="1"/>
        <d v="2017-11-27T03:00:00" u="1"/>
        <d v="2017-11-27T06:00:00" u="1"/>
        <d v="2017-11-27T07:00:00" u="1"/>
        <d v="2017-11-27T09:00:00" u="1"/>
        <d v="2017-11-27T12:00:00" u="1"/>
        <d v="2017-11-27T15:00:00" u="1"/>
        <d v="2017-11-27T16:00:00" u="1"/>
        <d v="2017-11-27T17:00:00" u="1"/>
        <d v="2017-11-27T18:00:00" u="1"/>
        <d v="2017-11-27T19:00:00" u="1"/>
        <d v="2017-11-27T20:00:00" u="1"/>
        <d v="2017-11-27T22:00:00" u="1"/>
        <d v="2017-11-29T01:00:00" u="1"/>
        <d v="2017-11-29T02:00:00" u="1"/>
        <d v="2017-11-29T03:00:00" u="1"/>
        <d v="2017-11-29T04:00:00" u="1"/>
        <d v="2017-11-29T08:00:00" u="1"/>
        <d v="2017-11-29T09:00:00" u="1"/>
        <d v="2017-11-29T10:00:00" u="1"/>
        <d v="2017-11-29T11:00:00" u="1"/>
        <d v="2017-11-29T12:00:00" u="1"/>
        <d v="2017-11-29T13:00:00" u="1"/>
        <d v="2017-11-29T14:00:00" u="1"/>
        <d v="2017-11-29T15:00:00" u="1"/>
        <d v="2017-11-29T16:00:00" u="1"/>
        <d v="2017-11-29T17:00:00" u="1"/>
        <d v="2017-11-29T18:00:00" u="1"/>
        <d v="2017-11-29T19:00:00" u="1"/>
        <d v="2017-11-29T20:00:00" u="1"/>
        <d v="2017-11-29T21:00:00" u="1"/>
        <d v="2017-12-27T01:00:00" u="1"/>
        <d v="2019-01-24T17:00:00" u="1"/>
        <d v="2018-07-02T00:00:00" u="1"/>
        <d v="2018-07-02T01:00:00" u="1"/>
        <d v="2018-07-02T02:00:00" u="1"/>
        <d v="2018-07-02T03:00:00" u="1"/>
        <d v="2018-07-02T04:00:00" u="1"/>
        <d v="2018-07-02T05:00:00" u="1"/>
        <d v="2018-07-02T06:00:00" u="1"/>
        <d v="2018-07-02T07:00:00" u="1"/>
        <d v="2018-07-02T08:00:00" u="1"/>
        <d v="2018-07-02T09:00:00" u="1"/>
        <d v="2018-07-02T10:00:00" u="1"/>
        <d v="2018-07-02T11:00:00" u="1"/>
        <d v="2018-07-02T12:00:00" u="1"/>
        <d v="2018-07-02T13:00:00" u="1"/>
        <d v="2018-07-02T14:00:00" u="1"/>
        <d v="2018-07-02T15:00:00" u="1"/>
        <d v="2018-07-02T16:00:00" u="1"/>
        <d v="2018-07-02T17:00:00" u="1"/>
        <d v="2018-07-02T18:00:00" u="1"/>
        <d v="2018-07-02T19:00:00" u="1"/>
        <d v="2018-07-02T20:00:00" u="1"/>
        <d v="2018-07-02T21:00:00" u="1"/>
        <d v="2018-07-02T22:00:00" u="1"/>
        <d v="2018-07-02T23:00:00" u="1"/>
        <d v="2017-07-04T00:00:00" u="1"/>
        <d v="2018-07-04T00:00:00" u="1"/>
        <d v="2017-07-04T02:00:00" u="1"/>
        <d v="2018-07-04T01:00:00" u="1"/>
        <d v="2017-07-04T03:00:00" u="1"/>
        <d v="2018-07-04T02:00:00" u="1"/>
        <d v="2018-07-04T03:00:00" u="1"/>
        <d v="2017-07-04T05:00:00" u="1"/>
        <d v="2017-07-04T06:00:00" u="1"/>
        <d v="2018-07-04T05:00:00" u="1"/>
        <d v="2018-07-04T06:00:00" u="1"/>
        <d v="2017-07-04T08:00:00" u="1"/>
        <d v="2018-07-04T07:00:00" u="1"/>
        <d v="2017-07-04T09:00:00" u="1"/>
        <d v="2018-07-04T08:00:00" u="1"/>
        <d v="2017-07-04T10:00:00" u="1"/>
        <d v="2018-07-04T09:00:00" u="1"/>
        <d v="2017-07-04T11:00:00" u="1"/>
        <d v="2018-07-04T10:00:00" u="1"/>
        <d v="2017-07-04T12:00:00" u="1"/>
        <d v="2018-07-04T11:00:00" u="1"/>
        <d v="2018-07-04T12:00:00" u="1"/>
        <d v="2017-07-04T14:00:00" u="1"/>
        <d v="2018-07-04T13:00:00" u="1"/>
        <d v="2017-07-04T15:00:00" u="1"/>
        <d v="2018-07-04T14:00:00" u="1"/>
        <d v="2017-07-04T16:00:00" u="1"/>
        <d v="2018-07-04T15:00:00" u="1"/>
        <d v="2017-07-04T17:00:00" u="1"/>
        <d v="2018-07-04T16:00:00" u="1"/>
        <d v="2017-07-04T18:00:00" u="1"/>
        <d v="2017-07-04T19:00:00" u="1"/>
        <d v="2018-07-04T18:00:00" u="1"/>
        <d v="2018-07-04T19:00:00" u="1"/>
        <d v="2018-07-04T20:00:00" u="1"/>
        <d v="2017-07-04T22:00:00" u="1"/>
        <d v="2018-07-04T21:00:00" u="1"/>
        <d v="2017-07-06T01:00:00" u="1"/>
        <d v="2018-07-06T00:00:00" u="1"/>
        <d v="2017-07-06T02:00:00" u="1"/>
        <d v="2017-07-06T03:00:00" u="1"/>
        <d v="2018-07-06T02:00:00" u="1"/>
        <d v="2018-08-02T00:00:00" u="1"/>
        <d v="2017-07-06T04:00:00" u="1"/>
        <d v="2017-07-06T05:00:00" u="1"/>
        <d v="2017-07-06T06:00:00" u="1"/>
        <d v="2018-07-06T05:00:00" u="1"/>
        <d v="2017-07-06T07:00:00" u="1"/>
        <d v="2018-07-06T06:00:00" u="1"/>
        <d v="2017-07-06T08:00:00" u="1"/>
        <d v="2017-08-02T06:00:00" u="1"/>
        <d v="2017-07-06T09:00:00" u="1"/>
        <d v="2017-08-02T07:00:00" u="1"/>
        <d v="2018-07-06T08:00:00" u="1"/>
        <d v="2017-07-06T10:00:00" u="1"/>
        <d v="2017-08-02T09:00:00" u="1"/>
        <d v="2018-07-06T10:00:00" u="1"/>
        <d v="2017-07-06T12:00:00" u="1"/>
        <d v="2018-07-06T11:00:00" u="1"/>
        <d v="2017-07-06T13:00:00" u="1"/>
        <d v="2017-08-02T11:00:00" u="1"/>
        <d v="2018-07-06T12:00:00" u="1"/>
        <d v="2017-07-06T14:00:00" u="1"/>
        <d v="2017-08-02T12:00:00" u="1"/>
        <d v="2017-07-06T15:00:00" u="1"/>
        <d v="2018-07-06T14:00:00" u="1"/>
        <d v="2017-07-06T16:00:00" u="1"/>
        <d v="2017-07-06T17:00:00" u="1"/>
        <d v="2017-08-02T15:00:00" u="1"/>
        <d v="2018-07-06T16:00:00" u="1"/>
        <d v="2017-07-06T18:00:00" u="1"/>
        <d v="2017-08-02T16:00:00" u="1"/>
        <d v="2018-07-06T17:00:00" u="1"/>
        <d v="2017-07-06T19:00:00" u="1"/>
        <d v="2017-08-02T17:00:00" u="1"/>
        <d v="2018-07-06T18:00:00" u="1"/>
        <d v="2017-07-06T20:00:00" u="1"/>
        <d v="2018-07-06T19:00:00" u="1"/>
        <d v="2018-07-06T20:00:00" u="1"/>
        <d v="2017-07-06T22:00:00" u="1"/>
        <d v="2017-08-02T20:00:00" u="1"/>
        <d v="2018-07-06T21:00:00" u="1"/>
        <d v="2017-08-02T22:00:00" u="1"/>
        <d v="2017-08-04T03:00:00" u="1"/>
        <d v="2017-08-04T07:00:00" u="1"/>
        <d v="2017-08-04T15:00:00" u="1"/>
        <d v="2017-08-04T16:00:00" u="1"/>
        <d v="2017-08-04T17:00:00" u="1"/>
        <d v="2017-08-04T18:00:00" u="1"/>
        <d v="2017-08-04T19:00:00" u="1"/>
        <d v="2017-08-04T20:00:00" u="1"/>
        <d v="2017-08-04T21:00:00" u="1"/>
        <d v="2017-07-10T02:00:00" u="1"/>
        <d v="2018-08-06T00:00:00" u="1"/>
        <d v="2017-07-10T06:00:00" u="1"/>
        <d v="2017-07-10T08:00:00" u="1"/>
        <d v="2017-07-10T09:00:00" u="1"/>
        <d v="2017-07-10T10:00:00" u="1"/>
        <d v="2017-07-10T11:00:00" u="1"/>
        <d v="2017-07-10T12:00:00" u="1"/>
        <d v="2017-07-10T13:00:00" u="1"/>
        <d v="2017-07-10T14:00:00" u="1"/>
        <d v="2017-07-10T15:00:00" u="1"/>
        <d v="2017-07-10T16:00:00" u="1"/>
        <d v="2017-07-10T19:00:00" u="1"/>
        <d v="2017-08-08T01:00:00" u="1"/>
        <d v="2018-08-08T00:00:00" u="1"/>
        <d v="2017-08-08T04:00:00" u="1"/>
        <d v="2017-08-08T10:00:00" u="1"/>
        <d v="2017-08-08T14:00:00" u="1"/>
        <d v="2017-08-08T17:00:00" u="1"/>
        <d v="2017-08-08T18:00:00" u="1"/>
        <d v="2017-08-08T19:00:00" u="1"/>
        <d v="2017-08-08T20:00:00" u="1"/>
        <d v="2017-08-08T21:00:00" u="1"/>
        <d v="2017-08-08T22:00:00" u="1"/>
        <d v="2018-08-10T00:00:00" u="1"/>
        <d v="2017-08-10T02:00:00" u="1"/>
        <d v="2017-08-10T03:00:00" u="1"/>
        <d v="2017-08-10T04:00:00" u="1"/>
        <d v="2017-08-10T06:00:00" u="1"/>
        <d v="2017-08-10T10:00:00" u="1"/>
        <d v="2017-08-10T11:00:00" u="1"/>
        <d v="2017-08-10T15:00:00" u="1"/>
        <d v="2017-08-10T16:00:00" u="1"/>
        <d v="2017-08-10T17:00:00" u="1"/>
        <d v="2017-08-10T20:00:00" u="1"/>
        <d v="2017-08-10T21:00:00" u="1"/>
        <d v="2017-08-10T22:00:00" u="1"/>
        <d v="2017-09-08T00:00:00" u="1"/>
        <d v="2017-09-08T03:00:00" u="1"/>
        <d v="2017-09-08T05:00:00" u="1"/>
        <d v="2017-09-08T06:00:00" u="1"/>
        <d v="2017-09-08T07:00:00" u="1"/>
        <d v="2017-09-08T08:00:00" u="1"/>
        <d v="2017-09-08T09:00:00" u="1"/>
        <d v="2017-09-08T10:00:00" u="1"/>
        <d v="2017-09-08T11:00:00" u="1"/>
        <d v="2017-09-08T12:00:00" u="1"/>
        <d v="2017-09-08T13:00:00" u="1"/>
        <d v="2017-09-08T14:00:00" u="1"/>
        <d v="2017-09-08T15:00:00" u="1"/>
        <d v="2017-09-08T16:00:00" u="1"/>
        <d v="2017-09-08T17:00:00" u="1"/>
        <d v="2017-09-08T18:00:00" u="1"/>
        <d v="2017-09-08T19:00:00" u="1"/>
        <d v="2017-09-08T20:00:00" u="1"/>
        <d v="2017-09-08T21:00:00" u="1"/>
        <d v="2017-09-08T23:00:00" u="1"/>
        <d v="2017-08-14T01:00:00" u="1"/>
        <d v="2018-08-14T00:00:00" u="1"/>
        <d v="2017-08-14T02:00:00" u="1"/>
        <d v="2017-08-14T04:00:00" u="1"/>
        <d v="2017-11-02T00:00:00" u="1"/>
        <d v="2017-11-02T01:00:00" u="1"/>
        <d v="2017-08-14T08:00:00" u="1"/>
        <d v="2017-11-02T02:00:00" u="1"/>
        <d v="2017-08-14T09:00:00" u="1"/>
        <d v="2017-11-02T03:00:00" u="1"/>
        <d v="2017-08-14T10:00:00" u="1"/>
        <d v="2017-11-02T04:00:00" u="1"/>
        <d v="2017-08-14T11:00:00" u="1"/>
        <d v="2017-11-02T05:00:00" u="1"/>
        <d v="2017-08-14T12:00:00" u="1"/>
        <d v="2017-11-02T06:00:00" u="1"/>
        <d v="2017-11-02T07:00:00" u="1"/>
        <d v="2017-08-14T14:00:00" u="1"/>
        <d v="2017-11-02T08:00:00" u="1"/>
        <d v="2017-11-02T09:00:00" u="1"/>
        <d v="2017-11-02T10:00:00" u="1"/>
        <d v="2017-11-02T11:00:00" u="1"/>
        <d v="2017-11-02T12:00:00" u="1"/>
        <d v="2017-08-14T19:00:00" u="1"/>
        <d v="2017-11-02T13:00:00" u="1"/>
        <d v="2017-08-14T20:00:00" u="1"/>
        <d v="2017-11-02T14:00:00" u="1"/>
        <d v="2017-08-14T21:00:00" u="1"/>
        <d v="2017-11-02T15:00:00" u="1"/>
        <d v="2017-11-02T16:00:00" u="1"/>
        <d v="2017-11-02T17:00:00" u="1"/>
        <d v="2017-11-02T18:00:00" u="1"/>
        <d v="2017-11-02T19:00:00" u="1"/>
        <d v="2017-11-02T20:00:00" u="1"/>
        <d v="2017-11-02T21:00:00" u="1"/>
        <d v="2017-11-02T22:00:00" u="1"/>
        <d v="2017-11-02T23:00:00" u="1"/>
        <d v="2017-08-16T00:00:00" u="1"/>
        <d v="2017-08-16T01:00:00" u="1"/>
        <d v="2018-08-16T00:00:00" u="1"/>
        <d v="2017-09-12T06:00:00" u="1"/>
        <d v="2017-08-16T10:00:00" u="1"/>
        <d v="2017-08-16T11:00:00" u="1"/>
        <d v="2017-08-16T12:00:00" u="1"/>
        <d v="2017-08-16T13:00:00" u="1"/>
        <d v="2017-09-12T11:00:00" u="1"/>
        <d v="2017-08-16T14:00:00" u="1"/>
        <d v="2017-08-16T15:00:00" u="1"/>
        <d v="2017-09-12T13:00:00" u="1"/>
        <d v="2017-08-16T16:00:00" u="1"/>
        <d v="2017-09-12T15:00:00" u="1"/>
        <d v="2017-09-12T16:00:00" u="1"/>
        <d v="2017-08-16T19:00:00" u="1"/>
        <d v="2017-08-16T20:00:00" u="1"/>
        <d v="2017-09-12T18:00:00" u="1"/>
        <d v="2017-08-16T21:00:00" u="1"/>
        <d v="2017-09-12T19:00:00" u="1"/>
        <d v="2017-08-16T22:00:00" u="1"/>
        <d v="2017-09-12T20:00:00" u="1"/>
        <d v="2017-08-16T23:00:00" u="1"/>
        <d v="2017-09-12T21:00:00" u="1"/>
        <d v="2017-09-12T22:00:00" u="1"/>
        <d v="2017-09-12T23:00:00" u="1"/>
        <d v="2017-08-18T01:00:00" u="1"/>
        <d v="2017-08-18T02:00:00" u="1"/>
        <d v="2017-08-18T03:00:00" u="1"/>
        <d v="2017-09-14T01:00:00" u="1"/>
        <d v="2017-09-14T02:00:00" u="1"/>
        <d v="2017-09-14T03:00:00" u="1"/>
        <d v="2017-09-14T04:00:00" u="1"/>
        <d v="2017-09-14T05:00:00" u="1"/>
        <d v="2017-11-06T01:00:00" u="1"/>
        <d v="2017-08-18T08:00:00" u="1"/>
        <d v="2017-09-14T06:00:00" u="1"/>
        <d v="2017-11-06T02:00:00" u="1"/>
        <d v="2017-12-02T00:00:00" u="1"/>
        <d v="2017-09-14T07:00:00" u="1"/>
        <d v="2017-11-06T03:00:00" u="1"/>
        <d v="2017-08-18T10:00:00" u="1"/>
        <d v="2017-09-14T08:00:00" u="1"/>
        <d v="2017-11-06T04:00:00" u="1"/>
        <d v="2017-08-18T11:00:00" u="1"/>
        <d v="2017-09-14T09:00:00" u="1"/>
        <d v="2017-11-06T05:00:00" u="1"/>
        <d v="2017-08-18T12:00:00" u="1"/>
        <d v="2017-09-14T10:00:00" u="1"/>
        <d v="2017-11-06T06:00:00" u="1"/>
        <d v="2017-08-18T13:00:00" u="1"/>
        <d v="2017-09-14T11:00:00" u="1"/>
        <d v="2017-11-06T07:00:00" u="1"/>
        <d v="2017-08-18T14:00:00" u="1"/>
        <d v="2017-09-14T12:00:00" u="1"/>
        <d v="2017-11-06T08:00:00" u="1"/>
        <d v="2017-08-18T15:00:00" u="1"/>
        <d v="2017-09-14T13:00:00" u="1"/>
        <d v="2017-11-06T09:00:00" u="1"/>
        <d v="2017-08-18T16:00:00" u="1"/>
        <d v="2017-09-14T14:00:00" u="1"/>
        <d v="2017-11-06T10:00:00" u="1"/>
        <d v="2017-08-18T17:00:00" u="1"/>
        <d v="2017-09-14T15:00:00" u="1"/>
        <d v="2017-11-06T11:00:00" u="1"/>
        <d v="2017-08-18T18:00:00" u="1"/>
        <d v="2017-09-14T16:00:00" u="1"/>
        <d v="2017-11-06T12:00:00" u="1"/>
        <d v="2017-08-18T19:00:00" u="1"/>
        <d v="2017-09-14T17:00:00" u="1"/>
        <d v="2017-11-06T13:00:00" u="1"/>
        <d v="2017-09-14T18:00:00" u="1"/>
        <d v="2017-11-06T14:00:00" u="1"/>
        <d v="2017-09-14T19:00:00" u="1"/>
        <d v="2017-11-06T15:00:00" u="1"/>
        <d v="2017-08-18T22:00:00" u="1"/>
        <d v="2017-09-14T20:00:00" u="1"/>
        <d v="2017-11-06T16:00:00" u="1"/>
        <d v="2017-09-14T21:00:00" u="1"/>
        <d v="2017-11-06T17:00:00" u="1"/>
        <d v="2017-09-14T22:00:00" u="1"/>
        <d v="2017-11-06T18:00:00" u="1"/>
        <d v="2017-09-14T23:00:00" u="1"/>
        <d v="2017-11-06T19:00:00" u="1"/>
        <d v="2017-11-06T20:00:00" u="1"/>
        <d v="2017-11-06T21:00:00" u="1"/>
        <d v="2017-11-06T22:00:00" u="1"/>
        <d v="2017-07-24T00:00:00" u="1"/>
        <d v="2017-11-06T23:00:00" u="1"/>
        <d v="2017-07-24T01:00:00" u="1"/>
        <d v="2017-07-24T02:00:00" u="1"/>
        <d v="2017-07-24T03:00:00" u="1"/>
        <d v="2018-08-20T00:00:00" u="1"/>
        <d v="2017-07-24T04:00:00" u="1"/>
        <d v="2017-09-16T00:00:00" u="1"/>
        <d v="2017-07-24T05:00:00" u="1"/>
        <d v="2017-09-16T01:00:00" u="1"/>
        <d v="2017-07-24T06:00:00" u="1"/>
        <d v="2017-07-24T07:00:00" u="1"/>
        <d v="2017-07-24T08:00:00" u="1"/>
        <d v="2017-11-08T00:00:00" u="1"/>
        <d v="2017-07-24T09:00:00" u="1"/>
        <d v="2017-11-08T01:00:00" u="1"/>
        <d v="2017-07-24T10:00:00" u="1"/>
        <d v="2017-11-08T02:00:00" u="1"/>
        <d v="2017-07-24T11:00:00" u="1"/>
        <d v="2017-11-08T03:00:00" u="1"/>
        <d v="2017-12-04T01:00:00" u="1"/>
        <d v="2017-07-24T12:00:00" u="1"/>
        <d v="2017-11-08T04:00:00" u="1"/>
        <d v="2017-12-04T02:00:00" u="1"/>
        <d v="2017-07-24T13:00:00" u="1"/>
        <d v="2017-11-08T05:00:00" u="1"/>
        <d v="2017-12-04T03:00:00" u="1"/>
        <d v="2017-07-24T14:00:00" u="1"/>
        <d v="2017-11-08T06:00:00" u="1"/>
        <d v="2017-12-04T04:00:00" u="1"/>
        <d v="2017-07-24T15:00:00" u="1"/>
        <d v="2017-11-08T07:00:00" u="1"/>
        <d v="2017-07-24T16:00:00" u="1"/>
        <d v="2017-11-08T08:00:00" u="1"/>
        <d v="2017-12-04T06:00:00" u="1"/>
        <d v="2017-07-24T17:00:00" u="1"/>
        <d v="2017-11-08T09:00:00" u="1"/>
        <d v="2017-12-04T07:00:00" u="1"/>
        <d v="2017-07-24T18:00:00" u="1"/>
        <d v="2017-11-08T10:00:00" u="1"/>
        <d v="2017-12-04T08:00:00" u="1"/>
        <d v="2017-07-24T19:00:00" u="1"/>
        <d v="2017-11-08T11:00:00" u="1"/>
        <d v="2017-12-04T09:00:00" u="1"/>
        <d v="2017-07-24T20:00:00" u="1"/>
        <d v="2017-11-08T12:00:00" u="1"/>
        <d v="2017-12-04T10:00:00" u="1"/>
        <d v="2017-07-24T21:00:00" u="1"/>
        <d v="2017-11-08T13:00:00" u="1"/>
        <d v="2017-12-04T11:00:00" u="1"/>
        <d v="2017-07-24T22:00:00" u="1"/>
        <d v="2017-11-08T14:00:00" u="1"/>
        <d v="2017-12-04T12:00:00" u="1"/>
        <d v="2017-07-24T23:00:00" u="1"/>
        <d v="2017-11-08T15:00:00" u="1"/>
        <d v="2017-11-08T16:00:00" u="1"/>
        <d v="2017-12-04T14:00:00" u="1"/>
        <d v="2017-11-08T17:00:00" u="1"/>
        <d v="2017-12-04T15:00:00" u="1"/>
        <d v="2017-11-08T18:00:00" u="1"/>
        <d v="2017-12-04T16:00:00" u="1"/>
        <d v="2017-11-08T19:00:00" u="1"/>
        <d v="2017-12-04T17:00:00" u="1"/>
        <d v="2017-11-08T20:00:00" u="1"/>
        <d v="2017-12-04T18:00:00" u="1"/>
        <d v="2017-11-08T21:00:00" u="1"/>
        <d v="2017-12-04T19:00:00" u="1"/>
        <d v="2017-11-08T22:00:00" u="1"/>
        <d v="2017-12-04T20:00:00" u="1"/>
        <d v="2017-07-26T00:00:00" u="1"/>
        <d v="2017-11-08T23:00:00" u="1"/>
        <d v="2017-12-04T21:00:00" u="1"/>
        <d v="2018-06-30T01:00:00" u="1"/>
        <d v="2017-07-26T01:00:00" u="1"/>
        <d v="2017-12-04T22:00:00" u="1"/>
        <d v="2017-07-26T02:00:00" u="1"/>
        <d v="2017-12-04T23:00:00" u="1"/>
        <d v="2017-07-26T03:00:00" u="1"/>
        <d v="2018-08-22T00:00:00" u="1"/>
        <d v="2017-07-26T04:00:00" u="1"/>
        <d v="2017-07-26T05:00:00" u="1"/>
        <d v="2017-07-26T06:00:00" u="1"/>
        <d v="2017-09-18T02:00:00" u="1"/>
        <d v="2017-07-26T07:00:00" u="1"/>
        <d v="2017-09-18T03:00:00" u="1"/>
        <d v="2017-07-26T08:00:00" u="1"/>
        <d v="2017-09-18T04:00:00" u="1"/>
        <d v="2017-11-10T00:00:00" u="1"/>
        <d v="2017-07-26T09:00:00" u="1"/>
        <d v="2017-11-10T01:00:00" u="1"/>
        <d v="2017-07-26T10:00:00" u="1"/>
        <d v="2017-11-10T02:00:00" u="1"/>
        <d v="2017-12-06T00:00:00" u="1"/>
        <d v="2017-07-26T11:00:00" u="1"/>
        <d v="2017-11-10T03:00:00" u="1"/>
        <d v="2017-12-06T01:00:00" u="1"/>
        <d v="2017-07-26T12:00:00" u="1"/>
        <d v="2017-11-10T04:00:00" u="1"/>
        <d v="2017-12-06T02:00:00" u="1"/>
        <d v="2017-07-26T13:00:00" u="1"/>
        <d v="2017-09-18T09:00:00" u="1"/>
        <d v="2017-11-10T05:00:00" u="1"/>
        <d v="2017-12-06T03:00:00" u="1"/>
        <d v="2017-07-26T14:00:00" u="1"/>
        <d v="2017-09-18T10:00:00" u="1"/>
        <d v="2017-11-10T06:00:00" u="1"/>
        <d v="2017-12-06T04:00:00" u="1"/>
        <d v="2017-07-26T15:00:00" u="1"/>
        <d v="2017-11-10T07:00:00" u="1"/>
        <d v="2017-07-26T16:00:00" u="1"/>
        <d v="2017-09-18T12:00:00" u="1"/>
        <d v="2017-11-10T08:00:00" u="1"/>
        <d v="2017-12-06T06:00:00" u="1"/>
        <d v="2017-07-26T17:00:00" u="1"/>
        <d v="2017-11-10T09:00:00" u="1"/>
        <d v="2017-12-06T07:00:00" u="1"/>
        <d v="2017-07-26T18:00:00" u="1"/>
        <d v="2017-09-18T14:00:00" u="1"/>
        <d v="2017-11-10T10:00:00" u="1"/>
        <d v="2017-12-06T08:00:00" u="1"/>
        <d v="2017-07-26T19:00:00" u="1"/>
        <d v="2017-11-10T11:00:00" u="1"/>
        <d v="2017-12-06T09:00:00" u="1"/>
        <d v="2017-07-26T20:00:00" u="1"/>
        <d v="2017-09-18T16:00:00" u="1"/>
        <d v="2017-11-10T12:00:00" u="1"/>
        <d v="2017-12-06T10:00:00" u="1"/>
        <d v="2017-06-30T23:00:00" u="1"/>
        <d v="2017-07-26T21:00:00" u="1"/>
        <d v="2017-11-10T13:00:00" u="1"/>
        <d v="2017-12-06T11:00:00" u="1"/>
        <d v="2017-07-26T22:00:00" u="1"/>
        <d v="2017-09-18T18:00:00" u="1"/>
        <d v="2017-11-10T14:00:00" u="1"/>
        <d v="2017-07-26T23:00:00" u="1"/>
        <d v="2017-11-10T15:00:00" u="1"/>
        <d v="2017-12-06T13:00:00" u="1"/>
        <d v="2017-09-18T20:00:00" u="1"/>
        <d v="2017-11-10T16:00:00" u="1"/>
        <d v="2017-12-06T14:00:00" u="1"/>
        <d v="2017-09-18T21:00:00" u="1"/>
        <d v="2017-11-10T17:00:00" u="1"/>
        <d v="2017-11-10T18:00:00" u="1"/>
        <d v="2017-12-06T16:00:00" u="1"/>
        <d v="2017-09-18T23:00:00" u="1"/>
        <d v="2017-11-10T19:00:00" u="1"/>
        <d v="2017-12-06T17:00:00" u="1"/>
        <d v="2017-11-10T20:00:00" u="1"/>
        <d v="2017-11-10T21:00:00" u="1"/>
        <d v="2017-12-06T19:00:00" u="1"/>
        <d v="2017-11-10T22:00:00" u="1"/>
        <d v="2017-11-10T23:00:00" u="1"/>
        <d v="2017-07-28T03:00:00" u="1"/>
        <d v="2018-08-24T00:00:00" u="1"/>
        <d v="2017-07-28T05:00:00" u="1"/>
        <d v="2017-07-28T06:00:00" u="1"/>
        <d v="2017-07-28T08:00:00" u="1"/>
        <d v="2017-09-20T04:00:00" u="1"/>
        <d v="2017-07-28T09:00:00" u="1"/>
        <d v="2017-07-28T10:00:00" u="1"/>
        <d v="2017-09-20T06:00:00" u="1"/>
        <d v="2017-12-08T00:00:00" u="1"/>
        <d v="2017-12-08T01:00:00" u="1"/>
        <d v="2017-12-08T02:00:00" u="1"/>
        <d v="2017-07-28T13:00:00" u="1"/>
        <d v="2017-09-20T09:00:00" u="1"/>
        <d v="2017-12-08T03:00:00" u="1"/>
        <d v="2017-07-28T14:00:00" u="1"/>
        <d v="2017-07-28T15:00:00" u="1"/>
        <d v="2017-09-20T11:00:00" u="1"/>
        <d v="2017-07-28T16:00:00" u="1"/>
        <d v="2017-09-20T12:00:00" u="1"/>
        <d v="2017-07-28T17:00:00" u="1"/>
        <d v="2017-07-28T18:00:00" u="1"/>
        <d v="2017-09-20T14:00:00" u="1"/>
        <d v="2017-07-28T19:00:00" u="1"/>
        <d v="2017-12-08T09:00:00" u="1"/>
        <d v="2017-07-28T20:00:00" u="1"/>
        <d v="2017-09-20T16:00:00" u="1"/>
        <d v="2017-09-20T17:00:00" u="1"/>
        <d v="2017-12-08T11:00:00" u="1"/>
        <d v="2017-07-28T22:00:00" u="1"/>
        <d v="2017-12-08T12:00:00" u="1"/>
        <d v="2017-12-08T13:00:00" u="1"/>
        <d v="2017-12-08T14:00:00" u="1"/>
        <d v="2017-12-08T15:00:00" u="1"/>
        <d v="2017-09-20T22:00:00" u="1"/>
        <d v="2017-12-08T16:00:00" u="1"/>
        <d v="2017-09-20T23:00:00" u="1"/>
        <d v="2017-12-08T17:00:00" u="1"/>
        <d v="2017-12-08T18:00:00" u="1"/>
        <d v="2017-12-08T19:00:00" u="1"/>
        <d v="2017-12-08T20:00:00" u="1"/>
        <d v="2018-07-30T00:00:00" u="1"/>
        <d v="2018-07-30T02:00:00" u="1"/>
        <d v="2017-11-14T00:00:00" u="1"/>
        <d v="2017-11-14T01:00:00" u="1"/>
        <d v="2017-11-14T02:00:00" u="1"/>
        <d v="2017-11-14T03:00:00" u="1"/>
        <d v="2018-07-30T10:00:00" u="1"/>
        <d v="2017-11-14T04:00:00" u="1"/>
        <d v="2017-11-14T05:00:00" u="1"/>
        <d v="2018-07-30T12:00:00" u="1"/>
        <d v="2017-11-14T06:00:00" u="1"/>
        <d v="2017-11-14T07:00:00" u="1"/>
        <d v="2018-07-30T14:00:00" u="1"/>
        <d v="2017-11-14T08:00:00" u="1"/>
        <d v="2018-07-30T15:00:00" u="1"/>
        <d v="2017-11-14T09:00:00" u="1"/>
        <d v="2018-07-30T16:00:00" u="1"/>
        <d v="2017-11-14T10:00:00" u="1"/>
        <d v="2017-11-14T11:00:00" u="1"/>
        <d v="2017-11-14T12:00:00" u="1"/>
        <d v="2017-11-14T13:00:00" u="1"/>
        <d v="2018-07-30T20:00:00" u="1"/>
        <d v="2017-11-14T14:00:00" u="1"/>
        <d v="2017-11-14T15:00:00" u="1"/>
        <d v="2017-11-14T16:00:00" u="1"/>
        <d v="2017-11-14T17:00:00" u="1"/>
        <d v="2017-11-14T18:00:00" u="1"/>
        <d v="2017-11-14T19:00:00" u="1"/>
        <d v="2017-11-14T20:00:00" u="1"/>
        <d v="2017-11-14T21:00:00" u="1"/>
        <d v="2017-11-14T22:00:00" u="1"/>
        <d v="2017-11-14T23:00:00" u="1"/>
        <d v="2018-08-28T00:00:00" u="1"/>
        <d v="2017-11-16T00:00:00" u="1"/>
        <d v="2017-11-16T01:00:00" u="1"/>
        <d v="2017-11-16T02:00:00" u="1"/>
        <d v="2017-11-16T03:00:00" u="1"/>
        <d v="2017-12-12T01:00:00" u="1"/>
        <d v="2017-11-16T04:00:00" u="1"/>
        <d v="2017-12-12T02:00:00" u="1"/>
        <d v="2017-11-16T05:00:00" u="1"/>
        <d v="2017-11-16T06:00:00" u="1"/>
        <d v="2017-11-16T08:00:00" u="1"/>
        <d v="2017-12-12T06:00:00" u="1"/>
        <d v="2017-11-16T09:00:00" u="1"/>
        <d v="2017-11-16T10:00:00" u="1"/>
        <d v="2017-11-16T11:00:00" u="1"/>
        <d v="2017-12-12T09:00:00" u="1"/>
        <d v="2017-11-16T12:00:00" u="1"/>
        <d v="2017-12-12T10:00:00" u="1"/>
        <d v="2017-11-16T13:00:00" u="1"/>
        <d v="2017-12-12T11:00:00" u="1"/>
        <d v="2017-11-16T14:00:00" u="1"/>
        <d v="2017-11-16T15:00:00" u="1"/>
        <d v="2017-12-12T13:00:00" u="1"/>
        <d v="2017-11-16T16:00:00" u="1"/>
        <d v="2017-12-12T14:00:00" u="1"/>
        <d v="2017-11-16T17:00:00" u="1"/>
        <d v="2017-12-12T15:00:00" u="1"/>
        <d v="2017-11-16T18:00:00" u="1"/>
        <d v="2017-12-12T16:00:00" u="1"/>
        <d v="2017-11-16T19:00:00" u="1"/>
        <d v="2017-12-12T17:00:00" u="1"/>
        <d v="2017-11-16T20:00:00" u="1"/>
        <d v="2017-12-12T18:00:00" u="1"/>
        <d v="2017-11-16T21:00:00" u="1"/>
        <d v="2017-12-12T19:00:00" u="1"/>
        <d v="2017-11-16T22:00:00" u="1"/>
        <d v="2017-12-12T20:00:00" u="1"/>
        <d v="2017-11-16T23:00:00" u="1"/>
        <d v="2017-12-12T21:00:00" u="1"/>
        <d v="2017-12-14T00:00:00" u="1"/>
        <d v="2017-12-14T01:00:00" u="1"/>
        <d v="2017-12-14T02:00:00" u="1"/>
        <d v="2017-12-14T03:00:00" u="1"/>
        <d v="2017-12-14T05:00:00" u="1"/>
        <d v="2017-12-14T06:00:00" u="1"/>
        <d v="2017-12-14T07:00:00" u="1"/>
        <d v="2017-12-14T10:00:00" u="1"/>
        <d v="2017-12-14T11:00:00" u="1"/>
        <d v="2017-12-14T12:00:00" u="1"/>
        <d v="2017-12-14T14:00:00" u="1"/>
        <d v="2017-12-14T15:00:00" u="1"/>
        <d v="2017-12-14T16:00:00" u="1"/>
        <d v="2017-12-14T17:00:00" u="1"/>
        <d v="2017-12-14T18:00:00" u="1"/>
        <d v="2017-12-14T19:00:00" u="1"/>
        <d v="2017-12-14T21:00:00" u="1"/>
        <d v="2017-12-14T22:00:00" u="1"/>
        <d v="2017-11-20T01:00:00" u="1"/>
        <d v="2017-11-20T02:00:00" u="1"/>
        <d v="2017-11-20T03:00:00" u="1"/>
        <d v="2017-11-20T04:00:00" u="1"/>
        <d v="2017-11-20T05:00:00" u="1"/>
        <d v="2017-11-20T06:00:00" u="1"/>
        <d v="2017-11-20T07:00:00" u="1"/>
        <d v="2017-11-20T08:00:00" u="1"/>
        <d v="2017-11-20T09:00:00" u="1"/>
        <d v="2017-11-20T10:00:00" u="1"/>
        <d v="2017-11-20T11:00:00" u="1"/>
        <d v="2017-11-20T12:00:00" u="1"/>
        <d v="2017-11-20T13:00:00" u="1"/>
        <d v="2017-11-20T14:00:00" u="1"/>
        <d v="2017-11-20T15:00:00" u="1"/>
        <d v="2017-11-20T16:00:00" u="1"/>
        <d v="2017-11-20T17:00:00" u="1"/>
        <d v="2017-11-20T18:00:00" u="1"/>
        <d v="2017-11-20T19:00:00" u="1"/>
        <d v="2017-11-20T20:00:00" u="1"/>
        <d v="2017-11-20T21:00:00" u="1"/>
        <d v="2017-11-20T22:00:00" u="1"/>
        <d v="2017-11-20T23:00:00" u="1"/>
        <d v="2017-11-22T00:00:00" u="1"/>
        <d v="2017-11-22T01:00:00" u="1"/>
        <d v="2017-11-22T02:00:00" u="1"/>
        <d v="2017-11-22T03:00:00" u="1"/>
        <d v="2017-12-18T01:00:00" u="1"/>
        <d v="2017-11-22T04:00:00" u="1"/>
        <d v="2017-12-18T02:00:00" u="1"/>
        <d v="2017-11-22T05:00:00" u="1"/>
        <d v="2017-11-22T06:00:00" u="1"/>
        <d v="2017-11-22T07:00:00" u="1"/>
        <d v="2017-12-18T05:00:00" u="1"/>
        <d v="2017-11-22T08:00:00" u="1"/>
        <d v="2017-11-22T09:00:00" u="1"/>
        <d v="2017-11-22T10:00:00" u="1"/>
        <d v="2017-12-18T08:00:00" u="1"/>
        <d v="2017-11-22T11:00:00" u="1"/>
        <d v="2017-11-22T12:00:00" u="1"/>
        <d v="2017-12-18T10:00:00" u="1"/>
        <d v="2017-12-18T11:00:00" u="1"/>
        <d v="2017-11-22T14:00:00" u="1"/>
        <d v="2017-12-18T12:00:00" u="1"/>
        <d v="2017-11-22T15:00:00" u="1"/>
        <d v="2017-12-18T13:00:00" u="1"/>
        <d v="2017-11-22T16:00:00" u="1"/>
        <d v="2017-12-18T14:00:00" u="1"/>
        <d v="2017-11-22T17:00:00" u="1"/>
        <d v="2017-12-18T15:00:00" u="1"/>
        <d v="2017-11-22T18:00:00" u="1"/>
        <d v="2017-12-18T16:00:00" u="1"/>
        <d v="2017-11-22T19:00:00" u="1"/>
        <d v="2017-12-18T17:00:00" u="1"/>
        <d v="2017-11-22T20:00:00" u="1"/>
        <d v="2017-12-18T18:00:00" u="1"/>
        <d v="2017-11-22T21:00:00" u="1"/>
        <d v="2017-12-18T19:00:00" u="1"/>
        <d v="2017-11-22T22:00:00" u="1"/>
        <d v="2017-11-22T23:00:00" u="1"/>
        <d v="2017-12-18T22:00:00" u="1"/>
        <d v="2017-11-24T01:00:00" u="1"/>
        <d v="2017-11-24T03:00:00" u="1"/>
        <d v="2017-12-20T01:00:00" u="1"/>
        <d v="2017-11-24T05:00:00" u="1"/>
        <d v="2017-12-20T03:00:00" u="1"/>
        <d v="2017-11-24T10:00:00" u="1"/>
        <d v="2017-11-24T11:00:00" u="1"/>
        <d v="2017-11-24T12:00:00" u="1"/>
        <d v="2017-11-24T15:00:00" u="1"/>
        <d v="2017-11-24T16:00:00" u="1"/>
        <d v="2017-11-24T17:00:00" u="1"/>
        <d v="2017-11-24T18:00:00" u="1"/>
        <d v="2017-11-24T19:00:00" u="1"/>
        <d v="2017-11-24T20:00:00" u="1"/>
        <d v="2017-11-24T22:00:00" u="1"/>
        <d v="2017-11-24T23:00:00" u="1"/>
        <d v="2017-12-22T01:00:00" u="1"/>
        <d v="2017-11-28T01:00:00" u="1"/>
        <d v="2017-11-28T03:00:00" u="1"/>
        <d v="2017-11-28T04:00:00" u="1"/>
        <d v="2017-11-28T10:00:00" u="1"/>
        <d v="2017-11-28T11:00:00" u="1"/>
        <d v="2017-11-28T12:00:00" u="1"/>
        <d v="2017-11-28T13:00:00" u="1"/>
        <d v="2017-11-28T14:00:00" u="1"/>
        <d v="2017-11-28T16:00:00" u="1"/>
        <d v="2017-11-28T17:00:00" u="1"/>
        <d v="2017-11-28T18:00:00" u="1"/>
        <d v="2017-11-28T19:00:00" u="1"/>
        <d v="2017-11-28T20:00:00" u="1"/>
        <d v="2017-11-28T22:00:00" u="1"/>
        <d v="2017-11-28T23:00:00" u="1"/>
        <d v="2017-11-30T01:00:00" u="1"/>
        <d v="2017-11-30T03:00:00" u="1"/>
        <d v="2017-12-26T01:00:00" u="1"/>
        <d v="2017-11-30T04:00:00" u="1"/>
        <d v="2017-11-30T07:00:00" u="1"/>
        <d v="2017-11-30T11:00:00" u="1"/>
        <d v="2017-11-30T12:00:00" u="1"/>
        <d v="2017-11-30T13:00:00" u="1"/>
        <d v="2017-11-30T14:00:00" u="1"/>
        <d v="2017-11-30T17:00:00" u="1"/>
        <d v="2017-11-30T19:00:00" u="1"/>
        <d v="2017-11-30T20:00:00" u="1"/>
        <d v="2017-11-30T21:00:00" u="1"/>
        <d v="2017-11-30T22:00:00" u="1"/>
        <d v="2017-11-30T23:00:00" u="1"/>
        <d v="2018-07-03T00:00:00" u="1"/>
        <d v="2017-07-03T02:00:00" u="1"/>
        <d v="2018-07-03T01:00:00" u="1"/>
        <d v="2017-07-03T03:00:00" u="1"/>
        <d v="2018-07-03T02:00:00" u="1"/>
        <d v="2017-07-03T04:00:00" u="1"/>
        <d v="2017-07-03T05:00:00" u="1"/>
        <d v="2018-07-03T04:00:00" u="1"/>
        <d v="2017-07-03T06:00:00" u="1"/>
        <d v="2017-07-03T07:00:00" u="1"/>
        <d v="2018-07-03T06:00:00" u="1"/>
        <d v="2017-07-03T08:00:00" u="1"/>
        <d v="2018-07-03T07:00:00" u="1"/>
        <d v="2017-07-03T09:00:00" u="1"/>
        <d v="2018-07-03T08:00:00" u="1"/>
        <d v="2017-07-03T10:00:00" u="1"/>
        <d v="2018-07-03T09:00:00" u="1"/>
        <d v="2017-07-03T11:00:00" u="1"/>
        <d v="2018-07-03T10:00:00" u="1"/>
        <d v="2018-07-03T11:00:00" u="1"/>
        <d v="2017-07-03T13:00:00" u="1"/>
        <d v="2018-07-03T12:00:00" u="1"/>
        <d v="2017-07-03T14:00:00" u="1"/>
        <d v="2018-07-03T13:00:00" u="1"/>
        <d v="2017-07-03T15:00:00" u="1"/>
        <d v="2018-07-03T14:00:00" u="1"/>
        <d v="2017-07-03T16:00:00" u="1"/>
        <d v="2018-07-03T15:00:00" u="1"/>
        <d v="2017-07-03T17:00:00" u="1"/>
        <d v="2018-07-03T16:00:00" u="1"/>
        <d v="2017-07-03T18:00:00" u="1"/>
        <d v="2018-07-03T17:00:00" u="1"/>
        <d v="2017-07-03T19:00:00" u="1"/>
        <d v="2018-07-03T18:00:00" u="1"/>
        <d v="2017-07-03T20:00:00" u="1"/>
        <d v="2018-07-03T19:00:00" u="1"/>
        <d v="2017-07-03T21:00:00" u="1"/>
        <d v="2018-07-03T20:00:00" u="1"/>
        <d v="2018-07-03T21:00:00" u="1"/>
        <d v="2018-07-03T22:00:00" u="1"/>
        <d v="2017-07-05T00:00:00" u="1"/>
        <d v="2017-07-05T01:00:00" u="1"/>
        <d v="2018-07-05T00:00:00" u="1"/>
        <d v="2017-07-05T02:00:00" u="1"/>
        <d v="2018-07-05T02:00:00" u="1"/>
        <d v="2018-08-01T00:00:00" u="1"/>
        <d v="2017-07-05T04:00:00" u="1"/>
        <d v="2017-08-01T02:00:00" u="1"/>
        <d v="2017-08-01T03:00:00" u="1"/>
        <d v="2017-07-05T06:00:00" u="1"/>
        <d v="2017-08-01T04:00:00" u="1"/>
        <d v="2018-07-05T05:00:00" u="1"/>
        <d v="2017-07-05T07:00:00" u="1"/>
        <d v="2017-07-05T09:00:00" u="1"/>
        <d v="2017-08-01T07:00:00" u="1"/>
        <d v="2018-07-05T08:00:00" u="1"/>
        <d v="2017-07-05T10:00:00" u="1"/>
        <d v="2017-08-01T08:00:00" u="1"/>
        <d v="2018-07-05T09:00:00" u="1"/>
        <d v="2017-07-05T11:00:00" u="1"/>
        <d v="2017-08-01T09:00:00" u="1"/>
        <d v="2018-07-05T10:00:00" u="1"/>
        <d v="2017-07-05T12:00:00" u="1"/>
        <d v="2018-07-05T11:00:00" u="1"/>
        <d v="2017-07-05T13:00:00" u="1"/>
        <d v="2017-08-01T11:00:00" u="1"/>
        <d v="2018-07-05T12:00:00" u="1"/>
        <d v="2017-07-05T14:00:00" u="1"/>
        <d v="2017-08-01T12:00:00" u="1"/>
        <d v="2018-07-05T13:00:00" u="1"/>
        <d v="2017-07-05T15:00:00" u="1"/>
        <d v="2017-08-01T13:00:00" u="1"/>
        <d v="2018-07-05T14:00:00" u="1"/>
        <d v="2017-07-05T16:00:00" u="1"/>
        <d v="2017-08-01T14:00:00" u="1"/>
        <d v="2018-07-05T15:00:00" u="1"/>
        <d v="2017-07-05T17:00:00" u="1"/>
        <d v="2017-08-01T15:00:00" u="1"/>
        <d v="2018-07-05T16:00:00" u="1"/>
        <d v="2017-07-05T18:00:00" u="1"/>
        <d v="2017-08-01T16:00:00" u="1"/>
        <d v="2018-07-05T17:00:00" u="1"/>
        <d v="2017-07-05T19:00:00" u="1"/>
        <d v="2017-08-01T17:00:00" u="1"/>
        <d v="2018-07-05T18:00:00" u="1"/>
        <d v="2017-08-01T18:00:00" u="1"/>
        <d v="2018-07-05T19:00:00" u="1"/>
        <d v="2017-07-05T21:00:00" u="1"/>
        <d v="2018-07-05T20:00:00" u="1"/>
        <d v="2017-07-05T22:00:00" u="1"/>
        <d v="2018-07-05T21:00:00" u="1"/>
        <d v="2017-07-05T23:00:00" u="1"/>
        <d v="2017-08-01T21:00:00" u="1"/>
        <d v="2018-07-05T22:00:00" u="1"/>
        <d v="2018-07-05T23:00:00" u="1"/>
        <d v="2017-07-07T01:00:00" u="1"/>
        <d v="2017-07-07T02:00:00" u="1"/>
        <d v="2017-07-07T03:00:00" u="1"/>
        <d v="2018-08-03T00:00:00" u="1"/>
        <d v="2017-08-03T03:00:00" u="1"/>
        <d v="2017-07-07T08:00:00" u="1"/>
        <d v="2017-07-07T09:00:00" u="1"/>
        <d v="2017-08-03T07:00:00" u="1"/>
        <d v="2017-08-03T08:00:00" u="1"/>
        <d v="2017-07-07T11:00:00" u="1"/>
        <d v="2017-07-07T12:00:00" u="1"/>
        <d v="2017-08-03T10:00:00" u="1"/>
        <d v="2017-07-07T13:00:00" u="1"/>
        <d v="2017-07-07T14:00:00" u="1"/>
        <d v="2017-07-07T15:00:00" u="1"/>
        <d v="2017-08-03T13:00:00" u="1"/>
        <d v="2017-07-07T16:00:00" u="1"/>
        <d v="2017-08-03T14:00:00" u="1"/>
        <d v="2017-07-07T17:00:00" u="1"/>
        <d v="2017-08-03T15:00:00" u="1"/>
        <d v="2017-07-07T18:00:00" u="1"/>
        <d v="2017-08-03T16:00:00" u="1"/>
        <d v="2017-07-07T19:00:00" u="1"/>
        <d v="2017-08-03T17:00:00" u="1"/>
        <d v="2017-07-07T20:00:00" u="1"/>
        <d v="2017-07-07T21:00:00" u="1"/>
        <d v="2017-08-03T19:00:00" u="1"/>
        <d v="2017-07-11T03:00:00" u="1"/>
        <d v="2017-08-07T01:00:00" u="1"/>
        <d v="2018-08-07T00:00:00" u="1"/>
        <d v="2017-07-11T04:00:00" u="1"/>
        <d v="2017-08-07T02:00:00" u="1"/>
        <d v="2017-08-07T03:00:00" u="1"/>
        <d v="2017-08-07T04:00:00" u="1"/>
        <d v="2017-07-11T07:00:00" u="1"/>
        <d v="2017-08-07T06:00:00" u="1"/>
        <d v="2017-07-11T10:00:00" u="1"/>
        <d v="2017-08-07T09:00:00" u="1"/>
        <d v="2017-07-11T12:00:00" u="1"/>
        <d v="2017-08-07T10:00:00" u="1"/>
        <d v="2017-08-07T11:00:00" u="1"/>
        <d v="2017-07-11T14:00:00" u="1"/>
        <d v="2017-08-07T12:00:00" u="1"/>
        <d v="2017-07-11T15:00:00" u="1"/>
        <d v="2017-08-07T13:00:00" u="1"/>
        <d v="2017-07-11T16:00:00" u="1"/>
        <d v="2017-08-07T14:00:00" u="1"/>
        <d v="2017-07-11T17:00:00" u="1"/>
        <d v="2017-08-07T15:00:00" u="1"/>
        <d v="2018-08-09T00:00:00" u="1"/>
        <d v="2017-08-09T03:00:00" u="1"/>
        <d v="2017-08-09T04:00:00" u="1"/>
        <d v="2017-08-09T05:00:00" u="1"/>
        <d v="2017-09-05T04:00:00" u="1"/>
        <d v="2017-08-09T07:00:00" u="1"/>
        <d v="2017-09-05T05:00:00" u="1"/>
        <d v="2017-08-09T10:00:00" u="1"/>
        <d v="2017-08-09T11:00:00" u="1"/>
        <d v="2017-08-09T12:00:00" u="1"/>
        <d v="2017-08-09T13:00:00" u="1"/>
        <d v="2017-09-05T11:00:00" u="1"/>
        <d v="2017-08-09T14:00:00" u="1"/>
        <d v="2017-09-05T12:00:00" u="1"/>
        <d v="2017-08-09T15:00:00" u="1"/>
        <d v="2017-08-09T16:00:00" u="1"/>
        <d v="2017-08-09T17:00:00" u="1"/>
        <d v="2017-08-09T18:00:00" u="1"/>
        <d v="2017-08-09T19:00:00" u="1"/>
        <d v="2017-08-09T20:00:00" u="1"/>
        <d v="2017-08-09T21:00:00" u="1"/>
        <d v="2017-08-11T03:00:00" u="1"/>
        <d v="2017-08-11T07:00:00" u="1"/>
        <d v="2017-08-11T08:00:00" u="1"/>
        <d v="2017-08-11T09:00:00" u="1"/>
        <d v="2017-08-11T13:00:00" u="1"/>
        <d v="2017-09-07T11:00:00" u="1"/>
        <d v="2017-08-11T14:00:00" u="1"/>
        <d v="2017-09-07T12:00:00" u="1"/>
        <d v="2017-08-11T15:00:00" u="1"/>
        <d v="2017-09-07T13:00:00" u="1"/>
        <d v="2017-08-11T16:00:00" u="1"/>
        <d v="2017-09-07T14:00:00" u="1"/>
        <d v="2017-08-11T17:00:00" u="1"/>
        <d v="2017-09-07T15:00:00" u="1"/>
        <d v="2017-08-11T18:00:00" u="1"/>
        <d v="2017-09-07T16:00:00" u="1"/>
        <d v="2017-08-11T19:00:00" u="1"/>
        <d v="2017-09-07T17:00:00" u="1"/>
        <d v="2017-08-11T20:00:00" u="1"/>
        <d v="2017-09-07T18:00:00" u="1"/>
        <d v="2017-08-11T21:00:00" u="1"/>
        <d v="2017-09-07T19:00:00" u="1"/>
        <d v="2017-09-07T20:00:00" u="1"/>
        <d v="2017-09-07T21:00:00" u="1"/>
        <d v="2017-09-07T22:00:00" u="1"/>
        <d v="2017-09-07T23:00:00" u="1"/>
        <d v="2018-08-13T00:00:00" u="1"/>
        <d v="2017-09-09T01:00:00" u="1"/>
        <d v="2017-11-01T00:00:00" u="1"/>
        <d v="2017-11-01T01:00:00" u="1"/>
        <d v="2017-11-01T02:00:00" u="1"/>
        <d v="2017-11-01T03:00:00" u="1"/>
        <d v="2017-11-01T04:00:00" u="1"/>
        <d v="2017-11-01T05:00:00" u="1"/>
        <d v="2017-11-01T06:00:00" u="1"/>
        <d v="2017-11-01T07:00:00" u="1"/>
        <d v="2017-11-01T08:00:00" u="1"/>
        <d v="2017-11-01T09:00:00" u="1"/>
        <d v="2017-11-01T10:00:00" u="1"/>
        <d v="2017-11-01T11:00:00" u="1"/>
        <d v="2017-11-01T12:00:00" u="1"/>
        <d v="2017-11-01T13:00:00" u="1"/>
        <d v="2017-11-01T14:00:00" u="1"/>
        <d v="2017-11-01T15:00:00" u="1"/>
        <d v="2017-11-01T16:00:00" u="1"/>
        <d v="2017-11-01T17:00:00" u="1"/>
        <d v="2017-11-01T18:00:00" u="1"/>
        <d v="2017-11-01T19:00:00" u="1"/>
        <d v="2017-11-01T20:00:00" u="1"/>
        <d v="2017-11-01T21:00:00" u="1"/>
        <d v="2017-11-01T22:00:00" u="1"/>
        <d v="2017-11-01T23:00:00" u="1"/>
        <d v="2018-08-15T00:00:00" u="1"/>
        <d v="2017-08-15T03:00:00" u="1"/>
        <d v="2017-09-11T02:00:00" u="1"/>
        <d v="2017-08-15T06:00:00" u="1"/>
        <d v="2017-11-03T00:00:00" u="1"/>
        <d v="2017-09-11T05:00:00" u="1"/>
        <d v="2017-11-03T01:00:00" u="1"/>
        <d v="2017-08-15T08:00:00" u="1"/>
        <d v="2017-09-11T06:00:00" u="1"/>
        <d v="2017-11-03T02:00:00" u="1"/>
        <d v="2017-08-15T09:00:00" u="1"/>
        <d v="2017-11-03T03:00:00" u="1"/>
        <d v="2017-08-15T10:00:00" u="1"/>
        <d v="2017-09-11T08:00:00" u="1"/>
        <d v="2017-11-03T04:00:00" u="1"/>
        <d v="2017-08-15T11:00:00" u="1"/>
        <d v="2017-09-11T09:00:00" u="1"/>
        <d v="2017-11-03T05:00:00" u="1"/>
        <d v="2017-08-15T12:00:00" u="1"/>
        <d v="2017-09-11T10:00:00" u="1"/>
        <d v="2017-11-03T06:00:00" u="1"/>
        <d v="2017-08-15T13:00:00" u="1"/>
        <d v="2017-09-11T11:00:00" u="1"/>
        <d v="2017-11-03T07:00:00" u="1"/>
        <d v="2017-08-15T14:00:00" u="1"/>
        <d v="2017-09-11T12:00:00" u="1"/>
        <d v="2017-11-03T08:00:00" u="1"/>
        <d v="2017-08-15T15:00:00" u="1"/>
        <d v="2017-09-11T13:00:00" u="1"/>
        <d v="2017-11-03T09:00:00" u="1"/>
        <d v="2017-11-03T10:00:00" u="1"/>
        <d v="2017-08-15T17:00:00" u="1"/>
        <d v="2017-11-03T11:00:00" u="1"/>
        <d v="2017-09-11T16:00:00" u="1"/>
        <d v="2017-11-03T12:00:00" u="1"/>
        <d v="2017-08-15T19:00:00" u="1"/>
        <d v="2017-09-11T17:00:00" u="1"/>
        <d v="2017-11-03T13:00:00" u="1"/>
        <d v="2017-09-11T18:00:00" u="1"/>
        <d v="2017-11-03T14:00:00" u="1"/>
        <d v="2017-11-03T15:00:00" u="1"/>
        <d v="2017-09-11T20:00:00" u="1"/>
        <d v="2017-11-03T16:00:00" u="1"/>
        <d v="2017-11-03T17:00:00" u="1"/>
        <d v="2017-09-11T22:00:00" u="1"/>
        <d v="2017-11-03T18:00:00" u="1"/>
        <d v="2017-11-03T19:00:00" u="1"/>
        <d v="2017-11-03T20:00:00" u="1"/>
        <d v="2017-11-03T21:00:00" u="1"/>
        <d v="2017-11-03T22:00:00" u="1"/>
        <d v="2017-11-03T23:00:00" u="1"/>
        <d v="2018-07-21T01:00:00" u="1"/>
        <d v="2017-08-17T01:00:00" u="1"/>
        <d v="2018-08-17T00:00:00" u="1"/>
        <d v="2017-08-17T04:00:00" u="1"/>
        <d v="2017-08-17T06:00:00" u="1"/>
        <d v="2017-09-13T04:00:00" u="1"/>
        <d v="2017-08-17T07:00:00" u="1"/>
        <d v="2017-08-17T08:00:00" u="1"/>
        <d v="2017-09-13T06:00:00" u="1"/>
        <d v="2017-12-01T00:00:00" u="1"/>
        <d v="2017-12-01T01:00:00" u="1"/>
        <d v="2017-08-17T10:00:00" u="1"/>
        <d v="2017-12-01T02:00:00" u="1"/>
        <d v="2017-12-01T03:00:00" u="1"/>
        <d v="2017-08-17T12:00:00" u="1"/>
        <d v="2017-08-17T13:00:00" u="1"/>
        <d v="2017-09-13T11:00:00" u="1"/>
        <d v="2017-12-01T05:00:00" u="1"/>
        <d v="2017-08-17T14:00:00" u="1"/>
        <d v="2017-09-13T12:00:00" u="1"/>
        <d v="2017-08-17T15:00:00" u="1"/>
        <d v="2017-08-17T16:00:00" u="1"/>
        <d v="2017-09-13T14:00:00" u="1"/>
        <d v="2017-12-01T08:00:00" u="1"/>
        <d v="2017-08-17T17:00:00" u="1"/>
        <d v="2017-09-13T15:00:00" u="1"/>
        <d v="2017-08-17T18:00:00" u="1"/>
        <d v="2017-08-17T19:00:00" u="1"/>
        <d v="2017-09-13T17:00:00" u="1"/>
        <d v="2017-12-01T11:00:00" u="1"/>
        <d v="2017-09-13T18:00:00" u="1"/>
        <d v="2017-12-01T12:00:00" u="1"/>
        <d v="2017-07-21T23:00:00" u="1"/>
        <d v="2017-08-17T21:00:00" u="1"/>
        <d v="2017-09-13T19:00:00" u="1"/>
        <d v="2017-12-01T13:00:00" u="1"/>
        <d v="2017-08-17T22:00:00" u="1"/>
        <d v="2017-09-13T20:00:00" u="1"/>
        <d v="2017-09-13T21:00:00" u="1"/>
        <d v="2017-12-01T15:00:00" u="1"/>
        <d v="2017-09-13T22:00:00" u="1"/>
        <d v="2017-12-01T16:00:00" u="1"/>
        <d v="2017-09-13T23:00:00" u="1"/>
        <d v="2017-12-01T18:00:00" u="1"/>
        <d v="2017-12-01T19:00:00" u="1"/>
        <d v="2017-12-01T20:00:00" u="1"/>
        <d v="2017-12-01T21:00:00" u="1"/>
        <d v="2017-12-01T22:00:00" u="1"/>
        <d v="2017-12-01T23:00:00" u="1"/>
        <d v="2017-09-15T00:00:00" u="1"/>
        <d v="2017-09-15T03:00:00" u="1"/>
        <d v="2017-11-07T00:00:00" u="1"/>
        <d v="2017-09-15T05:00:00" u="1"/>
        <d v="2017-11-07T01:00:00" u="1"/>
        <d v="2017-11-07T02:00:00" u="1"/>
        <d v="2017-11-07T03:00:00" u="1"/>
        <d v="2017-09-15T08:00:00" u="1"/>
        <d v="2017-11-07T04:00:00" u="1"/>
        <d v="2017-11-07T05:00:00" u="1"/>
        <d v="2017-11-07T06:00:00" u="1"/>
        <d v="2017-09-15T11:00:00" u="1"/>
        <d v="2017-11-07T07:00:00" u="1"/>
        <d v="2017-11-07T08:00:00" u="1"/>
        <d v="2017-09-15T13:00:00" u="1"/>
        <d v="2017-11-07T09:00:00" u="1"/>
        <d v="2017-09-15T14:00:00" u="1"/>
        <d v="2017-11-07T10:00:00" u="1"/>
        <d v="2017-09-15T15:00:00" u="1"/>
        <d v="2017-11-07T11:00:00" u="1"/>
        <d v="2017-09-15T16:00:00" u="1"/>
        <d v="2017-11-07T12:00:00" u="1"/>
        <d v="2017-09-15T17:00:00" u="1"/>
        <d v="2017-11-07T13:00:00" u="1"/>
        <d v="2017-09-15T18:00:00" u="1"/>
        <d v="2017-11-07T14:00:00" u="1"/>
        <d v="2017-09-15T19:00:00" u="1"/>
        <d v="2017-11-07T15:00:00" u="1"/>
        <d v="2017-11-07T16:00:00" u="1"/>
        <d v="2017-09-15T21:00:00" u="1"/>
        <d v="2017-11-07T17:00:00" u="1"/>
        <d v="2017-09-15T22:00:00" u="1"/>
        <d v="2017-11-07T18:00:00" u="1"/>
        <d v="2017-09-15T23:00:00" u="1"/>
        <d v="2017-11-07T19:00:00" u="1"/>
        <d v="2017-11-07T20:00:00" u="1"/>
        <d v="2017-11-07T21:00:00" u="1"/>
        <d v="2017-11-07T22:00:00" u="1"/>
        <d v="2017-07-25T00:00:00" u="1"/>
        <d v="2017-11-07T23:00:00" u="1"/>
        <d v="2017-07-25T01:00:00" u="1"/>
        <d v="2018-06-29T02:00:00" u="1"/>
        <d v="2017-07-25T02:00:00" u="1"/>
        <d v="2017-07-25T03:00:00" u="1"/>
        <d v="2018-08-21T00:00:00" u="1"/>
        <d v="2017-07-25T04:00:00" u="1"/>
        <d v="2017-07-25T05:00:00" u="1"/>
        <d v="2017-07-25T06:00:00" u="1"/>
        <d v="2017-07-25T07:00:00" u="1"/>
        <d v="2017-07-25T08:00:00" u="1"/>
        <d v="2017-11-09T00:00:00" u="1"/>
        <d v="2017-07-25T09:00:00" u="1"/>
        <d v="2017-11-09T01:00:00" u="1"/>
        <d v="2017-07-25T10:00:00" u="1"/>
        <d v="2017-11-09T02:00:00" u="1"/>
        <d v="2017-07-25T11:00:00" u="1"/>
        <d v="2017-11-09T03:00:00" u="1"/>
        <d v="2017-12-05T01:00:00" u="1"/>
        <d v="2017-07-25T12:00:00" u="1"/>
        <d v="2017-11-09T04:00:00" u="1"/>
        <d v="2017-12-05T02:00:00" u="1"/>
        <d v="2017-07-25T13:00:00" u="1"/>
        <d v="2017-11-09T05:00:00" u="1"/>
        <d v="2017-12-05T03:00:00" u="1"/>
        <d v="2017-07-25T14:00:00" u="1"/>
        <d v="2017-11-09T06:00:00" u="1"/>
        <d v="2017-12-05T04:00:00" u="1"/>
        <d v="2017-07-25T15:00:00" u="1"/>
        <d v="2017-11-09T07:00:00" u="1"/>
        <d v="2017-12-05T05:00:00" u="1"/>
        <d v="2017-07-25T16:00:00" u="1"/>
        <d v="2017-11-09T08:00:00" u="1"/>
        <d v="2017-12-05T06:00:00" u="1"/>
        <d v="2017-07-25T17:00:00" u="1"/>
        <d v="2017-11-09T09:00:00" u="1"/>
        <d v="2017-07-25T18:00:00" u="1"/>
        <d v="2017-11-09T10:00:00" u="1"/>
        <d v="2017-12-05T08:00:00" u="1"/>
        <d v="2017-07-25T19:00:00" u="1"/>
        <d v="2017-11-09T11:00:00" u="1"/>
        <d v="2017-12-05T09:00:00" u="1"/>
        <d v="2017-07-25T20:00:00" u="1"/>
        <d v="2017-11-09T12:00:00" u="1"/>
        <d v="2017-12-05T10:00:00" u="1"/>
        <d v="2017-07-25T21:00:00" u="1"/>
        <d v="2017-11-09T13:00:00" u="1"/>
        <d v="2017-12-05T11:00:00" u="1"/>
        <d v="2017-07-25T22:00:00" u="1"/>
        <d v="2017-11-09T14:00:00" u="1"/>
        <d v="2017-12-05T12:00:00" u="1"/>
        <d v="2018-06-29T23:00:00" u="1"/>
        <d v="2017-07-25T23:00:00" u="1"/>
        <d v="2017-11-09T15:00:00" u="1"/>
        <d v="2017-12-05T13:00:00" u="1"/>
        <d v="2017-11-09T16:00:00" u="1"/>
        <d v="2017-12-05T14:00:00" u="1"/>
        <d v="2017-11-09T17:00:00" u="1"/>
        <d v="2017-12-05T15:00:00" u="1"/>
        <d v="2017-11-09T18:00:00" u="1"/>
        <d v="2017-12-05T16:00:00" u="1"/>
        <d v="2017-11-09T19:00:00" u="1"/>
        <d v="2017-12-05T17:00:00" u="1"/>
        <d v="2017-11-09T20:00:00" u="1"/>
        <d v="2017-12-05T18:00:00" u="1"/>
        <d v="2017-11-09T21:00:00" u="1"/>
        <d v="2017-12-05T19:00:00" u="1"/>
        <d v="2017-11-09T22:00:00" u="1"/>
        <d v="2017-12-05T20:00:00" u="1"/>
        <d v="2017-07-27T00:00:00" u="1"/>
        <d v="2017-11-09T23:00:00" u="1"/>
        <d v="2017-07-27T01:00:00" u="1"/>
        <d v="2017-12-05T22:00:00" u="1"/>
        <d v="2018-07-27T00:00:00" u="1"/>
        <d v="2017-07-27T02:00:00" u="1"/>
        <d v="2018-07-27T01:00:00" u="1"/>
        <d v="2017-07-27T03:00:00" u="1"/>
        <d v="2018-07-27T02:00:00" u="1"/>
        <d v="2018-08-23T00:00:00" u="1"/>
        <d v="2017-07-27T04:00:00" u="1"/>
        <d v="2018-07-27T03:00:00" u="1"/>
        <d v="2017-07-27T05:00:00" u="1"/>
        <d v="2018-07-27T04:00:00" u="1"/>
        <d v="2017-07-27T06:00:00" u="1"/>
        <d v="2017-07-27T07:00:00" u="1"/>
        <d v="2017-09-19T03:00:00" u="1"/>
        <d v="2017-07-27T08:00:00" u="1"/>
        <d v="2017-11-11T00:00:00" u="1"/>
        <d v="2017-07-27T09:00:00" u="1"/>
        <d v="2017-07-27T10:00:00" u="1"/>
        <d v="2017-07-27T11:00:00" u="1"/>
        <d v="2017-12-07T01:00:00" u="1"/>
        <d v="2018-07-27T10:00:00" u="1"/>
        <d v="2017-07-27T12:00:00" u="1"/>
        <d v="2018-07-27T11:00:00" u="1"/>
        <d v="2017-07-27T13:00:00" u="1"/>
        <d v="2017-09-19T09:00:00" u="1"/>
        <d v="2017-12-07T03:00:00" u="1"/>
        <d v="2018-07-27T12:00:00" u="1"/>
        <d v="2017-07-27T14:00:00" u="1"/>
        <d v="2017-09-19T10:00:00" u="1"/>
        <d v="2017-07-27T15:00:00" u="1"/>
        <d v="2017-09-19T11:00:00" u="1"/>
        <d v="2017-07-27T16:00:00" u="1"/>
        <d v="2017-09-19T12:00:00" u="1"/>
        <d v="2018-07-27T15:00:00" u="1"/>
        <d v="2017-07-27T17:00:00" u="1"/>
        <d v="2017-09-19T13:00:00" u="1"/>
        <d v="2018-07-27T16:00:00" u="1"/>
        <d v="2017-07-27T18:00:00" u="1"/>
        <d v="2017-07-27T19:00:00" u="1"/>
        <d v="2017-12-07T09:00:00" u="1"/>
        <d v="2017-07-27T20:00:00" u="1"/>
        <d v="2017-09-19T16:00:00" u="1"/>
        <d v="2017-07-27T21:00:00" u="1"/>
        <d v="2017-09-19T17:00:00" u="1"/>
        <d v="2017-12-07T11:00:00" u="1"/>
        <d v="2017-07-27T22:00:00" u="1"/>
        <d v="2018-07-27T21:00:00" u="1"/>
        <d v="2017-09-19T19:00:00" u="1"/>
        <d v="2017-12-07T13:00:00" u="1"/>
        <d v="2018-07-27T22:00:00" u="1"/>
        <d v="2017-12-07T14:00:00" u="1"/>
        <d v="2017-09-19T21:00:00" u="1"/>
        <d v="2017-12-07T15:00:00" u="1"/>
        <d v="2017-09-19T22:00:00" u="1"/>
        <d v="2017-12-07T16:00:00" u="1"/>
        <d v="2017-09-19T23:00:00" u="1"/>
        <d v="2017-12-07T17:00:00" u="1"/>
        <d v="2017-12-07T18:00:00" u="1"/>
        <d v="2017-12-07T19:00:00" u="1"/>
        <d v="2017-12-07T20:00:00" u="1"/>
        <d v="2017-12-07T21:00:00" u="1"/>
        <d v="2017-12-07T22:00:00" u="1"/>
        <d v="2017-09-21T00:00:00" u="1"/>
        <d v="2017-11-13T01:00:00" u="1"/>
        <d v="2017-11-13T02:00:00" u="1"/>
        <d v="2017-12-09T00:00:00" u="1"/>
        <d v="2017-11-13T03:00:00" u="1"/>
        <d v="2017-11-13T04:00:00" u="1"/>
        <d v="2017-11-13T05:00:00" u="1"/>
        <d v="2017-11-13T06:00:00" u="1"/>
        <d v="2017-11-13T07:00:00" u="1"/>
        <d v="2017-11-13T08:00:00" u="1"/>
        <d v="2017-11-13T09:00:00" u="1"/>
        <d v="2017-11-13T10:00:00" u="1"/>
        <d v="2017-11-13T11:00:00" u="1"/>
        <d v="2017-11-13T12:00:00" u="1"/>
        <d v="2017-11-13T13:00:00" u="1"/>
        <d v="2017-11-13T14:00:00" u="1"/>
        <d v="2017-11-13T15:00:00" u="1"/>
        <d v="2017-11-13T16:00:00" u="1"/>
        <d v="2017-11-13T17:00:00" u="1"/>
        <d v="2017-11-13T18:00:00" u="1"/>
        <d v="2017-11-13T19:00:00" u="1"/>
        <d v="2017-11-13T20:00:00" u="1"/>
        <d v="2017-11-13T21:00:00" u="1"/>
        <d v="2017-11-13T22:00:00" u="1"/>
        <d v="2017-11-13T23:00:00" u="1"/>
        <d v="2018-07-31T00:00:00" u="1"/>
        <d v="2017-07-31T02:00:00" u="1"/>
        <d v="2017-07-31T03:00:00" u="1"/>
        <d v="2018-08-27T00:00:00" u="1"/>
        <d v="2017-07-31T05:00:00" u="1"/>
        <d v="2017-11-15T00:00:00" u="1"/>
        <d v="2017-07-31T09:00:00" u="1"/>
        <d v="2017-11-15T01:00:00" u="1"/>
        <d v="2017-11-15T02:00:00" u="1"/>
        <d v="2017-11-15T03:00:00" u="1"/>
        <d v="2017-12-11T01:00:00" u="1"/>
        <d v="2017-11-15T04:00:00" u="1"/>
        <d v="2017-12-11T02:00:00" u="1"/>
        <d v="2017-11-15T05:00:00" u="1"/>
        <d v="2017-11-15T06:00:00" u="1"/>
        <d v="2017-11-15T07:00:00" u="1"/>
        <d v="2017-07-31T16:00:00" u="1"/>
        <d v="2017-11-15T08:00:00" u="1"/>
        <d v="2017-07-31T17:00:00" u="1"/>
        <d v="2017-11-15T09:00:00" u="1"/>
        <d v="2017-07-31T18:00:00" u="1"/>
        <d v="2017-11-15T10:00:00" u="1"/>
        <d v="2017-07-31T19:00:00" u="1"/>
        <d v="2017-11-15T11:00:00" u="1"/>
        <d v="2017-12-11T09:00:00" u="1"/>
        <d v="2017-07-31T20:00:00" u="1"/>
        <d v="2017-11-15T12:00:00" u="1"/>
        <d v="2017-07-31T21:00:00" u="1"/>
        <d v="2017-11-15T13:00:00" u="1"/>
        <d v="2017-12-11T11:00:00" u="1"/>
        <d v="2017-07-31T22:00:00" u="1"/>
        <d v="2017-11-15T14:00:00" u="1"/>
        <d v="2017-11-15T15:00:00" u="1"/>
        <d v="2017-11-15T16:00:00" u="1"/>
        <d v="2017-11-15T17:00:00" u="1"/>
        <d v="2017-11-15T18:00:00" u="1"/>
        <d v="2017-12-11T16:00:00" u="1"/>
        <d v="2017-11-15T19:00:00" u="1"/>
        <d v="2017-12-11T17:00:00" u="1"/>
        <d v="2017-11-15T20:00:00" u="1"/>
        <d v="2017-12-11T19:00:00" u="1"/>
        <d v="2017-11-15T22:00:00" u="1"/>
        <d v="2017-12-11T20:00:00" u="1"/>
        <d v="2017-11-15T23:00:00" u="1"/>
        <d v="2017-12-11T21:00:00" u="1"/>
        <d v="2017-11-17T01:00:00" u="1"/>
        <d v="2017-11-17T02:00:00" u="1"/>
        <d v="2017-11-17T03:00:00" u="1"/>
        <d v="2017-12-13T01:00:00" u="1"/>
        <d v="2017-11-17T04:00:00" u="1"/>
        <d v="2017-11-17T08:00:00" u="1"/>
        <d v="2017-11-17T09:00:00" u="1"/>
        <d v="2017-11-17T10:00:00" u="1"/>
        <d v="2017-11-17T11:00:00" u="1"/>
        <d v="2017-11-17T12:00:00" u="1"/>
        <d v="2017-12-13T10:00:00" u="1"/>
        <d v="2017-11-17T14:00:00" u="1"/>
        <d v="2017-12-13T13:00:00" u="1"/>
        <d v="2017-11-17T16:00:00" u="1"/>
        <d v="2017-12-13T14:00:00" u="1"/>
        <d v="2017-11-17T17:00:00" u="1"/>
        <d v="2017-11-17T18:00:00" u="1"/>
        <d v="2017-12-13T16:00:00" u="1"/>
        <d v="2017-11-17T19:00:00" u="1"/>
        <d v="2017-12-13T17:00:00" u="1"/>
        <d v="2017-11-17T20:00:00" u="1"/>
        <d v="2017-12-13T18:00:00" u="1"/>
        <d v="2017-11-17T21:00:00" u="1"/>
        <d v="2017-12-13T19:00:00" u="1"/>
        <d v="2017-11-17T23:00:00" u="1"/>
        <d v="2017-12-13T21:00:00" u="1"/>
        <d v="2017-12-13T22:00:00" u="1"/>
        <d v="2017-12-13T23:00:00" u="1"/>
        <d v="2017-12-15T01:00:00" u="1"/>
        <d v="2017-12-15T02:00:00" u="1"/>
        <d v="2017-12-15T03:00:00" u="1"/>
        <d v="2017-12-15T04:00:00" u="1"/>
        <d v="2017-12-15T05:00:00" u="1"/>
      </sharedItems>
    </cacheField>
    <cacheField name="FORECASTT_PREV" numFmtId="0" sqlType="11">
      <sharedItems containsNonDate="0" containsDate="1" containsString="0" containsBlank="1" minDate="1970-01-01T00:00:00" maxDate="2018-07-27T00:00:00"/>
    </cacheField>
    <cacheField name="LASTBARO" numFmtId="0" sqlType="6">
      <sharedItems containsSemiMixedTypes="0" containsString="0" containsNumber="1" minValue="1.1585399999999999" maxValue="1.17818"/>
    </cacheField>
    <cacheField name="FORECASTO_PREV" numFmtId="0" sqlType="6">
      <sharedItems containsString="0" containsBlank="1" containsNumber="1" minValue="1.157529" maxValue="1.178183"/>
    </cacheField>
    <cacheField name="ERRO" numFmtId="0" sqlType="6">
      <sharedItems containsString="0" containsBlank="1" containsNumber="1" minValue="0" maxValue="1.0326999999999999E-2"/>
    </cacheField>
    <cacheField name="LASTBARH" numFmtId="0" sqlType="6">
      <sharedItems containsSemiMixedTypes="0" containsString="0" containsNumber="1" minValue="1.1599900000000001" maxValue="1.179"/>
    </cacheField>
    <cacheField name="FORECASTH_PREV" numFmtId="0" sqlType="6">
      <sharedItems containsString="0" containsBlank="1" containsNumber="1" minValue="1.1584460000000001" maxValue="1.1792990000000001"/>
    </cacheField>
    <cacheField name="ERRH" numFmtId="0" sqlType="6">
      <sharedItems containsString="0" containsBlank="1" containsNumber="1" minValue="9.9999999999999995E-7" maxValue="1.1202999999999999E-2"/>
    </cacheField>
    <cacheField name="LASTBARL" numFmtId="0" sqlType="6">
      <sharedItems containsSemiMixedTypes="0" containsString="0" containsNumber="1" minValue="1.15741" maxValue="1.1775500000000001"/>
    </cacheField>
    <cacheField name="FORECASTL_PREV" numFmtId="0" sqlType="6">
      <sharedItems containsString="0" containsBlank="1" containsNumber="1" minValue="1.156463" maxValue="1.177324"/>
    </cacheField>
    <cacheField name="ERRL" numFmtId="0" sqlType="6">
      <sharedItems containsString="0" containsBlank="1" containsNumber="1" minValue="0" maxValue="1.0774000000000001E-2"/>
    </cacheField>
    <cacheField name="LASTBARC" numFmtId="0" sqlType="6">
      <sharedItems containsSemiMixedTypes="0" containsString="0" containsNumber="1" minValue="1.1585399999999999" maxValue="1.1782300000000001"/>
    </cacheField>
    <cacheField name="FORECASTC_PREV" numFmtId="0" sqlType="6">
      <sharedItems containsString="0" containsBlank="1" containsNumber="1" minValue="1.1586559999999999" maxValue="1.1782509999999999"/>
    </cacheField>
    <cacheField name="ERRC" numFmtId="0" sqlType="6">
      <sharedItems containsString="0" containsBlank="1" containsNumber="1" minValue="0" maxValue="1.0909E-2"/>
    </cacheField>
    <cacheField name="LASTBARV" numFmtId="0" sqlType="6">
      <sharedItems containsSemiMixedTypes="0" containsString="0" containsNumber="1" containsInteger="1" minValue="0" maxValue="0" count="1">
        <n v="0"/>
      </sharedItems>
    </cacheField>
    <cacheField name="FORECASTV_PREV" numFmtId="0" sqlType="6">
      <sharedItems containsString="0" containsBlank="1" containsNumber="1" containsInteger="1" minValue="-431602080" maxValue="-431602080" count="2">
        <m/>
        <n v="-431602080"/>
      </sharedItems>
    </cacheField>
    <cacheField name="ERRV" numFmtId="0" sqlType="6">
      <sharedItems containsString="0" containsBlank="1" containsNumber="1" containsInteger="1" minValue="431602080" maxValue="431602080" count="2">
        <m/>
        <n v="431602080"/>
      </sharedItems>
    </cacheField>
    <cacheField name="LASTBARW" numFmtId="0" sqlType="6">
      <sharedItems containsSemiMixedTypes="0" containsString="0" containsNumber="1" minValue="3.4000000000000002E-4" maxValue="7.2899999999999996E-3"/>
    </cacheField>
    <cacheField name="BarWidth" numFmtId="0" formula="LASTBARH-LASTBARL" databaseField="0"/>
    <cacheField name="errHp" numFmtId="0" formula="ERRH/LASTBARW" databaseField="0"/>
    <cacheField name="errLp" numFmtId="0" formula="ERRL/LASTBARW" databaseField="0"/>
  </cacheFields>
  <extLst>
    <ext xmlns:x14="http://schemas.microsoft.com/office/spreadsheetml/2009/9/main" uri="{725AE2AE-9491-48be-B2B4-4EB974FC3084}">
      <x14:pivotCacheDefinition pivotCacheId="5"/>
    </ext>
  </extLst>
</pivotCacheDefinition>
</file>

<file path=xl/pivotCache/pivotCacheDefinition4.xml><?xml version="1.0" encoding="utf-8"?>
<pivotCacheDefinition xmlns="http://schemas.openxmlformats.org/spreadsheetml/2006/main" xmlns:r="http://schemas.openxmlformats.org/officeDocument/2006/relationships" r:id="rId1" refreshedBy="gcaglion" refreshedDate="43517.890176851855" createdVersion="5" refreshedVersion="5" minRefreshableVersion="3" recordCount="1300">
  <cacheSource type="external" connectionId="5"/>
  <cacheFields count="38">
    <cacheField name="SIMULATIONID" numFmtId="0" sqlType="6">
      <sharedItems containsSemiMixedTypes="0" containsString="0" containsNumber="1" containsInteger="1" minValue="2" maxValue="210" count="36">
        <n v="100"/>
        <n v="66"/>
        <n v="4"/>
        <n v="200"/>
        <n v="2"/>
        <n v="210"/>
        <n v="3"/>
        <n v="96" u="1"/>
        <n v="83" u="1"/>
        <n v="5" u="1"/>
        <n v="87" u="1"/>
        <n v="95" u="1"/>
        <n v="99" u="1"/>
        <n v="6" u="1"/>
        <n v="82" u="1"/>
        <n v="50" u="1"/>
        <n v="86" u="1"/>
        <n v="7" u="1"/>
        <n v="94" u="1"/>
        <n v="21" u="1"/>
        <n v="98" u="1"/>
        <n v="77" u="1"/>
        <n v="22" u="1"/>
        <n v="81" u="1"/>
        <n v="8" u="1"/>
        <n v="85" u="1"/>
        <n v="89" u="1"/>
        <n v="9" u="1"/>
        <n v="97" u="1"/>
        <n v="101" u="1"/>
        <n v="80" u="1"/>
        <n v="11" u="1"/>
        <n v="30" u="1"/>
        <n v="88" u="1"/>
        <n v="31" u="1"/>
        <n v="32" u="1"/>
      </sharedItems>
    </cacheField>
    <cacheField name="TRAINPID" numFmtId="0" sqlType="6">
      <sharedItems containsSemiMixedTypes="0" containsString="0" containsNumber="1" containsInteger="1" minValue="240" maxValue="10732" count="65">
        <n v="240"/>
        <n v="788"/>
        <n v="1180"/>
        <n v="2100"/>
        <n v="2592"/>
        <n v="3416"/>
        <n v="3680"/>
        <n v="3764"/>
        <n v="4216"/>
        <n v="4244"/>
        <n v="4256"/>
        <n v="4264"/>
        <n v="4380"/>
        <n v="5372"/>
        <n v="5392"/>
        <n v="5804"/>
        <n v="5808"/>
        <n v="6600"/>
        <n v="7124"/>
        <n v="7364"/>
        <n v="7380"/>
        <n v="7876"/>
        <n v="7888"/>
        <n v="7896"/>
        <n v="7904"/>
        <n v="8076"/>
        <n v="8300"/>
        <n v="8532"/>
        <n v="8696"/>
        <n v="8940"/>
        <n v="8980"/>
        <n v="9676"/>
        <n v="9684"/>
        <n v="9740"/>
        <n v="9800"/>
        <n v="9976"/>
        <n v="10732"/>
        <n v="9472" u="1"/>
        <n v="968" u="1"/>
        <n v="5112" u="1"/>
        <n v="4440" u="1"/>
        <n v="9284" u="1"/>
        <n v="8528" u="1"/>
        <n v="7300" u="1"/>
        <n v="6676" u="1"/>
        <n v="8096" u="1"/>
        <n v="3616" u="1"/>
        <n v="2044" u="1"/>
        <n v="7264" u="1"/>
        <n v="9896" u="1"/>
        <n v="3120" u="1"/>
        <n v="9728" u="1"/>
        <n v="5884" u="1"/>
        <n v="7020" u="1"/>
        <n v="7636" u="1"/>
        <n v="596" u="1"/>
        <n v="8748" u="1"/>
        <n v="7268" u="1"/>
        <n v="8636" u="1"/>
        <n v="556" u="1"/>
        <n v="6360" u="1"/>
        <n v="8656" u="1"/>
        <n v="3444" u="1"/>
        <n v="10172" u="1"/>
        <n v="9964" u="1"/>
      </sharedItems>
    </cacheField>
    <cacheField name="Engine" numFmtId="0" sqlType="12">
      <sharedItems count="1">
        <s v="Engine1.xml"/>
      </sharedItems>
    </cacheField>
    <cacheField name="TrainDS" numFmtId="0" sqlType="12">
      <sharedItems count="1">
        <s v="trainDataSet1.xml"/>
      </sharedItems>
    </cacheField>
    <cacheField name="BPALGO" numFmtId="0" sqlType="12">
      <sharedItems count="2">
        <s v="STD"/>
        <s v="SCGD" u="1"/>
      </sharedItems>
    </cacheField>
    <cacheField name="INFERPID" numFmtId="0" sqlType="6">
      <sharedItems containsSemiMixedTypes="0" containsString="0" containsNumber="1" containsInteger="1" minValue="240" maxValue="11928" count="83">
        <n v="240"/>
        <n v="788"/>
        <n v="1180"/>
        <n v="7688"/>
        <n v="2100"/>
        <n v="2592"/>
        <n v="9212"/>
        <n v="5228"/>
        <n v="3416"/>
        <n v="8116"/>
        <n v="3680"/>
        <n v="3764"/>
        <n v="7816"/>
        <n v="4216"/>
        <n v="4244"/>
        <n v="4256"/>
        <n v="9836"/>
        <n v="4264"/>
        <n v="9848"/>
        <n v="4380"/>
        <n v="5372"/>
        <n v="9652"/>
        <n v="2584"/>
        <n v="7456"/>
        <n v="5392"/>
        <n v="6260"/>
        <n v="908"/>
        <n v="3824"/>
        <n v="6556"/>
        <n v="8152"/>
        <n v="8448"/>
        <n v="2268"/>
        <n v="724"/>
        <n v="5804"/>
        <n v="7404"/>
        <n v="7372"/>
        <n v="5808"/>
        <n v="6600"/>
        <n v="7124"/>
        <n v="7364"/>
        <n v="7380"/>
        <n v="7876"/>
        <n v="7888"/>
        <n v="6996"/>
        <n v="7896"/>
        <n v="4228"/>
        <n v="7632"/>
        <n v="4688"/>
        <n v="7904"/>
        <n v="8088"/>
        <n v="8076"/>
        <n v="9664"/>
        <n v="8300"/>
        <n v="6640"/>
        <n v="9240"/>
        <n v="8532"/>
        <n v="4832"/>
        <n v="8684"/>
        <n v="6772"/>
        <n v="8696"/>
        <n v="5748"/>
        <n v="2580"/>
        <n v="2544"/>
        <n v="6288"/>
        <n v="532"/>
        <n v="3852"/>
        <n v="8940"/>
        <n v="8980"/>
        <n v="9676"/>
        <n v="9684"/>
        <n v="9740"/>
        <n v="9800"/>
        <n v="5356"/>
        <n v="7684"/>
        <n v="2579"/>
        <n v="9976"/>
        <n v="11928"/>
        <n v="10732"/>
        <n v="8048" u="1"/>
        <n v="9724" u="1"/>
        <n v="5856" u="1"/>
        <n v="4872" u="1"/>
        <n v="2591" u="1"/>
      </sharedItems>
    </cacheField>
    <cacheField name="InferDS" numFmtId="0" sqlType="12">
      <sharedItems count="2">
        <s v="trainDataSet1.xml"/>
        <s v="inferDataSet1.xml"/>
      </sharedItems>
    </cacheField>
    <cacheField name="ActualEpochs" numFmtId="0" sqlType="6">
      <sharedItems containsSemiMixedTypes="0" containsString="0" containsNumber="1" containsInteger="1" minValue="2" maxValue="1024" count="14">
        <n v="5"/>
        <n v="28"/>
        <n v="50"/>
        <n v="500"/>
        <n v="1024"/>
        <n v="79"/>
        <n v="2"/>
        <n v="13"/>
        <n v="26"/>
        <n v="48"/>
        <n v="18"/>
        <n v="16"/>
        <n v="44"/>
        <n v="35"/>
      </sharedItems>
    </cacheField>
    <cacheField name="TrainMSE" numFmtId="0" sqlType="6">
      <sharedItems containsSemiMixedTypes="0" containsString="0" containsNumber="1" minValue="1.0103653039550401E-4" maxValue="3.1214727088808999E-2" count="57">
        <n v="1.3182978145778201E-3"/>
        <n v="5.7809392455965302E-4"/>
        <n v="1.38118292670697E-3"/>
        <n v="1.0285748867317999E-3"/>
        <n v="1.0546084959059999E-3"/>
        <n v="1.0287547484040299E-3"/>
        <n v="1.4654973056167401E-3"/>
        <n v="1.0103653039550401E-4"/>
        <n v="1.36031466536224E-3"/>
        <n v="2.06642970442772E-3"/>
        <n v="1.2076217681169499E-3"/>
        <n v="8.9164460077881796E-3"/>
        <n v="7.7207265421748196E-3"/>
        <n v="8.8088503107428603E-3"/>
        <n v="8.9773871004581503E-3"/>
        <n v="7.74399051442742E-3"/>
        <n v="9.2001240700483305E-3"/>
        <n v="1.2122180778533201E-3"/>
        <n v="1.26162800006568E-3"/>
        <n v="1.9070931011810901E-3"/>
        <n v="2.0948550663888502E-3"/>
        <n v="1.6113109886646299E-3"/>
        <n v="1.11398962326348E-3"/>
        <n v="1.21462694369256E-3"/>
        <n v="3.1214727088808999E-2"/>
        <n v="1.04232283774763E-3"/>
        <n v="1.09090632759035E-3"/>
        <n v="1.7801757203414999E-3"/>
        <n v="2.1311107557266998E-3"/>
        <n v="2.07594642415643E-3"/>
        <n v="1.64567050524056E-3"/>
        <n v="1.22724496759474E-3"/>
        <n v="3.4447342623025201E-3"/>
        <n v="8.3141768118366599E-4"/>
        <n v="2.08950455999002E-4"/>
        <n v="1.19731400627643E-3"/>
        <n v="1.10272329766303E-3"/>
        <n v="1.3891105772927399E-3"/>
        <n v="7.80372461304069E-3"/>
        <n v="8.8611850515008007E-3"/>
        <n v="9.0518528595566698E-3"/>
        <n v="9.0366434305906296E-3"/>
        <n v="9.2579163610935194E-3"/>
        <n v="7.8070834279060398E-3"/>
        <n v="9.5164868980646101E-4"/>
        <n v="9.1995028778910602E-3"/>
        <n v="8.7940655648708291E-3"/>
        <n v="8.9511256664991396E-3"/>
        <n v="8.9929094538092596E-3"/>
        <n v="7.7217118814587602E-3"/>
        <n v="7.7134273014962699E-3"/>
        <n v="6.00792188197374E-3"/>
        <n v="6.8299095146357996E-3"/>
        <n v="6.7685232497751704E-3"/>
        <n v="6.7744739353656803E-3"/>
        <n v="6.7209787666797603E-3"/>
        <n v="6.0105496086180201E-3"/>
      </sharedItems>
    </cacheField>
    <cacheField name="SOURCETSID" numFmtId="0" sqlType="6">
      <sharedItems containsSemiMixedTypes="0" containsString="0" containsNumber="1" containsInteger="1" minValue="0" maxValue="2" count="3">
        <n v="0"/>
        <n v="2"/>
        <n v="1"/>
      </sharedItems>
    </cacheField>
    <cacheField name="FEATURE" numFmtId="0" sqlType="12">
      <sharedItems count="4">
        <s v="LOW"/>
        <s v="CLOSE"/>
        <s v="OPEN"/>
        <s v="HIGH"/>
      </sharedItems>
    </cacheField>
    <cacheField name="AVGERROR" numFmtId="0" sqlType="6">
      <sharedItems containsSemiMixedTypes="0" containsString="0" containsNumber="1" minValue="1.5928623627643199E-5" maxValue="7.0400349081716227"/>
    </cacheField>
    <cacheField name="AVGBARWIDTH" numFmtId="0" sqlType="6">
      <sharedItems containsSemiMixedTypes="0" containsString="0" containsNumber="1" minValue="1.542079496383667E-3" maxValue="12.081440000000001" count="22">
        <n v="1.122694412867228E-2"/>
        <n v="12.081440000000001"/>
        <n v="4.1837557812500004"/>
        <n v="1.6804070806503296E-3"/>
        <n v="1.6805265741666731E-3"/>
        <n v="1.754858380272275E-3"/>
        <n v="1.6802961518410824E-3"/>
        <n v="1.7900900407270953E-3"/>
        <n v="1.3015826361112861E-2"/>
        <n v="1.3011323714256288E-2"/>
        <n v="1.3018021526677945E-2"/>
        <n v="1.7581009864807129E-3"/>
        <n v="1.542079496383667E-3"/>
        <n v="1.7058674494425457E-3"/>
        <n v="1.273798346519469E-2"/>
        <n v="1.7380982637405396E-3"/>
        <n v="1.1895761035737536E-2"/>
        <n v="1.1987898349761964E-2"/>
        <n v="1.1979271065105093E-2"/>
        <n v="1.7018723487854004E-3"/>
        <n v="4.8682253906249997"/>
        <n v="8.8027999999999995"/>
      </sharedItems>
    </cacheField>
    <cacheField name="RUNTYPE" numFmtId="0" sqlType="12">
      <sharedItems count="2">
        <s v="INS"/>
        <s v="OOS"/>
      </sharedItems>
    </cacheField>
    <cacheField name="HISTORYLENT" numFmtId="0" sqlType="6">
      <sharedItems containsSemiMixedTypes="0" containsString="0" containsNumber="1" containsInteger="1" minValue="1050" maxValue="25000" count="5">
        <n v="1050"/>
        <n v="25000"/>
        <n v="5020"/>
        <n v="5000"/>
        <n v="5030"/>
      </sharedItems>
    </cacheField>
    <cacheField name="TOPOLOGY" numFmtId="0" sqlType="12">
      <sharedItems count="7">
        <s v="0.5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1,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2,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haredItems>
    </cacheField>
    <cacheField name="MAXEPOCHST" numFmtId="0" sqlType="6">
      <sharedItems containsSemiMixedTypes="0" containsString="0" containsNumber="1" containsInteger="1" minValue="5" maxValue="5000" count="14">
        <n v="500"/>
        <n v="50"/>
        <n v="5000"/>
        <n v="100" u="1"/>
        <n v="1000" u="1"/>
        <n v="5" u="1"/>
        <n v="15" u="1"/>
        <n v="300" u="1"/>
        <n v="20" u="1"/>
        <n v="1500" u="1"/>
        <n v="25" u="1"/>
        <n v="150" u="1"/>
        <n v="200" u="1"/>
        <n v="10" u="1"/>
      </sharedItems>
    </cacheField>
    <cacheField name="MAXKT" numFmtId="0" sqlType="6">
      <sharedItems containsString="0" containsBlank="1" count="1">
        <m/>
      </sharedItems>
    </cacheField>
    <cacheField name="SAMPLELENT" numFmtId="0" sqlType="6">
      <sharedItems containsSemiMixedTypes="0" containsString="0" containsNumber="1" containsInteger="1" minValue="5" maxValue="200" count="9">
        <n v="50"/>
        <n v="200"/>
        <n v="5"/>
        <n v="100"/>
        <n v="10"/>
        <n v="20"/>
        <n v="30"/>
        <n v="24" u="1"/>
        <n v="12" u="1"/>
      </sharedItems>
    </cacheField>
    <cacheField name="DATE0T" numFmtId="0" sqlType="12">
      <sharedItems count="1">
        <s v="2018-05-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0T" numFmtId="0" sqlType="12">
      <sharedItems count="2">
        <s v="SIN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EURUS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1T" numFmtId="0" sqlType="12">
      <sharedItems containsBlank="1" count="2">
        <m/>
        <s v="SP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2T" numFmtId="0" sqlType="12">
      <sharedItems containsBlank="1" count="2">
        <m/>
        <s v="EtxEur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TIMEFRAMET" numFmtId="0" sqlType="12">
      <sharedItems count="2">
        <s v="D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DATATRANSFORMATIONT" numFmtId="0" sqlType="12">
      <sharedItems count="2">
        <s v="DT_NON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HISTORYLENI" numFmtId="0" sqlType="6">
      <sharedItems containsSemiMixedTypes="0" containsString="0" containsNumber="1" containsInteger="1" minValue="20" maxValue="25000" count="13">
        <n v="1050"/>
        <n v="25000"/>
        <n v="105"/>
        <n v="110"/>
        <n v="5020"/>
        <n v="5000"/>
        <n v="5030"/>
        <n v="100"/>
        <n v="150"/>
        <n v="20"/>
        <n v="200"/>
        <n v="210"/>
        <n v="400"/>
      </sharedItems>
    </cacheField>
    <cacheField name="TOPOLOGY2" numFmtId="0" sqlType="12">
      <sharedItems containsBlank="1" count="5">
        <s v="0.5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m/>
        <s v="2,1,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MAXEPOCHSI" numFmtId="0" sqlType="6">
      <sharedItems containsString="0" containsBlank="1" containsNumber="1" containsInteger="1" minValue="50" maxValue="5000" count="4">
        <n v="500"/>
        <n v="50"/>
        <m/>
        <n v="5000"/>
      </sharedItems>
    </cacheField>
    <cacheField name="SAMPLELENI" numFmtId="0" sqlType="6">
      <sharedItems containsSemiMixedTypes="0" containsString="0" containsNumber="1" containsInteger="1" minValue="5" maxValue="200" count="7">
        <n v="50"/>
        <n v="200"/>
        <n v="5"/>
        <n v="100"/>
        <n v="10"/>
        <n v="20"/>
        <n v="30"/>
      </sharedItems>
    </cacheField>
    <cacheField name="DATE0I" numFmtId="0" sqlType="12">
      <sharedItems count="3">
        <s v="2018-05-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018-06-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018-06-1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0I" numFmtId="0" sqlType="12">
      <sharedItems count="2">
        <s v="SIN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EURUS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1I" numFmtId="0" sqlType="12">
      <sharedItems containsBlank="1" count="2">
        <m/>
        <s v="SP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2I" numFmtId="0" sqlType="12">
      <sharedItems containsBlank="1" count="2">
        <m/>
        <s v="EtxEur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TIMEFRAMEI" numFmtId="0" sqlType="12">
      <sharedItems count="2">
        <s v="D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DATATRANSFORMATIONI" numFmtId="0" sqlType="12">
      <sharedItems count="2">
        <s v="DT_NON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CORE0USECONTEXT" numFmtId="0" sqlType="12">
      <sharedItems count="2">
        <s v="tru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fal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TIMESERIESCOUNT" numFmtId="0" sqlType="12">
      <sharedItems count="2">
        <s v="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3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ErrorPIPs" numFmtId="0" formula="AVGERROR*10000" databaseField="0"/>
  </cacheFields>
  <extLst>
    <ext xmlns:x14="http://schemas.microsoft.com/office/spreadsheetml/2009/9/main" uri="{725AE2AE-9491-48be-B2B4-4EB974FC3084}">
      <x14:pivotCacheDefinition pivotCacheId="6"/>
    </ext>
  </extLst>
</pivotCacheDefinition>
</file>

<file path=xl/pivotCache/pivotCacheDefinition5.xml><?xml version="1.0" encoding="utf-8"?>
<pivotCacheDefinition xmlns="http://schemas.openxmlformats.org/spreadsheetml/2006/main" xmlns:r="http://schemas.openxmlformats.org/officeDocument/2006/relationships" saveData="0" refreshedBy="gcaglion" refreshedDate="43573.996694791669" createdVersion="5" refreshedVersion="5" minRefreshableVersion="3" recordCount="1100">
  <cacheSource type="external" connectionId="3"/>
  <cacheFields count="7">
    <cacheField name="SIMULATIONID" numFmtId="0" sqlType="6">
      <sharedItems containsSemiMixedTypes="0" containsString="0" containsNumber="1" containsInteger="1" minValue="3" maxValue="101" count="37">
        <n v="99"/>
        <n v="96" u="1"/>
        <n v="100" u="1"/>
        <n v="83" u="1"/>
        <n v="5" u="1"/>
        <n v="40" u="1"/>
        <n v="87" u="1"/>
        <n v="66" u="1"/>
        <n v="95" u="1"/>
        <n v="6" u="1"/>
        <n v="48" u="1"/>
        <n v="82" u="1"/>
        <n v="50" u="1"/>
        <n v="86" u="1"/>
        <n v="7" u="1"/>
        <n v="94" u="1"/>
        <n v="21" u="1"/>
        <n v="98" u="1"/>
        <n v="77" u="1"/>
        <n v="22" u="1"/>
        <n v="81" u="1"/>
        <n v="3" u="1"/>
        <n v="8" u="1"/>
        <n v="85" u="1"/>
        <n v="89" u="1"/>
        <n v="9" u="1"/>
        <n v="97" u="1"/>
        <n v="101" u="1"/>
        <n v="80" u="1"/>
        <n v="49" u="1"/>
        <n v="84" u="1"/>
        <n v="11" u="1"/>
        <n v="51" u="1"/>
        <n v="88" u="1"/>
        <n v="31" u="1"/>
        <n v="4" u="1"/>
        <n v="32" u="1"/>
      </sharedItems>
    </cacheField>
    <cacheField name="PROCESSID" numFmtId="0" sqlType="6">
      <sharedItems containsSemiMixedTypes="0" containsString="0" containsNumber="1" containsInteger="1" minValue="32" maxValue="89824" count="526">
        <n v="3560"/>
        <n v="8148"/>
        <n v="11460"/>
        <n v="13132"/>
        <n v="8816" u="1"/>
        <n v="7464" u="1"/>
        <n v="10124" u="1"/>
        <n v="3700" u="1"/>
        <n v="6495" u="1"/>
        <n v="2140" u="1"/>
        <n v="1964" u="1"/>
        <n v="4935" u="1"/>
        <n v="6692" u="1"/>
        <n v="6172" u="1"/>
        <n v="1444" u="1"/>
        <n v="9163" u="1"/>
        <n v="11180" u="1"/>
        <n v="5392" u="1"/>
        <n v="9620" u="1"/>
        <n v="1184" u="1"/>
        <n v="4612" u="1"/>
        <n v="4352" u="1"/>
        <n v="3964" u="1"/>
        <n v="7283" u="1"/>
        <n v="9888" u="1"/>
        <n v="9368" u="1"/>
        <n v="1576" u="1"/>
        <n v="5920" u="1"/>
        <n v="4620" u="1"/>
        <n v="2408" u="1"/>
        <n v="8864" u="1"/>
        <n v="2148" u="1"/>
        <n v="8344" u="1"/>
        <n v="5731" u="1"/>
        <n v="7228" u="1"/>
        <n v="6448" u="1"/>
        <n v="10172" u="1"/>
        <n v="4888" u="1"/>
        <n v="2932" u="1"/>
        <n v="10960" u="1"/>
        <n v="6976" u="1"/>
        <n v="11228" u="1"/>
        <n v="4896" u="1"/>
        <n v="1060" u="1"/>
        <n v="3976" u="1"/>
        <n v="240" u="1"/>
        <n v="5353" u="1"/>
        <n v="14616" u="1"/>
        <n v="3456" u="1"/>
        <n v="2676" u="1"/>
        <n v="2416" u="1"/>
        <n v="8896" u="1"/>
        <n v="7504" u="1"/>
        <n v="5944" u="1"/>
        <n v="9952" u="1"/>
        <n v="8912" u="1"/>
        <n v="7512" u="1"/>
        <n v="7252" u="1"/>
        <n v="6992" u="1"/>
        <n v="12820" u="1"/>
        <n v="5692" u="1"/>
        <n v="10220" u="1"/>
        <n v="1259" u="1"/>
        <n v="4912" u="1"/>
        <n v="9700" u="1"/>
        <n v="3724" u="1"/>
        <n v="14648" u="1"/>
        <n v="9448" u="1"/>
        <n v="8928" u="1"/>
        <n v="1976" u="1"/>
        <n v="7520" u="1"/>
        <n v="7260" u="1"/>
        <n v="6740" u="1"/>
        <n v="5960" u="1"/>
        <n v="11276" u="1"/>
        <n v="5440" u="1"/>
        <n v="10236" u="1"/>
        <n v="9716" u="1"/>
        <n v="9196" u="1"/>
        <n v="4400" u="1"/>
        <n v="4140" u="1"/>
        <n v="3468" u="1"/>
        <n v="2168" u="1"/>
        <n v="7268" u="1"/>
        <n v="6748" u="1"/>
        <n v="13372" u="1"/>
        <n v="6488" u="1"/>
        <n v="1328" u="1"/>
        <n v="4928" u="1"/>
        <n v="8692" u="1"/>
        <n v="1068" u="1"/>
        <n v="10000" u="1"/>
        <n v="1980" u="1"/>
        <n v="7796" u="1"/>
        <n v="7536" u="1"/>
        <n v="6496" u="1"/>
        <n v="5196" u="1"/>
        <n v="4936" u="1"/>
        <n v="8708" u="1"/>
        <n v="3736" u="1"/>
        <n v="3476" u="1"/>
        <n v="2436" u="1"/>
        <n v="6827" u="1"/>
        <n v="6307" u="1"/>
        <n v="8456" u="1"/>
        <n v="8064" u="1"/>
        <n v="7284" u="1"/>
        <n v="6764" u="1"/>
        <n v="4684" u="1"/>
        <n v="4164" u="1"/>
        <n v="8135" u="1"/>
        <n v="73624" u="1"/>
        <n v="8992" u="1"/>
        <n v="528" u="1"/>
        <n v="8072" u="1"/>
        <n v="5992" u="1"/>
        <n v="5732" u="1"/>
        <n v="5212" u="1"/>
        <n v="9780" u="1"/>
        <n v="9260" u="1"/>
        <n v="984" u="1"/>
        <n v="2444" u="1"/>
        <n v="9528" u="1"/>
        <n v="7820" u="1"/>
        <n v="488" u="1"/>
        <n v="6780" u="1"/>
        <n v="6260" u="1"/>
        <n v="10836" u="1"/>
        <n v="1336" u="1"/>
        <n v="8236" u="1"/>
        <n v="3748" u="1"/>
        <n v="11167" u="1"/>
        <n v="3228" u="1"/>
        <n v="10584" u="1"/>
        <n v="7568" u="1"/>
        <n v="12932" u="1"/>
        <n v="5748" u="1"/>
        <n v="8252" u="1"/>
        <n v="4012" u="1"/>
        <n v="12160" u="1"/>
        <n v="2712" u="1"/>
        <n v="10600" u="1"/>
        <n v="10080" u="1"/>
        <n v="9560" u="1"/>
        <n v="596" u="1"/>
        <n v="7316" u="1"/>
        <n v="1340" u="1"/>
        <n v="10348" u="1"/>
        <n v="4456" u="1"/>
        <n v="8788" u="1"/>
        <n v="15296" u="1"/>
        <n v="3756" u="1"/>
        <n v="532" u="1"/>
        <n v="7064" u="1"/>
        <n v="1732" u="1"/>
        <n v="6804" u="1"/>
        <n v="5764" u="1"/>
        <n v="10364" u="1"/>
        <n v="1212" u="1"/>
        <n v="4464" u="1"/>
        <n v="8804" u="1"/>
        <n v="11672" u="1"/>
        <n v="9592" u="1"/>
        <n v="7072" u="1"/>
        <n v="6552" u="1"/>
        <n v="96" u="1"/>
        <n v="360" u="1"/>
        <n v="1344" u="1"/>
        <n v="5252" u="1"/>
        <n v="8820" u="1"/>
        <n v="8300" u="1"/>
        <n v="3244" u="1"/>
        <n v="2984" u="1"/>
        <n v="7403" u="1"/>
        <n v="7860" u="1"/>
        <n v="1736" u="1"/>
        <n v="5000" u="1"/>
        <n v="9356" u="1"/>
        <n v="4028" u="1"/>
        <n v="10664" u="1"/>
        <n v="2468" u="1"/>
        <n v="7868" u="1"/>
        <n v="7088" u="1"/>
        <n v="6828" u="1"/>
        <n v="1608" u="1"/>
        <n v="6048" u="1"/>
        <n v="11972" u="1"/>
        <n v="10932" u="1"/>
        <n v="9892" u="1"/>
        <n v="9372" u="1"/>
        <n v="4228" u="1"/>
        <n v="796" u="1"/>
        <n v="2472" u="1"/>
        <n v="9120" u="1"/>
        <n v="7876" u="1"/>
        <n v="7616" u="1"/>
        <n v="6316" u="1"/>
        <n v="5796" u="1"/>
        <n v="4756" u="1"/>
        <n v="8144" u="1"/>
        <n v="7884" u="1"/>
        <n v="7364" u="1"/>
        <n v="7104" u="1"/>
        <n v="13044" u="1"/>
        <n v="5284" u="1"/>
        <n v="8364" u="1"/>
        <n v="3780" u="1"/>
        <n v="8632" u="1"/>
        <n v="15140" u="1"/>
        <n v="1484" u="1"/>
        <n v="5812" u="1"/>
        <n v="10460" u="1"/>
        <n v="8380" u="1"/>
        <n v="3264" u="1"/>
        <n v="6860" u="1"/>
        <n v="5820" u="1"/>
        <n v="5040" u="1"/>
        <n v="8396" u="1"/>
        <n v="3528" u="1"/>
        <n v="9184" u="1"/>
        <n v="8168" u="1"/>
        <n v="2008" u="1"/>
        <n v="7908" u="1"/>
        <n v="7648" u="1"/>
        <n v="1748" u="1"/>
        <n v="6608" u="1"/>
        <n v="11532" u="1"/>
        <n v="5568" u="1"/>
        <n v="7719" u="1"/>
        <n v="9720" u="1"/>
        <n v="7656" u="1"/>
        <n v="10508" u="1"/>
        <n v="3276" u="1"/>
        <n v="6364" u="1"/>
        <n v="5844" u="1"/>
        <n v="10004" u="1"/>
        <n v="4804" u="1"/>
        <n v="9484" u="1"/>
        <n v="8444" u="1"/>
        <n v="3800" u="1"/>
        <n v="10272" u="1"/>
        <n v="9752" u="1"/>
        <n v="9232" u="1"/>
        <n v="6435" u="1"/>
        <n v="6892" u="1"/>
        <n v="13140" u="1"/>
        <n v="1624" u="1"/>
        <n v="6112" u="1"/>
        <n v="4812" u="1"/>
        <n v="4064" u="1"/>
        <n v="12888" u="1"/>
        <n v="9768" u="1"/>
        <n v="9248" u="1"/>
        <n v="544" u="1"/>
        <n v="8208" u="1"/>
        <n v="6640" u="1"/>
        <n v="5340" u="1"/>
        <n v="5080" u="1"/>
        <n v="10036" u="1"/>
        <n v="1236" u="1"/>
        <n v="3288" u="1"/>
        <n v="11864" u="1"/>
        <n v="10304" u="1"/>
        <n v="9784" u="1"/>
        <n v="8744" u="1"/>
        <n v="7688" u="1"/>
        <n v="6648" u="1"/>
        <n v="13172" u="1"/>
        <n v="11612" u="1"/>
        <n v="10572" u="1"/>
        <n v="10052" u="1"/>
        <n v="8492" u="1"/>
        <n v="3812" u="1"/>
        <n v="11880" u="1"/>
        <n v="32" u="1"/>
        <n v="7176" u="1"/>
        <n v="6396" u="1"/>
        <n v="5616" u="1"/>
        <n v="5356" u="1"/>
        <n v="9548" u="1"/>
        <n v="8508" u="1"/>
        <n v="9816" u="1"/>
        <n v="2256" u="1"/>
        <n v="7444" u="1"/>
        <n v="6924" u="1"/>
        <n v="6664" u="1"/>
        <n v="9044" u="1"/>
        <n v="8524" u="1"/>
        <n v="11912" u="1"/>
        <n v="9832" u="1"/>
        <n v="9312" u="1"/>
        <n v="6932" u="1"/>
        <n v="6152" u="1"/>
        <n v="5892" u="1"/>
        <n v="11140" u="1"/>
        <n v="5372" u="1"/>
        <n v="9580" u="1"/>
        <n v="8540" u="1"/>
        <n v="61028" u="1"/>
        <n v="11408" u="1"/>
        <n v="2524" u="1"/>
        <n v="9848" u="1"/>
        <n v="7980" u="1"/>
        <n v="7460" u="1"/>
        <n v="8556" u="1"/>
        <n v="47036" u="1"/>
        <n v="2528" u="1"/>
        <n v="9344" u="1"/>
        <n v="8304" u="1"/>
        <n v="5648" u="1"/>
        <n v="8572" u="1"/>
        <n v="3832" u="1"/>
        <n v="7476" u="1"/>
        <n v="6176" u="1"/>
        <n v="5656" u="1"/>
        <n v="5396" u="1"/>
        <n v="4616" u="1"/>
        <n v="3576" u="1"/>
        <n v="3056" u="1"/>
        <n v="9896" u="1"/>
        <n v="8856" u="1"/>
        <n v="1772" u="1"/>
        <n v="9644" u="1"/>
        <n v="9124" u="1"/>
        <n v="9912" u="1"/>
        <n v="2280" u="1"/>
        <n v="8012" u="1"/>
        <n v="3907" u="1"/>
        <n v="7232" u="1"/>
        <n v="5932" u="1"/>
        <n v="11740" u="1"/>
        <n v="4112" u="1"/>
        <n v="944" u="1"/>
        <n v="10968" u="1"/>
        <n v="7760" u="1"/>
        <n v="6460" u="1"/>
        <n v="1516" u="1"/>
        <n v="5940" u="1"/>
        <n v="10196" u="1"/>
        <n v="8636" u="1"/>
        <n v="14104" u="1"/>
        <n v="880" u="1"/>
        <n v="1908" u="1"/>
        <n v="5688" u="1"/>
        <n v="1388" u="1"/>
        <n v="8195" u="1"/>
        <n v="9172" u="1"/>
        <n v="13868" u="1"/>
        <n v="11268" u="1"/>
        <n v="5176" u="1"/>
        <n v="10228" u="1"/>
        <n v="3076" u="1"/>
        <n v="7524" u="1"/>
        <n v="7264" u="1"/>
        <n v="1132" u="1"/>
        <n v="3860" u="1"/>
        <n v="8952" u="1"/>
        <n v="8432" u="1"/>
        <n v="2044" u="1"/>
        <n v="8052" u="1"/>
        <n v="7532" u="1"/>
        <n v="7272" u="1"/>
        <n v="10260" u="1"/>
        <n v="1264" u="1"/>
        <n v="4152" u="1"/>
        <n v="2564" u="1"/>
        <n v="10008" u="1"/>
        <n v="624" u="1"/>
        <n v="9488" u="1"/>
        <n v="7020" u="1"/>
        <n v="11836" u="1"/>
        <n v="10796" u="1"/>
        <n v="4160" u="1"/>
        <n v="3088" u="1"/>
        <n v="10544" u="1"/>
        <n v="560" u="1"/>
        <n v="7808" u="1"/>
        <n v="6508" u="1"/>
        <n v="10355" u="1"/>
        <n v="3352" u="1"/>
        <n v="12640" u="1"/>
        <n v="12120" u="1"/>
        <n v="89824" u="1"/>
        <n v="9063" u="1"/>
        <n v="10560" u="1"/>
        <n v="8480" u="1"/>
        <n v="7296" u="1"/>
        <n v="5216" u="1"/>
        <n v="9788" u="1"/>
        <n v="4696" u="1"/>
        <n v="8748" u="1"/>
        <n v="3616" u="1"/>
        <n v="14216" u="1"/>
        <n v="6587" u="1"/>
        <n v="1792" u="1"/>
        <n v="6784" u="1"/>
        <n v="6264" u="1"/>
        <n v="11884" u="1"/>
        <n v="13192" u="1"/>
        <n v="3100" u="1"/>
        <n v="11632" u="1"/>
        <n v="10592" u="1"/>
        <n v="2580" u="1"/>
        <n v="1924" u="1"/>
        <n v="2844" u="1"/>
        <n v="9568" u="1"/>
        <n v="9048" u="1"/>
        <n v="2064" u="1"/>
        <n v="7580" u="1"/>
        <n v="12956" u="1"/>
        <n v="4980" u="1"/>
        <n v="9836" u="1"/>
        <n v="12184" u="1"/>
        <n v="2848" u="1"/>
        <n v="10104" u="1"/>
        <n v="6548" u="1"/>
        <n v="5768" u="1"/>
        <n v="1408" u="1"/>
        <n v="3892" u="1"/>
        <n v="956" u="1"/>
        <n v="10120" u="1"/>
        <n v="6556" u="1"/>
        <n v="6296" u="1"/>
        <n v="5776" u="1"/>
        <n v="8308" u="1"/>
        <n v="10136" u="1"/>
        <n v="8576" u="1"/>
        <n v="6564" u="1"/>
        <n v="5004" u="1"/>
        <n v="9884" u="1"/>
        <n v="8324" u="1"/>
        <n v="3120" u="1"/>
        <n v="7415" u="1"/>
        <n v="10152" u="1"/>
        <n v="8592" u="1"/>
        <n v="8132" u="1"/>
        <n v="7612" u="1"/>
        <n v="5532" u="1"/>
        <n v="10420" u="1"/>
        <n v="9900" u="1"/>
        <n v="9380" u="1"/>
        <n v="12768" u="1"/>
        <n v="2864" u="1"/>
        <n v="2344" u="1"/>
        <n v="8140" u="1"/>
        <n v="7620" u="1"/>
        <n v="7360" u="1"/>
        <n v="6320" u="1"/>
        <n v="1416" u="1"/>
        <n v="8356" u="1"/>
        <n v="11744" u="1"/>
        <n v="6651" u="1"/>
        <n v="8624" u="1"/>
        <n v="7888" u="1"/>
        <n v="7628" u="1"/>
        <n v="476" u="1"/>
        <n v="1548" u="1"/>
        <n v="8892" u="1"/>
        <n v="2872" u="1"/>
        <n v="7636" u="1"/>
        <n v="7376" u="1"/>
        <n v="444" u="1"/>
        <n v="6856" u="1"/>
        <n v="9948" u="1"/>
        <n v="9176" u="1"/>
        <n v="8164" u="1"/>
        <n v="5304" u="1"/>
        <n v="4264" u="1"/>
        <n v="3400" u="1"/>
        <n v="2620" u="1"/>
        <n v="10232" u="1"/>
        <n v="2100" u="1"/>
        <n v="7912" u="1"/>
        <n v="6092" u="1"/>
        <n v="1164" u="1"/>
        <n v="8420" u="1"/>
        <n v="3144" u="1"/>
        <n v="11808" u="1"/>
        <n v="9728" u="1"/>
        <n v="6880" u="1"/>
        <n v="12076" u="1"/>
        <n v="9996" u="1"/>
        <n v="14944" u="1"/>
        <n v="13652" u="1"/>
        <n v="5848" u="1"/>
        <n v="8972" u="1"/>
        <n v="8200" u="1"/>
        <n v="7156" u="1"/>
        <n v="5856" u="1"/>
        <n v="11588" u="1"/>
        <n v="11068" u="1"/>
        <n v="5076" u="1"/>
        <n v="9508" u="1"/>
        <n v="8988" u="1"/>
        <n v="8216" u="1"/>
        <n v="7944" u="1"/>
        <n v="6644" u="1"/>
        <n v="6384" u="1"/>
        <n v="5084" u="1"/>
        <n v="10044" u="1"/>
        <n v="42336" u="1"/>
        <n v="2707" u="1"/>
        <n v="10580" u="1"/>
        <n v="8500" u="1"/>
        <n v="7440" u="1"/>
        <n v="6920" u="1"/>
        <n v="6400" u="1"/>
        <n v="11116" u="1"/>
        <n v="3688" u="1"/>
        <n v="11904" u="1"/>
        <n v="1828" u="1"/>
        <n v="7188" u="1"/>
        <n v="416" u="1"/>
        <n v="5368" u="1"/>
        <n v="4848" u="1"/>
        <n v="4328" u="1"/>
        <n v="8532" u="1"/>
        <n v="8863" u="1"/>
        <n v="10880" u="1"/>
        <n v="10360" u="1"/>
        <n v="2132" u="1"/>
        <n v="7716" u="1"/>
        <n v="12708" u="1"/>
        <n v="4856" u="1"/>
        <n v="9588" u="1"/>
        <n v="3696" u="1"/>
      </sharedItems>
    </cacheField>
    <cacheField name="THREADID" numFmtId="0" sqlType="6">
      <sharedItems containsSemiMixedTypes="0" containsString="0" containsNumber="1" containsInteger="1" minValue="1820" maxValue="10744" count="4">
        <n v="10744"/>
        <n v="6100"/>
        <n v="1820"/>
        <n v="10280"/>
      </sharedItems>
    </cacheField>
    <cacheField name="EPOCH" numFmtId="0" sqlType="6">
      <sharedItems containsSemiMixedTypes="0" containsString="0" containsNumber="1" containsInteger="1" minValue="0" maxValue="4999" count="5000">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4"/>
        <n v="195"/>
        <n v="196"/>
        <n v="197"/>
        <n v="198"/>
        <n v="199"/>
        <n v="200"/>
        <n v="201"/>
        <n v="202"/>
        <n v="203"/>
        <n v="204"/>
        <n v="205"/>
        <n v="206"/>
        <n v="207"/>
        <n v="208"/>
        <n v="209"/>
        <n v="210"/>
        <n v="211"/>
        <n v="212"/>
        <n v="213"/>
        <n v="214"/>
        <n v="215"/>
        <n v="216"/>
        <n v="217"/>
        <n v="218"/>
        <n v="219"/>
        <n v="220"/>
        <n v="221"/>
        <n v="222"/>
        <n v="223"/>
        <n v="224"/>
        <n v="225"/>
        <n v="226"/>
        <n v="227"/>
        <n v="228"/>
        <n v="229"/>
        <n v="230"/>
        <n v="231"/>
        <n v="232"/>
        <n v="233"/>
        <n v="234"/>
        <n v="235"/>
        <n v="236"/>
        <n v="237"/>
        <n v="238"/>
        <n v="239"/>
        <n v="240"/>
        <n v="241"/>
        <n v="242"/>
        <n v="243"/>
        <n v="244"/>
        <n v="245"/>
        <n v="246"/>
        <n v="247"/>
        <n v="248"/>
        <n v="249"/>
        <n v="250"/>
        <n v="251"/>
        <n v="252"/>
        <n v="253"/>
        <n v="254"/>
        <n v="255"/>
        <n v="256"/>
        <n v="257"/>
        <n v="258"/>
        <n v="259"/>
        <n v="260"/>
        <n v="261"/>
        <n v="262"/>
        <n v="263"/>
        <n v="264"/>
        <n v="265"/>
        <n v="266"/>
        <n v="267"/>
        <n v="268"/>
        <n v="269"/>
        <n v="270"/>
        <n v="271"/>
        <n v="272"/>
        <n v="273"/>
        <n v="274"/>
        <n v="275"/>
        <n v="276"/>
        <n v="277"/>
        <n v="278"/>
        <n v="279"/>
        <n v="280"/>
        <n v="281"/>
        <n v="282"/>
        <n v="283"/>
        <n v="284"/>
        <n v="285"/>
        <n v="286"/>
        <n v="287"/>
        <n v="288"/>
        <n v="289"/>
        <n v="290"/>
        <n v="291"/>
        <n v="292"/>
        <n v="293"/>
        <n v="294"/>
        <n v="295"/>
        <n v="296"/>
        <n v="297"/>
        <n v="298"/>
        <n v="299"/>
        <n v="300"/>
        <n v="301"/>
        <n v="302"/>
        <n v="303"/>
        <n v="304"/>
        <n v="305"/>
        <n v="306"/>
        <n v="307"/>
        <n v="308"/>
        <n v="309"/>
        <n v="310"/>
        <n v="311"/>
        <n v="312"/>
        <n v="313"/>
        <n v="314"/>
        <n v="315"/>
        <n v="316"/>
        <n v="317"/>
        <n v="318"/>
        <n v="319"/>
        <n v="320"/>
        <n v="321"/>
        <n v="322"/>
        <n v="323"/>
        <n v="324"/>
        <n v="325"/>
        <n v="326"/>
        <n v="327"/>
        <n v="328"/>
        <n v="329"/>
        <n v="330"/>
        <n v="331"/>
        <n v="332"/>
        <n v="333"/>
        <n v="334"/>
        <n v="335"/>
        <n v="336"/>
        <n v="337"/>
        <n v="338"/>
        <n v="339"/>
        <n v="340"/>
        <n v="341"/>
        <n v="342"/>
        <n v="343"/>
        <n v="344"/>
        <n v="345"/>
        <n v="346"/>
        <n v="347"/>
        <n v="348"/>
        <n v="349"/>
        <n v="350"/>
        <n v="351"/>
        <n v="352"/>
        <n v="353"/>
        <n v="354"/>
        <n v="355"/>
        <n v="356"/>
        <n v="357"/>
        <n v="358"/>
        <n v="359"/>
        <n v="360"/>
        <n v="361"/>
        <n v="362"/>
        <n v="363"/>
        <n v="364"/>
        <n v="365"/>
        <n v="366"/>
        <n v="367"/>
        <n v="368"/>
        <n v="369"/>
        <n v="370"/>
        <n v="371"/>
        <n v="372"/>
        <n v="373"/>
        <n v="374"/>
        <n v="375"/>
        <n v="376"/>
        <n v="377"/>
        <n v="378"/>
        <n v="379"/>
        <n v="380"/>
        <n v="381"/>
        <n v="382"/>
        <n v="383"/>
        <n v="384"/>
        <n v="385"/>
        <n v="386"/>
        <n v="387"/>
        <n v="388"/>
        <n v="389"/>
        <n v="390"/>
        <n v="391"/>
        <n v="392"/>
        <n v="393"/>
        <n v="394"/>
        <n v="395"/>
        <n v="396"/>
        <n v="397"/>
        <n v="398"/>
        <n v="399"/>
        <n v="400"/>
        <n v="401"/>
        <n v="402"/>
        <n v="403"/>
        <n v="404"/>
        <n v="405"/>
        <n v="406"/>
        <n v="407"/>
        <n v="408"/>
        <n v="409"/>
        <n v="410"/>
        <n v="411"/>
        <n v="412"/>
        <n v="413"/>
        <n v="414"/>
        <n v="415"/>
        <n v="416"/>
        <n v="417"/>
        <n v="418"/>
        <n v="419"/>
        <n v="420"/>
        <n v="421"/>
        <n v="422"/>
        <n v="423"/>
        <n v="424"/>
        <n v="425"/>
        <n v="426"/>
        <n v="427"/>
        <n v="428"/>
        <n v="429"/>
        <n v="430"/>
        <n v="431"/>
        <n v="432"/>
        <n v="433"/>
        <n v="434"/>
        <n v="435"/>
        <n v="436"/>
        <n v="437"/>
        <n v="438"/>
        <n v="439"/>
        <n v="440"/>
        <n v="441"/>
        <n v="442"/>
        <n v="443"/>
        <n v="444"/>
        <n v="445"/>
        <n v="446"/>
        <n v="447"/>
        <n v="448"/>
        <n v="449"/>
        <n v="450"/>
        <n v="451"/>
        <n v="452"/>
        <n v="453"/>
        <n v="454"/>
        <n v="455"/>
        <n v="456"/>
        <n v="457"/>
        <n v="458"/>
        <n v="459"/>
        <n v="460"/>
        <n v="461"/>
        <n v="462"/>
        <n v="463"/>
        <n v="464"/>
        <n v="465"/>
        <n v="466"/>
        <n v="467"/>
        <n v="468"/>
        <n v="469"/>
        <n v="470"/>
        <n v="471"/>
        <n v="472"/>
        <n v="473"/>
        <n v="474"/>
        <n v="475"/>
        <n v="476"/>
        <n v="477"/>
        <n v="478"/>
        <n v="479"/>
        <n v="480"/>
        <n v="481"/>
        <n v="482"/>
        <n v="483"/>
        <n v="484"/>
        <n v="485"/>
        <n v="486"/>
        <n v="487"/>
        <n v="488"/>
        <n v="489"/>
        <n v="490"/>
        <n v="491"/>
        <n v="492"/>
        <n v="493"/>
        <n v="494"/>
        <n v="495"/>
        <n v="496"/>
        <n v="497"/>
        <n v="498"/>
        <n v="499"/>
        <n v="582" u="1"/>
        <n v="2266" u="1"/>
        <n v="4470" u="1"/>
        <n v="2136" u="1"/>
        <n v="4210" u="1"/>
        <n v="517" u="1"/>
        <n v="2027" u="1"/>
        <n v="4023" u="1"/>
        <n v="1962" u="1"/>
        <n v="3893" u="1"/>
        <n v="1897" u="1"/>
        <n v="3763" u="1"/>
        <n v="1832" u="1"/>
        <n v="3633" u="1"/>
        <n v="1767" u="1"/>
        <n v="3503" u="1"/>
        <n v="4927" u="1"/>
        <n v="1702" u="1"/>
        <n v="3373" u="1"/>
        <n v="4667" u="1"/>
        <n v="1637" u="1"/>
        <n v="3243" u="1"/>
        <n v="4407" u="1"/>
        <n v="1572" u="1"/>
        <n v="3113" u="1"/>
        <n v="4147" u="1"/>
        <n v="1507" u="1"/>
        <n v="2983" u="1"/>
        <n v="1442" u="1"/>
        <n v="2853" u="1"/>
        <n v="1377" u="1"/>
        <n v="2723" u="1"/>
        <n v="1312" u="1"/>
        <n v="2593" u="1"/>
        <n v="1247" u="1"/>
        <n v="2463" u="1"/>
        <n v="4864" u="1"/>
        <n v="1182" u="1"/>
        <n v="2333" u="1"/>
        <n v="4604" u="1"/>
        <n v="1117" u="1"/>
        <n v="2203" u="1"/>
        <n v="4344" u="1"/>
        <n v="1052" u="1"/>
        <n v="2073" u="1"/>
        <n v="4090" u="1"/>
        <n v="3960" u="1"/>
        <n v="973" u="1"/>
        <n v="3830" u="1"/>
        <n v="3700" u="1"/>
        <n v="908" u="1"/>
        <n v="3570" u="1"/>
        <n v="3440" u="1"/>
        <n v="4801" u="1"/>
        <n v="843" u="1"/>
        <n v="3310" u="1"/>
        <n v="4541" u="1"/>
        <n v="3180" u="1"/>
        <n v="4281" u="1"/>
        <n v="778" u="1"/>
        <n v="3050" u="1"/>
        <n v="2920" u="1"/>
        <n v="713" u="1"/>
        <n v="2790" u="1"/>
        <n v="2660" u="1"/>
        <n v="648" u="1"/>
        <n v="2530" u="1"/>
        <n v="4998" u="1"/>
        <n v="2400" u="1"/>
        <n v="4738" u="1"/>
        <n v="583" u="1"/>
        <n v="2270" u="1"/>
        <n v="4478" u="1"/>
        <n v="2140" u="1"/>
        <n v="4218" u="1"/>
        <n v="518" u="1"/>
        <n v="2029" u="1"/>
        <n v="4027" u="1"/>
        <n v="1964" u="1"/>
        <n v="3897" u="1"/>
        <n v="1899" u="1"/>
        <n v="3767" u="1"/>
        <n v="1834" u="1"/>
        <n v="3637" u="1"/>
        <n v="1769" u="1"/>
        <n v="3507" u="1"/>
        <n v="4935" u="1"/>
        <n v="1704" u="1"/>
        <n v="3377" u="1"/>
        <n v="4675" u="1"/>
        <n v="1639" u="1"/>
        <n v="3247" u="1"/>
        <n v="4415" u="1"/>
        <n v="1574" u="1"/>
        <n v="3117" u="1"/>
        <n v="4155" u="1"/>
        <n v="1509" u="1"/>
        <n v="2987" u="1"/>
        <n v="1444" u="1"/>
        <n v="2857" u="1"/>
        <n v="1379" u="1"/>
        <n v="2727" u="1"/>
        <n v="1314" u="1"/>
        <n v="2597" u="1"/>
        <n v="1249" u="1"/>
        <n v="2467" u="1"/>
        <n v="4872" u="1"/>
        <n v="1184" u="1"/>
        <n v="2337" u="1"/>
        <n v="4612" u="1"/>
        <n v="1119" u="1"/>
        <n v="2207" u="1"/>
        <n v="4352" u="1"/>
        <n v="1054" u="1"/>
        <n v="2077" u="1"/>
        <n v="4094" u="1"/>
        <n v="3964" u="1"/>
        <n v="974" u="1"/>
        <n v="3834" u="1"/>
        <n v="3704" u="1"/>
        <n v="909" u="1"/>
        <n v="3574" u="1"/>
        <n v="3444" u="1"/>
        <n v="4809" u="1"/>
        <n v="844" u="1"/>
        <n v="3314" u="1"/>
        <n v="4549" u="1"/>
        <n v="3184" u="1"/>
        <n v="4289" u="1"/>
        <n v="779" u="1"/>
        <n v="3054" u="1"/>
        <n v="2924" u="1"/>
        <n v="714" u="1"/>
        <n v="2794" u="1"/>
        <n v="2664" u="1"/>
        <n v="649" u="1"/>
        <n v="2534" u="1"/>
        <n v="2404" u="1"/>
        <n v="4746" u="1"/>
        <n v="584" u="1"/>
        <n v="2274" u="1"/>
        <n v="4486" u="1"/>
        <n v="2144" u="1"/>
        <n v="4226" u="1"/>
        <n v="519" u="1"/>
        <n v="2031" u="1"/>
        <n v="4031" u="1"/>
        <n v="1966" u="1"/>
        <n v="3901" u="1"/>
        <n v="1901" u="1"/>
        <n v="3771" u="1"/>
        <n v="1836" u="1"/>
        <n v="3641" u="1"/>
        <n v="1771" u="1"/>
        <n v="3511" u="1"/>
        <n v="4943" u="1"/>
        <n v="1706" u="1"/>
        <n v="3381" u="1"/>
        <n v="4683" u="1"/>
        <n v="1641" u="1"/>
        <n v="3251" u="1"/>
        <n v="4423" u="1"/>
        <n v="1576" u="1"/>
        <n v="3121" u="1"/>
        <n v="4163" u="1"/>
        <n v="1511" u="1"/>
        <n v="2991" u="1"/>
        <n v="1446" u="1"/>
        <n v="2861" u="1"/>
        <n v="1381" u="1"/>
        <n v="2731" u="1"/>
        <n v="1316" u="1"/>
        <n v="2601" u="1"/>
        <n v="1251" u="1"/>
        <n v="2471" u="1"/>
        <n v="4880" u="1"/>
        <n v="1186" u="1"/>
        <n v="2341" u="1"/>
        <n v="4620" u="1"/>
        <n v="1121" u="1"/>
        <n v="2211" u="1"/>
        <n v="4360" u="1"/>
        <n v="1056" u="1"/>
        <n v="2081" u="1"/>
        <n v="4100" u="1"/>
        <n v="3968" u="1"/>
        <n v="975" u="1"/>
        <n v="3838" u="1"/>
        <n v="3708" u="1"/>
        <n v="910" u="1"/>
        <n v="3578" u="1"/>
        <n v="3448" u="1"/>
        <n v="4817" u="1"/>
        <n v="845" u="1"/>
        <n v="3318" u="1"/>
        <n v="4557" u="1"/>
        <n v="3188" u="1"/>
        <n v="4297" u="1"/>
        <n v="780" u="1"/>
        <n v="3058" u="1"/>
        <n v="2928" u="1"/>
        <n v="715" u="1"/>
        <n v="2798" u="1"/>
        <n v="2668" u="1"/>
        <n v="650" u="1"/>
        <n v="2538" u="1"/>
        <n v="2408" u="1"/>
        <n v="4754" u="1"/>
        <n v="585" u="1"/>
        <n v="2278" u="1"/>
        <n v="4494" u="1"/>
        <n v="2148" u="1"/>
        <n v="4234" u="1"/>
        <n v="520" u="1"/>
        <n v="2033" u="1"/>
        <n v="4035" u="1"/>
        <n v="1968" u="1"/>
        <n v="3905" u="1"/>
        <n v="1903" u="1"/>
        <n v="3775" u="1"/>
        <n v="1838" u="1"/>
        <n v="3645" u="1"/>
        <n v="1773" u="1"/>
        <n v="3515" u="1"/>
        <n v="4951" u="1"/>
        <n v="1708" u="1"/>
        <n v="3385" u="1"/>
        <n v="4691" u="1"/>
        <n v="1643" u="1"/>
        <n v="3255" u="1"/>
        <n v="4431" u="1"/>
        <n v="1578" u="1"/>
        <n v="3125" u="1"/>
        <n v="4171" u="1"/>
        <n v="1513" u="1"/>
        <n v="2995" u="1"/>
        <n v="1448" u="1"/>
        <n v="2865" u="1"/>
        <n v="1383" u="1"/>
        <n v="2735" u="1"/>
        <n v="1318" u="1"/>
        <n v="2605" u="1"/>
        <n v="1253" u="1"/>
        <n v="2475" u="1"/>
        <n v="4888" u="1"/>
        <n v="1188" u="1"/>
        <n v="2345" u="1"/>
        <n v="4628" u="1"/>
        <n v="1123" u="1"/>
        <n v="2215" u="1"/>
        <n v="4368" u="1"/>
        <n v="1058" u="1"/>
        <n v="2085" u="1"/>
        <n v="4108" u="1"/>
        <n v="3972" u="1"/>
        <n v="976" u="1"/>
        <n v="3842" u="1"/>
        <n v="3712" u="1"/>
        <n v="911" u="1"/>
        <n v="3582" u="1"/>
        <n v="3452" u="1"/>
        <n v="4825" u="1"/>
        <n v="846" u="1"/>
        <n v="3322" u="1"/>
        <n v="4565" u="1"/>
        <n v="3192" u="1"/>
        <n v="4305" u="1"/>
        <n v="781" u="1"/>
        <n v="3062" u="1"/>
        <n v="2932" u="1"/>
        <n v="716" u="1"/>
        <n v="2802" u="1"/>
        <n v="2672" u="1"/>
        <n v="651" u="1"/>
        <n v="2542" u="1"/>
        <n v="2412" u="1"/>
        <n v="4762" u="1"/>
        <n v="586" u="1"/>
        <n v="2282" u="1"/>
        <n v="4502" u="1"/>
        <n v="2152" u="1"/>
        <n v="4242" u="1"/>
        <n v="521" u="1"/>
        <n v="2035" u="1"/>
        <n v="4039" u="1"/>
        <n v="1970" u="1"/>
        <n v="3909" u="1"/>
        <n v="1905" u="1"/>
        <n v="3779" u="1"/>
        <n v="1840" u="1"/>
        <n v="3649" u="1"/>
        <n v="1775" u="1"/>
        <n v="3519" u="1"/>
        <n v="4959" u="1"/>
        <n v="1710" u="1"/>
        <n v="3389" u="1"/>
        <n v="4699" u="1"/>
        <n v="1645" u="1"/>
        <n v="3259" u="1"/>
        <n v="4439" u="1"/>
        <n v="1580" u="1"/>
        <n v="3129" u="1"/>
        <n v="4179" u="1"/>
        <n v="1515" u="1"/>
        <n v="2999" u="1"/>
        <n v="1450" u="1"/>
        <n v="2869" u="1"/>
        <n v="1385" u="1"/>
        <n v="2739" u="1"/>
        <n v="1320" u="1"/>
        <n v="2609" u="1"/>
        <n v="1255" u="1"/>
        <n v="2479" u="1"/>
        <n v="4896" u="1"/>
        <n v="1190" u="1"/>
        <n v="2349" u="1"/>
        <n v="4636" u="1"/>
        <n v="1125" u="1"/>
        <n v="2219" u="1"/>
        <n v="4376" u="1"/>
        <n v="1060" u="1"/>
        <n v="2089" u="1"/>
        <n v="4116" u="1"/>
        <n v="3976" u="1"/>
        <n v="977" u="1"/>
        <n v="3846" u="1"/>
        <n v="3716" u="1"/>
        <n v="912" u="1"/>
        <n v="3586" u="1"/>
        <n v="3456" u="1"/>
        <n v="4833" u="1"/>
        <n v="847" u="1"/>
        <n v="3326" u="1"/>
        <n v="4573" u="1"/>
        <n v="3196" u="1"/>
        <n v="4313" u="1"/>
        <n v="782" u="1"/>
        <n v="3066" u="1"/>
        <n v="2936" u="1"/>
        <n v="717" u="1"/>
        <n v="2806" u="1"/>
        <n v="2676" u="1"/>
        <n v="652" u="1"/>
        <n v="2546" u="1"/>
        <n v="2416" u="1"/>
        <n v="4770" u="1"/>
        <n v="587" u="1"/>
        <n v="2286" u="1"/>
        <n v="4510" u="1"/>
        <n v="2156" u="1"/>
        <n v="4250" u="1"/>
        <n v="522" u="1"/>
        <n v="2037" u="1"/>
        <n v="4043" u="1"/>
        <n v="1972" u="1"/>
        <n v="3913" u="1"/>
        <n v="1907" u="1"/>
        <n v="3783" u="1"/>
        <n v="1842" u="1"/>
        <n v="3653" u="1"/>
        <n v="1777" u="1"/>
        <n v="3523" u="1"/>
        <n v="4967" u="1"/>
        <n v="1712" u="1"/>
        <n v="3393" u="1"/>
        <n v="4707" u="1"/>
        <n v="1647" u="1"/>
        <n v="3263" u="1"/>
        <n v="4447" u="1"/>
        <n v="1582" u="1"/>
        <n v="3133" u="1"/>
        <n v="4187" u="1"/>
        <n v="1517" u="1"/>
        <n v="3003" u="1"/>
        <n v="1452" u="1"/>
        <n v="2873" u="1"/>
        <n v="1387" u="1"/>
        <n v="2743" u="1"/>
        <n v="1322" u="1"/>
        <n v="2613" u="1"/>
        <n v="1257" u="1"/>
        <n v="2483" u="1"/>
        <n v="4904" u="1"/>
        <n v="1192" u="1"/>
        <n v="2353" u="1"/>
        <n v="4644" u="1"/>
        <n v="1127" u="1"/>
        <n v="2223" u="1"/>
        <n v="4384" u="1"/>
        <n v="1062" u="1"/>
        <n v="2093" u="1"/>
        <n v="4124" u="1"/>
        <n v="3980" u="1"/>
        <n v="978" u="1"/>
        <n v="3850" u="1"/>
        <n v="3720" u="1"/>
        <n v="913" u="1"/>
        <n v="3590" u="1"/>
        <n v="3460" u="1"/>
        <n v="4841" u="1"/>
        <n v="848" u="1"/>
        <n v="3330" u="1"/>
        <n v="4581" u="1"/>
        <n v="3200" u="1"/>
        <n v="4321" u="1"/>
        <n v="783" u="1"/>
        <n v="3070" u="1"/>
        <n v="2940" u="1"/>
        <n v="718" u="1"/>
        <n v="2810" u="1"/>
        <n v="2680" u="1"/>
        <n v="653" u="1"/>
        <n v="2550" u="1"/>
        <n v="2420" u="1"/>
        <n v="4778" u="1"/>
        <n v="588" u="1"/>
        <n v="2290" u="1"/>
        <n v="4518" u="1"/>
        <n v="2160" u="1"/>
        <n v="4258" u="1"/>
        <n v="523" u="1"/>
        <n v="2039" u="1"/>
        <n v="4047" u="1"/>
        <n v="1974" u="1"/>
        <n v="3917" u="1"/>
        <n v="1909" u="1"/>
        <n v="3787" u="1"/>
        <n v="1844" u="1"/>
        <n v="3657" u="1"/>
        <n v="1779" u="1"/>
        <n v="3527" u="1"/>
        <n v="4975" u="1"/>
        <n v="1714" u="1"/>
        <n v="3397" u="1"/>
        <n v="4715" u="1"/>
        <n v="1649" u="1"/>
        <n v="3267" u="1"/>
        <n v="4455" u="1"/>
        <n v="1584" u="1"/>
        <n v="3137" u="1"/>
        <n v="4195" u="1"/>
        <n v="1519" u="1"/>
        <n v="3007" u="1"/>
        <n v="1454" u="1"/>
        <n v="2877" u="1"/>
        <n v="1389" u="1"/>
        <n v="2747" u="1"/>
        <n v="1324" u="1"/>
        <n v="2617" u="1"/>
        <n v="1259" u="1"/>
        <n v="2487" u="1"/>
        <n v="4912" u="1"/>
        <n v="1194" u="1"/>
        <n v="2357" u="1"/>
        <n v="4652" u="1"/>
        <n v="1129" u="1"/>
        <n v="2227" u="1"/>
        <n v="4392" u="1"/>
        <n v="1064" u="1"/>
        <n v="2097" u="1"/>
        <n v="4132" u="1"/>
        <n v="3984" u="1"/>
        <n v="979" u="1"/>
        <n v="3854" u="1"/>
        <n v="3724" u="1"/>
        <n v="914" u="1"/>
        <n v="3594" u="1"/>
        <n v="3464" u="1"/>
        <n v="4849" u="1"/>
        <n v="849" u="1"/>
        <n v="3334" u="1"/>
        <n v="4589" u="1"/>
        <n v="3204" u="1"/>
        <n v="4329" u="1"/>
        <n v="784" u="1"/>
        <n v="3074" u="1"/>
        <n v="2944" u="1"/>
        <n v="719" u="1"/>
        <n v="2814" u="1"/>
        <n v="2684" u="1"/>
        <n v="654" u="1"/>
        <n v="2554" u="1"/>
        <n v="2424" u="1"/>
        <n v="4786" u="1"/>
        <n v="589" u="1"/>
        <n v="2294" u="1"/>
        <n v="4526" u="1"/>
        <n v="2164" u="1"/>
        <n v="4266" u="1"/>
        <n v="524" u="1"/>
        <n v="2041" u="1"/>
        <n v="4051" u="1"/>
        <n v="1976" u="1"/>
        <n v="3921" u="1"/>
        <n v="1911" u="1"/>
        <n v="3791" u="1"/>
        <n v="1846" u="1"/>
        <n v="3661" u="1"/>
        <n v="1781" u="1"/>
        <n v="3531" u="1"/>
        <n v="4983" u="1"/>
        <n v="1716" u="1"/>
        <n v="3401" u="1"/>
        <n v="4723" u="1"/>
        <n v="1651" u="1"/>
        <n v="3271" u="1"/>
        <n v="4463" u="1"/>
        <n v="1586" u="1"/>
        <n v="3141" u="1"/>
        <n v="4203" u="1"/>
        <n v="1521" u="1"/>
        <n v="3011" u="1"/>
        <n v="1456" u="1"/>
        <n v="2881" u="1"/>
        <n v="1391" u="1"/>
        <n v="2751" u="1"/>
        <n v="1326" u="1"/>
        <n v="2621" u="1"/>
        <n v="1261" u="1"/>
        <n v="2491" u="1"/>
        <n v="4920" u="1"/>
        <n v="1196" u="1"/>
        <n v="2361" u="1"/>
        <n v="4660" u="1"/>
        <n v="1131" u="1"/>
        <n v="2231" u="1"/>
        <n v="4400" u="1"/>
        <n v="1066" u="1"/>
        <n v="2101" u="1"/>
        <n v="4140" u="1"/>
        <n v="3988" u="1"/>
        <n v="980" u="1"/>
        <n v="3858" u="1"/>
        <n v="3728" u="1"/>
        <n v="915" u="1"/>
        <n v="3598" u="1"/>
        <n v="3468" u="1"/>
        <n v="4857" u="1"/>
        <n v="850" u="1"/>
        <n v="3338" u="1"/>
        <n v="4597" u="1"/>
        <n v="3208" u="1"/>
        <n v="4337" u="1"/>
        <n v="785" u="1"/>
        <n v="3078" u="1"/>
        <n v="2948" u="1"/>
        <n v="720" u="1"/>
        <n v="2818" u="1"/>
        <n v="2688" u="1"/>
        <n v="655" u="1"/>
        <n v="2558" u="1"/>
        <n v="2428" u="1"/>
        <n v="4794" u="1"/>
        <n v="590" u="1"/>
        <n v="2298" u="1"/>
        <n v="4534" u="1"/>
        <n v="2168" u="1"/>
        <n v="4274" u="1"/>
        <n v="525" u="1"/>
        <n v="2043" u="1"/>
        <n v="4055" u="1"/>
        <n v="1978" u="1"/>
        <n v="3925" u="1"/>
        <n v="1913" u="1"/>
        <n v="3795" u="1"/>
        <n v="1848" u="1"/>
        <n v="3665" u="1"/>
        <n v="1783" u="1"/>
        <n v="3535" u="1"/>
        <n v="4991" u="1"/>
        <n v="1718" u="1"/>
        <n v="3405" u="1"/>
        <n v="4731" u="1"/>
        <n v="1653" u="1"/>
        <n v="3275" u="1"/>
        <n v="4471" u="1"/>
        <n v="1588" u="1"/>
        <n v="3145" u="1"/>
        <n v="4211" u="1"/>
        <n v="1523" u="1"/>
        <n v="3015" u="1"/>
        <n v="1458" u="1"/>
        <n v="2885" u="1"/>
        <n v="1393" u="1"/>
        <n v="2755" u="1"/>
        <n v="1328" u="1"/>
        <n v="2625" u="1"/>
        <n v="1263" u="1"/>
        <n v="2495" u="1"/>
        <n v="4928" u="1"/>
        <n v="1198" u="1"/>
        <n v="2365" u="1"/>
        <n v="4668" u="1"/>
        <n v="1133" u="1"/>
        <n v="2235" u="1"/>
        <n v="4408" u="1"/>
        <n v="1068" u="1"/>
        <n v="2105" u="1"/>
        <n v="4148" u="1"/>
        <n v="3992" u="1"/>
        <n v="981" u="1"/>
        <n v="3862" u="1"/>
        <n v="3732" u="1"/>
        <n v="916" u="1"/>
        <n v="3602" u="1"/>
        <n v="3472" u="1"/>
        <n v="4865" u="1"/>
        <n v="851" u="1"/>
        <n v="3342" u="1"/>
        <n v="4605" u="1"/>
        <n v="3212" u="1"/>
        <n v="4345" u="1"/>
        <n v="786" u="1"/>
        <n v="3082" u="1"/>
        <n v="2952" u="1"/>
        <n v="721" u="1"/>
        <n v="2822" u="1"/>
        <n v="2692" u="1"/>
        <n v="656" u="1"/>
        <n v="2562" u="1"/>
        <n v="2432" u="1"/>
        <n v="4802" u="1"/>
        <n v="591" u="1"/>
        <n v="2302" u="1"/>
        <n v="4542" u="1"/>
        <n v="2172" u="1"/>
        <n v="4282" u="1"/>
        <n v="526" u="1"/>
        <n v="2045" u="1"/>
        <n v="4059" u="1"/>
        <n v="1980" u="1"/>
        <n v="3929" u="1"/>
        <n v="1915" u="1"/>
        <n v="3799" u="1"/>
        <n v="1850" u="1"/>
        <n v="3669" u="1"/>
        <n v="1785" u="1"/>
        <n v="3539" u="1"/>
        <n v="4999" u="1"/>
        <n v="1720" u="1"/>
        <n v="3409" u="1"/>
        <n v="4739" u="1"/>
        <n v="1655" u="1"/>
        <n v="3279" u="1"/>
        <n v="4479" u="1"/>
        <n v="1590" u="1"/>
        <n v="3149" u="1"/>
        <n v="4219" u="1"/>
        <n v="1525" u="1"/>
        <n v="3019" u="1"/>
        <n v="1460" u="1"/>
        <n v="2889" u="1"/>
        <n v="1395" u="1"/>
        <n v="2759" u="1"/>
        <n v="1330" u="1"/>
        <n v="2629" u="1"/>
        <n v="1265" u="1"/>
        <n v="2499" u="1"/>
        <n v="4936" u="1"/>
        <n v="1200" u="1"/>
        <n v="2369" u="1"/>
        <n v="4676" u="1"/>
        <n v="1135" u="1"/>
        <n v="2239" u="1"/>
        <n v="4416" u="1"/>
        <n v="1070" u="1"/>
        <n v="2109" u="1"/>
        <n v="4156" u="1"/>
        <n v="3996" u="1"/>
        <n v="982" u="1"/>
        <n v="3866" u="1"/>
        <n v="3736" u="1"/>
        <n v="917" u="1"/>
        <n v="3606" u="1"/>
        <n v="3476" u="1"/>
        <n v="4873" u="1"/>
        <n v="852" u="1"/>
        <n v="3346" u="1"/>
        <n v="4613" u="1"/>
        <n v="3216" u="1"/>
        <n v="4353" u="1"/>
        <n v="787" u="1"/>
        <n v="3086" u="1"/>
        <n v="2956" u="1"/>
        <n v="722" u="1"/>
        <n v="2826" u="1"/>
        <n v="2696" u="1"/>
        <n v="657" u="1"/>
        <n v="2566" u="1"/>
        <n v="2436" u="1"/>
        <n v="4810" u="1"/>
        <n v="592" u="1"/>
        <n v="2306" u="1"/>
        <n v="4550" u="1"/>
        <n v="2176" u="1"/>
        <n v="4290" u="1"/>
        <n v="527" u="1"/>
        <n v="2047" u="1"/>
        <n v="4063" u="1"/>
        <n v="1982" u="1"/>
        <n v="3933" u="1"/>
        <n v="1917" u="1"/>
        <n v="3803" u="1"/>
        <n v="1852" u="1"/>
        <n v="3673" u="1"/>
        <n v="1787" u="1"/>
        <n v="3543" u="1"/>
        <n v="1722" u="1"/>
        <n v="3413" u="1"/>
        <n v="4747" u="1"/>
        <n v="1657" u="1"/>
        <n v="3283" u="1"/>
        <n v="4487" u="1"/>
        <n v="1592" u="1"/>
        <n v="3153" u="1"/>
        <n v="4227" u="1"/>
        <n v="1527" u="1"/>
        <n v="3023" u="1"/>
        <n v="1462" u="1"/>
        <n v="2893" u="1"/>
        <n v="1397" u="1"/>
        <n v="2763" u="1"/>
        <n v="1332" u="1"/>
        <n v="2633" u="1"/>
        <n v="1267" u="1"/>
        <n v="2503" u="1"/>
        <n v="4944" u="1"/>
        <n v="1202" u="1"/>
        <n v="2373" u="1"/>
        <n v="4684" u="1"/>
        <n v="1137" u="1"/>
        <n v="2243" u="1"/>
        <n v="4424" u="1"/>
        <n v="1072" u="1"/>
        <n v="2113" u="1"/>
        <n v="4164" u="1"/>
        <n v="4000" u="1"/>
        <n v="983" u="1"/>
        <n v="3870" u="1"/>
        <n v="3740" u="1"/>
        <n v="918" u="1"/>
        <n v="3610" u="1"/>
        <n v="3480" u="1"/>
        <n v="4881" u="1"/>
        <n v="853" u="1"/>
        <n v="3350" u="1"/>
        <n v="4621" u="1"/>
        <n v="3220" u="1"/>
        <n v="4361" u="1"/>
        <n v="788" u="1"/>
        <n v="3090" u="1"/>
        <n v="4101" u="1"/>
        <n v="2960" u="1"/>
        <n v="723" u="1"/>
        <n v="2830" u="1"/>
        <n v="2700" u="1"/>
        <n v="658" u="1"/>
        <n v="2570" u="1"/>
        <n v="2440" u="1"/>
        <n v="4818" u="1"/>
        <n v="593" u="1"/>
        <n v="2310" u="1"/>
        <n v="4558" u="1"/>
        <n v="2180" u="1"/>
        <n v="4298" u="1"/>
        <n v="528" u="1"/>
        <n v="2050" u="1"/>
        <n v="4067" u="1"/>
        <n v="1984" u="1"/>
        <n v="3937" u="1"/>
        <n v="1919" u="1"/>
        <n v="3807" u="1"/>
        <n v="1854" u="1"/>
        <n v="3677" u="1"/>
        <n v="1789" u="1"/>
        <n v="3547" u="1"/>
        <n v="1724" u="1"/>
        <n v="3417" u="1"/>
        <n v="4755" u="1"/>
        <n v="1659" u="1"/>
        <n v="3287" u="1"/>
        <n v="4495" u="1"/>
        <n v="1594" u="1"/>
        <n v="3157" u="1"/>
        <n v="4235" u="1"/>
        <n v="1529" u="1"/>
        <n v="3027" u="1"/>
        <n v="1464" u="1"/>
        <n v="2897" u="1"/>
        <n v="1399" u="1"/>
        <n v="2767" u="1"/>
        <n v="1334" u="1"/>
        <n v="2637" u="1"/>
        <n v="1269" u="1"/>
        <n v="2507" u="1"/>
        <n v="4952" u="1"/>
        <n v="1204" u="1"/>
        <n v="2377" u="1"/>
        <n v="4692" u="1"/>
        <n v="1139" u="1"/>
        <n v="2247" u="1"/>
        <n v="4432" u="1"/>
        <n v="1074" u="1"/>
        <n v="2117" u="1"/>
        <n v="4172" u="1"/>
        <n v="4004" u="1"/>
        <n v="984" u="1"/>
        <n v="3874" u="1"/>
        <n v="3744" u="1"/>
        <n v="919" u="1"/>
        <n v="3614" u="1"/>
        <n v="3484" u="1"/>
        <n v="4889" u="1"/>
        <n v="854" u="1"/>
        <n v="3354" u="1"/>
        <n v="4629" u="1"/>
        <n v="3224" u="1"/>
        <n v="4369" u="1"/>
        <n v="789" u="1"/>
        <n v="3094" u="1"/>
        <n v="4109" u="1"/>
        <n v="2964" u="1"/>
        <n v="724" u="1"/>
        <n v="2834" u="1"/>
        <n v="2704" u="1"/>
        <n v="659" u="1"/>
        <n v="2574" u="1"/>
        <n v="2444" u="1"/>
        <n v="4826" u="1"/>
        <n v="594" u="1"/>
        <n v="2314" u="1"/>
        <n v="4566" u="1"/>
        <n v="2184" u="1"/>
        <n v="4306" u="1"/>
        <n v="529" u="1"/>
        <n v="2054" u="1"/>
        <n v="4071" u="1"/>
        <n v="1986" u="1"/>
        <n v="3941" u="1"/>
        <n v="1921" u="1"/>
        <n v="3811" u="1"/>
        <n v="1856" u="1"/>
        <n v="3681" u="1"/>
        <n v="1791" u="1"/>
        <n v="3551" u="1"/>
        <n v="1726" u="1"/>
        <n v="3421" u="1"/>
        <n v="4763" u="1"/>
        <n v="1661" u="1"/>
        <n v="3291" u="1"/>
        <n v="4503" u="1"/>
        <n v="1596" u="1"/>
        <n v="3161" u="1"/>
        <n v="4243" u="1"/>
        <n v="1531" u="1"/>
        <n v="3031" u="1"/>
        <n v="1466" u="1"/>
        <n v="2901" u="1"/>
        <n v="1401" u="1"/>
        <n v="2771" u="1"/>
        <n v="1336" u="1"/>
        <n v="2641" u="1"/>
        <n v="1271" u="1"/>
        <n v="2511" u="1"/>
        <n v="4960" u="1"/>
        <n v="1206" u="1"/>
        <n v="2381" u="1"/>
        <n v="4700" u="1"/>
        <n v="1141" u="1"/>
        <n v="2251" u="1"/>
        <n v="4440" u="1"/>
        <n v="1076" u="1"/>
        <n v="2121" u="1"/>
        <n v="4180" u="1"/>
        <n v="4008" u="1"/>
        <n v="985" u="1"/>
        <n v="3878" u="1"/>
        <n v="3748" u="1"/>
        <n v="920" u="1"/>
        <n v="3618" u="1"/>
        <n v="3488" u="1"/>
        <n v="4897" u="1"/>
        <n v="855" u="1"/>
        <n v="3358" u="1"/>
        <n v="4637" u="1"/>
        <n v="3228" u="1"/>
        <n v="4377" u="1"/>
        <n v="790" u="1"/>
        <n v="3098" u="1"/>
        <n v="4117" u="1"/>
        <n v="2968" u="1"/>
        <n v="725" u="1"/>
        <n v="2838" u="1"/>
        <n v="2708" u="1"/>
        <n v="660" u="1"/>
        <n v="2578" u="1"/>
        <n v="2448" u="1"/>
        <n v="4834" u="1"/>
        <n v="595" u="1"/>
        <n v="2318" u="1"/>
        <n v="4574" u="1"/>
        <n v="2188" u="1"/>
        <n v="4314" u="1"/>
        <n v="530" u="1"/>
        <n v="2058" u="1"/>
        <n v="4075" u="1"/>
        <n v="1988" u="1"/>
        <n v="3945" u="1"/>
        <n v="1923" u="1"/>
        <n v="3815" u="1"/>
        <n v="1858" u="1"/>
        <n v="3685" u="1"/>
        <n v="1793" u="1"/>
        <n v="3555" u="1"/>
        <n v="1728" u="1"/>
        <n v="3425" u="1"/>
        <n v="4771" u="1"/>
        <n v="1663" u="1"/>
        <n v="3295" u="1"/>
        <n v="4511" u="1"/>
        <n v="1598" u="1"/>
        <n v="3165" u="1"/>
        <n v="4251" u="1"/>
        <n v="1533" u="1"/>
        <n v="3035" u="1"/>
        <n v="1468" u="1"/>
        <n v="2905" u="1"/>
        <n v="1403" u="1"/>
        <n v="2775" u="1"/>
        <n v="1338" u="1"/>
        <n v="2645" u="1"/>
        <n v="1273" u="1"/>
        <n v="2515" u="1"/>
        <n v="4968" u="1"/>
        <n v="1208" u="1"/>
        <n v="2385" u="1"/>
        <n v="4708" u="1"/>
        <n v="1143" u="1"/>
        <n v="2255" u="1"/>
        <n v="4448" u="1"/>
        <n v="1078" u="1"/>
        <n v="2125" u="1"/>
        <n v="4188" u="1"/>
        <n v="4012" u="1"/>
        <n v="986" u="1"/>
        <n v="3882" u="1"/>
        <n v="3752" u="1"/>
        <n v="921" u="1"/>
        <n v="3622" u="1"/>
        <n v="3492" u="1"/>
        <n v="4905" u="1"/>
        <n v="856" u="1"/>
        <n v="3362" u="1"/>
        <n v="4645" u="1"/>
        <n v="3232" u="1"/>
        <n v="4385" u="1"/>
        <n v="791" u="1"/>
        <n v="3102" u="1"/>
        <n v="4125" u="1"/>
        <n v="2972" u="1"/>
        <n v="726" u="1"/>
        <n v="2842" u="1"/>
        <n v="2712" u="1"/>
        <n v="661" u="1"/>
        <n v="2582" u="1"/>
        <n v="2452" u="1"/>
        <n v="4842" u="1"/>
        <n v="596" u="1"/>
        <n v="2322" u="1"/>
        <n v="4582" u="1"/>
        <n v="2192" u="1"/>
        <n v="4322" u="1"/>
        <n v="531" u="1"/>
        <n v="2062" u="1"/>
        <n v="4079" u="1"/>
        <n v="1990" u="1"/>
        <n v="3949" u="1"/>
        <n v="1925" u="1"/>
        <n v="3819" u="1"/>
        <n v="1860" u="1"/>
        <n v="3689" u="1"/>
        <n v="1795" u="1"/>
        <n v="3559" u="1"/>
        <n v="1730" u="1"/>
        <n v="3429" u="1"/>
        <n v="4779" u="1"/>
        <n v="1665" u="1"/>
        <n v="3299" u="1"/>
        <n v="4519" u="1"/>
        <n v="1600" u="1"/>
        <n v="3169" u="1"/>
        <n v="4259" u="1"/>
        <n v="1535" u="1"/>
        <n v="3039" u="1"/>
        <n v="1470" u="1"/>
        <n v="2909" u="1"/>
        <n v="1405" u="1"/>
        <n v="2779" u="1"/>
        <n v="1340" u="1"/>
        <n v="2649" u="1"/>
        <n v="1275" u="1"/>
        <n v="2519" u="1"/>
        <n v="4976" u="1"/>
        <n v="1210" u="1"/>
        <n v="2389" u="1"/>
        <n v="4716" u="1"/>
        <n v="1145" u="1"/>
        <n v="2259" u="1"/>
        <n v="4456" u="1"/>
        <n v="1080" u="1"/>
        <n v="2129" u="1"/>
        <n v="4196" u="1"/>
        <n v="4016" u="1"/>
        <n v="987" u="1"/>
        <n v="3886" u="1"/>
        <n v="3756" u="1"/>
        <n v="922" u="1"/>
        <n v="3626" u="1"/>
        <n v="3496" u="1"/>
        <n v="4913" u="1"/>
        <n v="857" u="1"/>
        <n v="3366" u="1"/>
        <n v="4653" u="1"/>
        <n v="3236" u="1"/>
        <n v="4393" u="1"/>
        <n v="792" u="1"/>
        <n v="3106" u="1"/>
        <n v="4133" u="1"/>
        <n v="2976" u="1"/>
        <n v="727" u="1"/>
        <n v="2846" u="1"/>
        <n v="2716" u="1"/>
        <n v="662" u="1"/>
        <n v="2586" u="1"/>
        <n v="2456" u="1"/>
        <n v="4850" u="1"/>
        <n v="597" u="1"/>
        <n v="2326" u="1"/>
        <n v="4590" u="1"/>
        <n v="2196" u="1"/>
        <n v="4330" u="1"/>
        <n v="532" u="1"/>
        <n v="2066" u="1"/>
        <n v="4083" u="1"/>
        <n v="1992" u="1"/>
        <n v="3953" u="1"/>
        <n v="1927" u="1"/>
        <n v="3823" u="1"/>
        <n v="1862" u="1"/>
        <n v="3693" u="1"/>
        <n v="1797" u="1"/>
        <n v="3563" u="1"/>
        <n v="1732" u="1"/>
        <n v="3433" u="1"/>
        <n v="4787" u="1"/>
        <n v="1667" u="1"/>
        <n v="3303" u="1"/>
        <n v="4527" u="1"/>
        <n v="1602" u="1"/>
        <n v="3173" u="1"/>
        <n v="4267" u="1"/>
        <n v="1537" u="1"/>
        <n v="3043" u="1"/>
        <n v="1472" u="1"/>
        <n v="2913" u="1"/>
        <n v="1407" u="1"/>
        <n v="2783" u="1"/>
        <n v="1342" u="1"/>
        <n v="2653" u="1"/>
        <n v="1277" u="1"/>
        <n v="2523" u="1"/>
        <n v="4984" u="1"/>
        <n v="1212" u="1"/>
        <n v="2393" u="1"/>
        <n v="4724" u="1"/>
        <n v="1147" u="1"/>
        <n v="2263" u="1"/>
        <n v="4464" u="1"/>
        <n v="1082" u="1"/>
        <n v="2133" u="1"/>
        <n v="4204" u="1"/>
        <n v="4020" u="1"/>
        <n v="988" u="1"/>
        <n v="3890" u="1"/>
        <n v="3760" u="1"/>
        <n v="923" u="1"/>
        <n v="3630" u="1"/>
        <n v="3500" u="1"/>
        <n v="4921" u="1"/>
        <n v="858" u="1"/>
        <n v="3370" u="1"/>
        <n v="4661" u="1"/>
        <n v="3240" u="1"/>
        <n v="4401" u="1"/>
        <n v="793" u="1"/>
        <n v="3110" u="1"/>
        <n v="4141" u="1"/>
        <n v="2980" u="1"/>
        <n v="728" u="1"/>
        <n v="2850" u="1"/>
        <n v="2720" u="1"/>
        <n v="663" u="1"/>
        <n v="2590" u="1"/>
        <n v="2460" u="1"/>
        <n v="4858" u="1"/>
        <n v="598" u="1"/>
        <n v="2330" u="1"/>
        <n v="4598" u="1"/>
        <n v="2200" u="1"/>
        <n v="4338" u="1"/>
        <n v="533" u="1"/>
        <n v="2070" u="1"/>
        <n v="4087" u="1"/>
        <n v="1994" u="1"/>
        <n v="3957" u="1"/>
        <n v="1929" u="1"/>
        <n v="3827" u="1"/>
        <n v="1864" u="1"/>
        <n v="3697" u="1"/>
        <n v="1799" u="1"/>
        <n v="3567" u="1"/>
        <n v="1734" u="1"/>
        <n v="3437" u="1"/>
        <n v="4795" u="1"/>
        <n v="1669" u="1"/>
        <n v="3307" u="1"/>
        <n v="4535" u="1"/>
        <n v="1604" u="1"/>
        <n v="3177" u="1"/>
        <n v="4275" u="1"/>
        <n v="1539" u="1"/>
        <n v="3047" u="1"/>
        <n v="1474" u="1"/>
        <n v="2917" u="1"/>
        <n v="1409" u="1"/>
        <n v="2787" u="1"/>
        <n v="1344" u="1"/>
        <n v="2657" u="1"/>
        <n v="1279" u="1"/>
        <n v="2527" u="1"/>
        <n v="4992" u="1"/>
        <n v="1214" u="1"/>
        <n v="2397" u="1"/>
        <n v="4732" u="1"/>
        <n v="1149" u="1"/>
        <n v="2267" u="1"/>
        <n v="4472" u="1"/>
        <n v="1084" u="1"/>
        <n v="2137" u="1"/>
        <n v="4212" u="1"/>
        <n v="4024" u="1"/>
        <n v="989" u="1"/>
        <n v="3894" u="1"/>
        <n v="3764" u="1"/>
        <n v="924" u="1"/>
        <n v="3634" u="1"/>
        <n v="3504" u="1"/>
        <n v="4929" u="1"/>
        <n v="859" u="1"/>
        <n v="3374" u="1"/>
        <n v="4669" u="1"/>
        <n v="3244" u="1"/>
        <n v="4409" u="1"/>
        <n v="794" u="1"/>
        <n v="3114" u="1"/>
        <n v="4149" u="1"/>
        <n v="2984" u="1"/>
        <n v="729" u="1"/>
        <n v="2854" u="1"/>
        <n v="2724" u="1"/>
        <n v="664" u="1"/>
        <n v="2594" u="1"/>
        <n v="2464" u="1"/>
        <n v="4866" u="1"/>
        <n v="599" u="1"/>
        <n v="2334" u="1"/>
        <n v="4606" u="1"/>
        <n v="2204" u="1"/>
        <n v="4346" u="1"/>
        <n v="534" u="1"/>
        <n v="2074" u="1"/>
        <n v="4091" u="1"/>
        <n v="1996" u="1"/>
        <n v="3961" u="1"/>
        <n v="1931" u="1"/>
        <n v="3831" u="1"/>
        <n v="1866" u="1"/>
        <n v="3701" u="1"/>
        <n v="1801" u="1"/>
        <n v="3571" u="1"/>
        <n v="1736" u="1"/>
        <n v="3441" u="1"/>
        <n v="4803" u="1"/>
        <n v="1671" u="1"/>
        <n v="3311" u="1"/>
        <n v="4543" u="1"/>
        <n v="1606" u="1"/>
        <n v="3181" u="1"/>
        <n v="4283" u="1"/>
        <n v="1541" u="1"/>
        <n v="3051" u="1"/>
        <n v="1476" u="1"/>
        <n v="2921" u="1"/>
        <n v="1411" u="1"/>
        <n v="2791" u="1"/>
        <n v="1346" u="1"/>
        <n v="2661" u="1"/>
        <n v="1281" u="1"/>
        <n v="2531" u="1"/>
        <n v="1216" u="1"/>
        <n v="2401" u="1"/>
        <n v="4740" u="1"/>
        <n v="1151" u="1"/>
        <n v="2271" u="1"/>
        <n v="4480" u="1"/>
        <n v="1086" u="1"/>
        <n v="2141" u="1"/>
        <n v="4220" u="1"/>
        <n v="4028" u="1"/>
        <n v="990" u="1"/>
        <n v="3898" u="1"/>
        <n v="3768" u="1"/>
        <n v="925" u="1"/>
        <n v="3638" u="1"/>
        <n v="3508" u="1"/>
        <n v="4937" u="1"/>
        <n v="860" u="1"/>
        <n v="3378" u="1"/>
        <n v="4677" u="1"/>
        <n v="3248" u="1"/>
        <n v="4417" u="1"/>
        <n v="795" u="1"/>
        <n v="3118" u="1"/>
        <n v="4157" u="1"/>
        <n v="2988" u="1"/>
        <n v="730" u="1"/>
        <n v="2858" u="1"/>
        <n v="2728" u="1"/>
        <n v="665" u="1"/>
        <n v="2598" u="1"/>
        <n v="2468" u="1"/>
        <n v="4874" u="1"/>
        <n v="600" u="1"/>
        <n v="2338" u="1"/>
        <n v="4614" u="1"/>
        <n v="2208" u="1"/>
        <n v="4354" u="1"/>
        <n v="535" u="1"/>
        <n v="2078" u="1"/>
        <n v="4095" u="1"/>
        <n v="1998" u="1"/>
        <n v="3965" u="1"/>
        <n v="1933" u="1"/>
        <n v="3835" u="1"/>
        <n v="1868" u="1"/>
        <n v="3705" u="1"/>
        <n v="1803" u="1"/>
        <n v="3575" u="1"/>
        <n v="1738" u="1"/>
        <n v="3445" u="1"/>
        <n v="4811" u="1"/>
        <n v="1673" u="1"/>
        <n v="3315" u="1"/>
        <n v="4551" u="1"/>
        <n v="1608" u="1"/>
        <n v="3185" u="1"/>
        <n v="4291" u="1"/>
        <n v="1543" u="1"/>
        <n v="3055" u="1"/>
        <n v="1478" u="1"/>
        <n v="2925" u="1"/>
        <n v="1413" u="1"/>
        <n v="2795" u="1"/>
        <n v="1348" u="1"/>
        <n v="2665" u="1"/>
        <n v="1283" u="1"/>
        <n v="2535" u="1"/>
        <n v="1218" u="1"/>
        <n v="2405" u="1"/>
        <n v="4748" u="1"/>
        <n v="1153" u="1"/>
        <n v="2275" u="1"/>
        <n v="4488" u="1"/>
        <n v="1088" u="1"/>
        <n v="2145" u="1"/>
        <n v="4228" u="1"/>
        <n v="4032" u="1"/>
        <n v="991" u="1"/>
        <n v="3902" u="1"/>
        <n v="3772" u="1"/>
        <n v="926" u="1"/>
        <n v="3642" u="1"/>
        <n v="3512" u="1"/>
        <n v="4945" u="1"/>
        <n v="861" u="1"/>
        <n v="3382" u="1"/>
        <n v="4685" u="1"/>
        <n v="3252" u="1"/>
        <n v="4425" u="1"/>
        <n v="796" u="1"/>
        <n v="3122" u="1"/>
        <n v="4165" u="1"/>
        <n v="2992" u="1"/>
        <n v="731" u="1"/>
        <n v="2862" u="1"/>
        <n v="2732" u="1"/>
        <n v="666" u="1"/>
        <n v="2602" u="1"/>
        <n v="2472" u="1"/>
        <n v="4882" u="1"/>
        <n v="601" u="1"/>
        <n v="2342" u="1"/>
        <n v="4622" u="1"/>
        <n v="2212" u="1"/>
        <n v="4362" u="1"/>
        <n v="536" u="1"/>
        <n v="2082" u="1"/>
        <n v="4102" u="1"/>
        <n v="2000" u="1"/>
        <n v="3969" u="1"/>
        <n v="1935" u="1"/>
        <n v="3839" u="1"/>
        <n v="1870" u="1"/>
        <n v="3709" u="1"/>
        <n v="1805" u="1"/>
        <n v="3579" u="1"/>
        <n v="1740" u="1"/>
        <n v="3449" u="1"/>
        <n v="4819" u="1"/>
        <n v="1675" u="1"/>
        <n v="3319" u="1"/>
        <n v="4559" u="1"/>
        <n v="1610" u="1"/>
        <n v="3189" u="1"/>
        <n v="4299" u="1"/>
        <n v="1545" u="1"/>
        <n v="3059" u="1"/>
        <n v="1480" u="1"/>
        <n v="2929" u="1"/>
        <n v="1415" u="1"/>
        <n v="2799" u="1"/>
        <n v="1350" u="1"/>
        <n v="2669" u="1"/>
        <n v="1285" u="1"/>
        <n v="2539" u="1"/>
        <n v="1220" u="1"/>
        <n v="2409" u="1"/>
        <n v="4756" u="1"/>
        <n v="1155" u="1"/>
        <n v="2279" u="1"/>
        <n v="4496" u="1"/>
        <n v="1090" u="1"/>
        <n v="2149" u="1"/>
        <n v="4236" u="1"/>
        <n v="1025" u="1"/>
        <n v="4036" u="1"/>
        <n v="992" u="1"/>
        <n v="3906" u="1"/>
        <n v="3776" u="1"/>
        <n v="927" u="1"/>
        <n v="3646" u="1"/>
        <n v="3516" u="1"/>
        <n v="4953" u="1"/>
        <n v="862" u="1"/>
        <n v="3386" u="1"/>
        <n v="4693" u="1"/>
        <n v="3256" u="1"/>
        <n v="4433" u="1"/>
        <n v="797" u="1"/>
        <n v="3126" u="1"/>
        <n v="4173" u="1"/>
        <n v="2996" u="1"/>
        <n v="732" u="1"/>
        <n v="2866" u="1"/>
        <n v="2736" u="1"/>
        <n v="667" u="1"/>
        <n v="2606" u="1"/>
        <n v="2476" u="1"/>
        <n v="4890" u="1"/>
        <n v="602" u="1"/>
        <n v="2346" u="1"/>
        <n v="4630" u="1"/>
        <n v="2216" u="1"/>
        <n v="4370" u="1"/>
        <n v="537" u="1"/>
        <n v="2086" u="1"/>
        <n v="4110" u="1"/>
        <n v="2002" u="1"/>
        <n v="3973" u="1"/>
        <n v="1937" u="1"/>
        <n v="3843" u="1"/>
        <n v="1872" u="1"/>
        <n v="3713" u="1"/>
        <n v="1807" u="1"/>
        <n v="3583" u="1"/>
        <n v="1742" u="1"/>
        <n v="3453" u="1"/>
        <n v="4827" u="1"/>
        <n v="1677" u="1"/>
        <n v="3323" u="1"/>
        <n v="4567" u="1"/>
        <n v="1612" u="1"/>
        <n v="3193" u="1"/>
        <n v="4307" u="1"/>
        <n v="1547" u="1"/>
        <n v="3063" u="1"/>
        <n v="1482" u="1"/>
        <n v="2933" u="1"/>
        <n v="1417" u="1"/>
        <n v="2803" u="1"/>
        <n v="1352" u="1"/>
        <n v="2673" u="1"/>
        <n v="1287" u="1"/>
        <n v="2543" u="1"/>
        <n v="1222" u="1"/>
        <n v="2413" u="1"/>
        <n v="4764" u="1"/>
        <n v="1157" u="1"/>
        <n v="2283" u="1"/>
        <n v="4504" u="1"/>
        <n v="1092" u="1"/>
        <n v="2153" u="1"/>
        <n v="4244" u="1"/>
        <n v="1027" u="1"/>
        <n v="4040" u="1"/>
        <n v="993" u="1"/>
        <n v="3910" u="1"/>
        <n v="3780" u="1"/>
        <n v="928" u="1"/>
        <n v="3650" u="1"/>
        <n v="3520" u="1"/>
        <n v="4961" u="1"/>
        <n v="863" u="1"/>
        <n v="3390" u="1"/>
        <n v="4701" u="1"/>
        <n v="3260" u="1"/>
        <n v="4441" u="1"/>
        <n v="798" u="1"/>
        <n v="3130" u="1"/>
        <n v="4181" u="1"/>
        <n v="3000" u="1"/>
        <n v="733" u="1"/>
        <n v="2870" u="1"/>
        <n v="2740" u="1"/>
        <n v="668" u="1"/>
        <n v="2610" u="1"/>
        <n v="2480" u="1"/>
        <n v="4898" u="1"/>
        <n v="603" u="1"/>
        <n v="2350" u="1"/>
        <n v="4638" u="1"/>
        <n v="2220" u="1"/>
        <n v="4378" u="1"/>
        <n v="538" u="1"/>
        <n v="2090" u="1"/>
        <n v="4118" u="1"/>
        <n v="2004" u="1"/>
        <n v="3977" u="1"/>
        <n v="1939" u="1"/>
        <n v="3847" u="1"/>
        <n v="1874" u="1"/>
        <n v="3717" u="1"/>
        <n v="1809" u="1"/>
        <n v="3587" u="1"/>
        <n v="1744" u="1"/>
        <n v="3457" u="1"/>
        <n v="4835" u="1"/>
        <n v="1679" u="1"/>
        <n v="3327" u="1"/>
        <n v="4575" u="1"/>
        <n v="1614" u="1"/>
        <n v="3197" u="1"/>
        <n v="4315" u="1"/>
        <n v="1549" u="1"/>
        <n v="3067" u="1"/>
        <n v="1484" u="1"/>
        <n v="2937" u="1"/>
        <n v="1419" u="1"/>
        <n v="2807" u="1"/>
        <n v="1354" u="1"/>
        <n v="2677" u="1"/>
        <n v="1289" u="1"/>
        <n v="2547" u="1"/>
        <n v="1224" u="1"/>
        <n v="2417" u="1"/>
        <n v="4772" u="1"/>
        <n v="1159" u="1"/>
        <n v="2287" u="1"/>
        <n v="4512" u="1"/>
        <n v="1094" u="1"/>
        <n v="2157" u="1"/>
        <n v="4252" u="1"/>
        <n v="1029" u="1"/>
        <n v="4044" u="1"/>
        <n v="994" u="1"/>
        <n v="3914" u="1"/>
        <n v="3784" u="1"/>
        <n v="929" u="1"/>
        <n v="3654" u="1"/>
        <n v="3524" u="1"/>
        <n v="4969" u="1"/>
        <n v="864" u="1"/>
        <n v="3394" u="1"/>
        <n v="4709" u="1"/>
        <n v="3264" u="1"/>
        <n v="4449" u="1"/>
        <n v="799" u="1"/>
        <n v="3134" u="1"/>
        <n v="4189" u="1"/>
        <n v="3004" u="1"/>
        <n v="734" u="1"/>
        <n v="2874" u="1"/>
        <n v="2744" u="1"/>
        <n v="669" u="1"/>
        <n v="2614" u="1"/>
        <n v="2484" u="1"/>
        <n v="4906" u="1"/>
        <n v="604" u="1"/>
        <n v="2354" u="1"/>
        <n v="4646" u="1"/>
        <n v="2224" u="1"/>
        <n v="4386" u="1"/>
        <n v="539" u="1"/>
        <n v="2094" u="1"/>
        <n v="4126" u="1"/>
        <n v="2006" u="1"/>
        <n v="3981" u="1"/>
        <n v="1941" u="1"/>
        <n v="3851" u="1"/>
        <n v="1876" u="1"/>
        <n v="3721" u="1"/>
        <n v="1811" u="1"/>
        <n v="3591" u="1"/>
        <n v="1746" u="1"/>
        <n v="3461" u="1"/>
        <n v="4843" u="1"/>
        <n v="1681" u="1"/>
        <n v="3331" u="1"/>
        <n v="4583" u="1"/>
        <n v="1616" u="1"/>
        <n v="3201" u="1"/>
        <n v="4323" u="1"/>
        <n v="1551" u="1"/>
        <n v="3071" u="1"/>
        <n v="1486" u="1"/>
        <n v="2941" u="1"/>
        <n v="1421" u="1"/>
        <n v="2811" u="1"/>
        <n v="1356" u="1"/>
        <n v="2681" u="1"/>
        <n v="1291" u="1"/>
        <n v="2551" u="1"/>
        <n v="1226" u="1"/>
        <n v="2421" u="1"/>
        <n v="4780" u="1"/>
        <n v="1161" u="1"/>
        <n v="2291" u="1"/>
        <n v="4520" u="1"/>
        <n v="1096" u="1"/>
        <n v="2161" u="1"/>
        <n v="4260" u="1"/>
        <n v="1031" u="1"/>
        <n v="4048" u="1"/>
        <n v="995" u="1"/>
        <n v="3918" u="1"/>
        <n v="3788" u="1"/>
        <n v="930" u="1"/>
        <n v="3658" u="1"/>
        <n v="3528" u="1"/>
        <n v="4977" u="1"/>
        <n v="865" u="1"/>
        <n v="3398" u="1"/>
        <n v="4717" u="1"/>
        <n v="3268" u="1"/>
        <n v="4457" u="1"/>
        <n v="800" u="1"/>
        <n v="3138" u="1"/>
        <n v="4197" u="1"/>
        <n v="3008" u="1"/>
        <n v="735" u="1"/>
        <n v="2878" u="1"/>
        <n v="2748" u="1"/>
        <n v="670" u="1"/>
        <n v="2618" u="1"/>
        <n v="2488" u="1"/>
        <n v="4914" u="1"/>
        <n v="605" u="1"/>
        <n v="2358" u="1"/>
        <n v="4654" u="1"/>
        <n v="2228" u="1"/>
        <n v="4394" u="1"/>
        <n v="540" u="1"/>
        <n v="2098" u="1"/>
        <n v="4134" u="1"/>
        <n v="2008" u="1"/>
        <n v="3985" u="1"/>
        <n v="1943" u="1"/>
        <n v="3855" u="1"/>
        <n v="1878" u="1"/>
        <n v="3725" u="1"/>
        <n v="1813" u="1"/>
        <n v="3595" u="1"/>
        <n v="1748" u="1"/>
        <n v="3465" u="1"/>
        <n v="4851" u="1"/>
        <n v="1683" u="1"/>
        <n v="3335" u="1"/>
        <n v="4591" u="1"/>
        <n v="1618" u="1"/>
        <n v="3205" u="1"/>
        <n v="4331" u="1"/>
        <n v="1553" u="1"/>
        <n v="3075" u="1"/>
        <n v="1488" u="1"/>
        <n v="2945" u="1"/>
        <n v="1423" u="1"/>
        <n v="2815" u="1"/>
        <n v="1358" u="1"/>
        <n v="2685" u="1"/>
        <n v="1293" u="1"/>
        <n v="2555" u="1"/>
        <n v="1228" u="1"/>
        <n v="2425" u="1"/>
        <n v="4788" u="1"/>
        <n v="1163" u="1"/>
        <n v="2295" u="1"/>
        <n v="4528" u="1"/>
        <n v="1098" u="1"/>
        <n v="2165" u="1"/>
        <n v="4268" u="1"/>
        <n v="1033" u="1"/>
        <n v="4052" u="1"/>
        <n v="996" u="1"/>
        <n v="3922" u="1"/>
        <n v="3792" u="1"/>
        <n v="931" u="1"/>
        <n v="3662" u="1"/>
        <n v="3532" u="1"/>
        <n v="4985" u="1"/>
        <n v="866" u="1"/>
        <n v="3402" u="1"/>
        <n v="4725" u="1"/>
        <n v="3272" u="1"/>
        <n v="4465" u="1"/>
        <n v="801" u="1"/>
        <n v="3142" u="1"/>
        <n v="4205" u="1"/>
        <n v="3012" u="1"/>
        <n v="736" u="1"/>
        <n v="2882" u="1"/>
        <n v="2752" u="1"/>
        <n v="671" u="1"/>
        <n v="2622" u="1"/>
        <n v="2492" u="1"/>
        <n v="4922" u="1"/>
        <n v="606" u="1"/>
        <n v="2362" u="1"/>
        <n v="4662" u="1"/>
        <n v="2232" u="1"/>
        <n v="4402" u="1"/>
        <n v="541" u="1"/>
        <n v="2102" u="1"/>
        <n v="4142" u="1"/>
        <n v="2010" u="1"/>
        <n v="3989" u="1"/>
        <n v="1945" u="1"/>
        <n v="3859" u="1"/>
        <n v="1880" u="1"/>
        <n v="3729" u="1"/>
        <n v="1815" u="1"/>
        <n v="3599" u="1"/>
        <n v="1750" u="1"/>
        <n v="3469" u="1"/>
        <n v="4859" u="1"/>
        <n v="1685" u="1"/>
        <n v="3339" u="1"/>
        <n v="4599" u="1"/>
        <n v="1620" u="1"/>
        <n v="3209" u="1"/>
        <n v="4339" u="1"/>
        <n v="1555" u="1"/>
        <n v="3079" u="1"/>
        <n v="1490" u="1"/>
        <n v="2949" u="1"/>
        <n v="1425" u="1"/>
        <n v="2819" u="1"/>
        <n v="1360" u="1"/>
        <n v="2689" u="1"/>
        <n v="1295" u="1"/>
        <n v="2559" u="1"/>
        <n v="1230" u="1"/>
        <n v="2429" u="1"/>
        <n v="4796" u="1"/>
        <n v="1165" u="1"/>
        <n v="2299" u="1"/>
        <n v="4536" u="1"/>
        <n v="1100" u="1"/>
        <n v="2169" u="1"/>
        <n v="4276" u="1"/>
        <n v="1035" u="1"/>
        <n v="4056" u="1"/>
        <n v="997" u="1"/>
        <n v="3926" u="1"/>
        <n v="3796" u="1"/>
        <n v="932" u="1"/>
        <n v="3666" u="1"/>
        <n v="3536" u="1"/>
        <n v="4993" u="1"/>
        <n v="867" u="1"/>
        <n v="3406" u="1"/>
        <n v="4733" u="1"/>
        <n v="3276" u="1"/>
        <n v="4473" u="1"/>
        <n v="802" u="1"/>
        <n v="3146" u="1"/>
        <n v="4213" u="1"/>
        <n v="3016" u="1"/>
        <n v="737" u="1"/>
        <n v="2886" u="1"/>
        <n v="2756" u="1"/>
        <n v="672" u="1"/>
        <n v="2626" u="1"/>
        <n v="2496" u="1"/>
        <n v="4930" u="1"/>
        <n v="607" u="1"/>
        <n v="2366" u="1"/>
        <n v="4670" u="1"/>
        <n v="2236" u="1"/>
        <n v="4410" u="1"/>
        <n v="542" u="1"/>
        <n v="2106" u="1"/>
        <n v="4150" u="1"/>
        <n v="2012" u="1"/>
        <n v="3993" u="1"/>
        <n v="1947" u="1"/>
        <n v="3863" u="1"/>
        <n v="1882" u="1"/>
        <n v="3733" u="1"/>
        <n v="1817" u="1"/>
        <n v="3603" u="1"/>
        <n v="1752" u="1"/>
        <n v="3473" u="1"/>
        <n v="4867" u="1"/>
        <n v="1687" u="1"/>
        <n v="3343" u="1"/>
        <n v="4607" u="1"/>
        <n v="1622" u="1"/>
        <n v="3213" u="1"/>
        <n v="4347" u="1"/>
        <n v="1557" u="1"/>
        <n v="3083" u="1"/>
        <n v="1492" u="1"/>
        <n v="2953" u="1"/>
        <n v="1427" u="1"/>
        <n v="2823" u="1"/>
        <n v="1362" u="1"/>
        <n v="2693" u="1"/>
        <n v="1297" u="1"/>
        <n v="2563" u="1"/>
        <n v="1232" u="1"/>
        <n v="2433" u="1"/>
        <n v="4804" u="1"/>
        <n v="1167" u="1"/>
        <n v="2303" u="1"/>
        <n v="4544" u="1"/>
        <n v="1102" u="1"/>
        <n v="2173" u="1"/>
        <n v="4284" u="1"/>
        <n v="1037" u="1"/>
        <n v="4060" u="1"/>
        <n v="998" u="1"/>
        <n v="3930" u="1"/>
        <n v="3800" u="1"/>
        <n v="933" u="1"/>
        <n v="3670" u="1"/>
        <n v="3540" u="1"/>
        <n v="868" u="1"/>
        <n v="3410" u="1"/>
        <n v="4741" u="1"/>
        <n v="3280" u="1"/>
        <n v="4481" u="1"/>
        <n v="803" u="1"/>
        <n v="3150" u="1"/>
        <n v="4221" u="1"/>
        <n v="3020" u="1"/>
        <n v="738" u="1"/>
        <n v="2890" u="1"/>
        <n v="2760" u="1"/>
        <n v="673" u="1"/>
        <n v="2630" u="1"/>
        <n v="2500" u="1"/>
        <n v="4938" u="1"/>
        <n v="608" u="1"/>
        <n v="2370" u="1"/>
        <n v="4678" u="1"/>
        <n v="2240" u="1"/>
        <n v="4418" u="1"/>
        <n v="543" u="1"/>
        <n v="2110" u="1"/>
        <n v="4158" u="1"/>
        <n v="2014" u="1"/>
        <n v="3997" u="1"/>
        <n v="1949" u="1"/>
        <n v="3867" u="1"/>
        <n v="1884" u="1"/>
        <n v="3737" u="1"/>
        <n v="1819" u="1"/>
        <n v="3607" u="1"/>
        <n v="1754" u="1"/>
        <n v="3477" u="1"/>
        <n v="4875" u="1"/>
        <n v="1689" u="1"/>
        <n v="3347" u="1"/>
        <n v="4615" u="1"/>
        <n v="1624" u="1"/>
        <n v="3217" u="1"/>
        <n v="4355" u="1"/>
        <n v="1559" u="1"/>
        <n v="3087" u="1"/>
        <n v="1494" u="1"/>
        <n v="2957" u="1"/>
        <n v="1429" u="1"/>
        <n v="2827" u="1"/>
        <n v="1364" u="1"/>
        <n v="2697" u="1"/>
        <n v="1299" u="1"/>
        <n v="2567" u="1"/>
        <n v="1234" u="1"/>
        <n v="2437" u="1"/>
        <n v="4812" u="1"/>
        <n v="1169" u="1"/>
        <n v="2307" u="1"/>
        <n v="4552" u="1"/>
        <n v="1104" u="1"/>
        <n v="2177" u="1"/>
        <n v="4292" u="1"/>
        <n v="1039" u="1"/>
        <n v="4064" u="1"/>
        <n v="999" u="1"/>
        <n v="3934" u="1"/>
        <n v="3804" u="1"/>
        <n v="934" u="1"/>
        <n v="3674" u="1"/>
        <n v="3544" u="1"/>
        <n v="869" u="1"/>
        <n v="3414" u="1"/>
        <n v="4749" u="1"/>
        <n v="3284" u="1"/>
        <n v="4489" u="1"/>
        <n v="804" u="1"/>
        <n v="3154" u="1"/>
        <n v="4229" u="1"/>
        <n v="3024" u="1"/>
        <n v="739" u="1"/>
        <n v="2894" u="1"/>
        <n v="2764" u="1"/>
        <n v="674" u="1"/>
        <n v="2634" u="1"/>
        <n v="2504" u="1"/>
        <n v="4946" u="1"/>
        <n v="609" u="1"/>
        <n v="2374" u="1"/>
        <n v="4686" u="1"/>
        <n v="2244" u="1"/>
        <n v="4426" u="1"/>
        <n v="544" u="1"/>
        <n v="2114" u="1"/>
        <n v="4166" u="1"/>
        <n v="2016" u="1"/>
        <n v="4001" u="1"/>
        <n v="1951" u="1"/>
        <n v="3871" u="1"/>
        <n v="1886" u="1"/>
        <n v="3741" u="1"/>
        <n v="1821" u="1"/>
        <n v="3611" u="1"/>
        <n v="1756" u="1"/>
        <n v="3481" u="1"/>
        <n v="4883" u="1"/>
        <n v="1691" u="1"/>
        <n v="3351" u="1"/>
        <n v="4623" u="1"/>
        <n v="1626" u="1"/>
        <n v="3221" u="1"/>
        <n v="4363" u="1"/>
        <n v="1561" u="1"/>
        <n v="3091" u="1"/>
        <n v="4103" u="1"/>
        <n v="1496" u="1"/>
        <n v="2961" u="1"/>
        <n v="1431" u="1"/>
        <n v="2831" u="1"/>
        <n v="1366" u="1"/>
        <n v="2701" u="1"/>
        <n v="1301" u="1"/>
        <n v="2571" u="1"/>
        <n v="1236" u="1"/>
        <n v="2441" u="1"/>
        <n v="4820" u="1"/>
        <n v="1171" u="1"/>
        <n v="2311" u="1"/>
        <n v="4560" u="1"/>
        <n v="1106" u="1"/>
        <n v="2181" u="1"/>
        <n v="4300" u="1"/>
        <n v="1041" u="1"/>
        <n v="2051" u="1"/>
        <n v="4068" u="1"/>
        <n v="1000" u="1"/>
        <n v="3938" u="1"/>
        <n v="3808" u="1"/>
        <n v="935" u="1"/>
        <n v="3678" u="1"/>
        <n v="3548" u="1"/>
        <n v="870" u="1"/>
        <n v="3418" u="1"/>
        <n v="4757" u="1"/>
        <n v="3288" u="1"/>
        <n v="4497" u="1"/>
        <n v="805" u="1"/>
        <n v="3158" u="1"/>
        <n v="4237" u="1"/>
        <n v="3028" u="1"/>
        <n v="740" u="1"/>
        <n v="2898" u="1"/>
        <n v="2768" u="1"/>
        <n v="675" u="1"/>
        <n v="2638" u="1"/>
        <n v="2508" u="1"/>
        <n v="4954" u="1"/>
        <n v="610" u="1"/>
        <n v="2378" u="1"/>
        <n v="4694" u="1"/>
        <n v="2248" u="1"/>
        <n v="4434" u="1"/>
        <n v="545" u="1"/>
        <n v="2118" u="1"/>
        <n v="4174" u="1"/>
        <n v="2018" u="1"/>
        <n v="4005" u="1"/>
        <n v="1953" u="1"/>
        <n v="3875" u="1"/>
        <n v="1888" u="1"/>
        <n v="3745" u="1"/>
        <n v="1823" u="1"/>
        <n v="3615" u="1"/>
        <n v="1758" u="1"/>
        <n v="3485" u="1"/>
        <n v="4891" u="1"/>
        <n v="1693" u="1"/>
        <n v="3355" u="1"/>
        <n v="4631" u="1"/>
        <n v="1628" u="1"/>
        <n v="3225" u="1"/>
        <n v="4371" u="1"/>
        <n v="1563" u="1"/>
        <n v="3095" u="1"/>
        <n v="4111" u="1"/>
        <n v="1498" u="1"/>
        <n v="2965" u="1"/>
        <n v="1433" u="1"/>
        <n v="2835" u="1"/>
        <n v="1368" u="1"/>
        <n v="2705" u="1"/>
        <n v="1303" u="1"/>
        <n v="2575" u="1"/>
        <n v="1238" u="1"/>
        <n v="2445" u="1"/>
        <n v="4828" u="1"/>
        <n v="1173" u="1"/>
        <n v="2315" u="1"/>
        <n v="4568" u="1"/>
        <n v="1108" u="1"/>
        <n v="2185" u="1"/>
        <n v="4308" u="1"/>
        <n v="1043" u="1"/>
        <n v="2055" u="1"/>
        <n v="4072" u="1"/>
        <n v="1001" u="1"/>
        <n v="3942" u="1"/>
        <n v="3812" u="1"/>
        <n v="936" u="1"/>
        <n v="3682" u="1"/>
        <n v="3552" u="1"/>
        <n v="871" u="1"/>
        <n v="3422" u="1"/>
        <n v="4765" u="1"/>
        <n v="3292" u="1"/>
        <n v="4505" u="1"/>
        <n v="806" u="1"/>
        <n v="3162" u="1"/>
        <n v="4245" u="1"/>
        <n v="3032" u="1"/>
        <n v="741" u="1"/>
        <n v="2902" u="1"/>
        <n v="2772" u="1"/>
        <n v="676" u="1"/>
        <n v="2642" u="1"/>
        <n v="2512" u="1"/>
        <n v="4962" u="1"/>
        <n v="611" u="1"/>
        <n v="2382" u="1"/>
        <n v="4702" u="1"/>
        <n v="2252" u="1"/>
        <n v="4442" u="1"/>
        <n v="546" u="1"/>
        <n v="2122" u="1"/>
        <n v="4182" u="1"/>
        <n v="2020" u="1"/>
        <n v="4009" u="1"/>
        <n v="1955" u="1"/>
        <n v="3879" u="1"/>
        <n v="1890" u="1"/>
        <n v="3749" u="1"/>
        <n v="1825" u="1"/>
        <n v="3619" u="1"/>
        <n v="1760" u="1"/>
        <n v="3489" u="1"/>
        <n v="4899" u="1"/>
        <n v="1695" u="1"/>
        <n v="3359" u="1"/>
        <n v="4639" u="1"/>
        <n v="1630" u="1"/>
        <n v="3229" u="1"/>
        <n v="4379" u="1"/>
        <n v="1565" u="1"/>
        <n v="3099" u="1"/>
        <n v="4119" u="1"/>
        <n v="1500" u="1"/>
        <n v="2969" u="1"/>
        <n v="1435" u="1"/>
        <n v="2839" u="1"/>
        <n v="1370" u="1"/>
        <n v="2709" u="1"/>
        <n v="1305" u="1"/>
        <n v="2579" u="1"/>
        <n v="1240" u="1"/>
        <n v="2449" u="1"/>
        <n v="4836" u="1"/>
        <n v="1175" u="1"/>
        <n v="2319" u="1"/>
        <n v="4576" u="1"/>
        <n v="1110" u="1"/>
        <n v="2189" u="1"/>
        <n v="4316" u="1"/>
        <n v="1045" u="1"/>
        <n v="2059" u="1"/>
        <n v="4076" u="1"/>
        <n v="1002" u="1"/>
        <n v="3946" u="1"/>
        <n v="3816" u="1"/>
        <n v="937" u="1"/>
        <n v="3686" u="1"/>
        <n v="3556" u="1"/>
        <n v="872" u="1"/>
        <n v="3426" u="1"/>
        <n v="4773" u="1"/>
        <n v="3296" u="1"/>
        <n v="4513" u="1"/>
        <n v="807" u="1"/>
        <n v="3166" u="1"/>
        <n v="4253" u="1"/>
        <n v="3036" u="1"/>
        <n v="742" u="1"/>
        <n v="2906" u="1"/>
        <n v="2776" u="1"/>
        <n v="677" u="1"/>
        <n v="2646" u="1"/>
        <n v="2516" u="1"/>
        <n v="4970" u="1"/>
        <n v="612" u="1"/>
        <n v="2386" u="1"/>
        <n v="4710" u="1"/>
        <n v="2256" u="1"/>
        <n v="4450" u="1"/>
        <n v="547" u="1"/>
        <n v="2126" u="1"/>
        <n v="4190" u="1"/>
        <n v="2022" u="1"/>
        <n v="4013" u="1"/>
        <n v="1957" u="1"/>
        <n v="3883" u="1"/>
        <n v="1892" u="1"/>
        <n v="3753" u="1"/>
        <n v="1827" u="1"/>
        <n v="3623" u="1"/>
        <n v="1762" u="1"/>
        <n v="3493" u="1"/>
        <n v="4907" u="1"/>
        <n v="1697" u="1"/>
        <n v="3363" u="1"/>
        <n v="4647" u="1"/>
        <n v="1632" u="1"/>
        <n v="3233" u="1"/>
        <n v="4387" u="1"/>
        <n v="1567" u="1"/>
        <n v="3103" u="1"/>
        <n v="4127" u="1"/>
        <n v="1502" u="1"/>
        <n v="2973" u="1"/>
        <n v="1437" u="1"/>
        <n v="2843" u="1"/>
        <n v="1372" u="1"/>
        <n v="2713" u="1"/>
        <n v="1307" u="1"/>
        <n v="2583" u="1"/>
        <n v="1242" u="1"/>
        <n v="2453" u="1"/>
        <n v="4844" u="1"/>
        <n v="1177" u="1"/>
        <n v="2323" u="1"/>
        <n v="4584" u="1"/>
        <n v="1112" u="1"/>
        <n v="2193" u="1"/>
        <n v="4324" u="1"/>
        <n v="1047" u="1"/>
        <n v="2063" u="1"/>
        <n v="4080" u="1"/>
        <n v="1003" u="1"/>
        <n v="3950" u="1"/>
        <n v="3820" u="1"/>
        <n v="938" u="1"/>
        <n v="3690" u="1"/>
        <n v="3560" u="1"/>
        <n v="873" u="1"/>
        <n v="3430" u="1"/>
        <n v="4781" u="1"/>
        <n v="3300" u="1"/>
        <n v="4521" u="1"/>
        <n v="808" u="1"/>
        <n v="3170" u="1"/>
        <n v="4261" u="1"/>
        <n v="3040" u="1"/>
        <n v="743" u="1"/>
        <n v="2910" u="1"/>
        <n v="2780" u="1"/>
        <n v="678" u="1"/>
        <n v="2650" u="1"/>
        <n v="2520" u="1"/>
        <n v="4978" u="1"/>
        <n v="613" u="1"/>
        <n v="2390" u="1"/>
        <n v="4718" u="1"/>
        <n v="2260" u="1"/>
        <n v="4458" u="1"/>
        <n v="548" u="1"/>
        <n v="2130" u="1"/>
        <n v="4198" u="1"/>
        <n v="2024" u="1"/>
        <n v="4017" u="1"/>
        <n v="1959" u="1"/>
        <n v="3887" u="1"/>
        <n v="1894" u="1"/>
        <n v="3757" u="1"/>
        <n v="1829" u="1"/>
        <n v="3627" u="1"/>
        <n v="1764" u="1"/>
        <n v="3497" u="1"/>
        <n v="4915" u="1"/>
        <n v="1699" u="1"/>
        <n v="3367" u="1"/>
        <n v="4655" u="1"/>
        <n v="1634" u="1"/>
        <n v="3237" u="1"/>
        <n v="4395" u="1"/>
        <n v="1569" u="1"/>
        <n v="3107" u="1"/>
        <n v="4135" u="1"/>
        <n v="1504" u="1"/>
        <n v="2977" u="1"/>
        <n v="1439" u="1"/>
        <n v="2847" u="1"/>
        <n v="1374" u="1"/>
        <n v="2717" u="1"/>
        <n v="1309" u="1"/>
        <n v="2587" u="1"/>
        <n v="1244" u="1"/>
        <n v="2457" u="1"/>
        <n v="4852" u="1"/>
        <n v="1179" u="1"/>
        <n v="2327" u="1"/>
        <n v="4592" u="1"/>
        <n v="1114" u="1"/>
        <n v="2197" u="1"/>
        <n v="4332" u="1"/>
        <n v="1049" u="1"/>
        <n v="2067" u="1"/>
        <n v="4084" u="1"/>
        <n v="1004" u="1"/>
        <n v="3954" u="1"/>
        <n v="3824" u="1"/>
        <n v="939" u="1"/>
        <n v="3694" u="1"/>
        <n v="3564" u="1"/>
        <n v="874" u="1"/>
        <n v="3434" u="1"/>
        <n v="4789" u="1"/>
        <n v="3304" u="1"/>
        <n v="4529" u="1"/>
        <n v="809" u="1"/>
        <n v="3174" u="1"/>
        <n v="4269" u="1"/>
        <n v="3044" u="1"/>
        <n v="744" u="1"/>
        <n v="2914" u="1"/>
        <n v="2784" u="1"/>
        <n v="679" u="1"/>
        <n v="2654" u="1"/>
        <n v="2524" u="1"/>
        <n v="4986" u="1"/>
        <n v="614" u="1"/>
        <n v="2394" u="1"/>
        <n v="4726" u="1"/>
        <n v="2264" u="1"/>
        <n v="4466" u="1"/>
        <n v="549" u="1"/>
        <n v="2134" u="1"/>
        <n v="4206" u="1"/>
        <n v="2026" u="1"/>
        <n v="4021" u="1"/>
        <n v="1961" u="1"/>
        <n v="3891" u="1"/>
        <n v="1896" u="1"/>
        <n v="3761" u="1"/>
        <n v="1831" u="1"/>
        <n v="3631" u="1"/>
        <n v="1766" u="1"/>
        <n v="3501" u="1"/>
        <n v="4923" u="1"/>
        <n v="1701" u="1"/>
        <n v="3371" u="1"/>
        <n v="4663" u="1"/>
        <n v="1636" u="1"/>
        <n v="3241" u="1"/>
        <n v="4403" u="1"/>
        <n v="1571" u="1"/>
        <n v="3111" u="1"/>
        <n v="4143" u="1"/>
        <n v="1506" u="1"/>
        <n v="2981" u="1"/>
        <n v="1441" u="1"/>
        <n v="2851" u="1"/>
        <n v="1376" u="1"/>
        <n v="2721" u="1"/>
        <n v="1311" u="1"/>
        <n v="2591" u="1"/>
        <n v="1246" u="1"/>
        <n v="2461" u="1"/>
        <n v="4860" u="1"/>
        <n v="1181" u="1"/>
        <n v="2331" u="1"/>
        <n v="4600" u="1"/>
        <n v="1116" u="1"/>
        <n v="2201" u="1"/>
        <n v="4340" u="1"/>
        <n v="1051" u="1"/>
        <n v="2071" u="1"/>
        <n v="4088" u="1"/>
        <n v="1005" u="1"/>
        <n v="3958" u="1"/>
        <n v="3828" u="1"/>
        <n v="940" u="1"/>
        <n v="3698" u="1"/>
        <n v="3568" u="1"/>
        <n v="875" u="1"/>
        <n v="3438" u="1"/>
        <n v="4797" u="1"/>
        <n v="3308" u="1"/>
        <n v="4537" u="1"/>
        <n v="810" u="1"/>
        <n v="3178" u="1"/>
        <n v="4277" u="1"/>
        <n v="3048" u="1"/>
        <n v="745" u="1"/>
        <n v="2918" u="1"/>
        <n v="2788" u="1"/>
        <n v="680" u="1"/>
        <n v="2658" u="1"/>
        <n v="2528" u="1"/>
        <n v="4994" u="1"/>
        <n v="615" u="1"/>
        <n v="2398" u="1"/>
        <n v="4734" u="1"/>
        <n v="2268" u="1"/>
        <n v="4474" u="1"/>
        <n v="550" u="1"/>
        <n v="2138" u="1"/>
        <n v="4214" u="1"/>
        <n v="2028" u="1"/>
        <n v="4025" u="1"/>
        <n v="1963" u="1"/>
        <n v="3895" u="1"/>
        <n v="1898" u="1"/>
        <n v="3765" u="1"/>
        <n v="1833" u="1"/>
        <n v="3635" u="1"/>
        <n v="1768" u="1"/>
        <n v="3505" u="1"/>
        <n v="4931" u="1"/>
        <n v="1703" u="1"/>
        <n v="3375" u="1"/>
        <n v="4671" u="1"/>
        <n v="1638" u="1"/>
        <n v="3245" u="1"/>
        <n v="4411" u="1"/>
        <n v="1573" u="1"/>
        <n v="3115" u="1"/>
        <n v="4151" u="1"/>
        <n v="1508" u="1"/>
        <n v="2985" u="1"/>
        <n v="1443" u="1"/>
        <n v="2855" u="1"/>
        <n v="1378" u="1"/>
        <n v="2725" u="1"/>
        <n v="1313" u="1"/>
        <n v="2595" u="1"/>
        <n v="1248" u="1"/>
        <n v="2465" u="1"/>
        <n v="4868" u="1"/>
        <n v="1183" u="1"/>
        <n v="2335" u="1"/>
        <n v="4608" u="1"/>
        <n v="1118" u="1"/>
        <n v="2205" u="1"/>
        <n v="4348" u="1"/>
        <n v="1053" u="1"/>
        <n v="2075" u="1"/>
        <n v="4092" u="1"/>
        <n v="1006" u="1"/>
        <n v="3962" u="1"/>
        <n v="3832" u="1"/>
        <n v="941" u="1"/>
        <n v="3702" u="1"/>
        <n v="3572" u="1"/>
        <n v="876" u="1"/>
        <n v="3442" u="1"/>
        <n v="4805" u="1"/>
        <n v="3312" u="1"/>
        <n v="4545" u="1"/>
        <n v="811" u="1"/>
        <n v="3182" u="1"/>
        <n v="4285" u="1"/>
        <n v="3052" u="1"/>
        <n v="746" u="1"/>
        <n v="2922" u="1"/>
        <n v="2792" u="1"/>
        <n v="681" u="1"/>
        <n v="2662" u="1"/>
        <n v="2532" u="1"/>
        <n v="616" u="1"/>
        <n v="2402" u="1"/>
        <n v="4742" u="1"/>
        <n v="2272" u="1"/>
        <n v="4482" u="1"/>
        <n v="551" u="1"/>
        <n v="2142" u="1"/>
        <n v="4222" u="1"/>
        <n v="2030" u="1"/>
        <n v="4029" u="1"/>
        <n v="1965" u="1"/>
        <n v="3899" u="1"/>
        <n v="1900" u="1"/>
        <n v="3769" u="1"/>
        <n v="1835" u="1"/>
        <n v="3639" u="1"/>
        <n v="1770" u="1"/>
        <n v="3509" u="1"/>
        <n v="4939" u="1"/>
        <n v="1705" u="1"/>
        <n v="3379" u="1"/>
        <n v="4679" u="1"/>
        <n v="1640" u="1"/>
        <n v="3249" u="1"/>
        <n v="4419" u="1"/>
        <n v="1575" u="1"/>
        <n v="3119" u="1"/>
        <n v="4159" u="1"/>
        <n v="1510" u="1"/>
        <n v="2989" u="1"/>
        <n v="1445" u="1"/>
        <n v="2859" u="1"/>
        <n v="1380" u="1"/>
        <n v="2729" u="1"/>
        <n v="1315" u="1"/>
        <n v="2599" u="1"/>
        <n v="1250" u="1"/>
        <n v="2469" u="1"/>
        <n v="4876" u="1"/>
        <n v="1185" u="1"/>
        <n v="2339" u="1"/>
        <n v="4616" u="1"/>
        <n v="1120" u="1"/>
        <n v="2209" u="1"/>
        <n v="4356" u="1"/>
        <n v="1055" u="1"/>
        <n v="2079" u="1"/>
        <n v="4096" u="1"/>
        <n v="1007" u="1"/>
        <n v="3966" u="1"/>
        <n v="3836" u="1"/>
        <n v="942" u="1"/>
        <n v="3706" u="1"/>
        <n v="3576" u="1"/>
        <n v="877" u="1"/>
        <n v="3446" u="1"/>
        <n v="4813" u="1"/>
        <n v="3316" u="1"/>
        <n v="4553" u="1"/>
        <n v="812" u="1"/>
        <n v="3186" u="1"/>
        <n v="4293" u="1"/>
        <n v="3056" u="1"/>
        <n v="747" u="1"/>
        <n v="2926" u="1"/>
        <n v="2796" u="1"/>
        <n v="682" u="1"/>
        <n v="2666" u="1"/>
        <n v="2536" u="1"/>
        <n v="617" u="1"/>
        <n v="2406" u="1"/>
        <n v="4750" u="1"/>
        <n v="2276" u="1"/>
        <n v="4490" u="1"/>
        <n v="552" u="1"/>
        <n v="2146" u="1"/>
        <n v="4230" u="1"/>
        <n v="2032" u="1"/>
        <n v="4033" u="1"/>
        <n v="1967" u="1"/>
        <n v="3903" u="1"/>
        <n v="1902" u="1"/>
        <n v="3773" u="1"/>
        <n v="1837" u="1"/>
        <n v="3643" u="1"/>
        <n v="1772" u="1"/>
        <n v="3513" u="1"/>
        <n v="4947" u="1"/>
        <n v="1707" u="1"/>
        <n v="3383" u="1"/>
        <n v="4687" u="1"/>
        <n v="1642" u="1"/>
        <n v="3253" u="1"/>
        <n v="4427" u="1"/>
        <n v="1577" u="1"/>
        <n v="3123" u="1"/>
        <n v="4167" u="1"/>
        <n v="1512" u="1"/>
        <n v="2993" u="1"/>
        <n v="1447" u="1"/>
        <n v="2863" u="1"/>
        <n v="1382" u="1"/>
        <n v="2733" u="1"/>
        <n v="1317" u="1"/>
        <n v="2603" u="1"/>
        <n v="1252" u="1"/>
        <n v="2473" u="1"/>
        <n v="4884" u="1"/>
        <n v="1187" u="1"/>
        <n v="2343" u="1"/>
        <n v="4624" u="1"/>
        <n v="1122" u="1"/>
        <n v="2213" u="1"/>
        <n v="4364" u="1"/>
        <n v="1057" u="1"/>
        <n v="2083" u="1"/>
        <n v="4104" u="1"/>
        <n v="1008" u="1"/>
        <n v="3970" u="1"/>
        <n v="3840" u="1"/>
        <n v="943" u="1"/>
        <n v="3710" u="1"/>
        <n v="3580" u="1"/>
        <n v="878" u="1"/>
        <n v="3450" u="1"/>
        <n v="4821" u="1"/>
        <n v="3320" u="1"/>
        <n v="4561" u="1"/>
        <n v="813" u="1"/>
        <n v="3190" u="1"/>
        <n v="4301" u="1"/>
        <n v="3060" u="1"/>
        <n v="748" u="1"/>
        <n v="2930" u="1"/>
        <n v="2800" u="1"/>
        <n v="683" u="1"/>
        <n v="2670" u="1"/>
        <n v="2540" u="1"/>
        <n v="618" u="1"/>
        <n v="2410" u="1"/>
        <n v="4758" u="1"/>
        <n v="2280" u="1"/>
        <n v="4498" u="1"/>
        <n v="553" u="1"/>
        <n v="2150" u="1"/>
        <n v="4238" u="1"/>
        <n v="2034" u="1"/>
        <n v="4037" u="1"/>
        <n v="500" u="1"/>
        <n v="1969" u="1"/>
        <n v="3907" u="1"/>
        <n v="1904" u="1"/>
        <n v="3777" u="1"/>
        <n v="1839" u="1"/>
        <n v="3647" u="1"/>
        <n v="1774" u="1"/>
        <n v="3517" u="1"/>
        <n v="4955" u="1"/>
        <n v="1709" u="1"/>
        <n v="3387" u="1"/>
        <n v="4695" u="1"/>
        <n v="1644" u="1"/>
        <n v="3257" u="1"/>
        <n v="4435" u="1"/>
        <n v="1579" u="1"/>
        <n v="3127" u="1"/>
        <n v="4175" u="1"/>
        <n v="1514" u="1"/>
        <n v="2997" u="1"/>
        <n v="1449" u="1"/>
        <n v="2867" u="1"/>
        <n v="1384" u="1"/>
        <n v="2737" u="1"/>
        <n v="1319" u="1"/>
        <n v="2607" u="1"/>
        <n v="1254" u="1"/>
        <n v="2477" u="1"/>
        <n v="4892" u="1"/>
        <n v="1189" u="1"/>
        <n v="2347" u="1"/>
        <n v="4632" u="1"/>
        <n v="1124" u="1"/>
        <n v="2217" u="1"/>
        <n v="4372" u="1"/>
        <n v="1059" u="1"/>
        <n v="2087" u="1"/>
        <n v="4112" u="1"/>
        <n v="1009" u="1"/>
        <n v="3974" u="1"/>
        <n v="3844" u="1"/>
        <n v="944" u="1"/>
        <n v="3714" u="1"/>
        <n v="3584" u="1"/>
        <n v="879" u="1"/>
        <n v="3454" u="1"/>
        <n v="4829" u="1"/>
        <n v="3324" u="1"/>
        <n v="4569" u="1"/>
        <n v="814" u="1"/>
        <n v="3194" u="1"/>
        <n v="4309" u="1"/>
        <n v="3064" u="1"/>
        <n v="749" u="1"/>
        <n v="2934" u="1"/>
        <n v="2804" u="1"/>
        <n v="684" u="1"/>
        <n v="2674" u="1"/>
        <n v="2544" u="1"/>
        <n v="619" u="1"/>
        <n v="2414" u="1"/>
        <n v="4766" u="1"/>
        <n v="2284" u="1"/>
        <n v="4506" u="1"/>
        <n v="554" u="1"/>
        <n v="2154" u="1"/>
        <n v="4246" u="1"/>
        <n v="2036" u="1"/>
        <n v="4041" u="1"/>
        <n v="1971" u="1"/>
        <n v="3911" u="1"/>
        <n v="1906" u="1"/>
        <n v="3781" u="1"/>
        <n v="1841" u="1"/>
        <n v="3651" u="1"/>
        <n v="1776" u="1"/>
        <n v="3521" u="1"/>
        <n v="4963" u="1"/>
        <n v="1711" u="1"/>
        <n v="3391" u="1"/>
        <n v="4703" u="1"/>
        <n v="1646" u="1"/>
        <n v="3261" u="1"/>
        <n v="4443" u="1"/>
        <n v="1581" u="1"/>
        <n v="3131" u="1"/>
        <n v="4183" u="1"/>
        <n v="1516" u="1"/>
        <n v="3001" u="1"/>
        <n v="1451" u="1"/>
        <n v="2871" u="1"/>
        <n v="1386" u="1"/>
        <n v="2741" u="1"/>
        <n v="1321" u="1"/>
        <n v="2611" u="1"/>
        <n v="1256" u="1"/>
        <n v="2481" u="1"/>
        <n v="4900" u="1"/>
        <n v="1191" u="1"/>
        <n v="2351" u="1"/>
        <n v="4640" u="1"/>
        <n v="1126" u="1"/>
        <n v="2221" u="1"/>
        <n v="4380" u="1"/>
        <n v="1061" u="1"/>
        <n v="2091" u="1"/>
        <n v="4120" u="1"/>
        <n v="1010" u="1"/>
        <n v="3978" u="1"/>
        <n v="3848" u="1"/>
        <n v="945" u="1"/>
        <n v="3718" u="1"/>
        <n v="3588" u="1"/>
        <n v="880" u="1"/>
        <n v="3458" u="1"/>
        <n v="4837" u="1"/>
        <n v="3328" u="1"/>
        <n v="4577" u="1"/>
        <n v="815" u="1"/>
        <n v="3198" u="1"/>
        <n v="4317" u="1"/>
        <n v="3068" u="1"/>
        <n v="750" u="1"/>
        <n v="2938" u="1"/>
        <n v="2808" u="1"/>
        <n v="685" u="1"/>
        <n v="2678" u="1"/>
        <n v="2548" u="1"/>
        <n v="620" u="1"/>
        <n v="2418" u="1"/>
        <n v="4774" u="1"/>
        <n v="2288" u="1"/>
        <n v="4514" u="1"/>
        <n v="555" u="1"/>
        <n v="2158" u="1"/>
        <n v="4254" u="1"/>
        <n v="2038" u="1"/>
        <n v="4045" u="1"/>
        <n v="501" u="1"/>
        <n v="1973" u="1"/>
        <n v="3915" u="1"/>
        <n v="1908" u="1"/>
        <n v="3785" u="1"/>
        <n v="1843" u="1"/>
        <n v="3655" u="1"/>
        <n v="1778" u="1"/>
        <n v="3525" u="1"/>
        <n v="4971" u="1"/>
        <n v="1713" u="1"/>
        <n v="3395" u="1"/>
        <n v="4711" u="1"/>
        <n v="1648" u="1"/>
        <n v="3265" u="1"/>
        <n v="4451" u="1"/>
        <n v="1583" u="1"/>
        <n v="3135" u="1"/>
        <n v="4191" u="1"/>
        <n v="1518" u="1"/>
        <n v="3005" u="1"/>
        <n v="1453" u="1"/>
        <n v="2875" u="1"/>
        <n v="1388" u="1"/>
        <n v="2745" u="1"/>
        <n v="1323" u="1"/>
        <n v="2615" u="1"/>
        <n v="1258" u="1"/>
        <n v="2485" u="1"/>
        <n v="4908" u="1"/>
        <n v="1193" u="1"/>
        <n v="2355" u="1"/>
        <n v="4648" u="1"/>
        <n v="1128" u="1"/>
        <n v="2225" u="1"/>
        <n v="4388" u="1"/>
        <n v="1063" u="1"/>
        <n v="2095" u="1"/>
        <n v="4128" u="1"/>
        <n v="1011" u="1"/>
        <n v="3982" u="1"/>
        <n v="3852" u="1"/>
        <n v="946" u="1"/>
        <n v="3722" u="1"/>
        <n v="3592" u="1"/>
        <n v="881" u="1"/>
        <n v="3462" u="1"/>
        <n v="4845" u="1"/>
        <n v="3332" u="1"/>
        <n v="4585" u="1"/>
        <n v="816" u="1"/>
        <n v="3202" u="1"/>
        <n v="4325" u="1"/>
        <n v="3072" u="1"/>
        <n v="751" u="1"/>
        <n v="2942" u="1"/>
        <n v="2812" u="1"/>
        <n v="686" u="1"/>
        <n v="2682" u="1"/>
        <n v="2552" u="1"/>
        <n v="621" u="1"/>
        <n v="2422" u="1"/>
        <n v="4782" u="1"/>
        <n v="2292" u="1"/>
        <n v="4522" u="1"/>
        <n v="556" u="1"/>
        <n v="2162" u="1"/>
        <n v="4262" u="1"/>
        <n v="2040" u="1"/>
        <n v="4049" u="1"/>
        <n v="1975" u="1"/>
        <n v="3919" u="1"/>
        <n v="1910" u="1"/>
        <n v="3789" u="1"/>
        <n v="1845" u="1"/>
        <n v="3659" u="1"/>
        <n v="1780" u="1"/>
        <n v="3529" u="1"/>
        <n v="4979" u="1"/>
        <n v="1715" u="1"/>
        <n v="3399" u="1"/>
        <n v="4719" u="1"/>
        <n v="1650" u="1"/>
        <n v="3269" u="1"/>
        <n v="4459" u="1"/>
        <n v="1585" u="1"/>
        <n v="3139" u="1"/>
        <n v="4199" u="1"/>
        <n v="1520" u="1"/>
        <n v="3009" u="1"/>
        <n v="1455" u="1"/>
        <n v="2879" u="1"/>
        <n v="1390" u="1"/>
        <n v="2749" u="1"/>
        <n v="1325" u="1"/>
        <n v="2619" u="1"/>
        <n v="1260" u="1"/>
        <n v="2489" u="1"/>
        <n v="4916" u="1"/>
        <n v="1195" u="1"/>
        <n v="2359" u="1"/>
        <n v="4656" u="1"/>
        <n v="1130" u="1"/>
        <n v="2229" u="1"/>
        <n v="4396" u="1"/>
        <n v="1065" u="1"/>
        <n v="2099" u="1"/>
        <n v="4136" u="1"/>
        <n v="1012" u="1"/>
        <n v="3986" u="1"/>
        <n v="3856" u="1"/>
        <n v="947" u="1"/>
        <n v="3726" u="1"/>
        <n v="3596" u="1"/>
        <n v="882" u="1"/>
        <n v="3466" u="1"/>
        <n v="4853" u="1"/>
        <n v="3336" u="1"/>
        <n v="4593" u="1"/>
        <n v="817" u="1"/>
        <n v="3206" u="1"/>
        <n v="4333" u="1"/>
        <n v="3076" u="1"/>
        <n v="752" u="1"/>
        <n v="2946" u="1"/>
        <n v="2816" u="1"/>
        <n v="687" u="1"/>
        <n v="2686" u="1"/>
        <n v="2556" u="1"/>
        <n v="622" u="1"/>
        <n v="2426" u="1"/>
        <n v="4790" u="1"/>
        <n v="2296" u="1"/>
        <n v="4530" u="1"/>
        <n v="557" u="1"/>
        <n v="2166" u="1"/>
        <n v="4270" u="1"/>
        <n v="2042" u="1"/>
        <n v="4053" u="1"/>
        <n v="502" u="1"/>
        <n v="1977" u="1"/>
        <n v="3923" u="1"/>
        <n v="1912" u="1"/>
        <n v="3793" u="1"/>
        <n v="1847" u="1"/>
        <n v="3663" u="1"/>
        <n v="1782" u="1"/>
        <n v="3533" u="1"/>
        <n v="4987" u="1"/>
        <n v="1717" u="1"/>
        <n v="3403" u="1"/>
        <n v="4727" u="1"/>
        <n v="1652" u="1"/>
        <n v="3273" u="1"/>
        <n v="4467" u="1"/>
        <n v="1587" u="1"/>
        <n v="3143" u="1"/>
        <n v="4207" u="1"/>
        <n v="1522" u="1"/>
        <n v="3013" u="1"/>
        <n v="1457" u="1"/>
        <n v="2883" u="1"/>
        <n v="1392" u="1"/>
        <n v="2753" u="1"/>
        <n v="1327" u="1"/>
        <n v="2623" u="1"/>
        <n v="1262" u="1"/>
        <n v="2493" u="1"/>
        <n v="4924" u="1"/>
        <n v="1197" u="1"/>
        <n v="2363" u="1"/>
        <n v="4664" u="1"/>
        <n v="1132" u="1"/>
        <n v="2233" u="1"/>
        <n v="4404" u="1"/>
        <n v="1067" u="1"/>
        <n v="2103" u="1"/>
        <n v="4144" u="1"/>
        <n v="1013" u="1"/>
        <n v="3990" u="1"/>
        <n v="3860" u="1"/>
        <n v="948" u="1"/>
        <n v="3730" u="1"/>
        <n v="3600" u="1"/>
        <n v="883" u="1"/>
        <n v="3470" u="1"/>
        <n v="4861" u="1"/>
        <n v="3340" u="1"/>
        <n v="4601" u="1"/>
        <n v="818" u="1"/>
        <n v="3210" u="1"/>
        <n v="4341" u="1"/>
        <n v="3080" u="1"/>
        <n v="753" u="1"/>
        <n v="2950" u="1"/>
        <n v="2820" u="1"/>
        <n v="688" u="1"/>
        <n v="2690" u="1"/>
        <n v="2560" u="1"/>
        <n v="623" u="1"/>
        <n v="2430" u="1"/>
        <n v="4798" u="1"/>
        <n v="2300" u="1"/>
        <n v="4538" u="1"/>
        <n v="558" u="1"/>
        <n v="2170" u="1"/>
        <n v="4278" u="1"/>
        <n v="2044" u="1"/>
        <n v="4057" u="1"/>
        <n v="1979" u="1"/>
        <n v="3927" u="1"/>
        <n v="1914" u="1"/>
        <n v="3797" u="1"/>
        <n v="1849" u="1"/>
        <n v="3667" u="1"/>
        <n v="1784" u="1"/>
        <n v="3537" u="1"/>
        <n v="4995" u="1"/>
        <n v="1719" u="1"/>
        <n v="3407" u="1"/>
        <n v="4735" u="1"/>
        <n v="1654" u="1"/>
        <n v="3277" u="1"/>
        <n v="4475" u="1"/>
        <n v="1589" u="1"/>
        <n v="3147" u="1"/>
        <n v="4215" u="1"/>
        <n v="1524" u="1"/>
        <n v="3017" u="1"/>
        <n v="1459" u="1"/>
        <n v="2887" u="1"/>
        <n v="1394" u="1"/>
        <n v="2757" u="1"/>
        <n v="1329" u="1"/>
        <n v="2627" u="1"/>
        <n v="1264" u="1"/>
        <n v="2497" u="1"/>
        <n v="4932" u="1"/>
        <n v="1199" u="1"/>
        <n v="2367" u="1"/>
        <n v="4672" u="1"/>
        <n v="1134" u="1"/>
        <n v="2237" u="1"/>
        <n v="4412" u="1"/>
        <n v="1069" u="1"/>
        <n v="2107" u="1"/>
        <n v="4152" u="1"/>
        <n v="1014" u="1"/>
        <n v="3994" u="1"/>
        <n v="3864" u="1"/>
        <n v="949" u="1"/>
        <n v="3734" u="1"/>
        <n v="3604" u="1"/>
        <n v="884" u="1"/>
        <n v="3474" u="1"/>
        <n v="4869" u="1"/>
        <n v="3344" u="1"/>
        <n v="4609" u="1"/>
        <n v="819" u="1"/>
        <n v="3214" u="1"/>
        <n v="4349" u="1"/>
        <n v="3084" u="1"/>
        <n v="754" u="1"/>
        <n v="2954" u="1"/>
        <n v="2824" u="1"/>
        <n v="689" u="1"/>
        <n v="2694" u="1"/>
        <n v="2564" u="1"/>
        <n v="624" u="1"/>
        <n v="2434" u="1"/>
        <n v="4806" u="1"/>
        <n v="2304" u="1"/>
        <n v="4546" u="1"/>
        <n v="559" u="1"/>
        <n v="2174" u="1"/>
        <n v="4286" u="1"/>
        <n v="2046" u="1"/>
        <n v="4061" u="1"/>
        <n v="503" u="1"/>
        <n v="1981" u="1"/>
        <n v="3931" u="1"/>
        <n v="1916" u="1"/>
        <n v="3801" u="1"/>
        <n v="1851" u="1"/>
        <n v="3671" u="1"/>
        <n v="1786" u="1"/>
        <n v="3541" u="1"/>
        <n v="1721" u="1"/>
        <n v="3411" u="1"/>
        <n v="4743" u="1"/>
        <n v="1656" u="1"/>
        <n v="3281" u="1"/>
        <n v="4483" u="1"/>
        <n v="1591" u="1"/>
        <n v="3151" u="1"/>
        <n v="4223" u="1"/>
        <n v="1526" u="1"/>
        <n v="3021" u="1"/>
        <n v="1461" u="1"/>
        <n v="2891" u="1"/>
        <n v="1396" u="1"/>
        <n v="2761" u="1"/>
        <n v="1331" u="1"/>
        <n v="2631" u="1"/>
        <n v="1266" u="1"/>
        <n v="2501" u="1"/>
        <n v="4940" u="1"/>
        <n v="1201" u="1"/>
        <n v="2371" u="1"/>
        <n v="4680" u="1"/>
        <n v="1136" u="1"/>
        <n v="2241" u="1"/>
        <n v="4420" u="1"/>
        <n v="1071" u="1"/>
        <n v="2111" u="1"/>
        <n v="4160" u="1"/>
        <n v="1015" u="1"/>
        <n v="3998" u="1"/>
        <n v="3868" u="1"/>
        <n v="950" u="1"/>
        <n v="3738" u="1"/>
        <n v="3608" u="1"/>
        <n v="885" u="1"/>
        <n v="3478" u="1"/>
        <n v="4877" u="1"/>
        <n v="3348" u="1"/>
        <n v="4617" u="1"/>
        <n v="820" u="1"/>
        <n v="3218" u="1"/>
        <n v="4357" u="1"/>
        <n v="3088" u="1"/>
        <n v="4097" u="1"/>
        <n v="755" u="1"/>
        <n v="2958" u="1"/>
        <n v="2828" u="1"/>
        <n v="690" u="1"/>
        <n v="2698" u="1"/>
        <n v="2568" u="1"/>
        <n v="625" u="1"/>
        <n v="2438" u="1"/>
        <n v="4814" u="1"/>
        <n v="2308" u="1"/>
        <n v="4554" u="1"/>
        <n v="560" u="1"/>
        <n v="2178" u="1"/>
        <n v="4294" u="1"/>
        <n v="2048" u="1"/>
        <n v="4065" u="1"/>
        <n v="1983" u="1"/>
        <n v="3935" u="1"/>
        <n v="1918" u="1"/>
        <n v="3805" u="1"/>
        <n v="1853" u="1"/>
        <n v="3675" u="1"/>
        <n v="1788" u="1"/>
        <n v="3545" u="1"/>
        <n v="1723" u="1"/>
        <n v="3415" u="1"/>
        <n v="4751" u="1"/>
        <n v="1658" u="1"/>
        <n v="3285" u="1"/>
        <n v="4491" u="1"/>
        <n v="1593" u="1"/>
        <n v="3155" u="1"/>
        <n v="4231" u="1"/>
        <n v="1528" u="1"/>
        <n v="3025" u="1"/>
        <n v="1463" u="1"/>
        <n v="2895" u="1"/>
        <n v="1398" u="1"/>
        <n v="2765" u="1"/>
        <n v="1333" u="1"/>
        <n v="2635" u="1"/>
        <n v="1268" u="1"/>
        <n v="2505" u="1"/>
        <n v="4948" u="1"/>
        <n v="1203" u="1"/>
        <n v="2375" u="1"/>
        <n v="4688" u="1"/>
        <n v="1138" u="1"/>
        <n v="2245" u="1"/>
        <n v="4428" u="1"/>
        <n v="1073" u="1"/>
        <n v="2115" u="1"/>
        <n v="4168" u="1"/>
        <n v="1016" u="1"/>
        <n v="4002" u="1"/>
        <n v="3872" u="1"/>
        <n v="951" u="1"/>
        <n v="3742" u="1"/>
        <n v="3612" u="1"/>
        <n v="886" u="1"/>
        <n v="3482" u="1"/>
        <n v="4885" u="1"/>
        <n v="3352" u="1"/>
        <n v="4625" u="1"/>
        <n v="821" u="1"/>
        <n v="3222" u="1"/>
        <n v="4365" u="1"/>
        <n v="3092" u="1"/>
        <n v="4105" u="1"/>
        <n v="756" u="1"/>
        <n v="2962" u="1"/>
        <n v="2832" u="1"/>
        <n v="691" u="1"/>
        <n v="2702" u="1"/>
        <n v="2572" u="1"/>
        <n v="626" u="1"/>
        <n v="2442" u="1"/>
        <n v="4822" u="1"/>
        <n v="2312" u="1"/>
        <n v="4562" u="1"/>
        <n v="561" u="1"/>
        <n v="2182" u="1"/>
        <n v="4302" u="1"/>
        <n v="2052" u="1"/>
        <n v="4069" u="1"/>
        <n v="504" u="1"/>
        <n v="1985" u="1"/>
        <n v="3939" u="1"/>
        <n v="1920" u="1"/>
        <n v="3809" u="1"/>
        <n v="1855" u="1"/>
        <n v="3679" u="1"/>
        <n v="1790" u="1"/>
        <n v="3549" u="1"/>
        <n v="1725" u="1"/>
        <n v="3419" u="1"/>
        <n v="4759" u="1"/>
        <n v="1660" u="1"/>
        <n v="3289" u="1"/>
        <n v="4499" u="1"/>
        <n v="1595" u="1"/>
        <n v="3159" u="1"/>
        <n v="4239" u="1"/>
        <n v="1530" u="1"/>
        <n v="3029" u="1"/>
        <n v="1465" u="1"/>
        <n v="2899" u="1"/>
        <n v="1400" u="1"/>
        <n v="2769" u="1"/>
        <n v="1335" u="1"/>
        <n v="2639" u="1"/>
        <n v="1270" u="1"/>
        <n v="2509" u="1"/>
        <n v="4956" u="1"/>
        <n v="1205" u="1"/>
        <n v="2379" u="1"/>
        <n v="4696" u="1"/>
        <n v="1140" u="1"/>
        <n v="2249" u="1"/>
        <n v="4436" u="1"/>
        <n v="1075" u="1"/>
        <n v="2119" u="1"/>
        <n v="4176" u="1"/>
        <n v="1017" u="1"/>
        <n v="4006" u="1"/>
        <n v="3876" u="1"/>
        <n v="952" u="1"/>
        <n v="3746" u="1"/>
        <n v="3616" u="1"/>
        <n v="887" u="1"/>
        <n v="3486" u="1"/>
        <n v="4893" u="1"/>
        <n v="3356" u="1"/>
        <n v="4633" u="1"/>
        <n v="822" u="1"/>
        <n v="3226" u="1"/>
        <n v="4373" u="1"/>
        <n v="3096" u="1"/>
        <n v="4113" u="1"/>
        <n v="757" u="1"/>
        <n v="2966" u="1"/>
        <n v="2836" u="1"/>
        <n v="692" u="1"/>
        <n v="2706" u="1"/>
        <n v="2576" u="1"/>
        <n v="627" u="1"/>
        <n v="2446" u="1"/>
        <n v="4830" u="1"/>
        <n v="2316" u="1"/>
        <n v="4570" u="1"/>
        <n v="562" u="1"/>
        <n v="2186" u="1"/>
        <n v="4310" u="1"/>
        <n v="2056" u="1"/>
        <n v="4073" u="1"/>
        <n v="1987" u="1"/>
        <n v="3943" u="1"/>
        <n v="1922" u="1"/>
        <n v="3813" u="1"/>
        <n v="1857" u="1"/>
        <n v="3683" u="1"/>
        <n v="1792" u="1"/>
        <n v="3553" u="1"/>
        <n v="1727" u="1"/>
        <n v="3423" u="1"/>
        <n v="4767" u="1"/>
        <n v="1662" u="1"/>
        <n v="3293" u="1"/>
        <n v="4507" u="1"/>
        <n v="1597" u="1"/>
        <n v="3163" u="1"/>
        <n v="4247" u="1"/>
        <n v="1532" u="1"/>
        <n v="3033" u="1"/>
        <n v="1467" u="1"/>
        <n v="2903" u="1"/>
        <n v="1402" u="1"/>
        <n v="2773" u="1"/>
        <n v="1337" u="1"/>
        <n v="2643" u="1"/>
        <n v="1272" u="1"/>
        <n v="2513" u="1"/>
        <n v="4964" u="1"/>
        <n v="1207" u="1"/>
        <n v="2383" u="1"/>
        <n v="4704" u="1"/>
        <n v="1142" u="1"/>
        <n v="2253" u="1"/>
        <n v="4444" u="1"/>
        <n v="1077" u="1"/>
        <n v="2123" u="1"/>
        <n v="4184" u="1"/>
        <n v="1018" u="1"/>
        <n v="4010" u="1"/>
        <n v="3880" u="1"/>
        <n v="953" u="1"/>
        <n v="3750" u="1"/>
        <n v="3620" u="1"/>
        <n v="888" u="1"/>
        <n v="3490" u="1"/>
        <n v="4901" u="1"/>
        <n v="3360" u="1"/>
        <n v="4641" u="1"/>
        <n v="823" u="1"/>
        <n v="3230" u="1"/>
        <n v="4381" u="1"/>
        <n v="3100" u="1"/>
        <n v="4121" u="1"/>
        <n v="758" u="1"/>
        <n v="2970" u="1"/>
        <n v="2840" u="1"/>
        <n v="693" u="1"/>
        <n v="2710" u="1"/>
        <n v="2580" u="1"/>
        <n v="628" u="1"/>
        <n v="2450" u="1"/>
        <n v="4838" u="1"/>
        <n v="2320" u="1"/>
        <n v="4578" u="1"/>
        <n v="563" u="1"/>
        <n v="2190" u="1"/>
        <n v="4318" u="1"/>
        <n v="2060" u="1"/>
        <n v="4077" u="1"/>
        <n v="505" u="1"/>
        <n v="1989" u="1"/>
        <n v="3947" u="1"/>
        <n v="1924" u="1"/>
        <n v="3817" u="1"/>
        <n v="1859" u="1"/>
        <n v="3687" u="1"/>
        <n v="1794" u="1"/>
        <n v="3557" u="1"/>
        <n v="1729" u="1"/>
        <n v="3427" u="1"/>
        <n v="4775" u="1"/>
        <n v="1664" u="1"/>
        <n v="3297" u="1"/>
        <n v="4515" u="1"/>
        <n v="1599" u="1"/>
        <n v="3167" u="1"/>
        <n v="4255" u="1"/>
        <n v="1534" u="1"/>
        <n v="3037" u="1"/>
        <n v="1469" u="1"/>
        <n v="2907" u="1"/>
        <n v="1404" u="1"/>
        <n v="2777" u="1"/>
        <n v="1339" u="1"/>
        <n v="2647" u="1"/>
        <n v="1274" u="1"/>
        <n v="2517" u="1"/>
        <n v="4972" u="1"/>
        <n v="1209" u="1"/>
        <n v="2387" u="1"/>
        <n v="4712" u="1"/>
        <n v="1144" u="1"/>
        <n v="2257" u="1"/>
        <n v="4452" u="1"/>
        <n v="1079" u="1"/>
        <n v="2127" u="1"/>
        <n v="4192" u="1"/>
        <n v="1019" u="1"/>
        <n v="4014" u="1"/>
        <n v="3884" u="1"/>
        <n v="954" u="1"/>
        <n v="3754" u="1"/>
        <n v="3624" u="1"/>
        <n v="889" u="1"/>
        <n v="3494" u="1"/>
        <n v="4909" u="1"/>
        <n v="3364" u="1"/>
        <n v="4649" u="1"/>
        <n v="824" u="1"/>
        <n v="3234" u="1"/>
        <n v="4389" u="1"/>
        <n v="3104" u="1"/>
        <n v="4129" u="1"/>
        <n v="759" u="1"/>
        <n v="2974" u="1"/>
        <n v="2844" u="1"/>
        <n v="694" u="1"/>
        <n v="2714" u="1"/>
        <n v="2584" u="1"/>
        <n v="629" u="1"/>
        <n v="2454" u="1"/>
        <n v="4846" u="1"/>
        <n v="2324" u="1"/>
        <n v="4586" u="1"/>
        <n v="564" u="1"/>
        <n v="2194" u="1"/>
        <n v="4326" u="1"/>
        <n v="2064" u="1"/>
        <n v="4081" u="1"/>
        <n v="1991" u="1"/>
        <n v="3951" u="1"/>
        <n v="1926" u="1"/>
        <n v="3821" u="1"/>
        <n v="1861" u="1"/>
        <n v="3691" u="1"/>
        <n v="1796" u="1"/>
        <n v="3561" u="1"/>
        <n v="1731" u="1"/>
        <n v="3431" u="1"/>
        <n v="4783" u="1"/>
        <n v="1666" u="1"/>
        <n v="3301" u="1"/>
        <n v="4523" u="1"/>
        <n v="1601" u="1"/>
        <n v="3171" u="1"/>
        <n v="4263" u="1"/>
        <n v="1536" u="1"/>
        <n v="3041" u="1"/>
        <n v="1471" u="1"/>
        <n v="2911" u="1"/>
        <n v="1406" u="1"/>
        <n v="2781" u="1"/>
        <n v="1341" u="1"/>
        <n v="2651" u="1"/>
        <n v="1276" u="1"/>
        <n v="2521" u="1"/>
        <n v="4980" u="1"/>
        <n v="1211" u="1"/>
        <n v="2391" u="1"/>
        <n v="4720" u="1"/>
        <n v="1146" u="1"/>
        <n v="2261" u="1"/>
        <n v="4460" u="1"/>
        <n v="1081" u="1"/>
        <n v="2131" u="1"/>
        <n v="4200" u="1"/>
        <n v="1020" u="1"/>
        <n v="4018" u="1"/>
        <n v="3888" u="1"/>
        <n v="955" u="1"/>
        <n v="3758" u="1"/>
        <n v="3628" u="1"/>
        <n v="890" u="1"/>
        <n v="3498" u="1"/>
        <n v="4917" u="1"/>
        <n v="3368" u="1"/>
        <n v="4657" u="1"/>
        <n v="825" u="1"/>
        <n v="3238" u="1"/>
        <n v="4397" u="1"/>
        <n v="3108" u="1"/>
        <n v="4137" u="1"/>
        <n v="760" u="1"/>
        <n v="2978" u="1"/>
        <n v="2848" u="1"/>
        <n v="695" u="1"/>
        <n v="2718" u="1"/>
        <n v="2588" u="1"/>
        <n v="630" u="1"/>
        <n v="2458" u="1"/>
        <n v="4854" u="1"/>
        <n v="2328" u="1"/>
        <n v="4594" u="1"/>
        <n v="565" u="1"/>
        <n v="2198" u="1"/>
        <n v="4334" u="1"/>
        <n v="2068" u="1"/>
        <n v="4085" u="1"/>
        <n v="506" u="1"/>
        <n v="1993" u="1"/>
        <n v="3955" u="1"/>
        <n v="1928" u="1"/>
        <n v="3825" u="1"/>
        <n v="1863" u="1"/>
        <n v="3695" u="1"/>
        <n v="1798" u="1"/>
        <n v="3565" u="1"/>
        <n v="1733" u="1"/>
        <n v="3435" u="1"/>
        <n v="4791" u="1"/>
        <n v="1668" u="1"/>
        <n v="3305" u="1"/>
        <n v="4531" u="1"/>
        <n v="1603" u="1"/>
        <n v="3175" u="1"/>
        <n v="4271" u="1"/>
        <n v="1538" u="1"/>
        <n v="3045" u="1"/>
        <n v="1473" u="1"/>
        <n v="2915" u="1"/>
        <n v="1408" u="1"/>
        <n v="2785" u="1"/>
        <n v="1343" u="1"/>
        <n v="2655" u="1"/>
        <n v="1278" u="1"/>
        <n v="2525" u="1"/>
        <n v="4988" u="1"/>
        <n v="1213" u="1"/>
        <n v="2395" u="1"/>
        <n v="4728" u="1"/>
        <n v="1148" u="1"/>
        <n v="2265" u="1"/>
        <n v="4468" u="1"/>
        <n v="1083" u="1"/>
        <n v="2135" u="1"/>
        <n v="4208" u="1"/>
        <n v="1021" u="1"/>
        <n v="4022" u="1"/>
        <n v="3892" u="1"/>
        <n v="956" u="1"/>
        <n v="3762" u="1"/>
        <n v="3632" u="1"/>
        <n v="891" u="1"/>
        <n v="3502" u="1"/>
        <n v="4925" u="1"/>
        <n v="3372" u="1"/>
        <n v="4665" u="1"/>
        <n v="826" u="1"/>
        <n v="3242" u="1"/>
        <n v="4405" u="1"/>
        <n v="3112" u="1"/>
        <n v="4145" u="1"/>
        <n v="761" u="1"/>
        <n v="2982" u="1"/>
        <n v="2852" u="1"/>
        <n v="696" u="1"/>
        <n v="2722" u="1"/>
        <n v="2592" u="1"/>
        <n v="631" u="1"/>
        <n v="2462" u="1"/>
        <n v="4862" u="1"/>
        <n v="2332" u="1"/>
        <n v="4602" u="1"/>
        <n v="566" u="1"/>
        <n v="2202" u="1"/>
        <n v="4342" u="1"/>
        <n v="2072" u="1"/>
        <n v="4089" u="1"/>
        <n v="1995" u="1"/>
        <n v="3959" u="1"/>
        <n v="1930" u="1"/>
        <n v="3829" u="1"/>
        <n v="1865" u="1"/>
        <n v="3699" u="1"/>
        <n v="1800" u="1"/>
        <n v="3569" u="1"/>
        <n v="1735" u="1"/>
        <n v="3439" u="1"/>
        <n v="4799" u="1"/>
        <n v="1670" u="1"/>
        <n v="3309" u="1"/>
        <n v="4539" u="1"/>
        <n v="1605" u="1"/>
        <n v="3179" u="1"/>
        <n v="4279" u="1"/>
        <n v="1540" u="1"/>
        <n v="3049" u="1"/>
        <n v="1475" u="1"/>
        <n v="2919" u="1"/>
        <n v="1410" u="1"/>
        <n v="2789" u="1"/>
        <n v="1345" u="1"/>
        <n v="2659" u="1"/>
        <n v="1280" u="1"/>
        <n v="2529" u="1"/>
        <n v="4996" u="1"/>
        <n v="1215" u="1"/>
        <n v="2399" u="1"/>
        <n v="4736" u="1"/>
        <n v="1150" u="1"/>
        <n v="2269" u="1"/>
        <n v="4476" u="1"/>
        <n v="1085" u="1"/>
        <n v="2139" u="1"/>
        <n v="4216" u="1"/>
        <n v="1022" u="1"/>
        <n v="4026" u="1"/>
        <n v="3896" u="1"/>
        <n v="957" u="1"/>
        <n v="3766" u="1"/>
        <n v="3636" u="1"/>
        <n v="892" u="1"/>
        <n v="3506" u="1"/>
        <n v="4933" u="1"/>
        <n v="3376" u="1"/>
        <n v="4673" u="1"/>
        <n v="827" u="1"/>
        <n v="3246" u="1"/>
        <n v="4413" u="1"/>
        <n v="3116" u="1"/>
        <n v="4153" u="1"/>
        <n v="762" u="1"/>
        <n v="2986" u="1"/>
        <n v="2856" u="1"/>
        <n v="697" u="1"/>
        <n v="2726" u="1"/>
        <n v="2596" u="1"/>
        <n v="632" u="1"/>
        <n v="2466" u="1"/>
        <n v="4870" u="1"/>
        <n v="2336" u="1"/>
        <n v="4610" u="1"/>
        <n v="567" u="1"/>
        <n v="2206" u="1"/>
        <n v="4350" u="1"/>
        <n v="2076" u="1"/>
        <n v="4093" u="1"/>
        <n v="507" u="1"/>
        <n v="1997" u="1"/>
        <n v="3963" u="1"/>
        <n v="1932" u="1"/>
        <n v="3833" u="1"/>
        <n v="1867" u="1"/>
        <n v="3703" u="1"/>
        <n v="1802" u="1"/>
        <n v="3573" u="1"/>
        <n v="1737" u="1"/>
        <n v="3443" u="1"/>
        <n v="4807" u="1"/>
        <n v="1672" u="1"/>
        <n v="3313" u="1"/>
        <n v="4547" u="1"/>
        <n v="1607" u="1"/>
        <n v="3183" u="1"/>
        <n v="4287" u="1"/>
        <n v="1542" u="1"/>
        <n v="3053" u="1"/>
        <n v="1477" u="1"/>
        <n v="2923" u="1"/>
        <n v="1412" u="1"/>
        <n v="2793" u="1"/>
        <n v="1347" u="1"/>
        <n v="2663" u="1"/>
        <n v="1282" u="1"/>
        <n v="2533" u="1"/>
        <n v="1217" u="1"/>
        <n v="2403" u="1"/>
        <n v="4744" u="1"/>
        <n v="1152" u="1"/>
        <n v="2273" u="1"/>
        <n v="4484" u="1"/>
        <n v="1087" u="1"/>
        <n v="2143" u="1"/>
        <n v="4224" u="1"/>
        <n v="1023" u="1"/>
        <n v="4030" u="1"/>
        <n v="3900" u="1"/>
        <n v="958" u="1"/>
        <n v="3770" u="1"/>
        <n v="3640" u="1"/>
        <n v="893" u="1"/>
        <n v="3510" u="1"/>
        <n v="4941" u="1"/>
        <n v="3380" u="1"/>
        <n v="4681" u="1"/>
        <n v="828" u="1"/>
        <n v="3250" u="1"/>
        <n v="4421" u="1"/>
        <n v="3120" u="1"/>
        <n v="4161" u="1"/>
        <n v="763" u="1"/>
        <n v="2990" u="1"/>
        <n v="2860" u="1"/>
        <n v="698" u="1"/>
        <n v="2730" u="1"/>
        <n v="2600" u="1"/>
        <n v="633" u="1"/>
        <n v="2470" u="1"/>
        <n v="4878" u="1"/>
        <n v="2340" u="1"/>
        <n v="4618" u="1"/>
        <n v="568" u="1"/>
        <n v="2210" u="1"/>
        <n v="4358" u="1"/>
        <n v="2080" u="1"/>
        <n v="4098" u="1"/>
        <n v="1999" u="1"/>
        <n v="3967" u="1"/>
        <n v="1934" u="1"/>
        <n v="3837" u="1"/>
        <n v="1869" u="1"/>
        <n v="3707" u="1"/>
        <n v="1804" u="1"/>
        <n v="3577" u="1"/>
        <n v="1739" u="1"/>
        <n v="3447" u="1"/>
        <n v="4815" u="1"/>
        <n v="1674" u="1"/>
        <n v="3317" u="1"/>
        <n v="4555" u="1"/>
        <n v="1609" u="1"/>
        <n v="3187" u="1"/>
        <n v="4295" u="1"/>
        <n v="1544" u="1"/>
        <n v="3057" u="1"/>
        <n v="1479" u="1"/>
        <n v="2927" u="1"/>
        <n v="1414" u="1"/>
        <n v="2797" u="1"/>
        <n v="1349" u="1"/>
        <n v="2667" u="1"/>
        <n v="1284" u="1"/>
        <n v="2537" u="1"/>
        <n v="1219" u="1"/>
        <n v="2407" u="1"/>
        <n v="4752" u="1"/>
        <n v="1154" u="1"/>
        <n v="2277" u="1"/>
        <n v="4492" u="1"/>
        <n v="1089" u="1"/>
        <n v="2147" u="1"/>
        <n v="4232" u="1"/>
        <n v="1024" u="1"/>
        <n v="4034" u="1"/>
        <n v="3904" u="1"/>
        <n v="959" u="1"/>
        <n v="3774" u="1"/>
        <n v="3644" u="1"/>
        <n v="894" u="1"/>
        <n v="3514" u="1"/>
        <n v="4949" u="1"/>
        <n v="3384" u="1"/>
        <n v="4689" u="1"/>
        <n v="829" u="1"/>
        <n v="3254" u="1"/>
        <n v="4429" u="1"/>
        <n v="3124" u="1"/>
        <n v="4169" u="1"/>
        <n v="764" u="1"/>
        <n v="2994" u="1"/>
        <n v="2864" u="1"/>
        <n v="699" u="1"/>
        <n v="2734" u="1"/>
        <n v="2604" u="1"/>
        <n v="634" u="1"/>
        <n v="2474" u="1"/>
        <n v="4886" u="1"/>
        <n v="2344" u="1"/>
        <n v="4626" u="1"/>
        <n v="569" u="1"/>
        <n v="2214" u="1"/>
        <n v="4366" u="1"/>
        <n v="2084" u="1"/>
        <n v="4106" u="1"/>
        <n v="508" u="1"/>
        <n v="2001" u="1"/>
        <n v="3971" u="1"/>
        <n v="1936" u="1"/>
        <n v="3841" u="1"/>
        <n v="1871" u="1"/>
        <n v="3711" u="1"/>
        <n v="1806" u="1"/>
        <n v="3581" u="1"/>
        <n v="1741" u="1"/>
        <n v="3451" u="1"/>
        <n v="4823" u="1"/>
        <n v="1676" u="1"/>
        <n v="3321" u="1"/>
        <n v="4563" u="1"/>
        <n v="1611" u="1"/>
        <n v="3191" u="1"/>
        <n v="4303" u="1"/>
        <n v="1546" u="1"/>
        <n v="3061" u="1"/>
        <n v="1481" u="1"/>
        <n v="2931" u="1"/>
        <n v="1416" u="1"/>
        <n v="2801" u="1"/>
        <n v="1351" u="1"/>
        <n v="2671" u="1"/>
        <n v="1286" u="1"/>
        <n v="2541" u="1"/>
        <n v="1221" u="1"/>
        <n v="2411" u="1"/>
        <n v="4760" u="1"/>
        <n v="1156" u="1"/>
        <n v="2281" u="1"/>
        <n v="4500" u="1"/>
        <n v="1091" u="1"/>
        <n v="2151" u="1"/>
        <n v="4240" u="1"/>
        <n v="1026" u="1"/>
        <n v="4038" u="1"/>
        <n v="3908" u="1"/>
        <n v="960" u="1"/>
        <n v="3778" u="1"/>
        <n v="3648" u="1"/>
        <n v="895" u="1"/>
        <n v="3518" u="1"/>
        <n v="4957" u="1"/>
        <n v="3388" u="1"/>
        <n v="4697" u="1"/>
        <n v="830" u="1"/>
        <n v="3258" u="1"/>
        <n v="4437" u="1"/>
        <n v="3128" u="1"/>
        <n v="4177" u="1"/>
        <n v="765" u="1"/>
        <n v="2998" u="1"/>
        <n v="2868" u="1"/>
        <n v="700" u="1"/>
        <n v="2738" u="1"/>
        <n v="2608" u="1"/>
        <n v="635" u="1"/>
        <n v="2478" u="1"/>
        <n v="4894" u="1"/>
        <n v="2348" u="1"/>
        <n v="4634" u="1"/>
        <n v="570" u="1"/>
        <n v="2218" u="1"/>
        <n v="4374" u="1"/>
        <n v="2088" u="1"/>
        <n v="4114" u="1"/>
        <n v="2003" u="1"/>
        <n v="3975" u="1"/>
        <n v="1938" u="1"/>
        <n v="3845" u="1"/>
        <n v="1873" u="1"/>
        <n v="3715" u="1"/>
        <n v="1808" u="1"/>
        <n v="3585" u="1"/>
        <n v="1743" u="1"/>
        <n v="3455" u="1"/>
        <n v="4831" u="1"/>
        <n v="1678" u="1"/>
        <n v="3325" u="1"/>
        <n v="4571" u="1"/>
        <n v="1613" u="1"/>
        <n v="3195" u="1"/>
        <n v="4311" u="1"/>
        <n v="1548" u="1"/>
        <n v="3065" u="1"/>
        <n v="1483" u="1"/>
        <n v="2935" u="1"/>
        <n v="1418" u="1"/>
        <n v="2805" u="1"/>
        <n v="1353" u="1"/>
        <n v="2675" u="1"/>
        <n v="1288" u="1"/>
        <n v="2545" u="1"/>
        <n v="1223" u="1"/>
        <n v="2415" u="1"/>
        <n v="4768" u="1"/>
        <n v="1158" u="1"/>
        <n v="2285" u="1"/>
        <n v="4508" u="1"/>
        <n v="1093" u="1"/>
        <n v="2155" u="1"/>
        <n v="4248" u="1"/>
        <n v="1028" u="1"/>
        <n v="4042" u="1"/>
        <n v="3912" u="1"/>
        <n v="961" u="1"/>
        <n v="3782" u="1"/>
        <n v="3652" u="1"/>
        <n v="896" u="1"/>
        <n v="3522" u="1"/>
        <n v="4965" u="1"/>
        <n v="3392" u="1"/>
        <n v="4705" u="1"/>
        <n v="831" u="1"/>
        <n v="3262" u="1"/>
        <n v="4445" u="1"/>
        <n v="3132" u="1"/>
        <n v="4185" u="1"/>
        <n v="766" u="1"/>
        <n v="3002" u="1"/>
        <n v="2872" u="1"/>
        <n v="701" u="1"/>
        <n v="2742" u="1"/>
        <n v="2612" u="1"/>
        <n v="636" u="1"/>
        <n v="2482" u="1"/>
        <n v="4902" u="1"/>
        <n v="2352" u="1"/>
        <n v="4642" u="1"/>
        <n v="571" u="1"/>
        <n v="2222" u="1"/>
        <n v="4382" u="1"/>
        <n v="2092" u="1"/>
        <n v="4122" u="1"/>
        <n v="509" u="1"/>
        <n v="2005" u="1"/>
        <n v="3979" u="1"/>
        <n v="1940" u="1"/>
        <n v="3849" u="1"/>
        <n v="1875" u="1"/>
        <n v="3719" u="1"/>
        <n v="1810" u="1"/>
        <n v="3589" u="1"/>
        <n v="1745" u="1"/>
        <n v="3459" u="1"/>
        <n v="4839" u="1"/>
        <n v="1680" u="1"/>
        <n v="3329" u="1"/>
        <n v="4579" u="1"/>
        <n v="1615" u="1"/>
        <n v="3199" u="1"/>
        <n v="4319" u="1"/>
        <n v="1550" u="1"/>
        <n v="3069" u="1"/>
        <n v="1485" u="1"/>
        <n v="2939" u="1"/>
        <n v="1420" u="1"/>
        <n v="2809" u="1"/>
        <n v="1355" u="1"/>
        <n v="2679" u="1"/>
        <n v="1290" u="1"/>
        <n v="2549" u="1"/>
        <n v="1225" u="1"/>
        <n v="2419" u="1"/>
        <n v="4776" u="1"/>
        <n v="1160" u="1"/>
        <n v="2289" u="1"/>
        <n v="4516" u="1"/>
        <n v="1095" u="1"/>
        <n v="2159" u="1"/>
        <n v="4256" u="1"/>
        <n v="1030" u="1"/>
        <n v="4046" u="1"/>
        <n v="3916" u="1"/>
        <n v="962" u="1"/>
        <n v="3786" u="1"/>
        <n v="3656" u="1"/>
        <n v="897" u="1"/>
        <n v="3526" u="1"/>
        <n v="4973" u="1"/>
        <n v="3396" u="1"/>
        <n v="4713" u="1"/>
        <n v="832" u="1"/>
        <n v="3266" u="1"/>
        <n v="4453" u="1"/>
        <n v="3136" u="1"/>
        <n v="4193" u="1"/>
        <n v="767" u="1"/>
        <n v="3006" u="1"/>
        <n v="2876" u="1"/>
        <n v="702" u="1"/>
        <n v="2746" u="1"/>
        <n v="2616" u="1"/>
        <n v="637" u="1"/>
        <n v="2486" u="1"/>
        <n v="4910" u="1"/>
        <n v="2356" u="1"/>
        <n v="4650" u="1"/>
        <n v="572" u="1"/>
        <n v="2226" u="1"/>
        <n v="4390" u="1"/>
        <n v="2096" u="1"/>
        <n v="4130" u="1"/>
        <n v="2007" u="1"/>
        <n v="3983" u="1"/>
        <n v="1942" u="1"/>
        <n v="3853" u="1"/>
        <n v="1877" u="1"/>
        <n v="3723" u="1"/>
        <n v="1812" u="1"/>
        <n v="3593" u="1"/>
        <n v="1747" u="1"/>
        <n v="3463" u="1"/>
        <n v="4847" u="1"/>
        <n v="1682" u="1"/>
        <n v="3333" u="1"/>
        <n v="4587" u="1"/>
        <n v="1617" u="1"/>
        <n v="3203" u="1"/>
        <n v="4327" u="1"/>
        <n v="1552" u="1"/>
        <n v="3073" u="1"/>
        <n v="1487" u="1"/>
        <n v="2943" u="1"/>
        <n v="1422" u="1"/>
        <n v="2813" u="1"/>
        <n v="1357" u="1"/>
        <n v="2683" u="1"/>
        <n v="1292" u="1"/>
        <n v="2553" u="1"/>
        <n v="1227" u="1"/>
        <n v="2423" u="1"/>
        <n v="4784" u="1"/>
        <n v="1162" u="1"/>
        <n v="2293" u="1"/>
        <n v="4524" u="1"/>
        <n v="1097" u="1"/>
        <n v="2163" u="1"/>
        <n v="4264" u="1"/>
        <n v="1032" u="1"/>
        <n v="4050" u="1"/>
        <n v="3920" u="1"/>
        <n v="963" u="1"/>
        <n v="3790" u="1"/>
        <n v="3660" u="1"/>
        <n v="898" u="1"/>
        <n v="3530" u="1"/>
        <n v="4981" u="1"/>
        <n v="3400" u="1"/>
        <n v="4721" u="1"/>
        <n v="833" u="1"/>
        <n v="3270" u="1"/>
        <n v="4461" u="1"/>
        <n v="3140" u="1"/>
        <n v="4201" u="1"/>
        <n v="768" u="1"/>
        <n v="3010" u="1"/>
        <n v="2880" u="1"/>
        <n v="703" u="1"/>
        <n v="2750" u="1"/>
        <n v="2620" u="1"/>
        <n v="638" u="1"/>
        <n v="2490" u="1"/>
        <n v="4918" u="1"/>
        <n v="2360" u="1"/>
        <n v="4658" u="1"/>
        <n v="573" u="1"/>
        <n v="2230" u="1"/>
        <n v="4398" u="1"/>
        <n v="2100" u="1"/>
        <n v="4138" u="1"/>
        <n v="510" u="1"/>
        <n v="2009" u="1"/>
        <n v="3987" u="1"/>
        <n v="1944" u="1"/>
        <n v="3857" u="1"/>
        <n v="1879" u="1"/>
        <n v="3727" u="1"/>
        <n v="1814" u="1"/>
        <n v="3597" u="1"/>
        <n v="1749" u="1"/>
        <n v="3467" u="1"/>
        <n v="4855" u="1"/>
        <n v="1684" u="1"/>
        <n v="3337" u="1"/>
        <n v="4595" u="1"/>
        <n v="1619" u="1"/>
        <n v="3207" u="1"/>
        <n v="4335" u="1"/>
        <n v="1554" u="1"/>
        <n v="3077" u="1"/>
        <n v="1489" u="1"/>
        <n v="2947" u="1"/>
        <n v="1424" u="1"/>
        <n v="2817" u="1"/>
        <n v="1359" u="1"/>
        <n v="2687" u="1"/>
        <n v="1294" u="1"/>
        <n v="2557" u="1"/>
        <n v="1229" u="1"/>
        <n v="2427" u="1"/>
        <n v="4792" u="1"/>
        <n v="1164" u="1"/>
        <n v="2297" u="1"/>
        <n v="4532" u="1"/>
        <n v="1099" u="1"/>
        <n v="2167" u="1"/>
        <n v="4272" u="1"/>
        <n v="1034" u="1"/>
        <n v="4054" u="1"/>
        <n v="3924" u="1"/>
        <n v="964" u="1"/>
        <n v="3794" u="1"/>
        <n v="3664" u="1"/>
        <n v="899" u="1"/>
        <n v="3534" u="1"/>
        <n v="4989" u="1"/>
        <n v="3404" u="1"/>
        <n v="4729" u="1"/>
        <n v="834" u="1"/>
        <n v="3274" u="1"/>
        <n v="4469" u="1"/>
        <n v="3144" u="1"/>
        <n v="4209" u="1"/>
        <n v="769" u="1"/>
        <n v="3014" u="1"/>
        <n v="2884" u="1"/>
        <n v="704" u="1"/>
        <n v="2754" u="1"/>
        <n v="2624" u="1"/>
        <n v="639" u="1"/>
        <n v="2494" u="1"/>
        <n v="4926" u="1"/>
        <n v="2364" u="1"/>
        <n v="4666" u="1"/>
        <n v="574" u="1"/>
        <n v="2234" u="1"/>
        <n v="4406" u="1"/>
        <n v="2104" u="1"/>
        <n v="4146" u="1"/>
        <n v="2011" u="1"/>
        <n v="3991" u="1"/>
        <n v="1946" u="1"/>
        <n v="3861" u="1"/>
        <n v="1881" u="1"/>
        <n v="3731" u="1"/>
        <n v="1816" u="1"/>
        <n v="3601" u="1"/>
        <n v="1751" u="1"/>
        <n v="3471" u="1"/>
        <n v="4863" u="1"/>
        <n v="1686" u="1"/>
        <n v="3341" u="1"/>
        <n v="4603" u="1"/>
        <n v="1621" u="1"/>
        <n v="3211" u="1"/>
        <n v="4343" u="1"/>
        <n v="1556" u="1"/>
        <n v="3081" u="1"/>
        <n v="1491" u="1"/>
        <n v="2951" u="1"/>
        <n v="1426" u="1"/>
        <n v="2821" u="1"/>
        <n v="1361" u="1"/>
        <n v="2691" u="1"/>
        <n v="1296" u="1"/>
        <n v="2561" u="1"/>
        <n v="1231" u="1"/>
        <n v="2431" u="1"/>
        <n v="4800" u="1"/>
        <n v="1166" u="1"/>
        <n v="2301" u="1"/>
        <n v="4540" u="1"/>
        <n v="1101" u="1"/>
        <n v="2171" u="1"/>
        <n v="4280" u="1"/>
        <n v="1036" u="1"/>
        <n v="4058" u="1"/>
        <n v="3928" u="1"/>
        <n v="965" u="1"/>
        <n v="3798" u="1"/>
        <n v="3668" u="1"/>
        <n v="900" u="1"/>
        <n v="3538" u="1"/>
        <n v="4997" u="1"/>
        <n v="3408" u="1"/>
        <n v="4737" u="1"/>
        <n v="835" u="1"/>
        <n v="3278" u="1"/>
        <n v="4477" u="1"/>
        <n v="3148" u="1"/>
        <n v="4217" u="1"/>
        <n v="770" u="1"/>
        <n v="3018" u="1"/>
        <n v="2888" u="1"/>
        <n v="705" u="1"/>
        <n v="2758" u="1"/>
        <n v="2628" u="1"/>
        <n v="640" u="1"/>
        <n v="2498" u="1"/>
        <n v="4934" u="1"/>
        <n v="2368" u="1"/>
        <n v="4674" u="1"/>
        <n v="575" u="1"/>
        <n v="2238" u="1"/>
        <n v="4414" u="1"/>
        <n v="2108" u="1"/>
        <n v="4154" u="1"/>
        <n v="511" u="1"/>
        <n v="2013" u="1"/>
        <n v="3995" u="1"/>
        <n v="1948" u="1"/>
        <n v="3865" u="1"/>
        <n v="1883" u="1"/>
        <n v="3735" u="1"/>
        <n v="1818" u="1"/>
        <n v="3605" u="1"/>
        <n v="1753" u="1"/>
        <n v="3475" u="1"/>
        <n v="4871" u="1"/>
        <n v="1688" u="1"/>
        <n v="3345" u="1"/>
        <n v="4611" u="1"/>
        <n v="1623" u="1"/>
        <n v="3215" u="1"/>
        <n v="4351" u="1"/>
        <n v="1558" u="1"/>
        <n v="3085" u="1"/>
        <n v="1493" u="1"/>
        <n v="2955" u="1"/>
        <n v="1428" u="1"/>
        <n v="2825" u="1"/>
        <n v="1363" u="1"/>
        <n v="2695" u="1"/>
        <n v="1298" u="1"/>
        <n v="2565" u="1"/>
        <n v="1233" u="1"/>
        <n v="2435" u="1"/>
        <n v="4808" u="1"/>
        <n v="1168" u="1"/>
        <n v="2305" u="1"/>
        <n v="4548" u="1"/>
        <n v="1103" u="1"/>
        <n v="2175" u="1"/>
        <n v="4288" u="1"/>
        <n v="1038" u="1"/>
        <n v="4062" u="1"/>
        <n v="3932" u="1"/>
        <n v="966" u="1"/>
        <n v="3802" u="1"/>
        <n v="3672" u="1"/>
        <n v="901" u="1"/>
        <n v="3542" u="1"/>
        <n v="3412" u="1"/>
        <n v="4745" u="1"/>
        <n v="836" u="1"/>
        <n v="3282" u="1"/>
        <n v="4485" u="1"/>
        <n v="3152" u="1"/>
        <n v="4225" u="1"/>
        <n v="771" u="1"/>
        <n v="3022" u="1"/>
        <n v="2892" u="1"/>
        <n v="706" u="1"/>
        <n v="2762" u="1"/>
        <n v="2632" u="1"/>
        <n v="641" u="1"/>
        <n v="2502" u="1"/>
        <n v="4942" u="1"/>
        <n v="2372" u="1"/>
        <n v="4682" u="1"/>
        <n v="576" u="1"/>
        <n v="2242" u="1"/>
        <n v="4422" u="1"/>
        <n v="2112" u="1"/>
        <n v="4162" u="1"/>
        <n v="2015" u="1"/>
        <n v="3999" u="1"/>
        <n v="1950" u="1"/>
        <n v="3869" u="1"/>
        <n v="1885" u="1"/>
        <n v="3739" u="1"/>
        <n v="1820" u="1"/>
        <n v="3609" u="1"/>
        <n v="1755" u="1"/>
        <n v="3479" u="1"/>
        <n v="4879" u="1"/>
        <n v="1690" u="1"/>
        <n v="3349" u="1"/>
        <n v="4619" u="1"/>
        <n v="1625" u="1"/>
        <n v="3219" u="1"/>
        <n v="4359" u="1"/>
        <n v="1560" u="1"/>
        <n v="3089" u="1"/>
        <n v="4099" u="1"/>
        <n v="1495" u="1"/>
        <n v="2959" u="1"/>
        <n v="1430" u="1"/>
        <n v="2829" u="1"/>
        <n v="1365" u="1"/>
        <n v="2699" u="1"/>
        <n v="1300" u="1"/>
        <n v="2569" u="1"/>
        <n v="1235" u="1"/>
        <n v="2439" u="1"/>
        <n v="4816" u="1"/>
        <n v="1170" u="1"/>
        <n v="2309" u="1"/>
        <n v="4556" u="1"/>
        <n v="1105" u="1"/>
        <n v="2179" u="1"/>
        <n v="4296" u="1"/>
        <n v="1040" u="1"/>
        <n v="2049" u="1"/>
        <n v="4066" u="1"/>
        <n v="3936" u="1"/>
        <n v="967" u="1"/>
        <n v="3806" u="1"/>
        <n v="3676" u="1"/>
        <n v="902" u="1"/>
        <n v="3546" u="1"/>
        <n v="3416" u="1"/>
        <n v="4753" u="1"/>
        <n v="837" u="1"/>
        <n v="3286" u="1"/>
        <n v="4493" u="1"/>
        <n v="3156" u="1"/>
        <n v="4233" u="1"/>
        <n v="772" u="1"/>
        <n v="3026" u="1"/>
        <n v="2896" u="1"/>
        <n v="707" u="1"/>
        <n v="2766" u="1"/>
        <n v="2636" u="1"/>
        <n v="642" u="1"/>
        <n v="2506" u="1"/>
        <n v="4950" u="1"/>
        <n v="2376" u="1"/>
        <n v="4690" u="1"/>
        <n v="577" u="1"/>
        <n v="2246" u="1"/>
        <n v="4430" u="1"/>
        <n v="2116" u="1"/>
        <n v="4170" u="1"/>
        <n v="512" u="1"/>
        <n v="2017" u="1"/>
        <n v="4003" u="1"/>
        <n v="1952" u="1"/>
        <n v="3873" u="1"/>
        <n v="1887" u="1"/>
        <n v="3743" u="1"/>
        <n v="1822" u="1"/>
        <n v="3613" u="1"/>
        <n v="1757" u="1"/>
        <n v="3483" u="1"/>
        <n v="4887" u="1"/>
        <n v="1692" u="1"/>
        <n v="3353" u="1"/>
        <n v="4627" u="1"/>
        <n v="1627" u="1"/>
        <n v="3223" u="1"/>
        <n v="4367" u="1"/>
        <n v="1562" u="1"/>
        <n v="3093" u="1"/>
        <n v="4107" u="1"/>
        <n v="1497" u="1"/>
        <n v="2963" u="1"/>
        <n v="1432" u="1"/>
        <n v="2833" u="1"/>
        <n v="1367" u="1"/>
        <n v="2703" u="1"/>
        <n v="1302" u="1"/>
        <n v="2573" u="1"/>
        <n v="1237" u="1"/>
        <n v="2443" u="1"/>
        <n v="4824" u="1"/>
        <n v="1172" u="1"/>
        <n v="2313" u="1"/>
        <n v="4564" u="1"/>
        <n v="1107" u="1"/>
        <n v="2183" u="1"/>
        <n v="4304" u="1"/>
        <n v="1042" u="1"/>
        <n v="2053" u="1"/>
        <n v="4070" u="1"/>
        <n v="3940" u="1"/>
        <n v="968" u="1"/>
        <n v="3810" u="1"/>
        <n v="3680" u="1"/>
        <n v="903" u="1"/>
        <n v="3550" u="1"/>
        <n v="3420" u="1"/>
        <n v="4761" u="1"/>
        <n v="838" u="1"/>
        <n v="3290" u="1"/>
        <n v="4501" u="1"/>
        <n v="3160" u="1"/>
        <n v="4241" u="1"/>
        <n v="773" u="1"/>
        <n v="3030" u="1"/>
        <n v="2900" u="1"/>
        <n v="708" u="1"/>
        <n v="2770" u="1"/>
        <n v="2640" u="1"/>
        <n v="643" u="1"/>
        <n v="2510" u="1"/>
        <n v="4958" u="1"/>
        <n v="2380" u="1"/>
        <n v="4698" u="1"/>
        <n v="578" u="1"/>
        <n v="2250" u="1"/>
        <n v="4438" u="1"/>
        <n v="2120" u="1"/>
        <n v="4178" u="1"/>
        <n v="513" u="1"/>
        <n v="2019" u="1"/>
        <n v="4007" u="1"/>
        <n v="1954" u="1"/>
        <n v="3877" u="1"/>
        <n v="1889" u="1"/>
        <n v="3747" u="1"/>
        <n v="1824" u="1"/>
        <n v="3617" u="1"/>
        <n v="1759" u="1"/>
        <n v="3487" u="1"/>
        <n v="4895" u="1"/>
        <n v="1694" u="1"/>
        <n v="3357" u="1"/>
        <n v="4635" u="1"/>
        <n v="1629" u="1"/>
        <n v="3227" u="1"/>
        <n v="4375" u="1"/>
        <n v="1564" u="1"/>
        <n v="3097" u="1"/>
        <n v="4115" u="1"/>
        <n v="1499" u="1"/>
        <n v="2967" u="1"/>
        <n v="1434" u="1"/>
        <n v="2837" u="1"/>
        <n v="1369" u="1"/>
        <n v="2707" u="1"/>
        <n v="1304" u="1"/>
        <n v="2577" u="1"/>
        <n v="1239" u="1"/>
        <n v="2447" u="1"/>
        <n v="4832" u="1"/>
        <n v="1174" u="1"/>
        <n v="2317" u="1"/>
        <n v="4572" u="1"/>
        <n v="1109" u="1"/>
        <n v="2187" u="1"/>
        <n v="4312" u="1"/>
        <n v="1044" u="1"/>
        <n v="2057" u="1"/>
        <n v="4074" u="1"/>
        <n v="3944" u="1"/>
        <n v="969" u="1"/>
        <n v="3814" u="1"/>
        <n v="3684" u="1"/>
        <n v="904" u="1"/>
        <n v="3554" u="1"/>
        <n v="3424" u="1"/>
        <n v="4769" u="1"/>
        <n v="839" u="1"/>
        <n v="3294" u="1"/>
        <n v="4509" u="1"/>
        <n v="3164" u="1"/>
        <n v="4249" u="1"/>
        <n v="774" u="1"/>
        <n v="3034" u="1"/>
        <n v="2904" u="1"/>
        <n v="709" u="1"/>
        <n v="2774" u="1"/>
        <n v="2644" u="1"/>
        <n v="644" u="1"/>
        <n v="2514" u="1"/>
        <n v="4966" u="1"/>
        <n v="2384" u="1"/>
        <n v="4706" u="1"/>
        <n v="579" u="1"/>
        <n v="2254" u="1"/>
        <n v="4446" u="1"/>
        <n v="2124" u="1"/>
        <n v="4186" u="1"/>
        <n v="514" u="1"/>
        <n v="2021" u="1"/>
        <n v="4011" u="1"/>
        <n v="1956" u="1"/>
        <n v="3881" u="1"/>
        <n v="1891" u="1"/>
        <n v="3751" u="1"/>
        <n v="1826" u="1"/>
        <n v="3621" u="1"/>
        <n v="1761" u="1"/>
        <n v="3491" u="1"/>
        <n v="4903" u="1"/>
        <n v="1696" u="1"/>
        <n v="3361" u="1"/>
        <n v="4643" u="1"/>
        <n v="1631" u="1"/>
        <n v="3231" u="1"/>
        <n v="4383" u="1"/>
        <n v="1566" u="1"/>
        <n v="3101" u="1"/>
        <n v="4123" u="1"/>
        <n v="1501" u="1"/>
        <n v="2971" u="1"/>
        <n v="1436" u="1"/>
        <n v="2841" u="1"/>
        <n v="1371" u="1"/>
        <n v="2711" u="1"/>
        <n v="1306" u="1"/>
        <n v="2581" u="1"/>
        <n v="1241" u="1"/>
        <n v="2451" u="1"/>
        <n v="4840" u="1"/>
        <n v="1176" u="1"/>
        <n v="2321" u="1"/>
        <n v="4580" u="1"/>
        <n v="1111" u="1"/>
        <n v="2191" u="1"/>
        <n v="4320" u="1"/>
        <n v="1046" u="1"/>
        <n v="2061" u="1"/>
        <n v="4078" u="1"/>
        <n v="3948" u="1"/>
        <n v="970" u="1"/>
        <n v="3818" u="1"/>
        <n v="3688" u="1"/>
        <n v="905" u="1"/>
        <n v="3558" u="1"/>
        <n v="3428" u="1"/>
        <n v="4777" u="1"/>
        <n v="840" u="1"/>
        <n v="3298" u="1"/>
        <n v="4517" u="1"/>
        <n v="3168" u="1"/>
        <n v="4257" u="1"/>
        <n v="775" u="1"/>
        <n v="3038" u="1"/>
        <n v="2908" u="1"/>
        <n v="710" u="1"/>
        <n v="2778" u="1"/>
        <n v="2648" u="1"/>
        <n v="645" u="1"/>
        <n v="2518" u="1"/>
        <n v="4974" u="1"/>
        <n v="2388" u="1"/>
        <n v="4714" u="1"/>
        <n v="580" u="1"/>
        <n v="2258" u="1"/>
        <n v="4454" u="1"/>
        <n v="2128" u="1"/>
        <n v="4194" u="1"/>
        <n v="515" u="1"/>
        <n v="2023" u="1"/>
        <n v="4015" u="1"/>
        <n v="1958" u="1"/>
        <n v="3885" u="1"/>
        <n v="1893" u="1"/>
        <n v="3755" u="1"/>
        <n v="1828" u="1"/>
        <n v="3625" u="1"/>
        <n v="1763" u="1"/>
        <n v="3495" u="1"/>
        <n v="4911" u="1"/>
        <n v="1698" u="1"/>
        <n v="3365" u="1"/>
        <n v="4651" u="1"/>
        <n v="1633" u="1"/>
        <n v="3235" u="1"/>
        <n v="4391" u="1"/>
        <n v="1568" u="1"/>
        <n v="3105" u="1"/>
        <n v="4131" u="1"/>
        <n v="1503" u="1"/>
        <n v="2975" u="1"/>
        <n v="1438" u="1"/>
        <n v="2845" u="1"/>
        <n v="1373" u="1"/>
        <n v="2715" u="1"/>
        <n v="1308" u="1"/>
        <n v="2585" u="1"/>
        <n v="1243" u="1"/>
        <n v="2455" u="1"/>
        <n v="4848" u="1"/>
        <n v="1178" u="1"/>
        <n v="2325" u="1"/>
        <n v="4588" u="1"/>
        <n v="1113" u="1"/>
        <n v="2195" u="1"/>
        <n v="4328" u="1"/>
        <n v="1048" u="1"/>
        <n v="2065" u="1"/>
        <n v="4082" u="1"/>
        <n v="3952" u="1"/>
        <n v="971" u="1"/>
        <n v="3822" u="1"/>
        <n v="3692" u="1"/>
        <n v="906" u="1"/>
        <n v="3562" u="1"/>
        <n v="3432" u="1"/>
        <n v="4785" u="1"/>
        <n v="841" u="1"/>
        <n v="3302" u="1"/>
        <n v="4525" u="1"/>
        <n v="3172" u="1"/>
        <n v="4265" u="1"/>
        <n v="776" u="1"/>
        <n v="3042" u="1"/>
        <n v="2912" u="1"/>
        <n v="711" u="1"/>
        <n v="2782" u="1"/>
        <n v="2652" u="1"/>
        <n v="646" u="1"/>
        <n v="2522" u="1"/>
        <n v="4982" u="1"/>
        <n v="2392" u="1"/>
        <n v="4722" u="1"/>
        <n v="581" u="1"/>
        <n v="2262" u="1"/>
        <n v="4462" u="1"/>
        <n v="2132" u="1"/>
        <n v="4202" u="1"/>
        <n v="516" u="1"/>
        <n v="2025" u="1"/>
        <n v="4019" u="1"/>
        <n v="1960" u="1"/>
        <n v="3889" u="1"/>
        <n v="1895" u="1"/>
        <n v="3759" u="1"/>
        <n v="1830" u="1"/>
        <n v="3629" u="1"/>
        <n v="1765" u="1"/>
        <n v="3499" u="1"/>
        <n v="4919" u="1"/>
        <n v="1700" u="1"/>
        <n v="3369" u="1"/>
        <n v="4659" u="1"/>
        <n v="1635" u="1"/>
        <n v="3239" u="1"/>
        <n v="4399" u="1"/>
        <n v="1570" u="1"/>
        <n v="3109" u="1"/>
        <n v="4139" u="1"/>
        <n v="1505" u="1"/>
        <n v="2979" u="1"/>
        <n v="1440" u="1"/>
        <n v="2849" u="1"/>
        <n v="1375" u="1"/>
        <n v="2719" u="1"/>
        <n v="1310" u="1"/>
        <n v="2589" u="1"/>
        <n v="1245" u="1"/>
        <n v="2459" u="1"/>
        <n v="4856" u="1"/>
        <n v="1180" u="1"/>
        <n v="2329" u="1"/>
        <n v="4596" u="1"/>
        <n v="1115" u="1"/>
        <n v="2199" u="1"/>
        <n v="4336" u="1"/>
        <n v="1050" u="1"/>
        <n v="2069" u="1"/>
        <n v="4086" u="1"/>
        <n v="3956" u="1"/>
        <n v="972" u="1"/>
        <n v="3826" u="1"/>
        <n v="3696" u="1"/>
        <n v="907" u="1"/>
        <n v="3566" u="1"/>
        <n v="3436" u="1"/>
        <n v="4793" u="1"/>
        <n v="842" u="1"/>
        <n v="3306" u="1"/>
        <n v="4533" u="1"/>
        <n v="3176" u="1"/>
        <n v="4273" u="1"/>
        <n v="777" u="1"/>
        <n v="3046" u="1"/>
        <n v="2916" u="1"/>
        <n v="712" u="1"/>
        <n v="2786" u="1"/>
        <n v="2656" u="1"/>
        <n v="647" u="1"/>
        <n v="2526" u="1"/>
        <n v="4990" u="1"/>
        <n v="2396" u="1"/>
        <n v="4730" u="1"/>
      </sharedItems>
    </cacheField>
    <cacheField name="DURATION" numFmtId="0" sqlType="6">
      <sharedItems containsSemiMixedTypes="0" containsString="0" containsNumber="1" containsInteger="1" minValue="13" maxValue="432"/>
    </cacheField>
    <cacheField name="MSE_T" numFmtId="0" sqlType="6">
      <sharedItems containsSemiMixedTypes="0" containsString="0" containsNumber="1" minValue="1.1408239370212E-3" maxValue="1.77364498376846E-2"/>
    </cacheField>
    <cacheField name="MSE_V" numFmtId="0" sqlType="6">
      <sharedItems containsSemiMixedTypes="0" containsString="0" containsNumber="1" containsInteger="1" minValue="0" maxValue="0" count="1">
        <n v="0"/>
      </sharedItems>
    </cacheField>
  </cacheFields>
  <extLst>
    <ext xmlns:x14="http://schemas.microsoft.com/office/spreadsheetml/2009/9/main" uri="{725AE2AE-9491-48be-B2B4-4EB974FC3084}">
      <x14:pivotCacheDefinition pivotCacheId="1"/>
    </ext>
  </extLst>
</pivotCacheDefinition>
</file>

<file path=xl/pivotCache/pivotCacheDefinition6.xml><?xml version="1.0" encoding="utf-8"?>
<pivotCacheDefinition xmlns="http://schemas.openxmlformats.org/spreadsheetml/2006/main" xmlns:r="http://schemas.openxmlformats.org/officeDocument/2006/relationships" saveData="0" refreshedBy="gcaglion" refreshedDate="43576.929999768516" createdVersion="5" refreshedVersion="5" minRefreshableVersion="3" recordCount="63240">
  <cacheSource type="external" connectionId="7"/>
  <cacheFields count="19">
    <cacheField name="PROCESSID" numFmtId="0" sqlType="6">
      <sharedItems containsSemiMixedTypes="0" containsString="0" containsNumber="1" containsInteger="1" minValue="1244" maxValue="16032" count="88">
        <n v="7896"/>
        <n v="9828"/>
        <n v="10040" u="1"/>
        <n v="11460" u="1"/>
        <n v="7204" u="1"/>
        <n v="11612" u="1"/>
        <n v="3468" u="1"/>
        <n v="13108" u="1"/>
        <n v="14812" u="1"/>
        <n v="1596" u="1"/>
        <n v="12048" u="1"/>
        <n v="10988" u="1"/>
        <n v="13128" u="1"/>
        <n v="5624" u="1"/>
        <n v="11576" u="1"/>
        <n v="12788" u="1"/>
        <n v="11444" u="1"/>
        <n v="15004" u="1"/>
        <n v="4432" u="1"/>
        <n v="2740" u="1"/>
        <n v="4508" u="1"/>
        <n v="8776" u="1"/>
        <n v="11900" u="1"/>
        <n v="12828" u="1"/>
        <n v="8172" u="1"/>
        <n v="13548" u="1"/>
        <n v="13132" u="1"/>
        <n v="1244" u="1"/>
        <n v="2944" u="1"/>
        <n v="8740" u="1"/>
        <n v="12787" u="1"/>
        <n v="11372" u="1"/>
        <n v="15140" u="1"/>
        <n v="4888" u="1"/>
        <n v="9896" u="1"/>
        <n v="8088" u="1"/>
        <n v="1488" u="1"/>
        <n v="8912" u="1"/>
        <n v="9840" u="1"/>
        <n v="10768" u="1"/>
        <n v="6536" u="1"/>
        <n v="14252" u="1"/>
        <n v="1952" u="1"/>
        <n v="3560" u="1"/>
        <n v="7568" u="1"/>
        <n v="11204" u="1"/>
        <n v="11772" u="1"/>
        <n v="16032" u="1"/>
        <n v="2088" u="1"/>
        <n v="6896" u="1"/>
        <n v="7928" u="1"/>
        <n v="13912" u="1"/>
        <n v="13988" u="1"/>
        <n v="14272" u="1"/>
        <n v="5164" u="1"/>
        <n v="12360" u="1"/>
        <n v="13648" u="1"/>
        <n v="12588" u="1"/>
        <n v="12948" u="1"/>
        <n v="14368" u="1"/>
        <n v="2240" u="1"/>
        <n v="10468" u="1"/>
        <n v="11036" u="1"/>
        <n v="8272" u="1"/>
        <n v="12816" u="1"/>
        <n v="14520" u="1"/>
        <n v="13176" u="1"/>
        <n v="5648" u="1"/>
        <n v="10356" u="1"/>
        <n v="10300" u="1"/>
        <n v="8148" u="1"/>
        <n v="12724" u="1"/>
        <n v="4532" u="1"/>
        <n v="9468" u="1"/>
        <n v="15300" u="1"/>
        <n v="4296" u="1"/>
        <n v="11192" u="1"/>
        <n v="11912" u="1"/>
        <n v="13124" u="1"/>
        <n v="10076" u="1"/>
        <n v="9944" u="1"/>
        <n v="12500" u="1"/>
        <n v="12576" u="1"/>
        <n v="12860" u="1"/>
        <n v="14848" u="1"/>
        <n v="3496" u="1"/>
        <n v="14148" u="1"/>
        <n v="9964" u="1"/>
      </sharedItems>
    </cacheField>
    <cacheField name="THREADID" numFmtId="0" sqlType="6">
      <sharedItems containsSemiMixedTypes="0" containsString="0" containsNumber="1" containsInteger="1" minValue="100" maxValue="16264" count="272">
        <n v="10464"/>
        <n v="2720"/>
        <n v="10628"/>
        <n v="13580"/>
        <n v="2992"/>
        <n v="15572"/>
        <n v="14112"/>
        <n v="15624"/>
        <n v="13492"/>
        <n v="5716"/>
        <n v="12404"/>
        <n v="14240"/>
        <n v="11460" u="1"/>
        <n v="12312" u="1"/>
        <n v="14584" u="1"/>
        <n v="14868" u="1"/>
        <n v="4364" u="1"/>
        <n v="11328" u="1"/>
        <n v="15304" u="1"/>
        <n v="15872" u="1"/>
        <n v="100" u="1"/>
        <n v="2332" u="1"/>
        <n v="4828" u="1"/>
        <n v="8564" u="1"/>
        <n v="11972" u="1"/>
        <n v="12824" u="1"/>
        <n v="14244" u="1"/>
        <n v="2848" u="1"/>
        <n v="3416" u="1"/>
        <n v="4156" u="1"/>
        <n v="5576" u="1"/>
        <n v="5860" u="1"/>
        <n v="7280" u="1"/>
        <n v="14036" u="1"/>
        <n v="2512" u="1"/>
        <n v="11840" u="1"/>
        <n v="12976" u="1"/>
        <n v="14964" u="1"/>
        <n v="1828" u="1"/>
        <n v="2176" u="1"/>
        <n v="9928" u="1"/>
        <n v="14472" u="1"/>
        <n v="6684" u="1"/>
        <n v="9436" u="1"/>
        <n v="10856" u="1"/>
        <n v="11424" u="1"/>
        <n v="13128" u="1"/>
        <n v="1492" u="1"/>
        <n v="8000" u="1"/>
        <n v="8660" u="1"/>
        <n v="10648" u="1"/>
        <n v="6192" u="1"/>
        <n v="10440" u="1"/>
        <n v="11860" u="1"/>
        <n v="2252" u="1"/>
        <n v="7792" u="1"/>
        <n v="8076" u="1"/>
        <n v="12788" u="1"/>
        <n v="15912" u="1"/>
        <n v="2768" u="1"/>
        <n v="6836" u="1"/>
        <n v="9740" u="1"/>
        <n v="11160" u="1"/>
        <n v="12864" u="1"/>
        <n v="11520" u="1"/>
        <n v="12372" u="1"/>
        <n v="13508" u="1"/>
        <n v="4924" u="1"/>
        <n v="10744" u="1"/>
        <n v="420" u="1"/>
        <n v="11388" u="1"/>
        <n v="11672" u="1"/>
        <n v="11956" u="1"/>
        <n v="13660" u="1"/>
        <n v="4432" u="1"/>
        <n v="12884" u="1"/>
        <n v="13168" u="1"/>
        <n v="14020" u="1"/>
        <n v="14304" u="1"/>
        <n v="15156" u="1"/>
        <n v="8416" u="1"/>
        <n v="10120" u="1"/>
        <n v="3592" u="1"/>
        <n v="7632" u="1"/>
        <n v="12184" u="1"/>
        <n v="13604" u="1"/>
        <n v="2688" u="1"/>
        <n v="9420" u="1"/>
        <n v="11692" u="1"/>
        <n v="12828" u="1"/>
        <n v="4300" u="1"/>
        <n v="6856" u="1"/>
        <n v="7424" u="1"/>
        <n v="1464" u="1"/>
        <n v="6752" u="1"/>
        <n v="9288" u="1"/>
        <n v="12696" u="1"/>
        <n v="13548" u="1"/>
        <n v="4660" u="1"/>
        <n v="13908" u="1"/>
        <n v="15044" u="1"/>
        <n v="15328" u="1"/>
        <n v="11144" u="1"/>
        <n v="11712" u="1"/>
        <n v="12564" u="1"/>
        <n v="13700" u="1"/>
        <n v="2996" u="1"/>
        <n v="5872" u="1"/>
        <n v="8144" u="1"/>
        <n v="9232" u="1"/>
        <n v="10936" u="1"/>
        <n v="14420" u="1"/>
        <n v="6232" u="1"/>
        <n v="6800" u="1"/>
        <n v="7652" u="1"/>
        <n v="15064" u="1"/>
        <n v="15348" u="1"/>
        <n v="2840" u="1"/>
        <n v="4140" u="1"/>
        <n v="5276" u="1"/>
        <n v="11732" u="1"/>
        <n v="6024" u="1"/>
        <n v="13512" u="1"/>
        <n v="6488" u="1"/>
        <n v="10748" u="1"/>
        <n v="6100" u="1"/>
        <n v="6668" u="1"/>
        <n v="9972" u="1"/>
        <n v="10540" u="1"/>
        <n v="10824" u="1"/>
        <n v="3200" u="1"/>
        <n v="7776" u="1"/>
        <n v="11052" u="1"/>
        <n v="15028" u="1"/>
        <n v="4548" u="1"/>
        <n v="5400" u="1"/>
        <n v="7388" u="1"/>
        <n v="15672" u="1"/>
        <n v="1668" u="1"/>
        <n v="1952" u="1"/>
        <n v="12908" u="1"/>
        <n v="14044" u="1"/>
        <n v="2088" u="1"/>
        <n v="5476" u="1"/>
        <n v="12416" u="1"/>
        <n v="13836" u="1"/>
        <n v="14120" u="1"/>
        <n v="14688" u="1"/>
        <n v="6508" u="1"/>
        <n v="15900" u="1"/>
        <n v="7824" u="1"/>
        <n v="13420" u="1"/>
        <n v="2216" u="1"/>
        <n v="8668" u="1"/>
        <n v="12928" u="1"/>
        <n v="10448" u="1"/>
        <n v="14140" u="1"/>
        <n v="15844" u="1"/>
        <n v="4388" u="1"/>
        <n v="12796" u="1"/>
        <n v="15352" u="1"/>
        <n v="14576" u="1"/>
        <n v="2576" u="1"/>
        <n v="5032" u="1"/>
        <n v="5884" u="1"/>
        <n v="8972" u="1"/>
        <n v="10960" u="1"/>
        <n v="12948" u="1"/>
        <n v="14652" u="1"/>
        <n v="11320" u="1"/>
        <n v="7380" u="1"/>
        <n v="9124" u="1"/>
        <n v="10544" u="1"/>
        <n v="13100" u="1"/>
        <n v="4436" u="1"/>
        <n v="5572" u="1"/>
        <n v="6140" u="1"/>
        <n v="10052" u="1"/>
        <n v="10904" u="1"/>
        <n v="1924" u="1"/>
        <n v="13820" u="1"/>
        <n v="10564" u="1"/>
        <n v="1136" u="1"/>
        <n v="4588" u="1"/>
        <n v="8936" u="1"/>
        <n v="14616" u="1"/>
        <n v="7608" u="1"/>
        <n v="9864" u="1"/>
        <n v="11568" u="1"/>
        <n v="11852" u="1"/>
        <n v="12136" u="1"/>
        <n v="12420" u="1"/>
        <n v="12704" u="1"/>
        <n v="15828" u="1"/>
        <n v="2392" u="1"/>
        <n v="4380" u="1"/>
        <n v="4664" u="1"/>
        <n v="7788" u="1"/>
        <n v="12496" u="1"/>
        <n v="14200" u="1"/>
        <n v="15052" u="1"/>
        <n v="15904" u="1"/>
        <n v="544" u="1"/>
        <n v="12004" u="1"/>
        <n v="12572" u="1"/>
        <n v="13424" u="1"/>
        <n v="16264" u="1"/>
        <n v="1032" u="1"/>
        <n v="9240" u="1"/>
        <n v="10660" u="1"/>
        <n v="13784" u="1"/>
        <n v="944" u="1"/>
        <n v="7192" u="1"/>
        <n v="10168" u="1"/>
        <n v="12156" u="1"/>
        <n v="5384" u="1"/>
        <n v="8540" u="1"/>
        <n v="4144" u="1"/>
        <n v="7268" u="1"/>
        <n v="11740" u="1"/>
        <n v="14864" u="1"/>
        <n v="2080" u="1"/>
        <n v="3500" u="1"/>
        <n v="12384" u="1"/>
        <n v="13236" u="1"/>
        <n v="8768" u="1"/>
        <n v="15584" u="1"/>
        <n v="10548" u="1"/>
        <n v="13388" u="1"/>
        <n v="2492" u="1"/>
        <n v="4580" u="1"/>
        <n v="10340" u="1"/>
        <n v="12328" u="1"/>
        <n v="14884" u="1"/>
        <n v="3008" u="1"/>
        <n v="12972" u="1"/>
        <n v="13256" u="1"/>
        <n v="3808" u="1"/>
        <n v="4092" u="1"/>
        <n v="11912" u="1"/>
        <n v="12480" u="1"/>
        <n v="14752" u="1"/>
        <n v="6256" u="1"/>
        <n v="9148" u="1"/>
        <n v="12272" u="1"/>
        <n v="11212" u="1"/>
        <n v="1288" u="1"/>
        <n v="5196" u="1"/>
        <n v="9016" u="1"/>
        <n v="9584" u="1"/>
        <n v="11288" u="1"/>
        <n v="240" u="1"/>
        <n v="2748" u="1"/>
        <n v="12784" u="1"/>
        <n v="13636" u="1"/>
        <n v="14204" u="1"/>
        <n v="4136" u="1"/>
        <n v="5556" u="1"/>
        <n v="6692" u="1"/>
        <n v="10872" u="1"/>
        <n v="13144" u="1"/>
        <n v="13712" u="1"/>
        <n v="14280" u="1"/>
        <n v="10664" u="1"/>
        <n v="12084" u="1"/>
        <n v="16060" u="1"/>
        <n v="5916" u="1"/>
        <n v="10456" u="1"/>
        <n v="12444" u="1"/>
        <n v="13012" u="1"/>
        <n v="10816" u="1"/>
        <n v="12520" u="1"/>
      </sharedItems>
    </cacheField>
    <cacheField name="NETPROCESSID" numFmtId="0" sqlType="6">
      <sharedItems containsSemiMixedTypes="0" containsString="0" containsNumber="1" containsInteger="1" minValue="0" maxValue="16032" count="58">
        <n v="7896"/>
        <n v="0" u="1"/>
        <n v="10040" u="1"/>
        <n v="11460" u="1"/>
        <n v="3468" u="1"/>
        <n v="1596" u="1"/>
        <n v="13128" u="1"/>
        <n v="12788" u="1"/>
        <n v="11444" u="1"/>
        <n v="15004" u="1"/>
        <n v="2740" u="1"/>
        <n v="8776" u="1"/>
        <n v="11900" u="1"/>
        <n v="8172" u="1"/>
        <n v="13132" u="1"/>
        <n v="1244" u="1"/>
        <n v="12787" u="1"/>
        <n v="11372" u="1"/>
        <n v="15140" u="1"/>
        <n v="9896" u="1"/>
        <n v="8088" u="1"/>
        <n v="1488" u="1"/>
        <n v="9840" u="1"/>
        <n v="10768" u="1"/>
        <n v="6536" u="1"/>
        <n v="14252" u="1"/>
        <n v="1952" u="1"/>
        <n v="3560" u="1"/>
        <n v="11204" u="1"/>
        <n v="11772" u="1"/>
        <n v="16032" u="1"/>
        <n v="2088" u="1"/>
        <n v="6896" u="1"/>
        <n v="7928" u="1"/>
        <n v="13912" u="1"/>
        <n v="14272" u="1"/>
        <n v="5164" u="1"/>
        <n v="12360" u="1"/>
        <n v="13648" u="1"/>
        <n v="12588" u="1"/>
        <n v="12948" u="1"/>
        <n v="8272" u="1"/>
        <n v="12816" u="1"/>
        <n v="13176" u="1"/>
        <n v="5648" u="1"/>
        <n v="10300" u="1"/>
        <n v="8148" u="1"/>
        <n v="12724" u="1"/>
        <n v="4532" u="1"/>
        <n v="9468" u="1"/>
        <n v="15300" u="1"/>
        <n v="4296" u="1"/>
        <n v="11192" u="1"/>
        <n v="13124" u="1"/>
        <n v="12860" u="1"/>
        <n v="3496" u="1"/>
        <n v="14148" u="1"/>
        <n v="9964" u="1"/>
      </sharedItems>
    </cacheField>
    <cacheField name="NETTHREADID" numFmtId="0" sqlType="6">
      <sharedItems containsSemiMixedTypes="0" containsString="0" containsNumber="1" containsInteger="1" minValue="6696" maxValue="13984" count="6">
        <n v="6696"/>
        <n v="6960"/>
        <n v="11356"/>
        <n v="12812"/>
        <n v="7148"/>
        <n v="13984"/>
      </sharedItems>
    </cacheField>
    <cacheField name="COREID" numFmtId="0" sqlType="6">
      <sharedItems containsSemiMixedTypes="0" containsString="0" containsNumber="1" containsInteger="1" minValue="0" maxValue="5" count="6">
        <n v="0"/>
        <n v="1"/>
        <n v="2"/>
        <n v="3"/>
        <n v="4"/>
        <n v="5"/>
      </sharedItems>
    </cacheField>
    <cacheField name="LAYER" numFmtId="0" sqlType="6">
      <sharedItems containsSemiMixedTypes="0" containsString="0" containsNumber="1" containsInteger="1" minValue="0" maxValue="1" count="2">
        <n v="0"/>
        <n v="1"/>
      </sharedItems>
    </cacheField>
    <cacheField name="MSER" numFmtId="0" sqlType="6">
      <sharedItems containsSemiMixedTypes="0" containsString="0" containsNumber="1" minValue="2.76553560979664E-4" maxValue="659.066162109375" count="268">
        <n v="2.2532479837536801E-2"/>
        <n v="3.2580479979515103E-2"/>
        <n v="0.124162152409554"/>
        <n v="3.6043547093868297E-2"/>
        <n v="6.9644287228584303E-2"/>
        <n v="7.5520485639572102E-2"/>
        <n v="5.6154452264308902E-2"/>
        <n v="0.11429512500762901"/>
        <n v="2.2501410916447601E-2"/>
        <n v="3.8408942520618397E-2"/>
        <n v="1.53448209166527E-2"/>
        <n v="2.6362562552094501E-2"/>
        <n v="1.40667275991291E-3" u="1"/>
        <n v="3.4421812742948502E-3" u="1"/>
        <n v="1.03508932515979E-2" u="1"/>
        <n v="3.4163412638008599E-3" u="1"/>
        <n v="7.8718364238738996E-3" u="1"/>
        <n v="1.5283592976629699E-2" u="1"/>
        <n v="3.0486937612295199E-2" u="1"/>
        <n v="3.0084284953773E-3" u="1"/>
        <n v="2.2975675761699701E-2" u="1"/>
        <n v="5.8150403201579999E-2" u="1"/>
        <n v="3.1015491113066699E-3" u="1"/>
        <n v="2.25038770586252E-2" u="1"/>
        <n v="3.8119740784168202E-2" u="1"/>
        <n v="6.4356178045272799E-2" u="1"/>
        <n v="0.10138213634491" u="1"/>
        <n v="1.9471190171316301E-3" u="1"/>
        <n v="3.8867346942424802E-2" u="1"/>
        <n v="1.90345896407962E-3" u="1"/>
        <n v="2.7106031775474501E-3" u="1"/>
        <n v="3.0158564914017898E-3" u="1"/>
        <n v="2.2532440721988699E-2" u="1"/>
        <n v="3.7642791867256199E-2" u="1"/>
        <n v="6.6915199160575894E-2" u="1"/>
        <n v="8.6389429867267595E-2" u="1"/>
        <n v="3.0670089181512599E-3" u="1"/>
        <n v="8.21292586624622E-3" u="1"/>
        <n v="1.04233548045158E-2" u="1"/>
        <n v="1.7888940870761899E-2" u="1"/>
        <n v="2.9715454205870601E-2" u="1"/>
        <n v="1.5883942833170299E-3" u="1"/>
        <n v="2.9882385861128599E-3" u="1"/>
        <n v="2.2594336420297598E-2" u="1"/>
        <n v="3.3038298133760699E-3" u="1"/>
        <n v="6.9832704029977304E-3" u="1"/>
        <n v="1.0491791181266299E-2" u="1"/>
        <n v="1.53880240395665E-2" u="1"/>
        <n v="2.68606469035149E-2" u="1"/>
        <n v="1.1541279964149E-2" u="1"/>
        <n v="1.7584817484021201E-2" u="1"/>
        <n v="659.06604003906295" u="1"/>
        <n v="3.03932535462081E-3" u="1"/>
        <n v="5.9592876583337798E-2" u="1"/>
        <n v="7.3794566094875294E-2" u="1"/>
        <n v="3.0214919243007898E-3" u="1"/>
        <n v="4.0535959415137802E-3" u="1"/>
        <n v="2.2478383034467701E-2" u="1"/>
        <n v="7.1495920419692993E-2" u="1"/>
        <n v="4.5273881405591999E-3" u="1"/>
        <n v="2.8935341164469702E-2" u="1"/>
        <n v="3.07346433401108E-2" u="1"/>
        <n v="3.7255253642797498E-2" u="1"/>
        <n v="5.56239411234856E-2" u="1"/>
        <n v="6.4242273569107097E-2" u="1"/>
        <n v="1.6078896587714601E-3" u="1"/>
        <n v="2.45746807195246E-3" u="1"/>
        <n v="3.4378890413790898E-3" u="1"/>
        <n v="8.2427337765693699E-3" u="1"/>
        <n v="3.01800575107336E-3" u="1"/>
        <n v="8.3254622295498796E-3" u="1"/>
        <n v="1.09370723366737E-2" u="1"/>
        <n v="2.25128121674061E-2" u="1"/>
        <n v="3.7979118525981903E-2" u="1"/>
        <n v="0.13075289130210899" u="1"/>
        <n v="1.4107666211202699E-3" u="1"/>
        <n v="1.7809288576245301E-2" u="1"/>
        <n v="1.3925399398431199E-3" u="1"/>
        <n v="1.72464270144701E-2" u="1"/>
        <n v="2.2499192506074898E-2" u="1"/>
        <n v="2.26767994463444E-2" u="1"/>
        <n v="2.27122996002436E-2" u="1"/>
        <n v="3.8183368742466001E-2" u="1"/>
        <n v="5.6875217705965E-2" u="1"/>
        <n v="3.5967424046248202E-3" u="1"/>
        <n v="1.5215536579489699E-2" u="1"/>
        <n v="2.24683340638876E-2" u="1"/>
        <n v="2.4844959843903802E-3" u="1"/>
        <n v="4.7599021345377003E-3" u="1"/>
        <n v="3.1359547283500398E-3" u="1"/>
        <n v="8.0824280157685297E-3" u="1"/>
        <n v="1.0310555808246099E-2" u="1"/>
        <n v="3.0547736212611198E-2" u="1"/>
        <n v="0.11119163036346399" u="1"/>
        <n v="0.124338671565056" u="1"/>
        <n v="1.4004986733198201E-3" u="1"/>
        <n v="1.4019998488947699E-3" u="1"/>
        <n v="2.5233626365661599E-3" u="1"/>
        <n v="3.0262013897299801E-3" u="1"/>
        <n v="3.0381444375962002E-3" u="1"/>
        <n v="3.04485019296408E-3" u="1"/>
        <n v="3.8639567792415602E-3" u="1"/>
        <n v="8.2017742097377794E-3" u="1"/>
        <n v="1.11488094553351E-2" u="1"/>
        <n v="3.0936501920223201E-2" u="1"/>
        <n v="3.6040931940078701E-2" u="1"/>
        <n v="6.9442920386791201E-2" u="1"/>
        <n v="1.9411931280046699E-3" u="1"/>
        <n v="2.9258474241942202E-3" u="1"/>
        <n v="1.6000303439795999E-3" u="1"/>
        <n v="1.9330194918438801E-3" u="1"/>
        <n v="2.9666482005268301E-3" u="1"/>
        <n v="3.00177093595266E-3" u="1"/>
        <n v="4.7788950614631202E-3" u="1"/>
        <n v="5.8062713593244601E-2" u="1"/>
        <n v="1.04364100843668E-2" u="1"/>
        <n v="0.114510044455528" u="1"/>
        <n v="659.066162109375" u="1"/>
        <n v="1.14963790401816E-2" u="1"/>
        <n v="6.7341998219490107E-2" u="1"/>
        <n v="1.05005791410804E-2" u="1"/>
        <n v="1.0761433281004399E-2" u="1"/>
        <n v="0.12049327045679099" u="1"/>
        <n v="3.7701874971389798E-2" u="1"/>
        <n v="1.3975850306451299E-3" u="1"/>
        <n v="3.32746049389243E-3" u="1"/>
        <n v="4.7846185043454196E-3" u="1"/>
        <n v="8.4153041243553196E-3" u="1"/>
        <n v="1.0692243464291099E-2" u="1"/>
        <n v="3.6100439727306401E-2" u="1"/>
        <n v="6.8664595484733595E-2" u="1"/>
        <n v="0.14146538078784901" u="1"/>
        <n v="1.60215760115534E-3" u="1"/>
        <n v="2.7501201257109599E-3" u="1"/>
        <n v="1.7812889069318799E-2" u="1"/>
        <n v="1.31679512560368E-3" u="1"/>
        <n v="3.01326555199921E-3" u="1"/>
        <n v="7.8136071562767001E-2" u="1"/>
        <n v="0.112694442272186" u="1"/>
        <n v="3.0297932680696201E-3" u="1"/>
        <n v="3.5157960373908299E-3" u="1"/>
        <n v="7.2920337319374098E-2" u="1"/>
        <n v="3.0196299776434898E-3" u="1"/>
        <n v="1.977314427495E-2" u="1"/>
        <n v="2.2450482472777401E-2" u="1"/>
        <n v="2.9932782053947401E-3" u="1"/>
        <n v="3.03685874678195E-3" u="1"/>
        <n v="3.0746106058359098E-3" u="1"/>
        <n v="8.1430068239569699E-3" u="1"/>
        <n v="2.24957726895809E-2" u="1"/>
        <n v="1.3975246110931E-3" u="1"/>
        <n v="1.5403536381199999E-3" u="1"/>
        <n v="3.0571939423680301E-3" u="1"/>
        <n v="2.65710186213255E-2" u="1"/>
        <n v="3.1851120293140397E-2" u="1"/>
        <n v="5.5239617824554402E-2" u="1"/>
        <n v="5.8186624199152E-2" u="1"/>
        <n v="2.1358935628086298E-3" u="1"/>
        <n v="3.0119891744106999E-3" u="1"/>
        <n v="2.2559328004717799E-2" u="1"/>
        <n v="3.0078948475420501E-3" u="1"/>
        <n v="3.1334829982370099E-3" u="1"/>
        <n v="1.40489614568651E-3" u="1"/>
        <n v="2.9889964498579502E-3" u="1"/>
        <n v="4.1126757860183698E-3" u="1"/>
        <n v="7.9689249396324192E-3" u="1"/>
        <n v="3.1033072620630299E-2" u="1"/>
        <n v="1.3408453669398999E-3" u="1"/>
        <n v="2.4879705160856199E-3" u="1"/>
        <n v="3.0094101093709499E-3" u="1"/>
        <n v="1.1108611710369601E-2" u="1"/>
        <n v="7.2467938065528897E-2" u="1"/>
        <n v="2.9596248641610098E-3" u="1"/>
        <n v="3.0591832473874101E-3" u="1"/>
        <n v="6.9194003008306E-3" u="1"/>
        <n v="0.12200907617807399" u="1"/>
        <n v="1.39846513047814E-3" u="1"/>
        <n v="1.3989728176966301E-3" u="1"/>
        <n v="3.4180120564997201E-3" u="1"/>
        <n v="1.75455901771784E-2" u="1"/>
        <n v="7.6230123639106806E-2" u="1"/>
        <n v="1.39062013477087E-3" u="1"/>
        <n v="1.4017969369888299E-3" u="1"/>
        <n v="2.48329737223685E-3" u="1"/>
        <n v="3.9464952424168604E-3" u="1"/>
        <n v="1.5292624011635799E-2" u="1"/>
        <n v="3.61375398933887E-2" u="1"/>
        <n v="5.4849866777658497E-2" u="1"/>
        <n v="6.8663796409964596E-3" u="1"/>
        <n v="1.75455491989851E-2" u="1"/>
        <n v="7.0816077291965498E-2" u="1"/>
        <n v="2.76553560979664E-4" u="1"/>
        <n v="7.0024412125349001E-3" u="1"/>
        <n v="1.7574185505509401E-2" u="1"/>
        <n v="3.2849919050931903E-2" u="1"/>
        <n v="3.0324605759233202E-3" u="1"/>
        <n v="3.9172647520899799E-3" u="1"/>
        <n v="5.7619608938694E-2" u="1"/>
        <n v="1.2279257643967899E-3" u="1"/>
        <n v="2.4764209520071702E-3" u="1"/>
        <n v="3.3336195629090101E-3" u="1"/>
        <n v="2.2574020549654999E-2" u="1"/>
        <n v="3.1958598643541301E-2" u="1"/>
        <n v="2.2776419296860698E-2" u="1"/>
        <n v="0.140096619725227" u="1"/>
        <n v="0.523553907871246" u="1"/>
        <n v="3.0147465877234901E-3" u="1"/>
        <n v="2.24979910999537E-2" u="1"/>
        <n v="1.15201715379953E-2" u="1"/>
        <n v="2.2569116204977001E-2" u="1"/>
        <n v="3.4885127097368199E-2" u="1"/>
        <n v="6.8784775212407103E-3" u="1"/>
        <n v="7.0187780074775202E-3" u="1"/>
        <n v="1.0649603791534901E-2" u="1"/>
        <n v="1.92174389958382E-2" u="1"/>
        <n v="2.2463271394372E-2" u="1"/>
        <n v="3.4027781337499598E-2" u="1"/>
        <n v="0.13907459378242501" u="1"/>
        <n v="3.00995609723032E-3" u="1"/>
        <n v="3.4438928123563502E-3" u="1"/>
        <n v="8.3025656640529598E-3" u="1"/>
        <n v="1.1516430415213099E-2" u="1"/>
        <n v="2.2488504648208601E-2" u="1"/>
        <n v="2.25627645850182E-2" u="1"/>
        <n v="1.9090729765593999E-3" u="1"/>
        <n v="6.8605691194534302E-3" u="1"/>
        <n v="3.1855270266532898E-2" u="1"/>
        <n v="2.7548284269869302E-3" u="1"/>
        <n v="3.00051318481565E-3" u="1"/>
        <n v="5.84252178668976E-3" u="1"/>
        <n v="6.9227553904056497E-3" u="1"/>
        <n v="1.03827472776175E-2" u="1"/>
        <n v="0.53331744670867898" u="1"/>
        <n v="1.0407860390842001E-2" u="1"/>
        <n v="2.9702358879148999E-3" u="1"/>
        <n v="6.99910968542099E-2" u="1"/>
        <n v="0.51187664270401001" u="1"/>
        <n v="2.9992938507348299E-3" u="1"/>
        <n v="2.87296026945114E-2" u="1"/>
        <n v="3.02081881090999E-3" u="1"/>
        <n v="7.0136059075593896E-3" u="1"/>
        <n v="2.0238088443875299E-2" u="1"/>
        <n v="5.7758677750825903E-2" u="1"/>
        <n v="8.4512569010257704E-3" u="1"/>
        <n v="2.2792423143982901E-2" u="1"/>
        <n v="3.6292392760515199E-2" u="1"/>
        <n v="1.3990575680509201E-3" u="1"/>
        <n v="2.9819766059517899E-3" u="1"/>
        <n v="1.0105469264090099E-2" u="1"/>
        <n v="1.0390235111117399E-2" u="1"/>
        <n v="3.6073479801416397E-2" u="1"/>
        <n v="3.02125979214907E-3" u="1"/>
        <n v="2.23632045090199E-2" u="1"/>
        <n v="2.2505655884742699E-2" u="1"/>
        <n v="2.2627435624599498E-2" u="1"/>
        <n v="3.0443858355283699E-2" u="1"/>
        <n v="9.3908384442329407E-2" u="1"/>
        <n v="1.41357292886823E-3" u="1"/>
        <n v="3.0352545436471701E-3" u="1"/>
        <n v="6.6882692277431502E-2" u="1"/>
        <n v="7.1192502975463895E-2" u="1"/>
        <n v="7.42021054029465E-2" u="1"/>
        <n v="0.107953391969204" u="1"/>
        <n v="2.51037231646478E-3" u="1"/>
        <n v="0.41545334458351102" u="1"/>
        <n v="3.3334938343614301E-3" u="1"/>
        <n v="1.06531232595444E-2" u="1"/>
        <n v="1.7586076632142102E-2" u="1"/>
      </sharedItems>
    </cacheField>
    <cacheField name="POS" numFmtId="0" sqlType="6">
      <sharedItems containsSemiMixedTypes="0" containsString="0" containsNumber="1" containsInteger="1" minValue="0" maxValue="9989" count="8000">
        <n v="999"/>
        <n v="1000"/>
        <n v="1001"/>
        <n v="50"/>
        <n v="51"/>
        <n v="386"/>
        <n v="387"/>
        <n v="388"/>
        <n v="389"/>
        <n v="390"/>
        <n v="391"/>
        <n v="392"/>
        <n v="488"/>
        <n v="489"/>
        <n v="490"/>
        <n v="491"/>
        <n v="492"/>
        <n v="493"/>
        <n v="494"/>
        <n v="495"/>
        <n v="591"/>
        <n v="592"/>
        <n v="593"/>
        <n v="594"/>
        <n v="595"/>
        <n v="596"/>
        <n v="597"/>
        <n v="693"/>
        <n v="694"/>
        <n v="695"/>
        <n v="696"/>
        <n v="697"/>
        <n v="698"/>
        <n v="699"/>
        <n v="795"/>
        <n v="796"/>
        <n v="797"/>
        <n v="798"/>
        <n v="799"/>
        <n v="800"/>
        <n v="801"/>
        <n v="802"/>
        <n v="827"/>
        <n v="828"/>
        <n v="829"/>
        <n v="830"/>
        <n v="831"/>
        <n v="832"/>
        <n v="833"/>
        <n v="834"/>
        <n v="39"/>
        <n v="40"/>
        <n v="41"/>
        <n v="42"/>
        <n v="43"/>
        <n v="44"/>
        <n v="45"/>
        <n v="142"/>
        <n v="143"/>
        <n v="144"/>
        <n v="145"/>
        <n v="146"/>
        <n v="147"/>
        <n v="148"/>
        <n v="149"/>
        <n v="200"/>
        <n v="201"/>
        <n v="202"/>
        <n v="203"/>
        <n v="204"/>
        <n v="205"/>
        <n v="206"/>
        <n v="302"/>
        <n v="303"/>
        <n v="304"/>
        <n v="305"/>
        <n v="306"/>
        <n v="307"/>
        <n v="308"/>
        <n v="309"/>
        <n v="393"/>
        <n v="394"/>
        <n v="395"/>
        <n v="396"/>
        <n v="397"/>
        <n v="398"/>
        <n v="496"/>
        <n v="497"/>
        <n v="498"/>
        <n v="499"/>
        <n v="500"/>
        <n v="501"/>
        <n v="598"/>
        <n v="599"/>
        <n v="600"/>
        <n v="601"/>
        <n v="602"/>
        <n v="603"/>
        <n v="700"/>
        <n v="701"/>
        <n v="702"/>
        <n v="703"/>
        <n v="704"/>
        <n v="705"/>
        <n v="706"/>
        <n v="803"/>
        <n v="804"/>
        <n v="805"/>
        <n v="806"/>
        <n v="807"/>
        <n v="808"/>
        <n v="835"/>
        <n v="836"/>
        <n v="837"/>
        <n v="838"/>
        <n v="839"/>
        <n v="840"/>
        <n v="46"/>
        <n v="47"/>
        <n v="48"/>
        <n v="49"/>
        <n v="52"/>
        <n v="150"/>
        <n v="151"/>
        <n v="152"/>
        <n v="153"/>
        <n v="154"/>
        <n v="155"/>
        <n v="207"/>
        <n v="208"/>
        <n v="209"/>
        <n v="210"/>
        <n v="211"/>
        <n v="212"/>
        <n v="213"/>
        <n v="310"/>
        <n v="311"/>
        <n v="312"/>
        <n v="313"/>
        <n v="314"/>
        <n v="315"/>
        <n v="399"/>
        <n v="400"/>
        <n v="401"/>
        <n v="402"/>
        <n v="403"/>
        <n v="404"/>
        <n v="405"/>
        <n v="502"/>
        <n v="503"/>
        <n v="504"/>
        <n v="505"/>
        <n v="506"/>
        <n v="507"/>
        <n v="604"/>
        <n v="605"/>
        <n v="606"/>
        <n v="607"/>
        <n v="608"/>
        <n v="609"/>
        <n v="610"/>
        <n v="707"/>
        <n v="708"/>
        <n v="709"/>
        <n v="710"/>
        <n v="711"/>
        <n v="712"/>
        <n v="809"/>
        <n v="810"/>
        <n v="811"/>
        <n v="812"/>
        <n v="813"/>
        <n v="814"/>
        <n v="841"/>
        <n v="842"/>
        <n v="843"/>
        <n v="844"/>
        <n v="845"/>
        <n v="846"/>
        <n v="53"/>
        <n v="54"/>
        <n v="55"/>
        <n v="56"/>
        <n v="57"/>
        <n v="58"/>
        <n v="156"/>
        <n v="157"/>
        <n v="158"/>
        <n v="159"/>
        <n v="160"/>
        <n v="161"/>
        <n v="214"/>
        <n v="215"/>
        <n v="216"/>
        <n v="217"/>
        <n v="218"/>
        <n v="219"/>
        <n v="316"/>
        <n v="317"/>
        <n v="318"/>
        <n v="319"/>
        <n v="320"/>
        <n v="321"/>
        <n v="322"/>
        <n v="406"/>
        <n v="407"/>
        <n v="408"/>
        <n v="409"/>
        <n v="410"/>
        <n v="411"/>
        <n v="508"/>
        <n v="509"/>
        <n v="510"/>
        <n v="511"/>
        <n v="512"/>
        <n v="513"/>
        <n v="514"/>
        <n v="611"/>
        <n v="612"/>
        <n v="613"/>
        <n v="614"/>
        <n v="615"/>
        <n v="616"/>
        <n v="713"/>
        <n v="714"/>
        <n v="715"/>
        <n v="716"/>
        <n v="717"/>
        <n v="718"/>
        <n v="59"/>
        <n v="60"/>
        <n v="61"/>
        <n v="62"/>
        <n v="63"/>
        <n v="64"/>
        <n v="65"/>
        <n v="220"/>
        <n v="221"/>
        <n v="222"/>
        <n v="223"/>
        <n v="224"/>
        <n v="225"/>
        <n v="412"/>
        <n v="413"/>
        <n v="414"/>
        <n v="415"/>
        <n v="416"/>
        <n v="417"/>
        <n v="418"/>
        <n v="515"/>
        <n v="516"/>
        <n v="517"/>
        <n v="518"/>
        <n v="519"/>
        <n v="520"/>
        <n v="617"/>
        <n v="618"/>
        <n v="619"/>
        <n v="620"/>
        <n v="621"/>
        <n v="622"/>
        <n v="719"/>
        <n v="720"/>
        <n v="721"/>
        <n v="722"/>
        <n v="723"/>
        <n v="724"/>
        <n v="725"/>
        <n v="66"/>
        <n v="67"/>
        <n v="68"/>
        <n v="69"/>
        <n v="70"/>
        <n v="71"/>
        <n v="226"/>
        <n v="227"/>
        <n v="228"/>
        <n v="229"/>
        <n v="230"/>
        <n v="231"/>
        <n v="232"/>
        <n v="419"/>
        <n v="420"/>
        <n v="421"/>
        <n v="422"/>
        <n v="423"/>
        <n v="424"/>
        <n v="521"/>
        <n v="522"/>
        <n v="523"/>
        <n v="524"/>
        <n v="525"/>
        <n v="526"/>
        <n v="527"/>
        <n v="623"/>
        <n v="624"/>
        <n v="625"/>
        <n v="626"/>
        <n v="627"/>
        <n v="628"/>
        <n v="629"/>
        <n v="726"/>
        <n v="727"/>
        <n v="728"/>
        <n v="729"/>
        <n v="730"/>
        <n v="731"/>
        <n v="72"/>
        <n v="73"/>
        <n v="74"/>
        <n v="75"/>
        <n v="76"/>
        <n v="77"/>
        <n v="78"/>
        <n v="233"/>
        <n v="234"/>
        <n v="235"/>
        <n v="236"/>
        <n v="237"/>
        <n v="238"/>
        <n v="323"/>
        <n v="324"/>
        <n v="325"/>
        <n v="326"/>
        <n v="327"/>
        <n v="328"/>
        <n v="425"/>
        <n v="426"/>
        <n v="427"/>
        <n v="428"/>
        <n v="429"/>
        <n v="430"/>
        <n v="528"/>
        <n v="529"/>
        <n v="530"/>
        <n v="531"/>
        <n v="532"/>
        <n v="533"/>
        <n v="630"/>
        <n v="631"/>
        <n v="632"/>
        <n v="633"/>
        <n v="634"/>
        <n v="635"/>
        <n v="732"/>
        <n v="733"/>
        <n v="734"/>
        <n v="735"/>
        <n v="736"/>
        <n v="737"/>
        <n v="738"/>
        <n v="79"/>
        <n v="80"/>
        <n v="81"/>
        <n v="82"/>
        <n v="83"/>
        <n v="84"/>
        <n v="239"/>
        <n v="240"/>
        <n v="241"/>
        <n v="242"/>
        <n v="243"/>
        <n v="244"/>
        <n v="245"/>
        <n v="329"/>
        <n v="330"/>
        <n v="331"/>
        <n v="332"/>
        <n v="333"/>
        <n v="334"/>
        <n v="431"/>
        <n v="432"/>
        <n v="433"/>
        <n v="434"/>
        <n v="435"/>
        <n v="436"/>
        <n v="437"/>
        <n v="534"/>
        <n v="535"/>
        <n v="536"/>
        <n v="537"/>
        <n v="538"/>
        <n v="539"/>
        <n v="636"/>
        <n v="637"/>
        <n v="638"/>
        <n v="639"/>
        <n v="640"/>
        <n v="641"/>
        <n v="642"/>
        <n v="739"/>
        <n v="740"/>
        <n v="741"/>
        <n v="742"/>
        <n v="743"/>
        <n v="744"/>
        <n v="85"/>
        <n v="86"/>
        <n v="87"/>
        <n v="88"/>
        <n v="89"/>
        <n v="90"/>
        <n v="91"/>
        <n v="246"/>
        <n v="247"/>
        <n v="248"/>
        <n v="249"/>
        <n v="250"/>
        <n v="251"/>
        <n v="335"/>
        <n v="336"/>
        <n v="337"/>
        <n v="338"/>
        <n v="339"/>
        <n v="340"/>
        <n v="341"/>
        <n v="438"/>
        <n v="439"/>
        <n v="440"/>
        <n v="441"/>
        <n v="442"/>
        <n v="443"/>
        <n v="540"/>
        <n v="541"/>
        <n v="542"/>
        <n v="543"/>
        <n v="544"/>
        <n v="545"/>
        <n v="546"/>
        <n v="643"/>
        <n v="644"/>
        <n v="645"/>
        <n v="646"/>
        <n v="647"/>
        <n v="648"/>
        <n v="745"/>
        <n v="746"/>
        <n v="747"/>
        <n v="748"/>
        <n v="749"/>
        <n v="750"/>
        <n v="92"/>
        <n v="93"/>
        <n v="94"/>
        <n v="95"/>
        <n v="96"/>
        <n v="97"/>
        <n v="252"/>
        <n v="253"/>
        <n v="254"/>
        <n v="255"/>
        <n v="256"/>
        <n v="257"/>
        <n v="342"/>
        <n v="343"/>
        <n v="344"/>
        <n v="345"/>
        <n v="346"/>
        <n v="347"/>
        <n v="444"/>
        <n v="445"/>
        <n v="446"/>
        <n v="447"/>
        <n v="448"/>
        <n v="449"/>
        <n v="450"/>
        <n v="547"/>
        <n v="548"/>
        <n v="549"/>
        <n v="550"/>
        <n v="551"/>
        <n v="552"/>
        <n v="649"/>
        <n v="650"/>
        <n v="651"/>
        <n v="652"/>
        <n v="653"/>
        <n v="654"/>
        <n v="751"/>
        <n v="752"/>
        <n v="753"/>
        <n v="754"/>
        <n v="755"/>
        <n v="756"/>
        <n v="757"/>
        <n v="98"/>
        <n v="99"/>
        <n v="100"/>
        <n v="101"/>
        <n v="102"/>
        <n v="103"/>
        <n v="104"/>
        <n v="258"/>
        <n v="259"/>
        <n v="260"/>
        <n v="261"/>
        <n v="262"/>
        <n v="263"/>
        <n v="264"/>
        <n v="348"/>
        <n v="349"/>
        <n v="350"/>
        <n v="351"/>
        <n v="352"/>
        <n v="353"/>
        <n v="354"/>
        <n v="451"/>
        <n v="452"/>
        <n v="453"/>
        <n v="454"/>
        <n v="455"/>
        <n v="456"/>
        <n v="553"/>
        <n v="554"/>
        <n v="555"/>
        <n v="556"/>
        <n v="557"/>
        <n v="558"/>
        <n v="559"/>
        <n v="655"/>
        <n v="656"/>
        <n v="657"/>
        <n v="658"/>
        <n v="659"/>
        <n v="660"/>
        <n v="661"/>
        <n v="758"/>
        <n v="759"/>
        <n v="760"/>
        <n v="761"/>
        <n v="762"/>
        <n v="763"/>
        <n v="0"/>
        <n v="1"/>
        <n v="2"/>
        <n v="3"/>
        <n v="4"/>
        <n v="5"/>
        <n v="6"/>
        <n v="105"/>
        <n v="106"/>
        <n v="107"/>
        <n v="108"/>
        <n v="109"/>
        <n v="110"/>
        <n v="162"/>
        <n v="163"/>
        <n v="164"/>
        <n v="165"/>
        <n v="166"/>
        <n v="167"/>
        <n v="168"/>
        <n v="265"/>
        <n v="266"/>
        <n v="267"/>
        <n v="268"/>
        <n v="269"/>
        <n v="270"/>
        <n v="355"/>
        <n v="356"/>
        <n v="357"/>
        <n v="358"/>
        <n v="359"/>
        <n v="360"/>
        <n v="457"/>
        <n v="458"/>
        <n v="459"/>
        <n v="460"/>
        <n v="461"/>
        <n v="462"/>
        <n v="463"/>
        <n v="560"/>
        <n v="561"/>
        <n v="562"/>
        <n v="563"/>
        <n v="564"/>
        <n v="565"/>
        <n v="662"/>
        <n v="663"/>
        <n v="664"/>
        <n v="665"/>
        <n v="666"/>
        <n v="667"/>
        <n v="764"/>
        <n v="765"/>
        <n v="766"/>
        <n v="767"/>
        <n v="768"/>
        <n v="769"/>
        <n v="770"/>
        <n v="7"/>
        <n v="8"/>
        <n v="9"/>
        <n v="10"/>
        <n v="11"/>
        <n v="12"/>
        <n v="13"/>
        <n v="111"/>
        <n v="112"/>
        <n v="113"/>
        <n v="114"/>
        <n v="115"/>
        <n v="116"/>
        <n v="117"/>
        <n v="169"/>
        <n v="170"/>
        <n v="171"/>
        <n v="172"/>
        <n v="173"/>
        <n v="174"/>
        <n v="271"/>
        <n v="272"/>
        <n v="273"/>
        <n v="274"/>
        <n v="275"/>
        <n v="276"/>
        <n v="277"/>
        <n v="361"/>
        <n v="362"/>
        <n v="363"/>
        <n v="364"/>
        <n v="365"/>
        <n v="366"/>
        <n v="464"/>
        <n v="465"/>
        <n v="466"/>
        <n v="467"/>
        <n v="468"/>
        <n v="469"/>
        <n v="566"/>
        <n v="567"/>
        <n v="568"/>
        <n v="569"/>
        <n v="570"/>
        <n v="571"/>
        <n v="668"/>
        <n v="669"/>
        <n v="670"/>
        <n v="671"/>
        <n v="672"/>
        <n v="673"/>
        <n v="674"/>
        <n v="771"/>
        <n v="772"/>
        <n v="773"/>
        <n v="774"/>
        <n v="775"/>
        <n v="776"/>
        <n v="14"/>
        <n v="15"/>
        <n v="16"/>
        <n v="17"/>
        <n v="18"/>
        <n v="19"/>
        <n v="20"/>
        <n v="118"/>
        <n v="119"/>
        <n v="120"/>
        <n v="121"/>
        <n v="122"/>
        <n v="123"/>
        <n v="175"/>
        <n v="176"/>
        <n v="177"/>
        <n v="178"/>
        <n v="179"/>
        <n v="180"/>
        <n v="181"/>
        <n v="278"/>
        <n v="279"/>
        <n v="280"/>
        <n v="281"/>
        <n v="282"/>
        <n v="283"/>
        <n v="367"/>
        <n v="368"/>
        <n v="369"/>
        <n v="370"/>
        <n v="371"/>
        <n v="372"/>
        <n v="373"/>
        <n v="470"/>
        <n v="471"/>
        <n v="472"/>
        <n v="473"/>
        <n v="474"/>
        <n v="475"/>
        <n v="572"/>
        <n v="573"/>
        <n v="574"/>
        <n v="575"/>
        <n v="576"/>
        <n v="577"/>
        <n v="578"/>
        <n v="675"/>
        <n v="676"/>
        <n v="677"/>
        <n v="678"/>
        <n v="679"/>
        <n v="680"/>
        <n v="777"/>
        <n v="778"/>
        <n v="779"/>
        <n v="780"/>
        <n v="781"/>
        <n v="782"/>
        <n v="21"/>
        <n v="22"/>
        <n v="23"/>
        <n v="24"/>
        <n v="25"/>
        <n v="26"/>
        <n v="124"/>
        <n v="125"/>
        <n v="126"/>
        <n v="127"/>
        <n v="128"/>
        <n v="129"/>
        <n v="182"/>
        <n v="183"/>
        <n v="184"/>
        <n v="185"/>
        <n v="186"/>
        <n v="187"/>
        <n v="284"/>
        <n v="285"/>
        <n v="286"/>
        <n v="287"/>
        <n v="288"/>
        <n v="289"/>
        <n v="290"/>
        <n v="374"/>
        <n v="375"/>
        <n v="376"/>
        <n v="377"/>
        <n v="378"/>
        <n v="379"/>
        <n v="476"/>
        <n v="477"/>
        <n v="478"/>
        <n v="479"/>
        <n v="480"/>
        <n v="481"/>
        <n v="482"/>
        <n v="579"/>
        <n v="580"/>
        <n v="581"/>
        <n v="582"/>
        <n v="583"/>
        <n v="584"/>
        <n v="681"/>
        <n v="682"/>
        <n v="683"/>
        <n v="684"/>
        <n v="685"/>
        <n v="686"/>
        <n v="783"/>
        <n v="784"/>
        <n v="785"/>
        <n v="786"/>
        <n v="787"/>
        <n v="788"/>
        <n v="789"/>
        <n v="815"/>
        <n v="816"/>
        <n v="817"/>
        <n v="818"/>
        <n v="819"/>
        <n v="820"/>
        <n v="821"/>
        <n v="27"/>
        <n v="28"/>
        <n v="29"/>
        <n v="30"/>
        <n v="31"/>
        <n v="32"/>
        <n v="130"/>
        <n v="131"/>
        <n v="132"/>
        <n v="133"/>
        <n v="134"/>
        <n v="135"/>
        <n v="136"/>
        <n v="188"/>
        <n v="189"/>
        <n v="190"/>
        <n v="191"/>
        <n v="192"/>
        <n v="193"/>
        <n v="291"/>
        <n v="292"/>
        <n v="293"/>
        <n v="294"/>
        <n v="295"/>
        <n v="296"/>
        <n v="380"/>
        <n v="381"/>
        <n v="382"/>
        <n v="383"/>
        <n v="384"/>
        <n v="385"/>
        <n v="483"/>
        <n v="484"/>
        <n v="485"/>
        <n v="486"/>
        <n v="487"/>
        <n v="585"/>
        <n v="586"/>
        <n v="587"/>
        <n v="588"/>
        <n v="589"/>
        <n v="590"/>
        <n v="687"/>
        <n v="688"/>
        <n v="689"/>
        <n v="690"/>
        <n v="691"/>
        <n v="692"/>
        <n v="790"/>
        <n v="791"/>
        <n v="792"/>
        <n v="793"/>
        <n v="794"/>
        <n v="822"/>
        <n v="823"/>
        <n v="824"/>
        <n v="825"/>
        <n v="826"/>
        <n v="33"/>
        <n v="34"/>
        <n v="35"/>
        <n v="36"/>
        <n v="37"/>
        <n v="38"/>
        <n v="137"/>
        <n v="138"/>
        <n v="139"/>
        <n v="140"/>
        <n v="141"/>
        <n v="194"/>
        <n v="195"/>
        <n v="196"/>
        <n v="197"/>
        <n v="198"/>
        <n v="199"/>
        <n v="297"/>
        <n v="298"/>
        <n v="299"/>
        <n v="300"/>
        <n v="301"/>
        <n v="853"/>
        <n v="854"/>
        <n v="855"/>
        <n v="856"/>
        <n v="857"/>
        <n v="858"/>
        <n v="859"/>
        <n v="929"/>
        <n v="930"/>
        <n v="931"/>
        <n v="932"/>
        <n v="933"/>
        <n v="934"/>
        <n v="935"/>
        <n v="860"/>
        <n v="861"/>
        <n v="862"/>
        <n v="863"/>
        <n v="864"/>
        <n v="865"/>
        <n v="936"/>
        <n v="937"/>
        <n v="938"/>
        <n v="939"/>
        <n v="940"/>
        <n v="941"/>
        <n v="942"/>
        <n v="866"/>
        <n v="867"/>
        <n v="868"/>
        <n v="869"/>
        <n v="870"/>
        <n v="871"/>
        <n v="872"/>
        <n v="943"/>
        <n v="944"/>
        <n v="945"/>
        <n v="946"/>
        <n v="947"/>
        <n v="948"/>
        <n v="949"/>
        <n v="950"/>
        <n v="951"/>
        <n v="952"/>
        <n v="953"/>
        <n v="954"/>
        <n v="955"/>
        <n v="956"/>
        <n v="957"/>
        <n v="958"/>
        <n v="959"/>
        <n v="960"/>
        <n v="961"/>
        <n v="962"/>
        <n v="963"/>
        <n v="964"/>
        <n v="965"/>
        <n v="966"/>
        <n v="967"/>
        <n v="968"/>
        <n v="969"/>
        <n v="970"/>
        <n v="971"/>
        <n v="972"/>
        <n v="973"/>
        <n v="974"/>
        <n v="873"/>
        <n v="874"/>
        <n v="875"/>
        <n v="876"/>
        <n v="877"/>
        <n v="878"/>
        <n v="975"/>
        <n v="976"/>
        <n v="977"/>
        <n v="978"/>
        <n v="979"/>
        <n v="980"/>
        <n v="879"/>
        <n v="880"/>
        <n v="881"/>
        <n v="882"/>
        <n v="883"/>
        <n v="884"/>
        <n v="885"/>
        <n v="981"/>
        <n v="982"/>
        <n v="983"/>
        <n v="984"/>
        <n v="985"/>
        <n v="986"/>
        <n v="987"/>
        <n v="886"/>
        <n v="887"/>
        <n v="888"/>
        <n v="889"/>
        <n v="890"/>
        <n v="891"/>
        <n v="988"/>
        <n v="989"/>
        <n v="990"/>
        <n v="991"/>
        <n v="992"/>
        <n v="993"/>
        <n v="892"/>
        <n v="893"/>
        <n v="894"/>
        <n v="895"/>
        <n v="896"/>
        <n v="897"/>
        <n v="994"/>
        <n v="995"/>
        <n v="996"/>
        <n v="997"/>
        <n v="998"/>
        <n v="898"/>
        <n v="899"/>
        <n v="900"/>
        <n v="901"/>
        <n v="902"/>
        <n v="903"/>
        <n v="904"/>
        <n v="905"/>
        <n v="906"/>
        <n v="907"/>
        <n v="908"/>
        <n v="909"/>
        <n v="910"/>
        <n v="911"/>
        <n v="912"/>
        <n v="913"/>
        <n v="914"/>
        <n v="915"/>
        <n v="916"/>
        <n v="917"/>
        <n v="918"/>
        <n v="919"/>
        <n v="920"/>
        <n v="921"/>
        <n v="922"/>
        <n v="923"/>
        <n v="847"/>
        <n v="848"/>
        <n v="849"/>
        <n v="850"/>
        <n v="851"/>
        <n v="852"/>
        <n v="924"/>
        <n v="925"/>
        <n v="926"/>
        <n v="927"/>
        <n v="928"/>
        <n v="2266" u="1"/>
        <n v="4470" u="1"/>
        <n v="6487" u="1"/>
        <n v="8816" u="1"/>
        <n v="2136" u="1"/>
        <n v="4210" u="1"/>
        <n v="6227" u="1"/>
        <n v="8296" u="1"/>
        <n v="2027" u="1"/>
        <n v="4023" u="1"/>
        <n v="5967" u="1"/>
        <n v="7984" u="1"/>
        <n v="9793" u="1"/>
        <n v="1962" u="1"/>
        <n v="3893" u="1"/>
        <n v="5707" u="1"/>
        <n v="9273" u="1"/>
        <n v="1897" u="1"/>
        <n v="3763" u="1"/>
        <n v="5447" u="1"/>
        <n v="8753" u="1"/>
        <n v="1832" u="1"/>
        <n v="3633" u="1"/>
        <n v="8233" u="1"/>
        <n v="1767" u="1"/>
        <n v="9730" u="1"/>
        <n v="1702" u="1"/>
        <n v="9210" u="1"/>
        <n v="1637" u="1"/>
        <n v="6424" u="1"/>
        <n v="8690" u="1"/>
        <n v="4147" u="1"/>
        <n v="6164" u="1"/>
        <n v="8181" u="1"/>
        <n v="2983" u="1"/>
        <n v="5904" u="1"/>
        <n v="7921" u="1"/>
        <n v="9667" u="1"/>
        <n v="2853" u="1"/>
        <n v="5644" u="1"/>
        <n v="7661" u="1"/>
        <n v="2723" u="1"/>
        <n v="5384" u="1"/>
        <n v="7401" u="1"/>
        <n v="1312" u="1"/>
        <n v="2593" u="1"/>
        <n v="5124" u="1"/>
        <n v="7141" u="1"/>
        <n v="1247" u="1"/>
        <n v="2463" u="1"/>
        <n v="4864" u="1"/>
        <n v="6881" u="1"/>
        <n v="9604" u="1"/>
        <n v="1182" u="1"/>
        <n v="2333" u="1"/>
        <n v="4604" u="1"/>
        <n v="6621" u="1"/>
        <n v="9084" u="1"/>
        <n v="1117" u="1"/>
        <n v="2203" u="1"/>
        <n v="4344" u="1"/>
        <n v="6361" u="1"/>
        <n v="8564" u="1"/>
        <n v="1052" u="1"/>
        <n v="2073" u="1"/>
        <n v="4090" u="1"/>
        <n v="6101" u="1"/>
        <n v="8118" u="1"/>
        <n v="3960" u="1"/>
        <n v="5841" u="1"/>
        <n v="7858" u="1"/>
        <n v="9541" u="1"/>
        <n v="3830" u="1"/>
        <n v="5581" u="1"/>
        <n v="7598" u="1"/>
        <n v="9021" u="1"/>
        <n v="3700" u="1"/>
        <n v="5321" u="1"/>
        <n v="8501" u="1"/>
        <n v="3570" u="1"/>
        <n v="5061" u="1"/>
        <n v="3440" u="1"/>
        <n v="8438" u="1"/>
        <n v="6038" u="1"/>
        <n v="8055" u="1"/>
        <n v="9935" u="1"/>
        <n v="5778" u="1"/>
        <n v="7795" u="1"/>
        <n v="9415" u="1"/>
        <n v="5518" u="1"/>
        <n v="7535" u="1"/>
        <n v="8895" u="1"/>
        <n v="2660" u="1"/>
        <n v="5258" u="1"/>
        <n v="7275" u="1"/>
        <n v="2530" u="1"/>
        <n v="4998" u="1"/>
        <n v="7015" u="1"/>
        <n v="9872" u="1"/>
        <n v="2400" u="1"/>
        <n v="4738" u="1"/>
        <n v="6755" u="1"/>
        <n v="9352" u="1"/>
        <n v="2270" u="1"/>
        <n v="4478" u="1"/>
        <n v="6495" u="1"/>
        <n v="8832" u="1"/>
        <n v="2140" u="1"/>
        <n v="4218" u="1"/>
        <n v="6235" u="1"/>
        <n v="8312" u="1"/>
        <n v="2029" u="1"/>
        <n v="4027" u="1"/>
        <n v="5975" u="1"/>
        <n v="7992" u="1"/>
        <n v="9809" u="1"/>
        <n v="1964" u="1"/>
        <n v="3897" u="1"/>
        <n v="5715" u="1"/>
        <n v="7732" u="1"/>
        <n v="9289" u="1"/>
        <n v="1899" u="1"/>
        <n v="3767" u="1"/>
        <n v="5455" u="1"/>
        <n v="7472" u="1"/>
        <n v="8769" u="1"/>
        <n v="1834" u="1"/>
        <n v="3637" u="1"/>
        <n v="5195" u="1"/>
        <n v="7212" u="1"/>
        <n v="8249" u="1"/>
        <n v="1769" u="1"/>
        <n v="3507" u="1"/>
        <n v="4935" u="1"/>
        <n v="6952" u="1"/>
        <n v="1704" u="1"/>
        <n v="3377" u="1"/>
        <n v="4675" u="1"/>
        <n v="1639" u="1"/>
        <n v="3247" u="1"/>
        <n v="1574" u="1"/>
        <n v="3117" u="1"/>
        <n v="1509" u="1"/>
        <n v="7929" u="1"/>
        <n v="9683" u="1"/>
        <n v="1444" u="1"/>
        <n v="5652" u="1"/>
        <n v="7669" u="1"/>
        <n v="9163" u="1"/>
        <n v="1379" u="1"/>
        <n v="5392" u="1"/>
        <n v="7409" u="1"/>
        <n v="8643" u="1"/>
        <n v="5132" u="1"/>
        <n v="7149" u="1"/>
        <n v="2467" u="1"/>
        <n v="4872" u="1"/>
        <n v="6889" u="1"/>
        <n v="9620" u="1"/>
        <n v="2337" u="1"/>
        <n v="4612" u="1"/>
        <n v="6629" u="1"/>
        <n v="9100" u="1"/>
        <n v="2207" u="1"/>
        <n v="4352" u="1"/>
        <n v="6369" u="1"/>
        <n v="8580" u="1"/>
        <n v="1054" u="1"/>
        <n v="2077" u="1"/>
        <n v="4094" u="1"/>
        <n v="6109" u="1"/>
        <n v="8126" u="1"/>
        <n v="3964" u="1"/>
        <n v="5849" u="1"/>
        <n v="7866" u="1"/>
        <n v="9557" u="1"/>
        <n v="3834" u="1"/>
        <n v="5589" u="1"/>
        <n v="7606" u="1"/>
        <n v="9037" u="1"/>
        <n v="3704" u="1"/>
        <n v="5329" u="1"/>
        <n v="7346" u="1"/>
        <n v="8517" u="1"/>
        <n v="3574" u="1"/>
        <n v="5069" u="1"/>
        <n v="7086" u="1"/>
        <n v="3444" u="1"/>
        <n v="4809" u="1"/>
        <n v="6826" u="1"/>
        <n v="9494" u="1"/>
        <n v="3314" u="1"/>
        <n v="4549" u="1"/>
        <n v="6566" u="1"/>
        <n v="3184" u="1"/>
        <n v="4289" u="1"/>
        <n v="3054" u="1"/>
        <n v="9951" u="1"/>
        <n v="2924" u="1"/>
        <n v="9431" u="1"/>
        <n v="7543" u="1"/>
        <n v="8911" u="1"/>
        <n v="7283" u="1"/>
        <n v="8391" u="1"/>
        <n v="5006" u="1"/>
        <n v="7023" u="1"/>
        <n v="9888" u="1"/>
        <n v="4746" u="1"/>
        <n v="6763" u="1"/>
        <n v="9368" u="1"/>
        <n v="4486" u="1"/>
        <n v="6503" u="1"/>
        <n v="8848" u="1"/>
        <n v="2144" u="1"/>
        <n v="4226" u="1"/>
        <n v="6243" u="1"/>
        <n v="8328" u="1"/>
        <n v="2031" u="1"/>
        <n v="4031" u="1"/>
        <n v="5983" u="1"/>
        <n v="8000" u="1"/>
        <n v="1966" u="1"/>
        <n v="3901" u="1"/>
        <n v="5723" u="1"/>
        <n v="7740" u="1"/>
        <n v="1901" u="1"/>
        <n v="3771" u="1"/>
        <n v="5463" u="1"/>
        <n v="7480" u="1"/>
        <n v="8785" u="1"/>
        <n v="1836" u="1"/>
        <n v="3641" u="1"/>
        <n v="5203" u="1"/>
        <n v="7220" u="1"/>
        <n v="8265" u="1"/>
        <n v="1771" u="1"/>
        <n v="3511" u="1"/>
        <n v="4943" u="1"/>
        <n v="6960" u="1"/>
        <n v="9762" u="1"/>
        <n v="1706" u="1"/>
        <n v="3381" u="1"/>
        <n v="4683" u="1"/>
        <n v="6700" u="1"/>
        <n v="9242" u="1"/>
        <n v="1641" u="1"/>
        <n v="3251" u="1"/>
        <n v="4423" u="1"/>
        <n v="6440" u="1"/>
        <n v="8722" u="1"/>
        <n v="1576" u="1"/>
        <n v="3121" u="1"/>
        <n v="4163" u="1"/>
        <n v="6180" u="1"/>
        <n v="1511" u="1"/>
        <n v="2991" u="1"/>
        <n v="5920" u="1"/>
        <n v="9699" u="1"/>
        <n v="1446" u="1"/>
        <n v="2861" u="1"/>
        <n v="9179" u="1"/>
        <n v="1381" u="1"/>
        <n v="2731" u="1"/>
        <n v="8659" u="1"/>
        <n v="1316" u="1"/>
        <n v="2601" u="1"/>
        <n v="1251" u="1"/>
        <n v="6897" u="1"/>
        <n v="9636" u="1"/>
        <n v="1186" u="1"/>
        <n v="4620" u="1"/>
        <n v="6637" u="1"/>
        <n v="9116" u="1"/>
        <n v="4360" u="1"/>
        <n v="6377" u="1"/>
        <n v="8596" u="1"/>
        <n v="4100" u="1"/>
        <n v="6117" u="1"/>
        <n v="8134" u="1"/>
        <n v="3968" u="1"/>
        <n v="5857" u="1"/>
        <n v="7874" u="1"/>
        <n v="3838" u="1"/>
        <n v="5597" u="1"/>
        <n v="7614" u="1"/>
        <n v="3708" u="1"/>
        <n v="5337" u="1"/>
        <n v="7354" u="1"/>
        <n v="3578" u="1"/>
        <n v="5077" u="1"/>
        <n v="7094" u="1"/>
        <n v="3448" u="1"/>
        <n v="4817" u="1"/>
        <n v="6834" u="1"/>
        <n v="9510" u="1"/>
        <n v="3318" u="1"/>
        <n v="4557" u="1"/>
        <n v="6574" u="1"/>
        <n v="8990" u="1"/>
        <n v="3188" u="1"/>
        <n v="4297" u="1"/>
        <n v="6314" u="1"/>
        <n v="8470" u="1"/>
        <n v="3058" u="1"/>
        <n v="6054" u="1"/>
        <n v="8071" u="1"/>
        <n v="9967" u="1"/>
        <n v="2928" u="1"/>
        <n v="5794" u="1"/>
        <n v="7811" u="1"/>
        <n v="9447" u="1"/>
        <n v="2798" u="1"/>
        <n v="5534" u="1"/>
        <n v="8927" u="1"/>
        <n v="2668" u="1"/>
        <n v="8407" u="1"/>
        <n v="2538" u="1"/>
        <n v="2408" u="1"/>
        <n v="9384" u="1"/>
        <n v="6511" u="1"/>
        <n v="8864" u="1"/>
        <n v="6251" u="1"/>
        <n v="8344" u="1"/>
        <n v="4035" u="1"/>
        <n v="5991" u="1"/>
        <n v="8008" u="1"/>
        <n v="9841" u="1"/>
        <n v="3905" u="1"/>
        <n v="5731" u="1"/>
        <n v="7748" u="1"/>
        <n v="9321" u="1"/>
        <n v="1903" u="1"/>
        <n v="3775" u="1"/>
        <n v="5471" u="1"/>
        <n v="7488" u="1"/>
        <n v="1838" u="1"/>
        <n v="3645" u="1"/>
        <n v="5211" u="1"/>
        <n v="7228" u="1"/>
        <n v="1773" u="1"/>
        <n v="3515" u="1"/>
        <n v="4951" u="1"/>
        <n v="6968" u="1"/>
        <n v="9778" u="1"/>
        <n v="1708" u="1"/>
        <n v="3385" u="1"/>
        <n v="4691" u="1"/>
        <n v="6708" u="1"/>
        <n v="9258" u="1"/>
        <n v="1643" u="1"/>
        <n v="3255" u="1"/>
        <n v="4431" u="1"/>
        <n v="6448" u="1"/>
        <n v="8738" u="1"/>
        <n v="1578" u="1"/>
        <n v="3125" u="1"/>
        <n v="4171" u="1"/>
        <n v="6188" u="1"/>
        <n v="8218" u="1"/>
        <n v="1513" u="1"/>
        <n v="2995" u="1"/>
        <n v="5928" u="1"/>
        <n v="7945" u="1"/>
        <n v="9715" u="1"/>
        <n v="1448" u="1"/>
        <n v="2865" u="1"/>
        <n v="5668" u="1"/>
        <n v="7685" u="1"/>
        <n v="9195" u="1"/>
        <n v="1383" u="1"/>
        <n v="2735" u="1"/>
        <n v="5408" u="1"/>
        <n v="7425" u="1"/>
        <n v="8675" u="1"/>
        <n v="1318" u="1"/>
        <n v="2605" u="1"/>
        <n v="5148" u="1"/>
        <n v="1253" u="1"/>
        <n v="2475" u="1"/>
        <n v="1188" u="1"/>
        <n v="2345" u="1"/>
        <n v="1123" u="1"/>
        <n v="2215" u="1"/>
        <n v="8612" u="1"/>
        <n v="1058" u="1"/>
        <n v="6125" u="1"/>
        <n v="8142" u="1"/>
        <n v="5865" u="1"/>
        <n v="7882" u="1"/>
        <n v="9589" u="1"/>
        <n v="3842" u="1"/>
        <n v="5605" u="1"/>
        <n v="7622" u="1"/>
        <n v="9069" u="1"/>
        <n v="3712" u="1"/>
        <n v="5345" u="1"/>
        <n v="7362" u="1"/>
        <n v="8549" u="1"/>
        <n v="3582" u="1"/>
        <n v="5085" u="1"/>
        <n v="7102" u="1"/>
        <n v="3452" u="1"/>
        <n v="4825" u="1"/>
        <n v="6842" u="1"/>
        <n v="9526" u="1"/>
        <n v="3322" u="1"/>
        <n v="4565" u="1"/>
        <n v="6582" u="1"/>
        <n v="9006" u="1"/>
        <n v="3192" u="1"/>
        <n v="4305" u="1"/>
        <n v="6322" u="1"/>
        <n v="8486" u="1"/>
        <n v="3062" u="1"/>
        <n v="6062" u="1"/>
        <n v="8079" u="1"/>
        <n v="9983" u="1"/>
        <n v="2932" u="1"/>
        <n v="5802" u="1"/>
        <n v="7819" u="1"/>
        <n v="9463" u="1"/>
        <n v="2802" u="1"/>
        <n v="5542" u="1"/>
        <n v="7559" u="1"/>
        <n v="8943" u="1"/>
        <n v="2672" u="1"/>
        <n v="5282" u="1"/>
        <n v="7299" u="1"/>
        <n v="8423" u="1"/>
        <n v="2542" u="1"/>
        <n v="5022" u="1"/>
        <n v="7039" u="1"/>
        <n v="2412" u="1"/>
        <n v="4762" u="1"/>
        <n v="2282" u="1"/>
        <n v="4502" u="1"/>
        <n v="2152" u="1"/>
        <n v="2035" u="1"/>
        <n v="8016" u="1"/>
        <n v="9857" u="1"/>
        <n v="1970" u="1"/>
        <n v="7756" u="1"/>
        <n v="9337" u="1"/>
        <n v="5479" u="1"/>
        <n v="7496" u="1"/>
        <n v="8817" u="1"/>
        <n v="3649" u="1"/>
        <n v="5219" u="1"/>
        <n v="7236" u="1"/>
        <n v="8297" u="1"/>
        <n v="3519" u="1"/>
        <n v="4959" u="1"/>
        <n v="6976" u="1"/>
        <n v="9794" u="1"/>
        <n v="3389" u="1"/>
        <n v="4699" u="1"/>
        <n v="6716" u="1"/>
        <n v="9274" u="1"/>
        <n v="1645" u="1"/>
        <n v="3259" u="1"/>
        <n v="4439" u="1"/>
        <n v="6456" u="1"/>
        <n v="8754" u="1"/>
        <n v="1580" u="1"/>
        <n v="3129" u="1"/>
        <n v="4179" u="1"/>
        <n v="6196" u="1"/>
        <n v="8234" u="1"/>
        <n v="1515" u="1"/>
        <n v="2999" u="1"/>
        <n v="5936" u="1"/>
        <n v="7953" u="1"/>
        <n v="9731" u="1"/>
        <n v="1450" u="1"/>
        <n v="2869" u="1"/>
        <n v="5676" u="1"/>
        <n v="7693" u="1"/>
        <n v="9211" u="1"/>
        <n v="1385" u="1"/>
        <n v="2739" u="1"/>
        <n v="5416" u="1"/>
        <n v="7433" u="1"/>
        <n v="8691" u="1"/>
        <n v="1320" u="1"/>
        <n v="2609" u="1"/>
        <n v="5156" u="1"/>
        <n v="7173" u="1"/>
        <n v="1255" u="1"/>
        <n v="2479" u="1"/>
        <n v="4896" u="1"/>
        <n v="6913" u="1"/>
        <n v="9668" u="1"/>
        <n v="1190" u="1"/>
        <n v="2349" u="1"/>
        <n v="4636" u="1"/>
        <n v="6653" u="1"/>
        <n v="1125" u="1"/>
        <n v="2219" u="1"/>
        <n v="4376" u="1"/>
        <n v="6393" u="1"/>
        <n v="1060" u="1"/>
        <n v="2089" u="1"/>
        <n v="4116" u="1"/>
        <n v="9605" u="1"/>
        <n v="9085" u="1"/>
        <n v="7370" u="1"/>
        <n v="8565" u="1"/>
        <n v="5093" u="1"/>
        <n v="7110" u="1"/>
        <n v="4833" u="1"/>
        <n v="6850" u="1"/>
        <n v="9542" u="1"/>
        <n v="3326" u="1"/>
        <n v="4573" u="1"/>
        <n v="6590" u="1"/>
        <n v="9022" u="1"/>
        <n v="3196" u="1"/>
        <n v="4313" u="1"/>
        <n v="6330" u="1"/>
        <n v="8502" u="1"/>
        <n v="3066" u="1"/>
        <n v="6070" u="1"/>
        <n v="8087" u="1"/>
        <n v="2936" u="1"/>
        <n v="5810" u="1"/>
        <n v="7827" u="1"/>
        <n v="2806" u="1"/>
        <n v="5550" u="1"/>
        <n v="7567" u="1"/>
        <n v="2676" u="1"/>
        <n v="5290" u="1"/>
        <n v="7307" u="1"/>
        <n v="8439" u="1"/>
        <n v="2546" u="1"/>
        <n v="5030" u="1"/>
        <n v="7047" u="1"/>
        <n v="9936" u="1"/>
        <n v="2416" u="1"/>
        <n v="4770" u="1"/>
        <n v="6787" u="1"/>
        <n v="9416" u="1"/>
        <n v="2286" u="1"/>
        <n v="4510" u="1"/>
        <n v="6527" u="1"/>
        <n v="8896" u="1"/>
        <n v="2156" u="1"/>
        <n v="4250" u="1"/>
        <n v="6267" u="1"/>
        <n v="8376" u="1"/>
        <n v="2037" u="1"/>
        <n v="4043" u="1"/>
        <n v="6007" u="1"/>
        <n v="9873" u="1"/>
        <n v="1972" u="1"/>
        <n v="3913" u="1"/>
        <n v="9353" u="1"/>
        <n v="1907" u="1"/>
        <n v="3783" u="1"/>
        <n v="8833" u="1"/>
        <n v="1842" u="1"/>
        <n v="8313" u="1"/>
        <n v="1777" u="1"/>
        <n v="6984" u="1"/>
        <n v="9810" u="1"/>
        <n v="6724" u="1"/>
        <n v="9290" u="1"/>
        <n v="4447" u="1"/>
        <n v="6464" u="1"/>
        <n v="8770" u="1"/>
        <n v="3133" u="1"/>
        <n v="4187" u="1"/>
        <n v="6204" u="1"/>
        <n v="8250" u="1"/>
        <n v="3003" u="1"/>
        <n v="5944" u="1"/>
        <n v="7961" u="1"/>
        <n v="2873" u="1"/>
        <n v="5684" u="1"/>
        <n v="7701" u="1"/>
        <n v="1387" u="1"/>
        <n v="2743" u="1"/>
        <n v="5424" u="1"/>
        <n v="7441" u="1"/>
        <n v="1322" u="1"/>
        <n v="2613" u="1"/>
        <n v="5164" u="1"/>
        <n v="7181" u="1"/>
        <n v="1257" u="1"/>
        <n v="2483" u="1"/>
        <n v="4904" u="1"/>
        <n v="6921" u="1"/>
        <n v="9684" u="1"/>
        <n v="1192" u="1"/>
        <n v="2353" u="1"/>
        <n v="4644" u="1"/>
        <n v="6661" u="1"/>
        <n v="9164" u="1"/>
        <n v="1127" u="1"/>
        <n v="2223" u="1"/>
        <n v="4384" u="1"/>
        <n v="6401" u="1"/>
        <n v="8644" u="1"/>
        <n v="1062" u="1"/>
        <n v="2093" u="1"/>
        <n v="4124" u="1"/>
        <n v="6141" u="1"/>
        <n v="8158" u="1"/>
        <n v="3980" u="1"/>
        <n v="5881" u="1"/>
        <n v="7898" u="1"/>
        <n v="9621" u="1"/>
        <n v="3850" u="1"/>
        <n v="5621" u="1"/>
        <n v="9101" u="1"/>
        <n v="3720" u="1"/>
        <n v="5361" u="1"/>
        <n v="8581" u="1"/>
        <n v="3590" u="1"/>
        <n v="9558" u="1"/>
        <n v="9038" u="1"/>
        <n v="6338" u="1"/>
        <n v="8518" u="1"/>
        <n v="6078" u="1"/>
        <n v="8095" u="1"/>
        <n v="2940" u="1"/>
        <n v="5818" u="1"/>
        <n v="7835" u="1"/>
        <n v="9495" u="1"/>
        <n v="2810" u="1"/>
        <n v="5558" u="1"/>
        <n v="7575" u="1"/>
        <n v="2680" u="1"/>
        <n v="5298" u="1"/>
        <n v="7315" u="1"/>
        <n v="2550" u="1"/>
        <n v="5038" u="1"/>
        <n v="7055" u="1"/>
        <n v="9952" u="1"/>
        <n v="2420" u="1"/>
        <n v="4778" u="1"/>
        <n v="6795" u="1"/>
        <n v="9432" u="1"/>
        <n v="2290" u="1"/>
        <n v="4518" u="1"/>
        <n v="6535" u="1"/>
        <n v="8912" u="1"/>
        <n v="2160" u="1"/>
        <n v="4258" u="1"/>
        <n v="6275" u="1"/>
        <n v="8392" u="1"/>
        <n v="2039" u="1"/>
        <n v="4047" u="1"/>
        <n v="6015" u="1"/>
        <n v="8032" u="1"/>
        <n v="9889" u="1"/>
        <n v="1974" u="1"/>
        <n v="3917" u="1"/>
        <n v="5755" u="1"/>
        <n v="7772" u="1"/>
        <n v="9369" u="1"/>
        <n v="1909" u="1"/>
        <n v="3787" u="1"/>
        <n v="5495" u="1"/>
        <n v="7512" u="1"/>
        <n v="8849" u="1"/>
        <n v="1844" u="1"/>
        <n v="3657" u="1"/>
        <n v="5235" u="1"/>
        <n v="8329" u="1"/>
        <n v="1779" u="1"/>
        <n v="3527" u="1"/>
        <n v="4975" u="1"/>
        <n v="1714" u="1"/>
        <n v="3397" u="1"/>
        <n v="1649" u="1"/>
        <n v="8786" u="1"/>
        <n v="1584" u="1"/>
        <n v="8266" u="1"/>
        <n v="1519" u="1"/>
        <n v="5952" u="1"/>
        <n v="7969" u="1"/>
        <n v="9763" u="1"/>
        <n v="5692" u="1"/>
        <n v="7709" u="1"/>
        <n v="9243" u="1"/>
        <n v="5432" u="1"/>
        <n v="7449" u="1"/>
        <n v="8723" u="1"/>
        <n v="2617" u="1"/>
        <n v="5172" u="1"/>
        <n v="7189" u="1"/>
        <n v="2487" u="1"/>
        <n v="4912" u="1"/>
        <n v="6929" u="1"/>
        <n v="9700" u="1"/>
        <n v="2357" u="1"/>
        <n v="4652" u="1"/>
        <n v="6669" u="1"/>
        <n v="9180" u="1"/>
        <n v="1129" u="1"/>
        <n v="2227" u="1"/>
        <n v="4392" u="1"/>
        <n v="6409" u="1"/>
        <n v="8660" u="1"/>
        <n v="1064" u="1"/>
        <n v="2097" u="1"/>
        <n v="4132" u="1"/>
        <n v="6149" u="1"/>
        <n v="8166" u="1"/>
        <n v="3984" u="1"/>
        <n v="5889" u="1"/>
        <n v="7906" u="1"/>
        <n v="9637" u="1"/>
        <n v="3854" u="1"/>
        <n v="5629" u="1"/>
        <n v="7646" u="1"/>
        <n v="9117" u="1"/>
        <n v="3724" u="1"/>
        <n v="5369" u="1"/>
        <n v="7386" u="1"/>
        <n v="8597" u="1"/>
        <n v="3594" u="1"/>
        <n v="5109" u="1"/>
        <n v="7126" u="1"/>
        <n v="3464" u="1"/>
        <n v="4849" u="1"/>
        <n v="6866" u="1"/>
        <n v="3334" u="1"/>
        <n v="4589" u="1"/>
        <n v="3204" u="1"/>
        <n v="3074" u="1"/>
        <n v="7843" u="1"/>
        <n v="9511" u="1"/>
        <n v="5566" u="1"/>
        <n v="7583" u="1"/>
        <n v="8991" u="1"/>
        <n v="5306" u="1"/>
        <n v="7323" u="1"/>
        <n v="8471" u="1"/>
        <n v="5046" u="1"/>
        <n v="7063" u="1"/>
        <n v="9968" u="1"/>
        <n v="2424" u="1"/>
        <n v="4786" u="1"/>
        <n v="6803" u="1"/>
        <n v="9448" u="1"/>
        <n v="2294" u="1"/>
        <n v="4526" u="1"/>
        <n v="6543" u="1"/>
        <n v="8928" u="1"/>
        <n v="2164" u="1"/>
        <n v="4266" u="1"/>
        <n v="6283" u="1"/>
        <n v="8408" u="1"/>
        <n v="2041" u="1"/>
        <n v="4051" u="1"/>
        <n v="6023" u="1"/>
        <n v="8040" u="1"/>
        <n v="1976" u="1"/>
        <n v="3921" u="1"/>
        <n v="5763" u="1"/>
        <n v="7780" u="1"/>
        <n v="9385" u="1"/>
        <n v="1911" u="1"/>
        <n v="3791" u="1"/>
        <n v="5503" u="1"/>
        <n v="7520" u="1"/>
        <n v="8865" u="1"/>
        <n v="1846" u="1"/>
        <n v="3661" u="1"/>
        <n v="5243" u="1"/>
        <n v="7260" u="1"/>
        <n v="8345" u="1"/>
        <n v="1781" u="1"/>
        <n v="3531" u="1"/>
        <n v="4983" u="1"/>
        <n v="7000" u="1"/>
        <n v="9842" u="1"/>
        <n v="1716" u="1"/>
        <n v="3401" u="1"/>
        <n v="4723" u="1"/>
        <n v="6740" u="1"/>
        <n v="9322" u="1"/>
        <n v="1651" u="1"/>
        <n v="3271" u="1"/>
        <n v="4463" u="1"/>
        <n v="6480" u="1"/>
        <n v="1586" u="1"/>
        <n v="3141" u="1"/>
        <n v="4203" u="1"/>
        <n v="1521" u="1"/>
        <n v="3011" u="1"/>
        <n v="9779" u="1"/>
        <n v="1456" u="1"/>
        <n v="2881" u="1"/>
        <n v="9259" u="1"/>
        <n v="1391" u="1"/>
        <n v="7457" u="1"/>
        <n v="8739" u="1"/>
        <n v="1326" u="1"/>
        <n v="7197" u="1"/>
        <n v="8219" u="1"/>
        <n v="1261" u="1"/>
        <n v="4920" u="1"/>
        <n v="6937" u="1"/>
        <n v="9716" u="1"/>
        <n v="4660" u="1"/>
        <n v="6677" u="1"/>
        <n v="9196" u="1"/>
        <n v="4400" u="1"/>
        <n v="6417" u="1"/>
        <n v="8676" u="1"/>
        <n v="2101" u="1"/>
        <n v="4140" u="1"/>
        <n v="6157" u="1"/>
        <n v="8174" u="1"/>
        <n v="3988" u="1"/>
        <n v="5897" u="1"/>
        <n v="7914" u="1"/>
        <n v="3858" u="1"/>
        <n v="5637" u="1"/>
        <n v="7654" u="1"/>
        <n v="3728" u="1"/>
        <n v="5377" u="1"/>
        <n v="7394" u="1"/>
        <n v="8613" u="1"/>
        <n v="3598" u="1"/>
        <n v="5117" u="1"/>
        <n v="7134" u="1"/>
        <n v="3468" u="1"/>
        <n v="4857" u="1"/>
        <n v="6874" u="1"/>
        <n v="9590" u="1"/>
        <n v="3338" u="1"/>
        <n v="4597" u="1"/>
        <n v="6614" u="1"/>
        <n v="9070" u="1"/>
        <n v="3208" u="1"/>
        <n v="4337" u="1"/>
        <n v="6354" u="1"/>
        <n v="8550" u="1"/>
        <n v="3078" u="1"/>
        <n v="6094" u="1"/>
        <n v="2948" u="1"/>
        <n v="5834" u="1"/>
        <n v="9527" u="1"/>
        <n v="2818" u="1"/>
        <n v="9007" u="1"/>
        <n v="2688" u="1"/>
        <n v="8487" u="1"/>
        <n v="2558" u="1"/>
        <n v="9984" u="1"/>
        <n v="6811" u="1"/>
        <n v="9464" u="1"/>
        <n v="4534" u="1"/>
        <n v="6551" u="1"/>
        <n v="8944" u="1"/>
        <n v="4274" u="1"/>
        <n v="6291" u="1"/>
        <n v="8424" u="1"/>
        <n v="4055" u="1"/>
        <n v="6031" u="1"/>
        <n v="8048" u="1"/>
        <n v="1978" u="1"/>
        <n v="3925" u="1"/>
        <n v="5771" u="1"/>
        <n v="7788" u="1"/>
        <n v="1913" u="1"/>
        <n v="3795" u="1"/>
        <n v="5511" u="1"/>
        <n v="7528" u="1"/>
        <n v="1848" u="1"/>
        <n v="3665" u="1"/>
        <n v="5251" u="1"/>
        <n v="7268" u="1"/>
        <n v="1783" u="1"/>
        <n v="3535" u="1"/>
        <n v="4991" u="1"/>
        <n v="7008" u="1"/>
        <n v="9858" u="1"/>
        <n v="1718" u="1"/>
        <n v="3405" u="1"/>
        <n v="4731" u="1"/>
        <n v="6748" u="1"/>
        <n v="9338" u="1"/>
        <n v="1653" u="1"/>
        <n v="3275" u="1"/>
        <n v="4471" u="1"/>
        <n v="6488" u="1"/>
        <n v="8818" u="1"/>
        <n v="1588" u="1"/>
        <n v="3145" u="1"/>
        <n v="4211" u="1"/>
        <n v="6228" u="1"/>
        <n v="8298" u="1"/>
        <n v="1523" u="1"/>
        <n v="3015" u="1"/>
        <n v="5968" u="1"/>
        <n v="7985" u="1"/>
        <n v="9795" u="1"/>
        <n v="1458" u="1"/>
        <n v="2885" u="1"/>
        <n v="5708" u="1"/>
        <n v="7725" u="1"/>
        <n v="9275" u="1"/>
        <n v="1393" u="1"/>
        <n v="2755" u="1"/>
        <n v="5448" u="1"/>
        <n v="8755" u="1"/>
        <n v="1328" u="1"/>
        <n v="2625" u="1"/>
        <n v="8235" u="1"/>
        <n v="1263" u="1"/>
        <n v="2495" u="1"/>
        <n v="1198" u="1"/>
        <n v="2365" u="1"/>
        <n v="9212" u="1"/>
        <n v="1133" u="1"/>
        <n v="6425" u="1"/>
        <n v="8692" u="1"/>
        <n v="1068" u="1"/>
        <n v="6165" u="1"/>
        <n v="8182" u="1"/>
        <n v="3992" u="1"/>
        <n v="5905" u="1"/>
        <n v="7922" u="1"/>
        <n v="9669" u="1"/>
        <n v="3862" u="1"/>
        <n v="5645" u="1"/>
        <n v="7662" u="1"/>
        <n v="9149" u="1"/>
        <n v="3732" u="1"/>
        <n v="5385" u="1"/>
        <n v="7402" u="1"/>
        <n v="3602" u="1"/>
        <n v="5125" u="1"/>
        <n v="7142" u="1"/>
        <n v="3472" u="1"/>
        <n v="4865" u="1"/>
        <n v="6882" u="1"/>
        <n v="9606" u="1"/>
        <n v="3342" u="1"/>
        <n v="4605" u="1"/>
        <n v="6622" u="1"/>
        <n v="9086" u="1"/>
        <n v="3212" u="1"/>
        <n v="4345" u="1"/>
        <n v="6362" u="1"/>
        <n v="8566" u="1"/>
        <n v="3082" u="1"/>
        <n v="6102" u="1"/>
        <n v="8119" u="1"/>
        <n v="2952" u="1"/>
        <n v="5842" u="1"/>
        <n v="7859" u="1"/>
        <n v="9543" u="1"/>
        <n v="2822" u="1"/>
        <n v="5582" u="1"/>
        <n v="7599" u="1"/>
        <n v="9023" u="1"/>
        <n v="2692" u="1"/>
        <n v="5322" u="1"/>
        <n v="7339" u="1"/>
        <n v="8503" u="1"/>
        <n v="2562" u="1"/>
        <n v="5062" u="1"/>
        <n v="2432" u="1"/>
        <n v="2302" u="1"/>
        <n v="2172" u="1"/>
        <n v="8440" u="1"/>
        <n v="6039" u="1"/>
        <n v="8056" u="1"/>
        <n v="9937" u="1"/>
        <n v="5779" u="1"/>
        <n v="7796" u="1"/>
        <n v="9417" u="1"/>
        <n v="3799" u="1"/>
        <n v="5519" u="1"/>
        <n v="7536" u="1"/>
        <n v="8897" u="1"/>
        <n v="3669" u="1"/>
        <n v="5259" u="1"/>
        <n v="7276" u="1"/>
        <n v="8377" u="1"/>
        <n v="3539" u="1"/>
        <n v="4999" u="1"/>
        <n v="7016" u="1"/>
        <n v="9874" u="1"/>
        <n v="1720" u="1"/>
        <n v="3409" u="1"/>
        <n v="4739" u="1"/>
        <n v="6756" u="1"/>
        <n v="9354" u="1"/>
        <n v="1655" u="1"/>
        <n v="3279" u="1"/>
        <n v="4479" u="1"/>
        <n v="6496" u="1"/>
        <n v="8834" u="1"/>
        <n v="1590" u="1"/>
        <n v="3149" u="1"/>
        <n v="4219" u="1"/>
        <n v="6236" u="1"/>
        <n v="8314" u="1"/>
        <n v="1525" u="1"/>
        <n v="3019" u="1"/>
        <n v="5976" u="1"/>
        <n v="7993" u="1"/>
        <n v="9811" u="1"/>
        <n v="1460" u="1"/>
        <n v="2889" u="1"/>
        <n v="5716" u="1"/>
        <n v="7733" u="1"/>
        <n v="9291" u="1"/>
        <n v="1395" u="1"/>
        <n v="2759" u="1"/>
        <n v="5456" u="1"/>
        <n v="7473" u="1"/>
        <n v="8771" u="1"/>
        <n v="1330" u="1"/>
        <n v="2629" u="1"/>
        <n v="5196" u="1"/>
        <n v="7213" u="1"/>
        <n v="8251" u="1"/>
        <n v="1265" u="1"/>
        <n v="2499" u="1"/>
        <n v="4936" u="1"/>
        <n v="6953" u="1"/>
        <n v="1200" u="1"/>
        <n v="2369" u="1"/>
        <n v="4676" u="1"/>
        <n v="1135" u="1"/>
        <n v="2239" u="1"/>
        <n v="4416" u="1"/>
        <n v="1070" u="1"/>
        <n v="2109" u="1"/>
        <n v="7930" u="1"/>
        <n v="9685" u="1"/>
        <n v="7670" u="1"/>
        <n v="9165" u="1"/>
        <n v="5393" u="1"/>
        <n v="7410" u="1"/>
        <n v="8645" u="1"/>
        <n v="3606" u="1"/>
        <n v="5133" u="1"/>
        <n v="7150" u="1"/>
        <n v="3476" u="1"/>
        <n v="4873" u="1"/>
        <n v="6890" u="1"/>
        <n v="9622" u="1"/>
        <n v="3346" u="1"/>
        <n v="4613" u="1"/>
        <n v="6630" u="1"/>
        <n v="9102" u="1"/>
        <n v="3216" u="1"/>
        <n v="4353" u="1"/>
        <n v="6370" u="1"/>
        <n v="8582" u="1"/>
        <n v="3086" u="1"/>
        <n v="6110" u="1"/>
        <n v="8127" u="1"/>
        <n v="2956" u="1"/>
        <n v="5850" u="1"/>
        <n v="7867" u="1"/>
        <n v="9559" u="1"/>
        <n v="2826" u="1"/>
        <n v="5590" u="1"/>
        <n v="7607" u="1"/>
        <n v="9039" u="1"/>
        <n v="2696" u="1"/>
        <n v="5330" u="1"/>
        <n v="7347" u="1"/>
        <n v="8519" u="1"/>
        <n v="2566" u="1"/>
        <n v="5070" u="1"/>
        <n v="7087" u="1"/>
        <n v="2436" u="1"/>
        <n v="4810" u="1"/>
        <n v="6827" u="1"/>
        <n v="9496" u="1"/>
        <n v="2306" u="1"/>
        <n v="4550" u="1"/>
        <n v="6567" u="1"/>
        <n v="2176" u="1"/>
        <n v="4290" u="1"/>
        <n v="6307" u="1"/>
        <n v="2047" u="1"/>
        <n v="4063" u="1"/>
        <n v="9953" u="1"/>
        <n v="1982" u="1"/>
        <n v="9433" u="1"/>
        <n v="1917" u="1"/>
        <n v="8913" u="1"/>
        <n v="1852" u="1"/>
        <n v="7284" u="1"/>
        <n v="8393" u="1"/>
        <n v="5007" u="1"/>
        <n v="7024" u="1"/>
        <n v="9890" u="1"/>
        <n v="4747" u="1"/>
        <n v="6764" u="1"/>
        <n v="9370" u="1"/>
        <n v="3283" u="1"/>
        <n v="4487" u="1"/>
        <n v="6504" u="1"/>
        <n v="8850" u="1"/>
        <n v="3153" u="1"/>
        <n v="4227" u="1"/>
        <n v="6244" u="1"/>
        <n v="8330" u="1"/>
        <n v="3023" u="1"/>
        <n v="5984" u="1"/>
        <n v="8001" u="1"/>
        <n v="1462" u="1"/>
        <n v="2893" u="1"/>
        <n v="5724" u="1"/>
        <n v="7741" u="1"/>
        <n v="1397" u="1"/>
        <n v="2763" u="1"/>
        <n v="5464" u="1"/>
        <n v="7481" u="1"/>
        <n v="1332" u="1"/>
        <n v="2633" u="1"/>
        <n v="5204" u="1"/>
        <n v="7221" u="1"/>
        <n v="8267" u="1"/>
        <n v="1267" u="1"/>
        <n v="2503" u="1"/>
        <n v="4944" u="1"/>
        <n v="6961" u="1"/>
        <n v="9764" u="1"/>
        <n v="1202" u="1"/>
        <n v="2373" u="1"/>
        <n v="4684" u="1"/>
        <n v="6701" u="1"/>
        <n v="9244" u="1"/>
        <n v="1137" u="1"/>
        <n v="2243" u="1"/>
        <n v="4424" u="1"/>
        <n v="6441" u="1"/>
        <n v="8724" u="1"/>
        <n v="1072" u="1"/>
        <n v="2113" u="1"/>
        <n v="4164" u="1"/>
        <n v="6181" u="1"/>
        <n v="8204" u="1"/>
        <n v="4000" u="1"/>
        <n v="5921" u="1"/>
        <n v="9701" u="1"/>
        <n v="3870" u="1"/>
        <n v="9181" u="1"/>
        <n v="3740" u="1"/>
        <n v="8661" u="1"/>
        <n v="6898" u="1"/>
        <n v="9638" u="1"/>
        <n v="6638" u="1"/>
        <n v="9118" u="1"/>
        <n v="4361" u="1"/>
        <n v="6378" u="1"/>
        <n v="8598" u="1"/>
        <n v="3090" u="1"/>
        <n v="4101" u="1"/>
        <n v="6118" u="1"/>
        <n v="8135" u="1"/>
        <n v="2960" u="1"/>
        <n v="5858" u="1"/>
        <n v="7875" u="1"/>
        <n v="2830" u="1"/>
        <n v="5598" u="1"/>
        <n v="7615" u="1"/>
        <n v="2700" u="1"/>
        <n v="5338" u="1"/>
        <n v="7355" u="1"/>
        <n v="2570" u="1"/>
        <n v="5078" u="1"/>
        <n v="7095" u="1"/>
        <n v="2440" u="1"/>
        <n v="4818" u="1"/>
        <n v="6835" u="1"/>
        <n v="9512" u="1"/>
        <n v="2310" u="1"/>
        <n v="4558" u="1"/>
        <n v="6575" u="1"/>
        <n v="8992" u="1"/>
        <n v="2180" u="1"/>
        <n v="4298" u="1"/>
        <n v="6315" u="1"/>
        <n v="8472" u="1"/>
        <n v="2050" u="1"/>
        <n v="4067" u="1"/>
        <n v="6055" u="1"/>
        <n v="8072" u="1"/>
        <n v="9969" u="1"/>
        <n v="1984" u="1"/>
        <n v="3937" u="1"/>
        <n v="5795" u="1"/>
        <n v="7812" u="1"/>
        <n v="9449" u="1"/>
        <n v="1919" u="1"/>
        <n v="3807" u="1"/>
        <n v="5535" u="1"/>
        <n v="8929" u="1"/>
        <n v="1854" u="1"/>
        <n v="3677" u="1"/>
        <n v="8409" u="1"/>
        <n v="1789" u="1"/>
        <n v="3547" u="1"/>
        <n v="1724" u="1"/>
        <n v="9386" u="1"/>
        <n v="1659" u="1"/>
        <n v="8866" u="1"/>
        <n v="1594" u="1"/>
        <n v="6252" u="1"/>
        <n v="8346" u="1"/>
        <n v="5992" u="1"/>
        <n v="8009" u="1"/>
        <n v="9843" u="1"/>
        <n v="2897" u="1"/>
        <n v="5732" u="1"/>
        <n v="7749" u="1"/>
        <n v="9323" u="1"/>
        <n v="2767" u="1"/>
        <n v="5472" u="1"/>
        <n v="7489" u="1"/>
        <n v="2637" u="1"/>
        <n v="5212" u="1"/>
        <n v="7229" u="1"/>
        <n v="1269" u="1"/>
        <n v="2507" u="1"/>
        <n v="4952" u="1"/>
        <n v="6969" u="1"/>
        <n v="9780" u="1"/>
        <n v="1204" u="1"/>
        <n v="2377" u="1"/>
        <n v="4692" u="1"/>
        <n v="6709" u="1"/>
        <n v="9260" u="1"/>
        <n v="1139" u="1"/>
        <n v="2247" u="1"/>
        <n v="4432" u="1"/>
        <n v="6449" u="1"/>
        <n v="8740" u="1"/>
        <n v="1074" u="1"/>
        <n v="2117" u="1"/>
        <n v="4172" u="1"/>
        <n v="6189" u="1"/>
        <n v="8220" u="1"/>
        <n v="4004" u="1"/>
        <n v="5929" u="1"/>
        <n v="7946" u="1"/>
        <n v="9717" u="1"/>
        <n v="3874" u="1"/>
        <n v="5669" u="1"/>
        <n v="7686" u="1"/>
        <n v="9197" u="1"/>
        <n v="3744" u="1"/>
        <n v="5409" u="1"/>
        <n v="7426" u="1"/>
        <n v="8677" u="1"/>
        <n v="3614" u="1"/>
        <n v="5149" u="1"/>
        <n v="3484" u="1"/>
        <n v="4889" u="1"/>
        <n v="3354" u="1"/>
        <n v="8614" u="1"/>
        <n v="8143" u="1"/>
        <n v="5866" u="1"/>
        <n v="7883" u="1"/>
        <n v="9591" u="1"/>
        <n v="5606" u="1"/>
        <n v="7623" u="1"/>
        <n v="9071" u="1"/>
        <n v="5346" u="1"/>
        <n v="7363" u="1"/>
        <n v="8551" u="1"/>
        <n v="2574" u="1"/>
        <n v="5086" u="1"/>
        <n v="7103" u="1"/>
        <n v="2444" u="1"/>
        <n v="4826" u="1"/>
        <n v="6843" u="1"/>
        <n v="9528" u="1"/>
        <n v="2314" u="1"/>
        <n v="4566" u="1"/>
        <n v="6583" u="1"/>
        <n v="9008" u="1"/>
        <n v="2184" u="1"/>
        <n v="4306" u="1"/>
        <n v="6323" u="1"/>
        <n v="8488" u="1"/>
        <n v="2054" u="1"/>
        <n v="4071" u="1"/>
        <n v="6063" u="1"/>
        <n v="8080" u="1"/>
        <n v="9985" u="1"/>
        <n v="1986" u="1"/>
        <n v="3941" u="1"/>
        <n v="5803" u="1"/>
        <n v="7820" u="1"/>
        <n v="9465" u="1"/>
        <n v="1921" u="1"/>
        <n v="3811" u="1"/>
        <n v="5543" u="1"/>
        <n v="7560" u="1"/>
        <n v="8945" u="1"/>
        <n v="1856" u="1"/>
        <n v="3681" u="1"/>
        <n v="5283" u="1"/>
        <n v="7300" u="1"/>
        <n v="8425" u="1"/>
        <n v="1791" u="1"/>
        <n v="3551" u="1"/>
        <n v="5023" u="1"/>
        <n v="7040" u="1"/>
        <n v="1726" u="1"/>
        <n v="3421" u="1"/>
        <n v="4763" u="1"/>
        <n v="6780" u="1"/>
        <n v="1661" u="1"/>
        <n v="3291" u="1"/>
        <n v="4503" u="1"/>
        <n v="1596" u="1"/>
        <n v="3161" u="1"/>
        <n v="1531" u="1"/>
        <n v="3031" u="1"/>
        <n v="9859" u="1"/>
        <n v="1466" u="1"/>
        <n v="7757" u="1"/>
        <n v="9339" u="1"/>
        <n v="1401" u="1"/>
        <n v="5480" u="1"/>
        <n v="7497" u="1"/>
        <n v="8819" u="1"/>
        <n v="1336" u="1"/>
        <n v="5220" u="1"/>
        <n v="7237" u="1"/>
        <n v="8299" u="1"/>
        <n v="4960" u="1"/>
        <n v="6977" u="1"/>
        <n v="9796" u="1"/>
        <n v="2381" u="1"/>
        <n v="4700" u="1"/>
        <n v="6717" u="1"/>
        <n v="9276" u="1"/>
        <n v="2251" u="1"/>
        <n v="4440" u="1"/>
        <n v="6457" u="1"/>
        <n v="8756" u="1"/>
        <n v="2121" u="1"/>
        <n v="4180" u="1"/>
        <n v="6197" u="1"/>
        <n v="8236" u="1"/>
        <n v="4008" u="1"/>
        <n v="5937" u="1"/>
        <n v="7954" u="1"/>
        <n v="3878" u="1"/>
        <n v="5677" u="1"/>
        <n v="7694" u="1"/>
        <n v="9213" u="1"/>
        <n v="3748" u="1"/>
        <n v="5417" u="1"/>
        <n v="7434" u="1"/>
        <n v="8693" u="1"/>
        <n v="3618" u="1"/>
        <n v="5157" u="1"/>
        <n v="7174" u="1"/>
        <n v="3488" u="1"/>
        <n v="4897" u="1"/>
        <n v="6914" u="1"/>
        <n v="9670" u="1"/>
        <n v="3358" u="1"/>
        <n v="4637" u="1"/>
        <n v="6654" u="1"/>
        <n v="9150" u="1"/>
        <n v="3228" u="1"/>
        <n v="4377" u="1"/>
        <n v="6394" u="1"/>
        <n v="3098" u="1"/>
        <n v="4117" u="1"/>
        <n v="2968" u="1"/>
        <n v="9607" u="1"/>
        <n v="2838" u="1"/>
        <n v="9087" u="1"/>
        <n v="7371" u="1"/>
        <n v="8567" u="1"/>
        <n v="7111" u="1"/>
        <n v="4834" u="1"/>
        <n v="6851" u="1"/>
        <n v="9544" u="1"/>
        <n v="4574" u="1"/>
        <n v="6591" u="1"/>
        <n v="9024" u="1"/>
        <n v="4314" u="1"/>
        <n v="6331" u="1"/>
        <n v="8504" u="1"/>
        <n v="2058" u="1"/>
        <n v="4075" u="1"/>
        <n v="6071" u="1"/>
        <n v="8088" u="1"/>
        <n v="1988" u="1"/>
        <n v="3945" u="1"/>
        <n v="5811" u="1"/>
        <n v="7828" u="1"/>
        <n v="1923" u="1"/>
        <n v="3815" u="1"/>
        <n v="5551" u="1"/>
        <n v="7568" u="1"/>
        <n v="1858" u="1"/>
        <n v="3685" u="1"/>
        <n v="5291" u="1"/>
        <n v="7308" u="1"/>
        <n v="8441" u="1"/>
        <n v="1793" u="1"/>
        <n v="3555" u="1"/>
        <n v="5031" u="1"/>
        <n v="7048" u="1"/>
        <n v="9938" u="1"/>
        <n v="1728" u="1"/>
        <n v="3425" u="1"/>
        <n v="4771" u="1"/>
        <n v="6788" u="1"/>
        <n v="9418" u="1"/>
        <n v="1663" u="1"/>
        <n v="3295" u="1"/>
        <n v="4511" u="1"/>
        <n v="6528" u="1"/>
        <n v="8898" u="1"/>
        <n v="1598" u="1"/>
        <n v="3165" u="1"/>
        <n v="4251" u="1"/>
        <n v="6268" u="1"/>
        <n v="8378" u="1"/>
        <n v="1533" u="1"/>
        <n v="3035" u="1"/>
        <n v="6008" u="1"/>
        <n v="9875" u="1"/>
        <n v="1468" u="1"/>
        <n v="2905" u="1"/>
        <n v="5748" u="1"/>
        <n v="9355" u="1"/>
        <n v="1403" u="1"/>
        <n v="2775" u="1"/>
        <n v="8835" u="1"/>
        <n v="1338" u="1"/>
        <n v="2645" u="1"/>
        <n v="8315" u="1"/>
        <n v="1273" u="1"/>
        <n v="2515" u="1"/>
        <n v="9812" u="1"/>
        <n v="1208" u="1"/>
        <n v="6725" u="1"/>
        <n v="9292" u="1"/>
        <n v="1143" u="1"/>
        <n v="4448" u="1"/>
        <n v="6465" u="1"/>
        <n v="8772" u="1"/>
        <n v="4188" u="1"/>
        <n v="6205" u="1"/>
        <n v="8252" u="1"/>
        <n v="4012" u="1"/>
        <n v="5945" u="1"/>
        <n v="7962" u="1"/>
        <n v="3882" u="1"/>
        <n v="5685" u="1"/>
        <n v="7702" u="1"/>
        <n v="3752" u="1"/>
        <n v="5425" u="1"/>
        <n v="7442" u="1"/>
        <n v="3622" u="1"/>
        <n v="5165" u="1"/>
        <n v="7182" u="1"/>
        <n v="3492" u="1"/>
        <n v="4905" u="1"/>
        <n v="6922" u="1"/>
        <n v="9686" u="1"/>
        <n v="3362" u="1"/>
        <n v="4645" u="1"/>
        <n v="6662" u="1"/>
        <n v="9166" u="1"/>
        <n v="3232" u="1"/>
        <n v="4385" u="1"/>
        <n v="6402" u="1"/>
        <n v="8646" u="1"/>
        <n v="3102" u="1"/>
        <n v="4125" u="1"/>
        <n v="6142" u="1"/>
        <n v="8159" u="1"/>
        <n v="2972" u="1"/>
        <n v="5882" u="1"/>
        <n v="7899" u="1"/>
        <n v="9623" u="1"/>
        <n v="2842" u="1"/>
        <n v="5622" u="1"/>
        <n v="7639" u="1"/>
        <n v="9103" u="1"/>
        <n v="2712" u="1"/>
        <n v="5362" u="1"/>
        <n v="8583" u="1"/>
        <n v="2582" u="1"/>
        <n v="2452" u="1"/>
        <n v="2322" u="1"/>
        <n v="9040" u="1"/>
        <n v="6339" u="1"/>
        <n v="8520" u="1"/>
        <n v="4079" u="1"/>
        <n v="6079" u="1"/>
        <n v="8096" u="1"/>
        <n v="3949" u="1"/>
        <n v="5819" u="1"/>
        <n v="7836" u="1"/>
        <n v="9497" u="1"/>
        <n v="3819" u="1"/>
        <n v="5559" u="1"/>
        <n v="7576" u="1"/>
        <n v="1860" u="1"/>
        <n v="3689" u="1"/>
        <n v="5299" u="1"/>
        <n v="7316" u="1"/>
        <n v="1795" u="1"/>
        <n v="3559" u="1"/>
        <n v="5039" u="1"/>
        <n v="7056" u="1"/>
        <n v="9954" u="1"/>
        <n v="1730" u="1"/>
        <n v="3429" u="1"/>
        <n v="4779" u="1"/>
        <n v="6796" u="1"/>
        <n v="9434" u="1"/>
        <n v="1665" u="1"/>
        <n v="3299" u="1"/>
        <n v="4519" u="1"/>
        <n v="6536" u="1"/>
        <n v="8914" u="1"/>
        <n v="1600" u="1"/>
        <n v="3169" u="1"/>
        <n v="4259" u="1"/>
        <n v="6276" u="1"/>
        <n v="8394" u="1"/>
        <n v="1535" u="1"/>
        <n v="3039" u="1"/>
        <n v="6016" u="1"/>
        <n v="8033" u="1"/>
        <n v="9891" u="1"/>
        <n v="1470" u="1"/>
        <n v="2909" u="1"/>
        <n v="5756" u="1"/>
        <n v="7773" u="1"/>
        <n v="9371" u="1"/>
        <n v="1405" u="1"/>
        <n v="2779" u="1"/>
        <n v="5496" u="1"/>
        <n v="7513" u="1"/>
        <n v="8851" u="1"/>
        <n v="1340" u="1"/>
        <n v="2649" u="1"/>
        <n v="5236" u="1"/>
        <n v="7253" u="1"/>
        <n v="8331" u="1"/>
        <n v="1275" u="1"/>
        <n v="2519" u="1"/>
        <n v="4976" u="1"/>
        <n v="1210" u="1"/>
        <n v="2389" u="1"/>
        <n v="1145" u="1"/>
        <n v="2259" u="1"/>
        <n v="1080" u="1"/>
        <n v="2129" u="1"/>
        <n v="8268" u="1"/>
        <n v="5953" u="1"/>
        <n v="7970" u="1"/>
        <n v="9765" u="1"/>
        <n v="5693" u="1"/>
        <n v="7710" u="1"/>
        <n v="9245" u="1"/>
        <n v="3756" u="1"/>
        <n v="5433" u="1"/>
        <n v="7450" u="1"/>
        <n v="8725" u="1"/>
        <n v="3626" u="1"/>
        <n v="5173" u="1"/>
        <n v="7190" u="1"/>
        <n v="8205" u="1"/>
        <n v="3496" u="1"/>
        <n v="4913" u="1"/>
        <n v="6930" u="1"/>
        <n v="9702" u="1"/>
        <n v="3366" u="1"/>
        <n v="4653" u="1"/>
        <n v="6670" u="1"/>
        <n v="9182" u="1"/>
        <n v="3236" u="1"/>
        <n v="4393" u="1"/>
        <n v="6410" u="1"/>
        <n v="8662" u="1"/>
        <n v="3106" u="1"/>
        <n v="4133" u="1"/>
        <n v="6150" u="1"/>
        <n v="8167" u="1"/>
        <n v="2976" u="1"/>
        <n v="5890" u="1"/>
        <n v="7907" u="1"/>
        <n v="9639" u="1"/>
        <n v="2846" u="1"/>
        <n v="5630" u="1"/>
        <n v="7647" u="1"/>
        <n v="9119" u="1"/>
        <n v="2716" u="1"/>
        <n v="5370" u="1"/>
        <n v="7387" u="1"/>
        <n v="8599" u="1"/>
        <n v="2586" u="1"/>
        <n v="5110" u="1"/>
        <n v="7127" u="1"/>
        <n v="2456" u="1"/>
        <n v="4850" u="1"/>
        <n v="6867" u="1"/>
        <n v="2326" u="1"/>
        <n v="4590" u="1"/>
        <n v="2196" u="1"/>
        <n v="4330" u="1"/>
        <n v="2066" u="1"/>
        <n v="1992" u="1"/>
        <n v="7844" u="1"/>
        <n v="9513" u="1"/>
        <n v="1927" u="1"/>
        <n v="7584" u="1"/>
        <n v="8993" u="1"/>
        <n v="5307" u="1"/>
        <n v="7324" u="1"/>
        <n v="8473" u="1"/>
        <n v="3563" u="1"/>
        <n v="5047" u="1"/>
        <n v="7064" u="1"/>
        <n v="9970" u="1"/>
        <n v="3433" u="1"/>
        <n v="4787" u="1"/>
        <n v="6804" u="1"/>
        <n v="9450" u="1"/>
        <n v="3303" u="1"/>
        <n v="4527" u="1"/>
        <n v="6544" u="1"/>
        <n v="8930" u="1"/>
        <n v="1602" u="1"/>
        <n v="3173" u="1"/>
        <n v="4267" u="1"/>
        <n v="6284" u="1"/>
        <n v="8410" u="1"/>
        <n v="1537" u="1"/>
        <n v="3043" u="1"/>
        <n v="6024" u="1"/>
        <n v="8041" u="1"/>
        <n v="1472" u="1"/>
        <n v="2913" u="1"/>
        <n v="5764" u="1"/>
        <n v="7781" u="1"/>
        <n v="9387" u="1"/>
        <n v="1407" u="1"/>
        <n v="2783" u="1"/>
        <n v="5504" u="1"/>
        <n v="7521" u="1"/>
        <n v="8867" u="1"/>
        <n v="1342" u="1"/>
        <n v="2653" u="1"/>
        <n v="5244" u="1"/>
        <n v="7261" u="1"/>
        <n v="8347" u="1"/>
        <n v="1277" u="1"/>
        <n v="2523" u="1"/>
        <n v="4984" u="1"/>
        <n v="7001" u="1"/>
        <n v="9844" u="1"/>
        <n v="1212" u="1"/>
        <n v="2393" u="1"/>
        <n v="4724" u="1"/>
        <n v="6741" u="1"/>
        <n v="9324" u="1"/>
        <n v="1147" u="1"/>
        <n v="2263" u="1"/>
        <n v="4464" u="1"/>
        <n v="6481" u="1"/>
        <n v="1082" u="1"/>
        <n v="2133" u="1"/>
        <n v="4204" u="1"/>
        <n v="6221" u="1"/>
        <n v="4020" u="1"/>
        <n v="9781" u="1"/>
        <n v="9261" u="1"/>
        <n v="8741" u="1"/>
        <n v="7198" u="1"/>
        <n v="8221" u="1"/>
        <n v="4921" u="1"/>
        <n v="6938" u="1"/>
        <n v="9718" u="1"/>
        <n v="4661" u="1"/>
        <n v="6678" u="1"/>
        <n v="9198" u="1"/>
        <n v="3240" u="1"/>
        <n v="4401" u="1"/>
        <n v="6418" u="1"/>
        <n v="8678" u="1"/>
        <n v="3110" u="1"/>
        <n v="4141" u="1"/>
        <n v="6158" u="1"/>
        <n v="8175" u="1"/>
        <n v="2980" u="1"/>
        <n v="5898" u="1"/>
        <n v="7915" u="1"/>
        <n v="2850" u="1"/>
        <n v="5638" u="1"/>
        <n v="7655" u="1"/>
        <n v="2720" u="1"/>
        <n v="5378" u="1"/>
        <n v="7395" u="1"/>
        <n v="2590" u="1"/>
        <n v="5118" u="1"/>
        <n v="7135" u="1"/>
        <n v="2460" u="1"/>
        <n v="4858" u="1"/>
        <n v="6875" u="1"/>
        <n v="9592" u="1"/>
        <n v="2330" u="1"/>
        <n v="4598" u="1"/>
        <n v="6615" u="1"/>
        <n v="9072" u="1"/>
        <n v="2200" u="1"/>
        <n v="4338" u="1"/>
        <n v="6355" u="1"/>
        <n v="8552" u="1"/>
        <n v="2070" u="1"/>
        <n v="4087" u="1"/>
        <n v="6095" u="1"/>
        <n v="8112" u="1"/>
        <n v="1994" u="1"/>
        <n v="3957" u="1"/>
        <n v="5835" u="1"/>
        <n v="9529" u="1"/>
        <n v="1929" u="1"/>
        <n v="3827" u="1"/>
        <n v="9009" u="1"/>
        <n v="1864" u="1"/>
        <n v="3697" u="1"/>
        <n v="8489" u="1"/>
        <n v="1799" u="1"/>
        <n v="9986" u="1"/>
        <n v="1734" u="1"/>
        <n v="6812" u="1"/>
        <n v="9466" u="1"/>
        <n v="6552" u="1"/>
        <n v="8946" u="1"/>
        <n v="4275" u="1"/>
        <n v="6292" u="1"/>
        <n v="8426" u="1"/>
        <n v="3047" u="1"/>
        <n v="6032" u="1"/>
        <n v="8049" u="1"/>
        <n v="9923" u="1"/>
        <n v="2917" u="1"/>
        <n v="5772" u="1"/>
        <n v="7789" u="1"/>
        <n v="2787" u="1"/>
        <n v="5512" u="1"/>
        <n v="7529" u="1"/>
        <n v="1344" u="1"/>
        <n v="2657" u="1"/>
        <n v="5252" u="1"/>
        <n v="7269" u="1"/>
        <n v="1279" u="1"/>
        <n v="2527" u="1"/>
        <n v="4992" u="1"/>
        <n v="7009" u="1"/>
        <n v="9860" u="1"/>
        <n v="1214" u="1"/>
        <n v="2397" u="1"/>
        <n v="4732" u="1"/>
        <n v="6749" u="1"/>
        <n v="9340" u="1"/>
        <n v="1149" u="1"/>
        <n v="2267" u="1"/>
        <n v="4472" u="1"/>
        <n v="6489" u="1"/>
        <n v="8820" u="1"/>
        <n v="1084" u="1"/>
        <n v="2137" u="1"/>
        <n v="4212" u="1"/>
        <n v="6229" u="1"/>
        <n v="8300" u="1"/>
        <n v="4024" u="1"/>
        <n v="5969" u="1"/>
        <n v="7986" u="1"/>
        <n v="9797" u="1"/>
        <n v="3894" u="1"/>
        <n v="5709" u="1"/>
        <n v="7726" u="1"/>
        <n v="9277" u="1"/>
        <n v="3764" u="1"/>
        <n v="5449" u="1"/>
        <n v="8757" u="1"/>
        <n v="3634" u="1"/>
        <n v="8237" u="1"/>
        <n v="3504" u="1"/>
        <n v="9214" u="1"/>
        <n v="8694" u="1"/>
        <n v="6166" u="1"/>
        <n v="8183" u="1"/>
        <n v="5906" u="1"/>
        <n v="7923" u="1"/>
        <n v="9671" u="1"/>
        <n v="2854" u="1"/>
        <n v="5646" u="1"/>
        <n v="7663" u="1"/>
        <n v="9151" u="1"/>
        <n v="2724" u="1"/>
        <n v="5386" u="1"/>
        <n v="7403" u="1"/>
        <n v="2594" u="1"/>
        <n v="5126" u="1"/>
        <n v="7143" u="1"/>
        <n v="2464" u="1"/>
        <n v="4866" u="1"/>
        <n v="6883" u="1"/>
        <n v="9608" u="1"/>
        <n v="2334" u="1"/>
        <n v="4606" u="1"/>
        <n v="6623" u="1"/>
        <n v="9088" u="1"/>
        <n v="2204" u="1"/>
        <n v="4346" u="1"/>
        <n v="6363" u="1"/>
        <n v="8568" u="1"/>
        <n v="2074" u="1"/>
        <n v="4091" u="1"/>
        <n v="6103" u="1"/>
        <n v="8120" u="1"/>
        <n v="1996" u="1"/>
        <n v="3961" u="1"/>
        <n v="5843" u="1"/>
        <n v="7860" u="1"/>
        <n v="9545" u="1"/>
        <n v="1931" u="1"/>
        <n v="3831" u="1"/>
        <n v="5583" u="1"/>
        <n v="7600" u="1"/>
        <n v="9025" u="1"/>
        <n v="1866" u="1"/>
        <n v="3701" u="1"/>
        <n v="5323" u="1"/>
        <n v="7340" u="1"/>
        <n v="8505" u="1"/>
        <n v="1801" u="1"/>
        <n v="3571" u="1"/>
        <n v="5063" u="1"/>
        <n v="1736" u="1"/>
        <n v="3441" u="1"/>
        <n v="4803" u="1"/>
        <n v="1671" u="1"/>
        <n v="3311" u="1"/>
        <n v="1606" u="1"/>
        <n v="8442" u="1"/>
        <n v="1541" u="1"/>
        <n v="8057" u="1"/>
        <n v="9939" u="1"/>
        <n v="1476" u="1"/>
        <n v="5780" u="1"/>
        <n v="7797" u="1"/>
        <n v="9419" u="1"/>
        <n v="5520" u="1"/>
        <n v="7537" u="1"/>
        <n v="8899" u="1"/>
        <n v="5260" u="1"/>
        <n v="7277" u="1"/>
        <n v="8379" u="1"/>
        <n v="2531" u="1"/>
        <n v="5000" u="1"/>
        <n v="7017" u="1"/>
        <n v="9876" u="1"/>
        <n v="2401" u="1"/>
        <n v="4740" u="1"/>
        <n v="6757" u="1"/>
        <n v="9356" u="1"/>
        <n v="2271" u="1"/>
        <n v="4480" u="1"/>
        <n v="6497" u="1"/>
        <n v="8836" u="1"/>
        <n v="1086" u="1"/>
        <n v="2141" u="1"/>
        <n v="4220" u="1"/>
        <n v="6237" u="1"/>
        <n v="8316" u="1"/>
        <n v="4028" u="1"/>
        <n v="5977" u="1"/>
        <n v="7994" u="1"/>
        <n v="9813" u="1"/>
        <n v="3898" u="1"/>
        <n v="5717" u="1"/>
        <n v="7734" u="1"/>
        <n v="9293" u="1"/>
        <n v="3768" u="1"/>
        <n v="5457" u="1"/>
        <n v="7474" u="1"/>
        <n v="8773" u="1"/>
        <n v="3638" u="1"/>
        <n v="5197" u="1"/>
        <n v="7214" u="1"/>
        <n v="8253" u="1"/>
        <n v="3508" u="1"/>
        <n v="4937" u="1"/>
        <n v="6954" u="1"/>
        <n v="3378" u="1"/>
        <n v="4677" u="1"/>
        <n v="6694" u="1"/>
        <n v="3248" u="1"/>
        <n v="4417" u="1"/>
        <n v="3118" u="1"/>
        <n v="2988" u="1"/>
        <n v="9687" u="1"/>
        <n v="7671" u="1"/>
        <n v="9167" u="1"/>
        <n v="5394" u="1"/>
        <n v="7411" u="1"/>
        <n v="8647" u="1"/>
        <n v="5134" u="1"/>
        <n v="7151" u="1"/>
        <n v="4874" u="1"/>
        <n v="6891" u="1"/>
        <n v="9624" u="1"/>
        <n v="2338" u="1"/>
        <n v="4614" u="1"/>
        <n v="6631" u="1"/>
        <n v="9104" u="1"/>
        <n v="2208" u="1"/>
        <n v="4354" u="1"/>
        <n v="6371" u="1"/>
        <n v="8584" u="1"/>
        <n v="2078" u="1"/>
        <n v="4095" u="1"/>
        <n v="6111" u="1"/>
        <n v="8128" u="1"/>
        <n v="1998" u="1"/>
        <n v="3965" u="1"/>
        <n v="5851" u="1"/>
        <n v="7868" u="1"/>
        <n v="1933" u="1"/>
        <n v="3835" u="1"/>
        <n v="5591" u="1"/>
        <n v="7608" u="1"/>
        <n v="9041" u="1"/>
        <n v="1868" u="1"/>
        <n v="3705" u="1"/>
        <n v="5331" u="1"/>
        <n v="7348" u="1"/>
        <n v="8521" u="1"/>
        <n v="1803" u="1"/>
        <n v="3575" u="1"/>
        <n v="5071" u="1"/>
        <n v="7088" u="1"/>
        <n v="1738" u="1"/>
        <n v="3445" u="1"/>
        <n v="4811" u="1"/>
        <n v="6828" u="1"/>
        <n v="9498" u="1"/>
        <n v="1673" u="1"/>
        <n v="3315" u="1"/>
        <n v="4551" u="1"/>
        <n v="6568" u="1"/>
        <n v="8978" u="1"/>
        <n v="1608" u="1"/>
        <n v="3185" u="1"/>
        <n v="4291" u="1"/>
        <n v="6308" u="1"/>
        <n v="1543" u="1"/>
        <n v="3055" u="1"/>
        <n v="9955" u="1"/>
        <n v="1478" u="1"/>
        <n v="2925" u="1"/>
        <n v="9435" u="1"/>
        <n v="1413" u="1"/>
        <n v="2795" u="1"/>
        <n v="8915" u="1"/>
        <n v="1348" u="1"/>
        <n v="7285" u="1"/>
        <n v="8395" u="1"/>
        <n v="1283" u="1"/>
        <n v="7025" u="1"/>
        <n v="9892" u="1"/>
        <n v="1218" u="1"/>
        <n v="4748" u="1"/>
        <n v="6765" u="1"/>
        <n v="9372" u="1"/>
        <n v="4488" u="1"/>
        <n v="6505" u="1"/>
        <n v="8852" u="1"/>
        <n v="4228" u="1"/>
        <n v="6245" u="1"/>
        <n v="8332" u="1"/>
        <n v="4032" u="1"/>
        <n v="5985" u="1"/>
        <n v="8002" u="1"/>
        <n v="3902" u="1"/>
        <n v="5725" u="1"/>
        <n v="7742" u="1"/>
        <n v="3772" u="1"/>
        <n v="5465" u="1"/>
        <n v="7482" u="1"/>
        <n v="3642" u="1"/>
        <n v="5205" u="1"/>
        <n v="7222" u="1"/>
        <n v="8269" u="1"/>
        <n v="3512" u="1"/>
        <n v="4945" u="1"/>
        <n v="6962" u="1"/>
        <n v="9766" u="1"/>
        <n v="3382" u="1"/>
        <n v="4685" u="1"/>
        <n v="6702" u="1"/>
        <n v="9246" u="1"/>
        <n v="3252" u="1"/>
        <n v="4425" u="1"/>
        <n v="6442" u="1"/>
        <n v="8726" u="1"/>
        <n v="3122" u="1"/>
        <n v="4165" u="1"/>
        <n v="6182" u="1"/>
        <n v="8206" u="1"/>
        <n v="2992" u="1"/>
        <n v="5922" u="1"/>
        <n v="9703" u="1"/>
        <n v="2862" u="1"/>
        <n v="5662" u="1"/>
        <n v="9183" u="1"/>
        <n v="2732" u="1"/>
        <n v="8663" u="1"/>
        <n v="2602" u="1"/>
        <n v="9640" u="1"/>
        <n v="6639" u="1"/>
        <n v="9120" u="1"/>
        <n v="4362" u="1"/>
        <n v="6379" u="1"/>
        <n v="8600" u="1"/>
        <n v="4102" u="1"/>
        <n v="6119" u="1"/>
        <n v="8136" u="1"/>
        <n v="3969" u="1"/>
        <n v="5859" u="1"/>
        <n v="7876" u="1"/>
        <n v="1935" u="1"/>
        <n v="3839" u="1"/>
        <n v="5599" u="1"/>
        <n v="7616" u="1"/>
        <n v="1870" u="1"/>
        <n v="3709" u="1"/>
        <n v="5339" u="1"/>
        <n v="7356" u="1"/>
        <n v="1805" u="1"/>
        <n v="3579" u="1"/>
        <n v="5079" u="1"/>
        <n v="7096" u="1"/>
        <n v="1740" u="1"/>
        <n v="3449" u="1"/>
        <n v="4819" u="1"/>
        <n v="6836" u="1"/>
        <n v="9514" u="1"/>
        <n v="1675" u="1"/>
        <n v="3319" u="1"/>
        <n v="4559" u="1"/>
        <n v="6576" u="1"/>
        <n v="8994" u="1"/>
        <n v="1610" u="1"/>
        <n v="3189" u="1"/>
        <n v="4299" u="1"/>
        <n v="6316" u="1"/>
        <n v="8474" u="1"/>
        <n v="1545" u="1"/>
        <n v="3059" u="1"/>
        <n v="6056" u="1"/>
        <n v="8073" u="1"/>
        <n v="9971" u="1"/>
        <n v="1480" u="1"/>
        <n v="2929" u="1"/>
        <n v="5796" u="1"/>
        <n v="7813" u="1"/>
        <n v="9451" u="1"/>
        <n v="1415" u="1"/>
        <n v="2799" u="1"/>
        <n v="5536" u="1"/>
        <n v="7553" u="1"/>
        <n v="8931" u="1"/>
        <n v="1350" u="1"/>
        <n v="2669" u="1"/>
        <n v="5276" u="1"/>
        <n v="8411" u="1"/>
        <n v="1285" u="1"/>
        <n v="2539" u="1"/>
        <n v="1220" u="1"/>
        <n v="2409" u="1"/>
        <n v="1155" u="1"/>
        <n v="2279" u="1"/>
        <n v="8868" u="1"/>
        <n v="1090" u="1"/>
        <n v="6253" u="1"/>
        <n v="8348" u="1"/>
        <n v="1025" u="1"/>
        <n v="4036" u="1"/>
        <n v="5993" u="1"/>
        <n v="8010" u="1"/>
        <n v="9845" u="1"/>
        <n v="3906" u="1"/>
        <n v="5733" u="1"/>
        <n v="7750" u="1"/>
        <n v="9325" u="1"/>
        <n v="3776" u="1"/>
        <n v="5473" u="1"/>
        <n v="7490" u="1"/>
        <n v="3646" u="1"/>
        <n v="5213" u="1"/>
        <n v="7230" u="1"/>
        <n v="3516" u="1"/>
        <n v="4953" u="1"/>
        <n v="6970" u="1"/>
        <n v="9782" u="1"/>
        <n v="3386" u="1"/>
        <n v="4693" u="1"/>
        <n v="6710" u="1"/>
        <n v="9262" u="1"/>
        <n v="3256" u="1"/>
        <n v="4433" u="1"/>
        <n v="6450" u="1"/>
        <n v="8742" u="1"/>
        <n v="3126" u="1"/>
        <n v="4173" u="1"/>
        <n v="6190" u="1"/>
        <n v="8222" u="1"/>
        <n v="2996" u="1"/>
        <n v="5930" u="1"/>
        <n v="7947" u="1"/>
        <n v="9719" u="1"/>
        <n v="2866" u="1"/>
        <n v="5670" u="1"/>
        <n v="7687" u="1"/>
        <n v="9199" u="1"/>
        <n v="2736" u="1"/>
        <n v="5410" u="1"/>
        <n v="7427" u="1"/>
        <n v="8679" u="1"/>
        <n v="2606" u="1"/>
        <n v="5150" u="1"/>
        <n v="7167" u="1"/>
        <n v="2476" u="1"/>
        <n v="4890" u="1"/>
        <n v="2346" u="1"/>
        <n v="2216" u="1"/>
        <n v="2086" u="1"/>
        <n v="8144" u="1"/>
        <n v="5867" u="1"/>
        <n v="7884" u="1"/>
        <n v="9593" u="1"/>
        <n v="5607" u="1"/>
        <n v="7624" u="1"/>
        <n v="9073" u="1"/>
        <n v="3713" u="1"/>
        <n v="5347" u="1"/>
        <n v="7364" u="1"/>
        <n v="8553" u="1"/>
        <n v="3583" u="1"/>
        <n v="5087" u="1"/>
        <n v="7104" u="1"/>
        <n v="3453" u="1"/>
        <n v="4827" u="1"/>
        <n v="6844" u="1"/>
        <n v="9530" u="1"/>
        <n v="1677" u="1"/>
        <n v="3323" u="1"/>
        <n v="4567" u="1"/>
        <n v="6584" u="1"/>
        <n v="9010" u="1"/>
        <n v="1612" u="1"/>
        <n v="3193" u="1"/>
        <n v="4307" u="1"/>
        <n v="6324" u="1"/>
        <n v="8490" u="1"/>
        <n v="1547" u="1"/>
        <n v="3063" u="1"/>
        <n v="6064" u="1"/>
        <n v="8081" u="1"/>
        <n v="9987" u="1"/>
        <n v="1482" u="1"/>
        <n v="2933" u="1"/>
        <n v="5804" u="1"/>
        <n v="7821" u="1"/>
        <n v="9467" u="1"/>
        <n v="1417" u="1"/>
        <n v="2803" u="1"/>
        <n v="5544" u="1"/>
        <n v="7561" u="1"/>
        <n v="8947" u="1"/>
        <n v="1352" u="1"/>
        <n v="2673" u="1"/>
        <n v="5284" u="1"/>
        <n v="7301" u="1"/>
        <n v="8427" u="1"/>
        <n v="1287" u="1"/>
        <n v="2543" u="1"/>
        <n v="5024" u="1"/>
        <n v="7041" u="1"/>
        <n v="9924" u="1"/>
        <n v="1222" u="1"/>
        <n v="2413" u="1"/>
        <n v="4764" u="1"/>
        <n v="6781" u="1"/>
        <n v="1157" u="1"/>
        <n v="2283" u="1"/>
        <n v="4504" u="1"/>
        <n v="1092" u="1"/>
        <n v="2153" u="1"/>
        <n v="4244" u="1"/>
        <n v="1027" u="1"/>
        <n v="9861" u="1"/>
        <n v="7758" u="1"/>
        <n v="9341" u="1"/>
        <n v="7498" u="1"/>
        <n v="8821" u="1"/>
        <n v="5221" u="1"/>
        <n v="7238" u="1"/>
        <n v="8301" u="1"/>
        <n v="3520" u="1"/>
        <n v="4961" u="1"/>
        <n v="6978" u="1"/>
        <n v="9798" u="1"/>
        <n v="3390" u="1"/>
        <n v="4701" u="1"/>
        <n v="6718" u="1"/>
        <n v="9278" u="1"/>
        <n v="3260" u="1"/>
        <n v="4441" u="1"/>
        <n v="6458" u="1"/>
        <n v="8758" u="1"/>
        <n v="3130" u="1"/>
        <n v="4181" u="1"/>
        <n v="6198" u="1"/>
        <n v="8238" u="1"/>
        <n v="3000" u="1"/>
        <n v="5938" u="1"/>
        <n v="7955" u="1"/>
        <n v="2870" u="1"/>
        <n v="5678" u="1"/>
        <n v="7695" u="1"/>
        <n v="9215" u="1"/>
        <n v="2740" u="1"/>
        <n v="5418" u="1"/>
        <n v="7435" u="1"/>
        <n v="8695" u="1"/>
        <n v="2610" u="1"/>
        <n v="5158" u="1"/>
        <n v="7175" u="1"/>
        <n v="2480" u="1"/>
        <n v="4898" u="1"/>
        <n v="6915" u="1"/>
        <n v="9672" u="1"/>
        <n v="2350" u="1"/>
        <n v="4638" u="1"/>
        <n v="6655" u="1"/>
        <n v="9152" u="1"/>
        <n v="2220" u="1"/>
        <n v="4378" u="1"/>
        <n v="6395" u="1"/>
        <n v="2090" u="1"/>
        <n v="4118" u="1"/>
        <n v="6135" u="1"/>
        <n v="2004" u="1"/>
        <n v="3977" u="1"/>
        <n v="9609" u="1"/>
        <n v="1939" u="1"/>
        <n v="9089" u="1"/>
        <n v="1874" u="1"/>
        <n v="8569" u="1"/>
        <n v="1809" u="1"/>
        <n v="7112" u="1"/>
        <n v="4835" u="1"/>
        <n v="6852" u="1"/>
        <n v="9546" u="1"/>
        <n v="4575" u="1"/>
        <n v="6592" u="1"/>
        <n v="9026" u="1"/>
        <n v="3197" u="1"/>
        <n v="4315" u="1"/>
        <n v="6332" u="1"/>
        <n v="8506" u="1"/>
        <n v="3067" u="1"/>
        <n v="6072" u="1"/>
        <n v="8089" u="1"/>
        <n v="2937" u="1"/>
        <n v="5812" u="1"/>
        <n v="7829" u="1"/>
        <n v="1419" u="1"/>
        <n v="2807" u="1"/>
        <n v="5552" u="1"/>
        <n v="7569" u="1"/>
        <n v="1354" u="1"/>
        <n v="2677" u="1"/>
        <n v="5292" u="1"/>
        <n v="7309" u="1"/>
        <n v="1289" u="1"/>
        <n v="2547" u="1"/>
        <n v="5032" u="1"/>
        <n v="7049" u="1"/>
        <n v="9940" u="1"/>
        <n v="1224" u="1"/>
        <n v="2417" u="1"/>
        <n v="4772" u="1"/>
        <n v="6789" u="1"/>
        <n v="9420" u="1"/>
        <n v="1159" u="1"/>
        <n v="2287" u="1"/>
        <n v="4512" u="1"/>
        <n v="6529" u="1"/>
        <n v="8900" u="1"/>
        <n v="1094" u="1"/>
        <n v="2157" u="1"/>
        <n v="4252" u="1"/>
        <n v="6269" u="1"/>
        <n v="8380" u="1"/>
        <n v="1029" u="1"/>
        <n v="4044" u="1"/>
        <n v="6009" u="1"/>
        <n v="8026" u="1"/>
        <n v="9877" u="1"/>
        <n v="3914" u="1"/>
        <n v="5749" u="1"/>
        <n v="9357" u="1"/>
        <n v="3784" u="1"/>
        <n v="8837" u="1"/>
        <n v="3654" u="1"/>
        <n v="8317" u="1"/>
        <n v="9814" u="1"/>
        <n v="6726" u="1"/>
        <n v="9294" u="1"/>
        <n v="6466" u="1"/>
        <n v="8774" u="1"/>
        <n v="4189" u="1"/>
        <n v="6206" u="1"/>
        <n v="8254" u="1"/>
        <n v="3004" u="1"/>
        <n v="5946" u="1"/>
        <n v="7963" u="1"/>
        <n v="9751" u="1"/>
        <n v="2874" u="1"/>
        <n v="5686" u="1"/>
        <n v="7703" u="1"/>
        <n v="2744" u="1"/>
        <n v="5426" u="1"/>
        <n v="7443" u="1"/>
        <n v="2614" u="1"/>
        <n v="5166" u="1"/>
        <n v="7183" u="1"/>
        <n v="2484" u="1"/>
        <n v="4906" u="1"/>
        <n v="6923" u="1"/>
        <n v="9688" u="1"/>
        <n v="2354" u="1"/>
        <n v="4646" u="1"/>
        <n v="6663" u="1"/>
        <n v="9168" u="1"/>
        <n v="2224" u="1"/>
        <n v="4386" u="1"/>
        <n v="6403" u="1"/>
        <n v="8648" u="1"/>
        <n v="2094" u="1"/>
        <n v="4126" u="1"/>
        <n v="6143" u="1"/>
        <n v="8160" u="1"/>
        <n v="2006" u="1"/>
        <n v="3981" u="1"/>
        <n v="5883" u="1"/>
        <n v="7900" u="1"/>
        <n v="9625" u="1"/>
        <n v="1941" u="1"/>
        <n v="3851" u="1"/>
        <n v="5623" u="1"/>
        <n v="7640" u="1"/>
        <n v="9105" u="1"/>
        <n v="1876" u="1"/>
        <n v="3721" u="1"/>
        <n v="5363" u="1"/>
        <n v="8585" u="1"/>
        <n v="1811" u="1"/>
        <n v="3591" u="1"/>
        <n v="1746" u="1"/>
        <n v="3461" u="1"/>
        <n v="1681" u="1"/>
        <n v="9042" u="1"/>
        <n v="1616" u="1"/>
        <n v="8522" u="1"/>
        <n v="1551" u="1"/>
        <n v="6080" u="1"/>
        <n v="8097" u="1"/>
        <n v="5820" u="1"/>
        <n v="7837" u="1"/>
        <n v="9499" u="1"/>
        <n v="2811" u="1"/>
        <n v="5560" u="1"/>
        <n v="7577" u="1"/>
        <n v="8979" u="1"/>
        <n v="2681" u="1"/>
        <n v="5300" u="1"/>
        <n v="7317" u="1"/>
        <n v="2551" u="1"/>
        <n v="5040" u="1"/>
        <n v="7057" u="1"/>
        <n v="9956" u="1"/>
        <n v="1226" u="1"/>
        <n v="2421" u="1"/>
        <n v="4780" u="1"/>
        <n v="6797" u="1"/>
        <n v="9436" u="1"/>
        <n v="1161" u="1"/>
        <n v="2291" u="1"/>
        <n v="4520" u="1"/>
        <n v="6537" u="1"/>
        <n v="8916" u="1"/>
        <n v="1096" u="1"/>
        <n v="2161" u="1"/>
        <n v="4260" u="1"/>
        <n v="6277" u="1"/>
        <n v="8396" u="1"/>
        <n v="1031" u="1"/>
        <n v="4048" u="1"/>
        <n v="6017" u="1"/>
        <n v="8034" u="1"/>
        <n v="9893" u="1"/>
        <n v="3918" u="1"/>
        <n v="5757" u="1"/>
        <n v="7774" u="1"/>
        <n v="9373" u="1"/>
        <n v="3788" u="1"/>
        <n v="5497" u="1"/>
        <n v="7514" u="1"/>
        <n v="8853" u="1"/>
        <n v="3658" u="1"/>
        <n v="5237" u="1"/>
        <n v="7254" u="1"/>
        <n v="8333" u="1"/>
        <n v="3528" u="1"/>
        <n v="4977" u="1"/>
        <n v="3398" u="1"/>
        <n v="4717" u="1"/>
        <n v="3268" u="1"/>
        <n v="8270" u="1"/>
        <n v="7971" u="1"/>
        <n v="9767" u="1"/>
        <n v="5694" u="1"/>
        <n v="7711" u="1"/>
        <n v="9247" u="1"/>
        <n v="5434" u="1"/>
        <n v="7451" u="1"/>
        <n v="8727" u="1"/>
        <n v="5174" u="1"/>
        <n v="7191" u="1"/>
        <n v="8207" u="1"/>
        <n v="2488" u="1"/>
        <n v="4914" u="1"/>
        <n v="6931" u="1"/>
        <n v="9704" u="1"/>
        <n v="2358" u="1"/>
        <n v="4654" u="1"/>
        <n v="6671" u="1"/>
        <n v="9184" u="1"/>
        <n v="2228" u="1"/>
        <n v="4394" u="1"/>
        <n v="6411" u="1"/>
        <n v="8664" u="1"/>
        <n v="2098" u="1"/>
        <n v="4134" u="1"/>
        <n v="6151" u="1"/>
        <n v="8168" u="1"/>
        <n v="2008" u="1"/>
        <n v="3985" u="1"/>
        <n v="5891" u="1"/>
        <n v="7908" u="1"/>
        <n v="9641" u="1"/>
        <n v="1943" u="1"/>
        <n v="3855" u="1"/>
        <n v="5631" u="1"/>
        <n v="7648" u="1"/>
        <n v="9121" u="1"/>
        <n v="1878" u="1"/>
        <n v="3725" u="1"/>
        <n v="5371" u="1"/>
        <n v="7388" u="1"/>
        <n v="8601" u="1"/>
        <n v="1813" u="1"/>
        <n v="3595" u="1"/>
        <n v="5111" u="1"/>
        <n v="7128" u="1"/>
        <n v="1748" u="1"/>
        <n v="3465" u="1"/>
        <n v="4851" u="1"/>
        <n v="6868" u="1"/>
        <n v="1683" u="1"/>
        <n v="3335" u="1"/>
        <n v="4591" u="1"/>
        <n v="6608" u="1"/>
        <n v="1618" u="1"/>
        <n v="3205" u="1"/>
        <n v="4331" u="1"/>
        <n v="1553" u="1"/>
        <n v="3075" u="1"/>
        <n v="1488" u="1"/>
        <n v="2945" u="1"/>
        <n v="9515" u="1"/>
        <n v="1423" u="1"/>
        <n v="7585" u="1"/>
        <n v="8995" u="1"/>
        <n v="1358" u="1"/>
        <n v="5308" u="1"/>
        <n v="7325" u="1"/>
        <n v="8475" u="1"/>
        <n v="1293" u="1"/>
        <n v="5048" u="1"/>
        <n v="7065" u="1"/>
        <n v="9972" u="1"/>
        <n v="4788" u="1"/>
        <n v="6805" u="1"/>
        <n v="9452" u="1"/>
        <n v="2295" u="1"/>
        <n v="4528" u="1"/>
        <n v="6545" u="1"/>
        <n v="8932" u="1"/>
        <n v="2165" u="1"/>
        <n v="4268" u="1"/>
        <n v="6285" u="1"/>
        <n v="8412" u="1"/>
        <n v="4052" u="1"/>
        <n v="6025" u="1"/>
        <n v="8042" u="1"/>
        <n v="3922" u="1"/>
        <n v="5765" u="1"/>
        <n v="7782" u="1"/>
        <n v="3792" u="1"/>
        <n v="5505" u="1"/>
        <n v="7522" u="1"/>
        <n v="8869" u="1"/>
        <n v="3662" u="1"/>
        <n v="5245" u="1"/>
        <n v="7262" u="1"/>
        <n v="8349" u="1"/>
        <n v="3532" u="1"/>
        <n v="4985" u="1"/>
        <n v="7002" u="1"/>
        <n v="9846" u="1"/>
        <n v="3402" u="1"/>
        <n v="4725" u="1"/>
        <n v="6742" u="1"/>
        <n v="9326" u="1"/>
        <n v="3272" u="1"/>
        <n v="4465" u="1"/>
        <n v="6482" u="1"/>
        <n v="8806" u="1"/>
        <n v="3142" u="1"/>
        <n v="4205" u="1"/>
        <n v="6222" u="1"/>
        <n v="3012" u="1"/>
        <n v="9783" u="1"/>
        <n v="2882" u="1"/>
        <n v="9263" u="1"/>
        <n v="2752" u="1"/>
        <n v="8743" u="1"/>
        <n v="7199" u="1"/>
        <n v="8223" u="1"/>
        <n v="6939" u="1"/>
        <n v="9720" u="1"/>
        <n v="4662" u="1"/>
        <n v="6679" u="1"/>
        <n v="9200" u="1"/>
        <n v="4402" u="1"/>
        <n v="6419" u="1"/>
        <n v="8680" u="1"/>
        <n v="4142" u="1"/>
        <n v="6159" u="1"/>
        <n v="8176" u="1"/>
        <n v="2010" u="1"/>
        <n v="3989" u="1"/>
        <n v="5899" u="1"/>
        <n v="7916" u="1"/>
        <n v="1945" u="1"/>
        <n v="3859" u="1"/>
        <n v="5639" u="1"/>
        <n v="7656" u="1"/>
        <n v="1880" u="1"/>
        <n v="3729" u="1"/>
        <n v="5379" u="1"/>
        <n v="7396" u="1"/>
        <n v="1815" u="1"/>
        <n v="3599" u="1"/>
        <n v="5119" u="1"/>
        <n v="7136" u="1"/>
        <n v="1750" u="1"/>
        <n v="3469" u="1"/>
        <n v="4859" u="1"/>
        <n v="6876" u="1"/>
        <n v="9594" u="1"/>
        <n v="1685" u="1"/>
        <n v="3339" u="1"/>
        <n v="4599" u="1"/>
        <n v="6616" u="1"/>
        <n v="9074" u="1"/>
        <n v="1620" u="1"/>
        <n v="3209" u="1"/>
        <n v="4339" u="1"/>
        <n v="6356" u="1"/>
        <n v="8554" u="1"/>
        <n v="1555" u="1"/>
        <n v="3079" u="1"/>
        <n v="6096" u="1"/>
        <n v="8113" u="1"/>
        <n v="1490" u="1"/>
        <n v="2949" u="1"/>
        <n v="5836" u="1"/>
        <n v="9531" u="1"/>
        <n v="1425" u="1"/>
        <n v="2819" u="1"/>
        <n v="5576" u="1"/>
        <n v="9011" u="1"/>
        <n v="1360" u="1"/>
        <n v="2689" u="1"/>
        <n v="8491" u="1"/>
        <n v="1295" u="1"/>
        <n v="2559" u="1"/>
        <n v="9988" u="1"/>
        <n v="1230" u="1"/>
        <n v="9468" u="1"/>
        <n v="1165" u="1"/>
        <n v="6553" u="1"/>
        <n v="8948" u="1"/>
        <n v="1100" u="1"/>
        <n v="4276" u="1"/>
        <n v="6293" u="1"/>
        <n v="8428" u="1"/>
        <n v="4056" u="1"/>
        <n v="6033" u="1"/>
        <n v="8050" u="1"/>
        <n v="9925" u="1"/>
        <n v="3926" u="1"/>
        <n v="5773" u="1"/>
        <n v="7790" u="1"/>
        <n v="3796" u="1"/>
        <n v="5513" u="1"/>
        <n v="7530" u="1"/>
        <n v="3666" u="1"/>
        <n v="5253" u="1"/>
        <n v="7270" u="1"/>
        <n v="3536" u="1"/>
        <n v="4993" u="1"/>
        <n v="7010" u="1"/>
        <n v="9862" u="1"/>
        <n v="3406" u="1"/>
        <n v="4733" u="1"/>
        <n v="6750" u="1"/>
        <n v="9342" u="1"/>
        <n v="3276" u="1"/>
        <n v="4473" u="1"/>
        <n v="6490" u="1"/>
        <n v="8822" u="1"/>
        <n v="3146" u="1"/>
        <n v="4213" u="1"/>
        <n v="6230" u="1"/>
        <n v="8302" u="1"/>
        <n v="3016" u="1"/>
        <n v="5970" u="1"/>
        <n v="7987" u="1"/>
        <n v="9799" u="1"/>
        <n v="2886" u="1"/>
        <n v="5710" u="1"/>
        <n v="7727" u="1"/>
        <n v="9279" u="1"/>
        <n v="2756" u="1"/>
        <n v="5450" u="1"/>
        <n v="8759" u="1"/>
        <n v="2626" u="1"/>
        <n v="5190" u="1"/>
        <n v="8239" u="1"/>
        <n v="2496" u="1"/>
        <n v="2366" u="1"/>
        <n v="2236" u="1"/>
        <n v="8696" u="1"/>
        <n v="6167" u="1"/>
        <n v="8184" u="1"/>
        <n v="3993" u="1"/>
        <n v="5907" u="1"/>
        <n v="7924" u="1"/>
        <n v="9673" u="1"/>
        <n v="3863" u="1"/>
        <n v="5647" u="1"/>
        <n v="7664" u="1"/>
        <n v="9153" u="1"/>
        <n v="3733" u="1"/>
        <n v="5387" u="1"/>
        <n v="7404" u="1"/>
        <n v="1817" u="1"/>
        <n v="3603" u="1"/>
        <n v="5127" u="1"/>
        <n v="7144" u="1"/>
        <n v="1752" u="1"/>
        <n v="3473" u="1"/>
        <n v="4867" u="1"/>
        <n v="6884" u="1"/>
        <n v="9610" u="1"/>
        <n v="1687" u="1"/>
        <n v="3343" u="1"/>
        <n v="4607" u="1"/>
        <n v="6624" u="1"/>
        <n v="9090" u="1"/>
        <n v="1622" u="1"/>
        <n v="3213" u="1"/>
        <n v="4347" u="1"/>
        <n v="6364" u="1"/>
        <n v="8570" u="1"/>
        <n v="1557" u="1"/>
        <n v="3083" u="1"/>
        <n v="6104" u="1"/>
        <n v="8121" u="1"/>
        <n v="1492" u="1"/>
        <n v="2953" u="1"/>
        <n v="5844" u="1"/>
        <n v="7861" u="1"/>
        <n v="9547" u="1"/>
        <n v="1427" u="1"/>
        <n v="2823" u="1"/>
        <n v="5584" u="1"/>
        <n v="7601" u="1"/>
        <n v="9027" u="1"/>
        <n v="1362" u="1"/>
        <n v="2693" u="1"/>
        <n v="5324" u="1"/>
        <n v="7341" u="1"/>
        <n v="8507" u="1"/>
        <n v="1297" u="1"/>
        <n v="2563" u="1"/>
        <n v="5064" u="1"/>
        <n v="7081" u="1"/>
        <n v="1232" u="1"/>
        <n v="2433" u="1"/>
        <n v="4804" u="1"/>
        <n v="1167" u="1"/>
        <n v="2303" u="1"/>
        <n v="1102" u="1"/>
        <n v="2173" u="1"/>
        <n v="1037" u="1"/>
        <n v="8058" u="1"/>
        <n v="9941" u="1"/>
        <n v="5781" u="1"/>
        <n v="7798" u="1"/>
        <n v="9421" u="1"/>
        <n v="5521" u="1"/>
        <n v="7538" u="1"/>
        <n v="8901" u="1"/>
        <n v="3670" u="1"/>
        <n v="5261" u="1"/>
        <n v="7278" u="1"/>
        <n v="8381" u="1"/>
        <n v="3540" u="1"/>
        <n v="5001" u="1"/>
        <n v="7018" u="1"/>
        <n v="9878" u="1"/>
        <n v="3410" u="1"/>
        <n v="4741" u="1"/>
        <n v="6758" u="1"/>
        <n v="9358" u="1"/>
        <n v="3280" u="1"/>
        <n v="4481" u="1"/>
        <n v="6498" u="1"/>
        <n v="8838" u="1"/>
        <n v="3150" u="1"/>
        <n v="4221" u="1"/>
        <n v="6238" u="1"/>
        <n v="8318" u="1"/>
        <n v="3020" u="1"/>
        <n v="5978" u="1"/>
        <n v="7995" u="1"/>
        <n v="9815" u="1"/>
        <n v="2890" u="1"/>
        <n v="5718" u="1"/>
        <n v="7735" u="1"/>
        <n v="9295" u="1"/>
        <n v="2760" u="1"/>
        <n v="5458" u="1"/>
        <n v="7475" u="1"/>
        <n v="8775" u="1"/>
        <n v="2630" u="1"/>
        <n v="5198" u="1"/>
        <n v="7215" u="1"/>
        <n v="8255" u="1"/>
        <n v="2500" u="1"/>
        <n v="4938" u="1"/>
        <n v="6955" u="1"/>
        <n v="9752" u="1"/>
        <n v="2370" u="1"/>
        <n v="4678" u="1"/>
        <n v="6695" u="1"/>
        <n v="2240" u="1"/>
        <n v="4418" u="1"/>
        <n v="2110" u="1"/>
        <n v="4158" u="1"/>
        <n v="2014" u="1"/>
        <n v="9689" u="1"/>
        <n v="1949" u="1"/>
        <n v="7672" u="1"/>
        <n v="9169" u="1"/>
        <n v="1884" u="1"/>
        <n v="7412" u="1"/>
        <n v="8649" u="1"/>
        <n v="5135" u="1"/>
        <n v="7152" u="1"/>
        <n v="3477" u="1"/>
        <n v="4875" u="1"/>
        <n v="6892" u="1"/>
        <n v="9626" u="1"/>
        <n v="3347" u="1"/>
        <n v="4615" u="1"/>
        <n v="6632" u="1"/>
        <n v="9106" u="1"/>
        <n v="3217" u="1"/>
        <n v="4355" u="1"/>
        <n v="6372" u="1"/>
        <n v="8586" u="1"/>
        <n v="1559" u="1"/>
        <n v="3087" u="1"/>
        <n v="6112" u="1"/>
        <n v="8129" u="1"/>
        <n v="1494" u="1"/>
        <n v="2957" u="1"/>
        <n v="5852" u="1"/>
        <n v="7869" u="1"/>
        <n v="1429" u="1"/>
        <n v="2827" u="1"/>
        <n v="5592" u="1"/>
        <n v="7609" u="1"/>
        <n v="9043" u="1"/>
        <n v="1364" u="1"/>
        <n v="2697" u="1"/>
        <n v="5332" u="1"/>
        <n v="7349" u="1"/>
        <n v="8523" u="1"/>
        <n v="1299" u="1"/>
        <n v="2567" u="1"/>
        <n v="5072" u="1"/>
        <n v="7089" u="1"/>
        <n v="1234" u="1"/>
        <n v="2437" u="1"/>
        <n v="4812" u="1"/>
        <n v="6829" u="1"/>
        <n v="9500" u="1"/>
        <n v="1169" u="1"/>
        <n v="2307" u="1"/>
        <n v="4552" u="1"/>
        <n v="6569" u="1"/>
        <n v="8980" u="1"/>
        <n v="1104" u="1"/>
        <n v="2177" u="1"/>
        <n v="4292" u="1"/>
        <n v="6309" u="1"/>
        <n v="1039" u="1"/>
        <n v="4064" u="1"/>
        <n v="6049" u="1"/>
        <n v="9957" u="1"/>
        <n v="3934" u="1"/>
        <n v="9437" u="1"/>
        <n v="8917" u="1"/>
        <n v="8397" u="1"/>
        <n v="7026" u="1"/>
        <n v="9894" u="1"/>
        <n v="4749" u="1"/>
        <n v="6766" u="1"/>
        <n v="9374" u="1"/>
        <n v="4489" u="1"/>
        <n v="6506" u="1"/>
        <n v="8854" u="1"/>
        <n v="3154" u="1"/>
        <n v="4229" u="1"/>
        <n v="6246" u="1"/>
        <n v="8334" u="1"/>
        <n v="3024" u="1"/>
        <n v="5986" u="1"/>
        <n v="8003" u="1"/>
        <n v="2894" u="1"/>
        <n v="5726" u="1"/>
        <n v="7743" u="1"/>
        <n v="2764" u="1"/>
        <n v="5466" u="1"/>
        <n v="7483" u="1"/>
        <n v="2634" u="1"/>
        <n v="5206" u="1"/>
        <n v="7223" u="1"/>
        <n v="2504" u="1"/>
        <n v="4946" u="1"/>
        <n v="6963" u="1"/>
        <n v="9768" u="1"/>
        <n v="2374" u="1"/>
        <n v="4686" u="1"/>
        <n v="6703" u="1"/>
        <n v="9248" u="1"/>
        <n v="2244" u="1"/>
        <n v="4426" u="1"/>
        <n v="6443" u="1"/>
        <n v="8728" u="1"/>
        <n v="2114" u="1"/>
        <n v="4166" u="1"/>
        <n v="6183" u="1"/>
        <n v="8208" u="1"/>
        <n v="2016" u="1"/>
        <n v="4001" u="1"/>
        <n v="5923" u="1"/>
        <n v="7940" u="1"/>
        <n v="9705" u="1"/>
        <n v="1951" u="1"/>
        <n v="3871" u="1"/>
        <n v="5663" u="1"/>
        <n v="9185" u="1"/>
        <n v="1886" u="1"/>
        <n v="3741" u="1"/>
        <n v="8665" u="1"/>
        <n v="1821" u="1"/>
        <n v="3611" u="1"/>
        <n v="1756" u="1"/>
        <n v="9642" u="1"/>
        <n v="1691" u="1"/>
        <n v="6640" u="1"/>
        <n v="9122" u="1"/>
        <n v="6380" u="1"/>
        <n v="8602" u="1"/>
        <n v="4103" u="1"/>
        <n v="6120" u="1"/>
        <n v="8137" u="1"/>
        <n v="2961" u="1"/>
        <n v="5860" u="1"/>
        <n v="7877" u="1"/>
        <n v="9579" u="1"/>
        <n v="2831" u="1"/>
        <n v="5600" u="1"/>
        <n v="7617" u="1"/>
        <n v="2701" u="1"/>
        <n v="5340" u="1"/>
        <n v="7357" u="1"/>
        <n v="1301" u="1"/>
        <n v="2571" u="1"/>
        <n v="5080" u="1"/>
        <n v="7097" u="1"/>
        <n v="1236" u="1"/>
        <n v="2441" u="1"/>
        <n v="4820" u="1"/>
        <n v="6837" u="1"/>
        <n v="9516" u="1"/>
        <n v="1171" u="1"/>
        <n v="2311" u="1"/>
        <n v="4560" u="1"/>
        <n v="6577" u="1"/>
        <n v="8996" u="1"/>
        <n v="1106" u="1"/>
        <n v="2181" u="1"/>
        <n v="4300" u="1"/>
        <n v="6317" u="1"/>
        <n v="8476" u="1"/>
        <n v="1041" u="1"/>
        <n v="2051" u="1"/>
        <n v="4068" u="1"/>
        <n v="6057" u="1"/>
        <n v="8074" u="1"/>
        <n v="9973" u="1"/>
        <n v="3938" u="1"/>
        <n v="5797" u="1"/>
        <n v="7814" u="1"/>
        <n v="9453" u="1"/>
        <n v="3808" u="1"/>
        <n v="5537" u="1"/>
        <n v="7554" u="1"/>
        <n v="8933" u="1"/>
        <n v="3678" u="1"/>
        <n v="5277" u="1"/>
        <n v="8413" u="1"/>
        <n v="3548" u="1"/>
        <n v="3418" u="1"/>
        <n v="8870" u="1"/>
        <n v="6254" u="1"/>
        <n v="8350" u="1"/>
        <n v="5994" u="1"/>
        <n v="8011" u="1"/>
        <n v="9847" u="1"/>
        <n v="5734" u="1"/>
        <n v="7751" u="1"/>
        <n v="9327" u="1"/>
        <n v="2768" u="1"/>
        <n v="5474" u="1"/>
        <n v="7491" u="1"/>
        <n v="8807" u="1"/>
        <n v="2638" u="1"/>
        <n v="5214" u="1"/>
        <n v="7231" u="1"/>
        <n v="2508" u="1"/>
        <n v="4954" u="1"/>
        <n v="6971" u="1"/>
        <n v="9784" u="1"/>
        <n v="2378" u="1"/>
        <n v="4694" u="1"/>
        <n v="6711" u="1"/>
        <n v="9264" u="1"/>
        <n v="2248" u="1"/>
        <n v="4434" u="1"/>
        <n v="6451" u="1"/>
        <n v="8744" u="1"/>
        <n v="2118" u="1"/>
        <n v="4174" u="1"/>
        <n v="6191" u="1"/>
        <n v="8224" u="1"/>
        <n v="2018" u="1"/>
        <n v="4005" u="1"/>
        <n v="5931" u="1"/>
        <n v="7948" u="1"/>
        <n v="9721" u="1"/>
        <n v="1953" u="1"/>
        <n v="3875" u="1"/>
        <n v="5671" u="1"/>
        <n v="7688" u="1"/>
        <n v="9201" u="1"/>
        <n v="1888" u="1"/>
        <n v="3745" u="1"/>
        <n v="5411" u="1"/>
        <n v="7428" u="1"/>
        <n v="8681" u="1"/>
        <n v="1823" u="1"/>
        <n v="3615" u="1"/>
        <n v="5151" u="1"/>
        <n v="7168" u="1"/>
        <n v="1758" u="1"/>
        <n v="3485" u="1"/>
        <n v="4891" u="1"/>
        <n v="1693" u="1"/>
        <n v="3355" u="1"/>
        <n v="4631" u="1"/>
        <n v="1628" u="1"/>
        <n v="3225" u="1"/>
        <n v="1563" u="1"/>
        <n v="8145" u="1"/>
        <n v="1498" u="1"/>
        <n v="7885" u="1"/>
        <n v="9595" u="1"/>
        <n v="1433" u="1"/>
        <n v="5608" u="1"/>
        <n v="7625" u="1"/>
        <n v="9075" u="1"/>
        <n v="5348" u="1"/>
        <n v="7365" u="1"/>
        <n v="8555" u="1"/>
        <n v="5088" u="1"/>
        <n v="7105" u="1"/>
        <n v="2445" u="1"/>
        <n v="4828" u="1"/>
        <n v="6845" u="1"/>
        <n v="9532" u="1"/>
        <n v="2315" u="1"/>
        <n v="4568" u="1"/>
        <n v="6585" u="1"/>
        <n v="9012" u="1"/>
        <n v="2185" u="1"/>
        <n v="4308" u="1"/>
        <n v="6325" u="1"/>
        <n v="8492" u="1"/>
        <n v="1043" u="1"/>
        <n v="2055" u="1"/>
        <n v="4072" u="1"/>
        <n v="6065" u="1"/>
        <n v="8082" u="1"/>
        <n v="9989" u="1"/>
        <n v="3942" u="1"/>
        <n v="5805" u="1"/>
        <n v="7822" u="1"/>
        <n v="9469" u="1"/>
        <n v="3812" u="1"/>
        <n v="5545" u="1"/>
        <n v="7562" u="1"/>
        <n v="8949" u="1"/>
        <n v="3682" u="1"/>
        <n v="5285" u="1"/>
        <n v="7302" u="1"/>
        <n v="8429" u="1"/>
        <n v="3552" u="1"/>
        <n v="5025" u="1"/>
        <n v="7042" u="1"/>
        <n v="9926" u="1"/>
        <n v="3422" u="1"/>
        <n v="4765" u="1"/>
        <n v="6782" u="1"/>
        <n v="3292" u="1"/>
        <n v="4505" u="1"/>
        <n v="6522" u="1"/>
        <n v="3162" u="1"/>
        <n v="4245" u="1"/>
        <n v="3032" u="1"/>
        <n v="9863" u="1"/>
        <n v="2902" u="1"/>
        <n v="9343" u="1"/>
        <n v="7499" u="1"/>
        <n v="8823" u="1"/>
        <n v="5222" u="1"/>
        <n v="7239" u="1"/>
        <n v="8303" u="1"/>
        <n v="4962" u="1"/>
        <n v="6979" u="1"/>
        <n v="9800" u="1"/>
        <n v="4702" u="1"/>
        <n v="6719" u="1"/>
        <n v="9280" u="1"/>
        <n v="2252" u="1"/>
        <n v="4442" u="1"/>
        <n v="6459" u="1"/>
        <n v="8760" u="1"/>
        <n v="2122" u="1"/>
        <n v="4182" u="1"/>
        <n v="6199" u="1"/>
        <n v="8240" u="1"/>
        <n v="2020" u="1"/>
        <n v="4009" u="1"/>
        <n v="5939" u="1"/>
        <n v="7956" u="1"/>
        <n v="1955" u="1"/>
        <n v="3879" u="1"/>
        <n v="5679" u="1"/>
        <n v="7696" u="1"/>
        <n v="1890" u="1"/>
        <n v="3749" u="1"/>
        <n v="5419" u="1"/>
        <n v="7436" u="1"/>
        <n v="8697" u="1"/>
        <n v="1825" u="1"/>
        <n v="3619" u="1"/>
        <n v="5159" u="1"/>
        <n v="7176" u="1"/>
        <n v="1760" u="1"/>
        <n v="3489" u="1"/>
        <n v="4899" u="1"/>
        <n v="6916" u="1"/>
        <n v="9674" u="1"/>
        <n v="1695" u="1"/>
        <n v="3359" u="1"/>
        <n v="4639" u="1"/>
        <n v="6656" u="1"/>
        <n v="9154" u="1"/>
        <n v="1630" u="1"/>
        <n v="3229" u="1"/>
        <n v="4379" u="1"/>
        <n v="6396" u="1"/>
        <n v="8634" u="1"/>
        <n v="1565" u="1"/>
        <n v="3099" u="1"/>
        <n v="4119" u="1"/>
        <n v="6136" u="1"/>
        <n v="1500" u="1"/>
        <n v="2969" u="1"/>
        <n v="9611" u="1"/>
        <n v="1435" u="1"/>
        <n v="2839" u="1"/>
        <n v="9091" u="1"/>
        <n v="1370" u="1"/>
        <n v="2709" u="1"/>
        <n v="8571" u="1"/>
        <n v="1305" u="1"/>
        <n v="7113" u="1"/>
        <n v="1240" u="1"/>
        <n v="6853" u="1"/>
        <n v="9548" u="1"/>
        <n v="1175" u="1"/>
        <n v="4576" u="1"/>
        <n v="6593" u="1"/>
        <n v="9028" u="1"/>
        <n v="4316" u="1"/>
        <n v="6333" u="1"/>
        <n v="8508" u="1"/>
        <n v="4076" u="1"/>
        <n v="6073" u="1"/>
        <n v="8090" u="1"/>
        <n v="3946" u="1"/>
        <n v="5813" u="1"/>
        <n v="7830" u="1"/>
        <n v="3816" u="1"/>
        <n v="5553" u="1"/>
        <n v="7570" u="1"/>
        <n v="3686" u="1"/>
        <n v="5293" u="1"/>
        <n v="7310" u="1"/>
        <n v="3556" u="1"/>
        <n v="5033" u="1"/>
        <n v="7050" u="1"/>
        <n v="9942" u="1"/>
        <n v="3426" u="1"/>
        <n v="4773" u="1"/>
        <n v="6790" u="1"/>
        <n v="9422" u="1"/>
        <n v="3296" u="1"/>
        <n v="4513" u="1"/>
        <n v="6530" u="1"/>
        <n v="8902" u="1"/>
        <n v="3166" u="1"/>
        <n v="4253" u="1"/>
        <n v="6270" u="1"/>
        <n v="8382" u="1"/>
        <n v="3036" u="1"/>
        <n v="6010" u="1"/>
        <n v="8027" u="1"/>
        <n v="9879" u="1"/>
        <n v="2906" u="1"/>
        <n v="5750" u="1"/>
        <n v="9359" u="1"/>
        <n v="2776" u="1"/>
        <n v="5490" u="1"/>
        <n v="8839" u="1"/>
        <n v="2646" u="1"/>
        <n v="8319" u="1"/>
        <n v="2516" u="1"/>
        <n v="9816" u="1"/>
        <n v="9296" u="1"/>
        <n v="6467" u="1"/>
        <n v="8776" u="1"/>
        <n v="4190" u="1"/>
        <n v="6207" u="1"/>
        <n v="8256" u="1"/>
        <n v="4013" u="1"/>
        <n v="5947" u="1"/>
        <n v="7964" u="1"/>
        <n v="9753" u="1"/>
        <n v="3883" u="1"/>
        <n v="5687" u="1"/>
        <n v="7704" u="1"/>
        <n v="1892" u="1"/>
        <n v="3753" u="1"/>
        <n v="5427" u="1"/>
        <n v="7444" u="1"/>
        <n v="1827" u="1"/>
        <n v="3623" u="1"/>
        <n v="5167" u="1"/>
        <n v="7184" u="1"/>
        <n v="1762" u="1"/>
        <n v="3493" u="1"/>
        <n v="4907" u="1"/>
        <n v="6924" u="1"/>
        <n v="9690" u="1"/>
        <n v="1697" u="1"/>
        <n v="3363" u="1"/>
        <n v="4647" u="1"/>
        <n v="6664" u="1"/>
        <n v="9170" u="1"/>
        <n v="1632" u="1"/>
        <n v="3233" u="1"/>
        <n v="4387" u="1"/>
        <n v="6404" u="1"/>
        <n v="8650" u="1"/>
        <n v="1567" u="1"/>
        <n v="3103" u="1"/>
        <n v="4127" u="1"/>
        <n v="6144" u="1"/>
        <n v="8161" u="1"/>
        <n v="1502" u="1"/>
        <n v="2973" u="1"/>
        <n v="5884" u="1"/>
        <n v="7901" u="1"/>
        <n v="9627" u="1"/>
        <n v="1437" u="1"/>
        <n v="2843" u="1"/>
        <n v="5624" u="1"/>
        <n v="7641" u="1"/>
        <n v="9107" u="1"/>
        <n v="1372" u="1"/>
        <n v="2713" u="1"/>
        <n v="5364" u="1"/>
        <n v="8587" u="1"/>
        <n v="1307" u="1"/>
        <n v="2583" u="1"/>
        <n v="5104" u="1"/>
        <n v="1242" u="1"/>
        <n v="2453" u="1"/>
        <n v="1177" u="1"/>
        <n v="2323" u="1"/>
        <n v="1112" u="1"/>
        <n v="2193" u="1"/>
        <n v="8524" u="1"/>
        <n v="1047" u="1"/>
        <n v="6081" u="1"/>
        <n v="8098" u="1"/>
        <n v="1003" u="1"/>
        <n v="3950" u="1"/>
        <n v="5821" u="1"/>
        <n v="7838" u="1"/>
        <n v="9501" u="1"/>
        <n v="3820" u="1"/>
        <n v="5561" u="1"/>
        <n v="7578" u="1"/>
        <n v="8981" u="1"/>
        <n v="3690" u="1"/>
        <n v="5301" u="1"/>
        <n v="7318" u="1"/>
        <n v="3560" u="1"/>
        <n v="5041" u="1"/>
        <n v="7058" u="1"/>
        <n v="9958" u="1"/>
        <n v="3430" u="1"/>
        <n v="4781" u="1"/>
        <n v="6798" u="1"/>
        <n v="9438" u="1"/>
        <n v="3300" u="1"/>
        <n v="4521" u="1"/>
        <n v="6538" u="1"/>
        <n v="8918" u="1"/>
        <n v="3170" u="1"/>
        <n v="4261" u="1"/>
        <n v="6278" u="1"/>
        <n v="8398" u="1"/>
        <n v="3040" u="1"/>
        <n v="6018" u="1"/>
        <n v="8035" u="1"/>
        <n v="9895" u="1"/>
        <n v="2910" u="1"/>
        <n v="5758" u="1"/>
        <n v="7775" u="1"/>
        <n v="9375" u="1"/>
        <n v="2780" u="1"/>
        <n v="5498" u="1"/>
        <n v="7515" u="1"/>
        <n v="8855" u="1"/>
        <n v="2650" u="1"/>
        <n v="5238" u="1"/>
        <n v="7255" u="1"/>
        <n v="8335" u="1"/>
        <n v="2520" u="1"/>
        <n v="4978" u="1"/>
        <n v="6995" u="1"/>
        <n v="2390" u="1"/>
        <n v="4718" u="1"/>
        <n v="2260" u="1"/>
        <n v="2130" u="1"/>
        <n v="2024" u="1"/>
        <n v="7972" u="1"/>
        <n v="9769" u="1"/>
        <n v="5695" u="1"/>
        <n v="7712" u="1"/>
        <n v="9249" u="1"/>
        <n v="5435" u="1"/>
        <n v="7452" u="1"/>
        <n v="8729" u="1"/>
        <n v="3627" u="1"/>
        <n v="5175" u="1"/>
        <n v="7192" u="1"/>
        <n v="8209" u="1"/>
        <n v="3497" u="1"/>
        <n v="4915" u="1"/>
        <n v="6932" u="1"/>
        <n v="9706" u="1"/>
        <n v="3367" u="1"/>
        <n v="4655" u="1"/>
        <n v="6672" u="1"/>
        <n v="9186" u="1"/>
        <n v="1634" u="1"/>
        <n v="3237" u="1"/>
        <n v="4395" u="1"/>
        <n v="6412" u="1"/>
        <n v="8666" u="1"/>
        <n v="1569" u="1"/>
        <n v="3107" u="1"/>
        <n v="4135" u="1"/>
        <n v="6152" u="1"/>
        <n v="8169" u="1"/>
        <n v="1504" u="1"/>
        <n v="2977" u="1"/>
        <n v="5892" u="1"/>
        <n v="7909" u="1"/>
        <n v="9643" u="1"/>
        <n v="1439" u="1"/>
        <n v="2847" u="1"/>
        <n v="5632" u="1"/>
        <n v="7649" u="1"/>
        <n v="9123" u="1"/>
        <n v="1374" u="1"/>
        <n v="2717" u="1"/>
        <n v="5372" u="1"/>
        <n v="7389" u="1"/>
        <n v="8603" u="1"/>
        <n v="1309" u="1"/>
        <n v="2587" u="1"/>
        <n v="5112" u="1"/>
        <n v="7129" u="1"/>
        <n v="1244" u="1"/>
        <n v="2457" u="1"/>
        <n v="4852" u="1"/>
        <n v="6869" u="1"/>
        <n v="9580" u="1"/>
        <n v="1179" u="1"/>
        <n v="2327" u="1"/>
        <n v="4592" u="1"/>
        <n v="6609" u="1"/>
        <n v="1114" u="1"/>
        <n v="2197" u="1"/>
        <n v="4332" u="1"/>
        <n v="1049" u="1"/>
        <n v="2067" u="1"/>
        <n v="4084" u="1"/>
        <n v="1004" u="1"/>
        <n v="9517" u="1"/>
        <n v="7586" u="1"/>
        <n v="8997" u="1"/>
        <n v="7326" u="1"/>
        <n v="8477" u="1"/>
        <n v="5049" u="1"/>
        <n v="7066" u="1"/>
        <n v="9974" u="1"/>
        <n v="3434" u="1"/>
        <n v="4789" u="1"/>
        <n v="6806" u="1"/>
        <n v="9454" u="1"/>
        <n v="3304" u="1"/>
        <n v="4529" u="1"/>
        <n v="6546" u="1"/>
        <n v="8934" u="1"/>
        <n v="3174" u="1"/>
        <n v="4269" u="1"/>
        <n v="6286" u="1"/>
        <n v="8414" u="1"/>
        <n v="3044" u="1"/>
        <n v="6026" u="1"/>
        <n v="8043" u="1"/>
        <n v="2914" u="1"/>
        <n v="5766" u="1"/>
        <n v="7783" u="1"/>
        <n v="2784" u="1"/>
        <n v="5506" u="1"/>
        <n v="7523" u="1"/>
        <n v="8871" u="1"/>
        <n v="2654" u="1"/>
        <n v="5246" u="1"/>
        <n v="7263" u="1"/>
        <n v="8351" u="1"/>
        <n v="2524" u="1"/>
        <n v="4986" u="1"/>
        <n v="7003" u="1"/>
        <n v="9848" u="1"/>
        <n v="2394" u="1"/>
        <n v="4726" u="1"/>
        <n v="6743" u="1"/>
        <n v="9328" u="1"/>
        <n v="2264" u="1"/>
        <n v="4466" u="1"/>
        <n v="6483" u="1"/>
        <n v="8808" u="1"/>
        <n v="2134" u="1"/>
        <n v="4206" u="1"/>
        <n v="6223" u="1"/>
        <n v="2026" u="1"/>
        <n v="4021" u="1"/>
        <n v="5963" u="1"/>
        <n v="9785" u="1"/>
        <n v="1961" u="1"/>
        <n v="3891" u="1"/>
        <n v="9265" u="1"/>
        <n v="1896" u="1"/>
        <n v="8745" u="1"/>
        <n v="1831" u="1"/>
        <n v="8225" u="1"/>
        <n v="1766" u="1"/>
        <n v="6940" u="1"/>
        <n v="9722" u="1"/>
        <n v="4663" u="1"/>
        <n v="6680" u="1"/>
        <n v="9202" u="1"/>
        <n v="4403" u="1"/>
        <n v="6420" u="1"/>
        <n v="8682" u="1"/>
        <n v="3111" u="1"/>
        <n v="4143" u="1"/>
        <n v="6160" u="1"/>
        <n v="8177" u="1"/>
        <n v="2981" u="1"/>
        <n v="5900" u="1"/>
        <n v="7917" u="1"/>
        <n v="2851" u="1"/>
        <n v="5640" u="1"/>
        <n v="7657" u="1"/>
        <n v="1376" u="1"/>
        <n v="2721" u="1"/>
        <n v="5380" u="1"/>
        <n v="7397" u="1"/>
        <n v="1311" u="1"/>
        <n v="2591" u="1"/>
        <n v="5120" u="1"/>
        <n v="7137" u="1"/>
        <n v="1246" u="1"/>
        <n v="2461" u="1"/>
        <n v="4860" u="1"/>
        <n v="6877" u="1"/>
        <n v="9596" u="1"/>
        <n v="1181" u="1"/>
        <n v="2331" u="1"/>
        <n v="4600" u="1"/>
        <n v="6617" u="1"/>
        <n v="9076" u="1"/>
        <n v="1116" u="1"/>
        <n v="2201" u="1"/>
        <n v="4340" u="1"/>
        <n v="6357" u="1"/>
        <n v="8556" u="1"/>
        <n v="1051" u="1"/>
        <n v="2071" u="1"/>
        <n v="4088" u="1"/>
        <n v="6097" u="1"/>
        <n v="8114" u="1"/>
        <n v="1005" u="1"/>
        <n v="3958" u="1"/>
        <n v="5837" u="1"/>
        <n v="7854" u="1"/>
        <n v="9533" u="1"/>
        <n v="3828" u="1"/>
        <n v="5577" u="1"/>
        <n v="9013" u="1"/>
        <n v="3698" u="1"/>
        <n v="8493" u="1"/>
        <n v="9470" u="1"/>
        <n v="6554" u="1"/>
        <n v="8950" u="1"/>
        <n v="6294" u="1"/>
        <n v="8430" u="1"/>
        <n v="6034" u="1"/>
        <n v="8051" u="1"/>
        <n v="9927" u="1"/>
        <n v="2918" u="1"/>
        <n v="5774" u="1"/>
        <n v="7791" u="1"/>
        <n v="9407" u="1"/>
        <n v="2788" u="1"/>
        <n v="5514" u="1"/>
        <n v="7531" u="1"/>
        <n v="2658" u="1"/>
        <n v="5254" u="1"/>
        <n v="7271" u="1"/>
        <n v="2528" u="1"/>
        <n v="4994" u="1"/>
        <n v="7011" u="1"/>
        <n v="9864" u="1"/>
        <n v="2398" u="1"/>
        <n v="4734" u="1"/>
        <n v="6751" u="1"/>
        <n v="9344" u="1"/>
        <n v="2268" u="1"/>
        <n v="4474" u="1"/>
        <n v="6491" u="1"/>
        <n v="8824" u="1"/>
        <n v="2138" u="1"/>
        <n v="4214" u="1"/>
        <n v="6231" u="1"/>
        <n v="8304" u="1"/>
        <n v="2028" u="1"/>
        <n v="4025" u="1"/>
        <n v="5971" u="1"/>
        <n v="7988" u="1"/>
        <n v="9801" u="1"/>
        <n v="1963" u="1"/>
        <n v="3895" u="1"/>
        <n v="5711" u="1"/>
        <n v="7728" u="1"/>
        <n v="9281" u="1"/>
        <n v="1898" u="1"/>
        <n v="3765" u="1"/>
        <n v="5451" u="1"/>
        <n v="7468" u="1"/>
        <n v="8761" u="1"/>
        <n v="1833" u="1"/>
        <n v="3635" u="1"/>
        <n v="5191" u="1"/>
        <n v="8241" u="1"/>
        <n v="1768" u="1"/>
        <n v="3505" u="1"/>
        <n v="1703" u="1"/>
        <n v="3375" u="1"/>
        <n v="1638" u="1"/>
        <n v="8698" u="1"/>
        <n v="1573" u="1"/>
        <n v="6168" u="1"/>
        <n v="8185" u="1"/>
        <n v="1508" u="1"/>
        <n v="5908" u="1"/>
        <n v="7925" u="1"/>
        <n v="9675" u="1"/>
        <n v="5648" u="1"/>
        <n v="7665" u="1"/>
        <n v="9155" u="1"/>
        <n v="2725" u="1"/>
        <n v="5388" u="1"/>
        <n v="7405" u="1"/>
        <n v="8635" u="1"/>
        <n v="2595" u="1"/>
        <n v="5128" u="1"/>
        <n v="7145" u="1"/>
        <n v="2465" u="1"/>
        <n v="4868" u="1"/>
        <n v="6885" u="1"/>
        <n v="9612" u="1"/>
        <n v="1183" u="1"/>
        <n v="2335" u="1"/>
        <n v="4608" u="1"/>
        <n v="6625" u="1"/>
        <n v="9092" u="1"/>
        <n v="1118" u="1"/>
        <n v="2205" u="1"/>
        <n v="4348" u="1"/>
        <n v="6365" u="1"/>
        <n v="8572" u="1"/>
        <n v="1053" u="1"/>
        <n v="2075" u="1"/>
        <n v="4092" u="1"/>
        <n v="6105" u="1"/>
        <n v="8122" u="1"/>
        <n v="1006" u="1"/>
        <n v="3962" u="1"/>
        <n v="5845" u="1"/>
        <n v="7862" u="1"/>
        <n v="9549" u="1"/>
        <n v="3832" u="1"/>
        <n v="5585" u="1"/>
        <n v="7602" u="1"/>
        <n v="9029" u="1"/>
        <n v="3702" u="1"/>
        <n v="5325" u="1"/>
        <n v="7342" u="1"/>
        <n v="8509" u="1"/>
        <n v="3572" u="1"/>
        <n v="5065" u="1"/>
        <n v="7082" u="1"/>
        <n v="3442" u="1"/>
        <n v="4805" u="1"/>
        <n v="3312" u="1"/>
        <n v="4545" u="1"/>
        <n v="3182" u="1"/>
        <n v="8059" u="1"/>
        <n v="9943" u="1"/>
        <n v="7799" u="1"/>
        <n v="9423" u="1"/>
        <n v="5522" u="1"/>
        <n v="7539" u="1"/>
        <n v="8903" u="1"/>
        <n v="5262" u="1"/>
        <n v="7279" u="1"/>
        <n v="8383" u="1"/>
        <n v="5002" u="1"/>
        <n v="7019" u="1"/>
        <n v="9880" u="1"/>
        <n v="2402" u="1"/>
        <n v="4742" u="1"/>
        <n v="6759" u="1"/>
        <n v="9360" u="1"/>
        <n v="2272" u="1"/>
        <n v="4482" u="1"/>
        <n v="6499" u="1"/>
        <n v="8840" u="1"/>
        <n v="2142" u="1"/>
        <n v="4222" u="1"/>
        <n v="6239" u="1"/>
        <n v="8320" u="1"/>
        <n v="2030" u="1"/>
        <n v="4029" u="1"/>
        <n v="5979" u="1"/>
        <n v="7996" u="1"/>
        <n v="9817" u="1"/>
        <n v="1965" u="1"/>
        <n v="3899" u="1"/>
        <n v="5719" u="1"/>
        <n v="7736" u="1"/>
        <n v="9297" u="1"/>
        <n v="1900" u="1"/>
        <n v="3769" u="1"/>
        <n v="5459" u="1"/>
        <n v="7476" u="1"/>
        <n v="8777" u="1"/>
        <n v="1835" u="1"/>
        <n v="3639" u="1"/>
        <n v="5199" u="1"/>
        <n v="7216" u="1"/>
        <n v="8257" u="1"/>
        <n v="1770" u="1"/>
        <n v="3509" u="1"/>
        <n v="4939" u="1"/>
        <n v="6956" u="1"/>
        <n v="9754" u="1"/>
        <n v="1705" u="1"/>
        <n v="3379" u="1"/>
        <n v="4679" u="1"/>
        <n v="6696" u="1"/>
        <n v="1640" u="1"/>
        <n v="3249" u="1"/>
        <n v="4419" u="1"/>
        <n v="6436" u="1"/>
        <n v="1575" u="1"/>
        <n v="3119" u="1"/>
        <n v="4159" u="1"/>
        <n v="1510" u="1"/>
        <n v="2989" u="1"/>
        <n v="9691" u="1"/>
        <n v="1445" u="1"/>
        <n v="2859" u="1"/>
        <n v="9171" u="1"/>
        <n v="1380" u="1"/>
        <n v="7413" u="1"/>
        <n v="8651" u="1"/>
        <n v="1315" u="1"/>
        <n v="5136" u="1"/>
        <n v="7153" u="1"/>
        <n v="1250" u="1"/>
        <n v="4876" u="1"/>
        <n v="6893" u="1"/>
        <n v="9628" u="1"/>
        <n v="4616" u="1"/>
        <n v="6633" u="1"/>
        <n v="9108" u="1"/>
        <n v="2209" u="1"/>
        <n v="4356" u="1"/>
        <n v="6373" u="1"/>
        <n v="8588" u="1"/>
        <n v="2079" u="1"/>
        <n v="4096" u="1"/>
        <n v="6113" u="1"/>
        <n v="8130" u="1"/>
        <n v="3966" u="1"/>
        <n v="5853" u="1"/>
        <n v="7870" u="1"/>
        <n v="3836" u="1"/>
        <n v="5593" u="1"/>
        <n v="7610" u="1"/>
        <n v="3706" u="1"/>
        <n v="5333" u="1"/>
        <n v="7350" u="1"/>
        <n v="8525" u="1"/>
        <n v="3576" u="1"/>
        <n v="5073" u="1"/>
        <n v="7090" u="1"/>
        <n v="3446" u="1"/>
        <n v="4813" u="1"/>
        <n v="6830" u="1"/>
        <n v="9502" u="1"/>
        <n v="3316" u="1"/>
        <n v="4553" u="1"/>
        <n v="6570" u="1"/>
        <n v="8982" u="1"/>
        <n v="3186" u="1"/>
        <n v="4293" u="1"/>
        <n v="6310" u="1"/>
        <n v="8462" u="1"/>
        <n v="3056" u="1"/>
        <n v="6050" u="1"/>
        <n v="9959" u="1"/>
        <n v="2926" u="1"/>
        <n v="9439" u="1"/>
        <n v="2796" u="1"/>
        <n v="8919" u="1"/>
        <n v="2666" u="1"/>
        <n v="8399" u="1"/>
        <n v="7027" u="1"/>
        <n v="9896" u="1"/>
        <n v="6767" u="1"/>
        <n v="9376" u="1"/>
        <n v="4490" u="1"/>
        <n v="6507" u="1"/>
        <n v="8856" u="1"/>
        <n v="4230" u="1"/>
        <n v="6247" u="1"/>
        <n v="8336" u="1"/>
        <n v="4033" u="1"/>
        <n v="5987" u="1"/>
        <n v="8004" u="1"/>
        <n v="1967" u="1"/>
        <n v="3903" u="1"/>
        <n v="5727" u="1"/>
        <n v="7744" u="1"/>
        <n v="1902" u="1"/>
        <n v="3773" u="1"/>
        <n v="5467" u="1"/>
        <n v="7484" u="1"/>
        <n v="1837" u="1"/>
        <n v="3643" u="1"/>
        <n v="5207" u="1"/>
        <n v="7224" u="1"/>
        <n v="1772" u="1"/>
        <n v="3513" u="1"/>
        <n v="4947" u="1"/>
        <n v="6964" u="1"/>
        <n v="9770" u="1"/>
        <n v="1707" u="1"/>
        <n v="3383" u="1"/>
        <n v="4687" u="1"/>
        <n v="6704" u="1"/>
        <n v="9250" u="1"/>
        <n v="1642" u="1"/>
        <n v="3253" u="1"/>
        <n v="4427" u="1"/>
        <n v="6444" u="1"/>
        <n v="8730" u="1"/>
        <n v="1577" u="1"/>
        <n v="3123" u="1"/>
        <n v="4167" u="1"/>
        <n v="6184" u="1"/>
        <n v="8210" u="1"/>
        <n v="1512" u="1"/>
        <n v="2993" u="1"/>
        <n v="5924" u="1"/>
        <n v="7941" u="1"/>
        <n v="9707" u="1"/>
        <n v="1447" u="1"/>
        <n v="2863" u="1"/>
        <n v="5664" u="1"/>
        <n v="9187" u="1"/>
        <n v="1382" u="1"/>
        <n v="2733" u="1"/>
        <n v="5404" u="1"/>
        <n v="8667" u="1"/>
        <n v="1317" u="1"/>
        <n v="2603" u="1"/>
        <n v="1252" u="1"/>
        <n v="2473" u="1"/>
        <n v="9644" u="1"/>
        <n v="1187" u="1"/>
        <n v="9124" u="1"/>
        <n v="1122" u="1"/>
        <n v="6381" u="1"/>
        <n v="8604" u="1"/>
        <n v="1057" u="1"/>
        <n v="4104" u="1"/>
        <n v="6121" u="1"/>
        <n v="8138" u="1"/>
        <n v="3970" u="1"/>
        <n v="5861" u="1"/>
        <n v="7878" u="1"/>
        <n v="9581" u="1"/>
        <n v="3840" u="1"/>
        <n v="5601" u="1"/>
        <n v="7618" u="1"/>
        <n v="3710" u="1"/>
        <n v="5341" u="1"/>
        <n v="7358" u="1"/>
        <n v="3580" u="1"/>
        <n v="5081" u="1"/>
        <n v="7098" u="1"/>
        <n v="3450" u="1"/>
        <n v="4821" u="1"/>
        <n v="6838" u="1"/>
        <n v="9518" u="1"/>
        <n v="3320" u="1"/>
        <n v="4561" u="1"/>
        <n v="6578" u="1"/>
        <n v="8998" u="1"/>
        <n v="3190" u="1"/>
        <n v="4301" u="1"/>
        <n v="6318" u="1"/>
        <n v="8478" u="1"/>
        <n v="3060" u="1"/>
        <n v="6058" u="1"/>
        <n v="8075" u="1"/>
        <n v="9975" u="1"/>
        <n v="2930" u="1"/>
        <n v="5798" u="1"/>
        <n v="7815" u="1"/>
        <n v="9455" u="1"/>
        <n v="2800" u="1"/>
        <n v="5538" u="1"/>
        <n v="7555" u="1"/>
        <n v="8935" u="1"/>
        <n v="2670" u="1"/>
        <n v="5278" u="1"/>
        <n v="8415" u="1"/>
        <n v="2540" u="1"/>
        <n v="5018" u="1"/>
        <n v="2410" u="1"/>
        <n v="2280" u="1"/>
        <n v="8872" u="1"/>
        <n v="2150" u="1"/>
        <n v="8352" u="1"/>
        <n v="5995" u="1"/>
        <n v="8012" u="1"/>
        <n v="9849" u="1"/>
        <n v="3907" u="1"/>
        <n v="5735" u="1"/>
        <n v="7752" u="1"/>
        <n v="9329" u="1"/>
        <n v="3777" u="1"/>
        <n v="5475" u="1"/>
        <n v="7492" u="1"/>
        <n v="8809" u="1"/>
        <n v="3647" u="1"/>
        <n v="5215" u="1"/>
        <n v="7232" u="1"/>
        <n v="1774" u="1"/>
        <n v="3517" u="1"/>
        <n v="4955" u="1"/>
        <n v="6972" u="1"/>
        <n v="9786" u="1"/>
        <n v="1709" u="1"/>
        <n v="3387" u="1"/>
        <n v="4695" u="1"/>
        <n v="6712" u="1"/>
        <n v="9266" u="1"/>
        <n v="1644" u="1"/>
        <n v="3257" u="1"/>
        <n v="4435" u="1"/>
        <n v="6452" u="1"/>
        <n v="8746" u="1"/>
        <n v="1579" u="1"/>
        <n v="3127" u="1"/>
        <n v="4175" u="1"/>
        <n v="6192" u="1"/>
        <n v="8226" u="1"/>
        <n v="1514" u="1"/>
        <n v="2997" u="1"/>
        <n v="5932" u="1"/>
        <n v="7949" u="1"/>
        <n v="9723" u="1"/>
        <n v="1449" u="1"/>
        <n v="2867" u="1"/>
        <n v="5672" u="1"/>
        <n v="7689" u="1"/>
        <n v="9203" u="1"/>
        <n v="1384" u="1"/>
        <n v="2737" u="1"/>
        <n v="5412" u="1"/>
        <n v="7429" u="1"/>
        <n v="8683" u="1"/>
        <n v="1319" u="1"/>
        <n v="2607" u="1"/>
        <n v="5152" u="1"/>
        <n v="7169" u="1"/>
        <n v="1254" u="1"/>
        <n v="2477" u="1"/>
        <n v="4892" u="1"/>
        <n v="6909" u="1"/>
        <n v="1189" u="1"/>
        <n v="2347" u="1"/>
        <n v="4632" u="1"/>
        <n v="1124" u="1"/>
        <n v="2217" u="1"/>
        <n v="1059" u="1"/>
        <n v="2087" u="1"/>
        <n v="1009" u="1"/>
        <n v="7886" u="1"/>
        <n v="9597" u="1"/>
        <n v="5609" u="1"/>
        <n v="7626" u="1"/>
        <n v="9077" u="1"/>
        <n v="5349" u="1"/>
        <n v="7366" u="1"/>
        <n v="8557" u="1"/>
        <n v="3584" u="1"/>
        <n v="5089" u="1"/>
        <n v="7106" u="1"/>
        <n v="3454" u="1"/>
        <n v="4829" u="1"/>
        <n v="6846" u="1"/>
        <n v="9534" u="1"/>
        <n v="3324" u="1"/>
        <n v="4569" u="1"/>
        <n v="6586" u="1"/>
        <n v="9014" u="1"/>
        <n v="3194" u="1"/>
        <n v="4309" u="1"/>
        <n v="6326" u="1"/>
        <n v="8494" u="1"/>
        <n v="3064" u="1"/>
        <n v="6066" u="1"/>
        <n v="8083" u="1"/>
        <n v="2934" u="1"/>
        <n v="5806" u="1"/>
        <n v="7823" u="1"/>
        <n v="9471" u="1"/>
        <n v="2804" u="1"/>
        <n v="5546" u="1"/>
        <n v="7563" u="1"/>
        <n v="8951" u="1"/>
        <n v="2674" u="1"/>
        <n v="5286" u="1"/>
        <n v="7303" u="1"/>
        <n v="8431" u="1"/>
        <n v="2544" u="1"/>
        <n v="5026" u="1"/>
        <n v="7043" u="1"/>
        <n v="9928" u="1"/>
        <n v="2414" u="1"/>
        <n v="4766" u="1"/>
        <n v="6783" u="1"/>
        <n v="9408" u="1"/>
        <n v="2284" u="1"/>
        <n v="4506" u="1"/>
        <n v="6523" u="1"/>
        <n v="2154" u="1"/>
        <n v="4246" u="1"/>
        <n v="2036" u="1"/>
        <n v="4041" u="1"/>
        <n v="9865" u="1"/>
        <n v="1971" u="1"/>
        <n v="9345" u="1"/>
        <n v="1906" u="1"/>
        <n v="7500" u="1"/>
        <n v="8825" u="1"/>
        <n v="1841" u="1"/>
        <n v="7240" u="1"/>
        <n v="8305" u="1"/>
        <n v="4963" u="1"/>
        <n v="6980" u="1"/>
        <n v="9802" u="1"/>
        <n v="3391" u="1"/>
        <n v="4703" u="1"/>
        <n v="6720" u="1"/>
        <n v="9282" u="1"/>
        <n v="3261" u="1"/>
        <n v="4443" u="1"/>
        <n v="6460" u="1"/>
        <n v="8762" u="1"/>
        <n v="3131" u="1"/>
        <n v="4183" u="1"/>
        <n v="6200" u="1"/>
        <n v="8242" u="1"/>
        <n v="1516" u="1"/>
        <n v="3001" u="1"/>
        <n v="5940" u="1"/>
        <n v="7957" u="1"/>
        <n v="1451" u="1"/>
        <n v="2871" u="1"/>
        <n v="5680" u="1"/>
        <n v="7697" u="1"/>
        <n v="1386" u="1"/>
        <n v="2741" u="1"/>
        <n v="5420" u="1"/>
        <n v="7437" u="1"/>
        <n v="8699" u="1"/>
        <n v="1321" u="1"/>
        <n v="2611" u="1"/>
        <n v="5160" u="1"/>
        <n v="7177" u="1"/>
        <n v="1256" u="1"/>
        <n v="2481" u="1"/>
        <n v="4900" u="1"/>
        <n v="6917" u="1"/>
        <n v="9676" u="1"/>
        <n v="1191" u="1"/>
        <n v="2351" u="1"/>
        <n v="4640" u="1"/>
        <n v="6657" u="1"/>
        <n v="9156" u="1"/>
        <n v="1126" u="1"/>
        <n v="2221" u="1"/>
        <n v="4380" u="1"/>
        <n v="6397" u="1"/>
        <n v="8636" u="1"/>
        <n v="1061" u="1"/>
        <n v="2091" u="1"/>
        <n v="4120" u="1"/>
        <n v="6137" u="1"/>
        <n v="1010" u="1"/>
        <n v="3978" u="1"/>
        <n v="5877" u="1"/>
        <n v="9613" u="1"/>
        <n v="3848" u="1"/>
        <n v="9093" u="1"/>
        <n v="8573" u="1"/>
        <n v="6854" u="1"/>
        <n v="9550" u="1"/>
        <n v="4577" u="1"/>
        <n v="6594" u="1"/>
        <n v="9030" u="1"/>
        <n v="4317" u="1"/>
        <n v="6334" u="1"/>
        <n v="8510" u="1"/>
        <n v="3068" u="1"/>
        <n v="6074" u="1"/>
        <n v="8091" u="1"/>
        <n v="2938" u="1"/>
        <n v="5814" u="1"/>
        <n v="7831" u="1"/>
        <n v="2808" u="1"/>
        <n v="5554" u="1"/>
        <n v="7571" u="1"/>
        <n v="2678" u="1"/>
        <n v="5294" u="1"/>
        <n v="7311" u="1"/>
        <n v="2548" u="1"/>
        <n v="5034" u="1"/>
        <n v="7051" u="1"/>
        <n v="9944" u="1"/>
        <n v="2418" u="1"/>
        <n v="4774" u="1"/>
        <n v="6791" u="1"/>
        <n v="9424" u="1"/>
        <n v="2288" u="1"/>
        <n v="4514" u="1"/>
        <n v="6531" u="1"/>
        <n v="8904" u="1"/>
        <n v="2158" u="1"/>
        <n v="4254" u="1"/>
        <n v="6271" u="1"/>
        <n v="8384" u="1"/>
        <n v="2038" u="1"/>
        <n v="4045" u="1"/>
        <n v="6011" u="1"/>
        <n v="8028" u="1"/>
        <n v="9881" u="1"/>
        <n v="1973" u="1"/>
        <n v="3915" u="1"/>
        <n v="5751" u="1"/>
        <n v="7768" u="1"/>
        <n v="9361" u="1"/>
        <n v="1908" u="1"/>
        <n v="3785" u="1"/>
        <n v="5491" u="1"/>
        <n v="8841" u="1"/>
        <n v="1843" u="1"/>
        <n v="3655" u="1"/>
        <n v="8321" u="1"/>
        <n v="1778" u="1"/>
        <n v="1713" u="1"/>
        <n v="9298" u="1"/>
        <n v="1648" u="1"/>
        <n v="6468" u="1"/>
        <n v="8778" u="1"/>
        <n v="6208" u="1"/>
        <n v="8258" u="1"/>
        <n v="5948" u="1"/>
        <n v="7965" u="1"/>
        <n v="9755" u="1"/>
        <n v="2875" u="1"/>
        <n v="5688" u="1"/>
        <n v="7705" u="1"/>
        <n v="9235" u="1"/>
        <n v="2745" u="1"/>
        <n v="5428" u="1"/>
        <n v="7445" u="1"/>
        <n v="2615" u="1"/>
        <n v="5168" u="1"/>
        <n v="7185" u="1"/>
        <n v="1258" u="1"/>
        <n v="2485" u="1"/>
        <n v="4908" u="1"/>
        <n v="6925" u="1"/>
        <n v="9692" u="1"/>
        <n v="1193" u="1"/>
        <n v="2355" u="1"/>
        <n v="4648" u="1"/>
        <n v="6665" u="1"/>
        <n v="9172" u="1"/>
        <n v="1128" u="1"/>
        <n v="2225" u="1"/>
        <n v="4388" u="1"/>
        <n v="6405" u="1"/>
        <n v="8652" u="1"/>
        <n v="1063" u="1"/>
        <n v="2095" u="1"/>
        <n v="4128" u="1"/>
        <n v="6145" u="1"/>
        <n v="8162" u="1"/>
        <n v="1011" u="1"/>
        <n v="3982" u="1"/>
        <n v="5885" u="1"/>
        <n v="7902" u="1"/>
        <n v="9629" u="1"/>
        <n v="3852" u="1"/>
        <n v="5625" u="1"/>
        <n v="7642" u="1"/>
        <n v="9109" u="1"/>
        <n v="3722" u="1"/>
        <n v="5365" u="1"/>
        <n v="7382" u="1"/>
        <n v="8589" u="1"/>
        <n v="3592" u="1"/>
        <n v="5105" u="1"/>
        <n v="3462" u="1"/>
        <n v="3332" u="1"/>
        <n v="8526" u="1"/>
        <n v="6082" u="1"/>
        <n v="8099" u="1"/>
        <n v="5822" u="1"/>
        <n v="7839" u="1"/>
        <n v="9503" u="1"/>
        <n v="5562" u="1"/>
        <n v="7579" u="1"/>
        <n v="8983" u="1"/>
        <n v="2682" u="1"/>
        <n v="5302" u="1"/>
        <n v="7319" u="1"/>
        <n v="8463" u="1"/>
        <n v="2552" u="1"/>
        <n v="5042" u="1"/>
        <n v="7059" u="1"/>
        <n v="9960" u="1"/>
        <n v="2422" u="1"/>
        <n v="4782" u="1"/>
        <n v="6799" u="1"/>
        <n v="9440" u="1"/>
        <n v="2292" u="1"/>
        <n v="4522" u="1"/>
        <n v="6539" u="1"/>
        <n v="8920" u="1"/>
        <n v="2162" u="1"/>
        <n v="4262" u="1"/>
        <n v="6279" u="1"/>
        <n v="8400" u="1"/>
        <n v="2040" u="1"/>
        <n v="4049" u="1"/>
        <n v="6019" u="1"/>
        <n v="8036" u="1"/>
        <n v="9897" u="1"/>
        <n v="1975" u="1"/>
        <n v="3919" u="1"/>
        <n v="5759" u="1"/>
        <n v="7776" u="1"/>
        <n v="9377" u="1"/>
        <n v="1910" u="1"/>
        <n v="3789" u="1"/>
        <n v="5499" u="1"/>
        <n v="7516" u="1"/>
        <n v="8857" u="1"/>
        <n v="1845" u="1"/>
        <n v="3659" u="1"/>
        <n v="5239" u="1"/>
        <n v="7256" u="1"/>
        <n v="8337" u="1"/>
        <n v="1780" u="1"/>
        <n v="3529" u="1"/>
        <n v="4979" u="1"/>
        <n v="6996" u="1"/>
        <n v="1715" u="1"/>
        <n v="3399" u="1"/>
        <n v="4719" u="1"/>
        <n v="1650" u="1"/>
        <n v="3269" u="1"/>
        <n v="4459" u="1"/>
        <n v="1585" u="1"/>
        <n v="3139" u="1"/>
        <n v="1520" u="1"/>
        <n v="7973" u="1"/>
        <n v="9771" u="1"/>
        <n v="1455" u="1"/>
        <n v="7713" u="1"/>
        <n v="9251" u="1"/>
        <n v="1390" u="1"/>
        <n v="5436" u="1"/>
        <n v="7453" u="1"/>
        <n v="8731" u="1"/>
        <n v="5176" u="1"/>
        <n v="7193" u="1"/>
        <n v="8211" u="1"/>
        <n v="4916" u="1"/>
        <n v="6933" u="1"/>
        <n v="9708" u="1"/>
        <n v="2359" u="1"/>
        <n v="4656" u="1"/>
        <n v="6673" u="1"/>
        <n v="9188" u="1"/>
        <n v="2229" u="1"/>
        <n v="4396" u="1"/>
        <n v="6413" u="1"/>
        <n v="8668" u="1"/>
        <n v="2099" u="1"/>
        <n v="4136" u="1"/>
        <n v="6153" u="1"/>
        <n v="8170" u="1"/>
        <n v="1012" u="1"/>
        <n v="3986" u="1"/>
        <n v="5893" u="1"/>
        <n v="7910" u="1"/>
        <n v="9645" u="1"/>
        <n v="3856" u="1"/>
        <n v="5633" u="1"/>
        <n v="7650" u="1"/>
        <n v="9125" u="1"/>
        <n v="3726" u="1"/>
        <n v="5373" u="1"/>
        <n v="7390" u="1"/>
        <n v="8605" u="1"/>
        <n v="3596" u="1"/>
        <n v="5113" u="1"/>
        <n v="7130" u="1"/>
        <n v="3466" u="1"/>
        <n v="4853" u="1"/>
        <n v="6870" u="1"/>
        <n v="9582" u="1"/>
        <n v="3336" u="1"/>
        <n v="4593" u="1"/>
        <n v="6610" u="1"/>
        <n v="3206" u="1"/>
        <n v="4333" u="1"/>
        <n v="6350" u="1"/>
        <n v="3076" u="1"/>
        <n v="2946" u="1"/>
        <n v="9519" u="1"/>
        <n v="2816" u="1"/>
        <n v="8999" u="1"/>
        <n v="7327" u="1"/>
        <n v="8479" u="1"/>
        <n v="5050" u="1"/>
        <n v="7067" u="1"/>
        <n v="9976" u="1"/>
        <n v="4790" u="1"/>
        <n v="6807" u="1"/>
        <n v="9456" u="1"/>
        <n v="4530" u="1"/>
        <n v="6547" u="1"/>
        <n v="8936" u="1"/>
        <n v="2166" u="1"/>
        <n v="4270" u="1"/>
        <n v="6287" u="1"/>
        <n v="8416" u="1"/>
        <n v="2042" u="1"/>
        <n v="4053" u="1"/>
        <n v="6027" u="1"/>
        <n v="8044" u="1"/>
        <n v="1977" u="1"/>
        <n v="3923" u="1"/>
        <n v="5767" u="1"/>
        <n v="7784" u="1"/>
        <n v="1912" u="1"/>
        <n v="3793" u="1"/>
        <n v="5507" u="1"/>
        <n v="7524" u="1"/>
        <n v="1847" u="1"/>
        <n v="3663" u="1"/>
        <n v="5247" u="1"/>
        <n v="7264" u="1"/>
        <n v="8353" u="1"/>
        <n v="1782" u="1"/>
        <n v="3533" u="1"/>
        <n v="4987" u="1"/>
        <n v="7004" u="1"/>
        <n v="9850" u="1"/>
        <n v="1717" u="1"/>
        <n v="3403" u="1"/>
        <n v="4727" u="1"/>
        <n v="6744" u="1"/>
        <n v="9330" u="1"/>
        <n v="1652" u="1"/>
        <n v="3273" u="1"/>
        <n v="4467" u="1"/>
        <n v="6484" u="1"/>
        <n v="8810" u="1"/>
        <n v="1587" u="1"/>
        <n v="3143" u="1"/>
        <n v="4207" u="1"/>
        <n v="6224" u="1"/>
        <n v="8290" u="1"/>
        <n v="1522" u="1"/>
        <n v="3013" u="1"/>
        <n v="5964" u="1"/>
        <n v="9787" u="1"/>
        <n v="1457" u="1"/>
        <n v="2883" u="1"/>
        <n v="9267" u="1"/>
        <n v="1392" u="1"/>
        <n v="2753" u="1"/>
        <n v="8747" u="1"/>
        <n v="1327" u="1"/>
        <n v="2623" u="1"/>
        <n v="8227" u="1"/>
        <n v="1262" u="1"/>
        <n v="6941" u="1"/>
        <n v="9724" u="1"/>
        <n v="1197" u="1"/>
        <n v="6681" u="1"/>
        <n v="9204" u="1"/>
        <n v="1132" u="1"/>
        <n v="4404" u="1"/>
        <n v="6421" u="1"/>
        <n v="8684" u="1"/>
        <n v="4144" u="1"/>
        <n v="6161" u="1"/>
        <n v="8178" u="1"/>
        <n v="3990" u="1"/>
        <n v="5901" u="1"/>
        <n v="7918" u="1"/>
        <n v="3860" u="1"/>
        <n v="5641" u="1"/>
        <n v="7658" u="1"/>
        <n v="3730" u="1"/>
        <n v="5381" u="1"/>
        <n v="7398" u="1"/>
        <n v="3600" u="1"/>
        <n v="5121" u="1"/>
        <n v="7138" u="1"/>
        <n v="3470" u="1"/>
        <n v="4861" u="1"/>
        <n v="6878" u="1"/>
        <n v="9598" u="1"/>
        <n v="3340" u="1"/>
        <n v="4601" u="1"/>
        <n v="6618" u="1"/>
        <n v="9078" u="1"/>
        <n v="3210" u="1"/>
        <n v="4341" u="1"/>
        <n v="6358" u="1"/>
        <n v="8558" u="1"/>
        <n v="3080" u="1"/>
        <n v="6098" u="1"/>
        <n v="8115" u="1"/>
        <n v="2950" u="1"/>
        <n v="5838" u="1"/>
        <n v="7855" u="1"/>
        <n v="9535" u="1"/>
        <n v="2820" u="1"/>
        <n v="5578" u="1"/>
        <n v="9015" u="1"/>
        <n v="2690" u="1"/>
        <n v="5318" u="1"/>
        <n v="8495" u="1"/>
        <n v="2560" u="1"/>
        <n v="2430" u="1"/>
        <n v="9472" u="1"/>
        <n v="8952" u="1"/>
        <n v="6295" u="1"/>
        <n v="8432" u="1"/>
        <n v="4057" u="1"/>
        <n v="6035" u="1"/>
        <n v="8052" u="1"/>
        <n v="9929" u="1"/>
        <n v="3927" u="1"/>
        <n v="5775" u="1"/>
        <n v="7792" u="1"/>
        <n v="9409" u="1"/>
        <n v="3797" u="1"/>
        <n v="5515" u="1"/>
        <n v="7532" u="1"/>
        <n v="1849" u="1"/>
        <n v="3667" u="1"/>
        <n v="5255" u="1"/>
        <n v="7272" u="1"/>
        <n v="1784" u="1"/>
        <n v="3537" u="1"/>
        <n v="4995" u="1"/>
        <n v="7012" u="1"/>
        <n v="9866" u="1"/>
        <n v="1719" u="1"/>
        <n v="3407" u="1"/>
        <n v="4735" u="1"/>
        <n v="6752" u="1"/>
        <n v="9346" u="1"/>
        <n v="1654" u="1"/>
        <n v="3277" u="1"/>
        <n v="4475" u="1"/>
        <n v="6492" u="1"/>
        <n v="8826" u="1"/>
        <n v="1589" u="1"/>
        <n v="3147" u="1"/>
        <n v="4215" u="1"/>
        <n v="6232" u="1"/>
        <n v="8306" u="1"/>
        <n v="1524" u="1"/>
        <n v="3017" u="1"/>
        <n v="5972" u="1"/>
        <n v="7989" u="1"/>
        <n v="9803" u="1"/>
        <n v="1459" u="1"/>
        <n v="2887" u="1"/>
        <n v="5712" u="1"/>
        <n v="7729" u="1"/>
        <n v="9283" u="1"/>
        <n v="1394" u="1"/>
        <n v="2757" u="1"/>
        <n v="5452" u="1"/>
        <n v="7469" u="1"/>
        <n v="8763" u="1"/>
        <n v="1329" u="1"/>
        <n v="2627" u="1"/>
        <n v="5192" u="1"/>
        <n v="8243" u="1"/>
        <n v="1264" u="1"/>
        <n v="2497" u="1"/>
        <n v="4932" u="1"/>
        <n v="1199" u="1"/>
        <n v="2367" u="1"/>
        <n v="1134" u="1"/>
        <n v="2237" u="1"/>
        <n v="8700" u="1"/>
        <n v="1069" u="1"/>
        <n v="2107" u="1"/>
        <n v="8186" u="1"/>
        <n v="1014" u="1"/>
        <n v="5909" u="1"/>
        <n v="7926" u="1"/>
        <n v="9677" u="1"/>
        <n v="3864" u="1"/>
        <n v="5649" u="1"/>
        <n v="7666" u="1"/>
        <n v="9157" u="1"/>
        <n v="3734" u="1"/>
        <n v="5389" u="1"/>
        <n v="7406" u="1"/>
        <n v="8637" u="1"/>
        <n v="3604" u="1"/>
        <n v="5129" u="1"/>
        <n v="7146" u="1"/>
        <n v="3474" u="1"/>
        <n v="4869" u="1"/>
        <n v="6886" u="1"/>
        <n v="9614" u="1"/>
        <n v="3344" u="1"/>
        <n v="4609" u="1"/>
        <n v="6626" u="1"/>
        <n v="9094" u="1"/>
        <n v="3214" u="1"/>
        <n v="4349" u="1"/>
        <n v="6366" u="1"/>
        <n v="8574" u="1"/>
        <n v="3084" u="1"/>
        <n v="6106" u="1"/>
        <n v="8123" u="1"/>
        <n v="2954" u="1"/>
        <n v="5846" u="1"/>
        <n v="7863" u="1"/>
        <n v="9551" u="1"/>
        <n v="2824" u="1"/>
        <n v="5586" u="1"/>
        <n v="7603" u="1"/>
        <n v="9031" u="1"/>
        <n v="2694" u="1"/>
        <n v="5326" u="1"/>
        <n v="7343" u="1"/>
        <n v="8511" u="1"/>
        <n v="2564" u="1"/>
        <n v="5066" u="1"/>
        <n v="7083" u="1"/>
        <n v="2434" u="1"/>
        <n v="4806" u="1"/>
        <n v="6823" u="1"/>
        <n v="2304" u="1"/>
        <n v="4546" u="1"/>
        <n v="2174" u="1"/>
        <n v="2046" u="1"/>
        <n v="9945" u="1"/>
        <n v="1981" u="1"/>
        <n v="7800" u="1"/>
        <n v="9425" u="1"/>
        <n v="5523" u="1"/>
        <n v="7540" u="1"/>
        <n v="8905" u="1"/>
        <n v="5263" u="1"/>
        <n v="7280" u="1"/>
        <n v="8385" u="1"/>
        <n v="3541" u="1"/>
        <n v="5003" u="1"/>
        <n v="7020" u="1"/>
        <n v="9882" u="1"/>
        <n v="3411" u="1"/>
        <n v="4743" u="1"/>
        <n v="6760" u="1"/>
        <n v="9362" u="1"/>
        <n v="3281" u="1"/>
        <n v="4483" u="1"/>
        <n v="6500" u="1"/>
        <n v="8842" u="1"/>
        <n v="1591" u="1"/>
        <n v="3151" u="1"/>
        <n v="4223" u="1"/>
        <n v="6240" u="1"/>
        <n v="8322" u="1"/>
        <n v="1526" u="1"/>
        <n v="3021" u="1"/>
        <n v="5980" u="1"/>
        <n v="7997" u="1"/>
        <n v="1461" u="1"/>
        <n v="2891" u="1"/>
        <n v="5720" u="1"/>
        <n v="7737" u="1"/>
        <n v="9299" u="1"/>
        <n v="1396" u="1"/>
        <n v="2761" u="1"/>
        <n v="5460" u="1"/>
        <n v="7477" u="1"/>
        <n v="8779" u="1"/>
        <n v="1331" u="1"/>
        <n v="2631" u="1"/>
        <n v="5200" u="1"/>
        <n v="7217" u="1"/>
        <n v="8259" u="1"/>
        <n v="1266" u="1"/>
        <n v="2501" u="1"/>
        <n v="4940" u="1"/>
        <n v="6957" u="1"/>
        <n v="9756" u="1"/>
        <n v="1201" u="1"/>
        <n v="2371" u="1"/>
        <n v="4680" u="1"/>
        <n v="6697" u="1"/>
        <n v="9236" u="1"/>
        <n v="1136" u="1"/>
        <n v="2241" u="1"/>
        <n v="4420" u="1"/>
        <n v="6437" u="1"/>
        <n v="1071" u="1"/>
        <n v="2111" u="1"/>
        <n v="4160" u="1"/>
        <n v="1015" u="1"/>
        <n v="3998" u="1"/>
        <n v="9693" u="1"/>
        <n v="9173" u="1"/>
        <n v="7414" u="1"/>
        <n v="8653" u="1"/>
        <n v="7154" u="1"/>
        <n v="4877" u="1"/>
        <n v="6894" u="1"/>
        <n v="9630" u="1"/>
        <n v="3348" u="1"/>
        <n v="4617" u="1"/>
        <n v="6634" u="1"/>
        <n v="9110" u="1"/>
        <n v="3218" u="1"/>
        <n v="4357" u="1"/>
        <n v="6374" u="1"/>
        <n v="8590" u="1"/>
        <n v="3088" u="1"/>
        <n v="4097" u="1"/>
        <n v="6114" u="1"/>
        <n v="8131" u="1"/>
        <n v="2958" u="1"/>
        <n v="5854" u="1"/>
        <n v="7871" u="1"/>
        <n v="2828" u="1"/>
        <n v="5594" u="1"/>
        <n v="7611" u="1"/>
        <n v="2698" u="1"/>
        <n v="5334" u="1"/>
        <n v="7351" u="1"/>
        <n v="8527" u="1"/>
        <n v="2568" u="1"/>
        <n v="5074" u="1"/>
        <n v="7091" u="1"/>
        <n v="2438" u="1"/>
        <n v="4814" u="1"/>
        <n v="6831" u="1"/>
        <n v="9504" u="1"/>
        <n v="2308" u="1"/>
        <n v="4554" u="1"/>
        <n v="6571" u="1"/>
        <n v="8984" u="1"/>
        <n v="2178" u="1"/>
        <n v="4294" u="1"/>
        <n v="6311" u="1"/>
        <n v="8464" u="1"/>
        <n v="2048" u="1"/>
        <n v="4065" u="1"/>
        <n v="6051" u="1"/>
        <n v="9961" u="1"/>
        <n v="1983" u="1"/>
        <n v="3935" u="1"/>
        <n v="5791" u="1"/>
        <n v="9441" u="1"/>
        <n v="1918" u="1"/>
        <n v="3805" u="1"/>
        <n v="8921" u="1"/>
        <n v="1853" u="1"/>
        <n v="8401" u="1"/>
        <n v="1788" u="1"/>
        <n v="9898" u="1"/>
        <n v="1723" u="1"/>
        <n v="6768" u="1"/>
        <n v="9378" u="1"/>
        <n v="4491" u="1"/>
        <n v="6508" u="1"/>
        <n v="8858" u="1"/>
        <n v="4231" u="1"/>
        <n v="6248" u="1"/>
        <n v="8338" u="1"/>
        <n v="3025" u="1"/>
        <n v="5988" u="1"/>
        <n v="8005" u="1"/>
        <n v="2895" u="1"/>
        <n v="5728" u="1"/>
        <n v="7745" u="1"/>
        <n v="1398" u="1"/>
        <n v="2765" u="1"/>
        <n v="5468" u="1"/>
        <n v="7485" u="1"/>
        <n v="1333" u="1"/>
        <n v="2635" u="1"/>
        <n v="5208" u="1"/>
        <n v="7225" u="1"/>
        <n v="1268" u="1"/>
        <n v="2505" u="1"/>
        <n v="4948" u="1"/>
        <n v="6965" u="1"/>
        <n v="9772" u="1"/>
        <n v="1203" u="1"/>
        <n v="2375" u="1"/>
        <n v="4688" u="1"/>
        <n v="6705" u="1"/>
        <n v="9252" u="1"/>
        <n v="1138" u="1"/>
        <n v="2245" u="1"/>
        <n v="4428" u="1"/>
        <n v="6445" u="1"/>
        <n v="8732" u="1"/>
        <n v="1073" u="1"/>
        <n v="2115" u="1"/>
        <n v="4168" u="1"/>
        <n v="6185" u="1"/>
        <n v="8212" u="1"/>
        <n v="1016" u="1"/>
        <n v="4002" u="1"/>
        <n v="5925" u="1"/>
        <n v="7942" u="1"/>
        <n v="9709" u="1"/>
        <n v="3872" u="1"/>
        <n v="5665" u="1"/>
        <n v="7682" u="1"/>
        <n v="9189" u="1"/>
        <n v="3742" u="1"/>
        <n v="5405" u="1"/>
        <n v="8669" u="1"/>
        <n v="3612" u="1"/>
        <n v="9126" u="1"/>
        <n v="6382" u="1"/>
        <n v="8606" u="1"/>
        <n v="4105" u="1"/>
        <n v="6122" u="1"/>
        <n v="8139" u="1"/>
        <n v="5862" u="1"/>
        <n v="7879" u="1"/>
        <n v="9583" u="1"/>
        <n v="2832" u="1"/>
        <n v="5602" u="1"/>
        <n v="7619" u="1"/>
        <n v="9063" u="1"/>
        <n v="2702" u="1"/>
        <n v="5342" u="1"/>
        <n v="7359" u="1"/>
        <n v="2572" u="1"/>
        <n v="5082" u="1"/>
        <n v="7099" u="1"/>
        <n v="2442" u="1"/>
        <n v="4822" u="1"/>
        <n v="6839" u="1"/>
        <n v="9520" u="1"/>
        <n v="2312" u="1"/>
        <n v="4562" u="1"/>
        <n v="6579" u="1"/>
        <n v="9000" u="1"/>
        <n v="2182" u="1"/>
        <n v="4302" u="1"/>
        <n v="6319" u="1"/>
        <n v="8480" u="1"/>
        <n v="2052" u="1"/>
        <n v="4069" u="1"/>
        <n v="6059" u="1"/>
        <n v="8076" u="1"/>
        <n v="9977" u="1"/>
        <n v="1985" u="1"/>
        <n v="3939" u="1"/>
        <n v="5799" u="1"/>
        <n v="7816" u="1"/>
        <n v="9457" u="1"/>
        <n v="1920" u="1"/>
        <n v="3809" u="1"/>
        <n v="5539" u="1"/>
        <n v="7556" u="1"/>
        <n v="8937" u="1"/>
        <n v="1855" u="1"/>
        <n v="3679" u="1"/>
        <n v="5279" u="1"/>
        <n v="7296" u="1"/>
        <n v="8417" u="1"/>
        <n v="1790" u="1"/>
        <n v="3549" u="1"/>
        <n v="5019" u="1"/>
        <n v="1725" u="1"/>
        <n v="3419" u="1"/>
        <n v="1660" u="1"/>
        <n v="3289" u="1"/>
        <n v="1595" u="1"/>
        <n v="8354" u="1"/>
        <n v="1530" u="1"/>
        <n v="5996" u="1"/>
        <n v="8013" u="1"/>
        <n v="9851" u="1"/>
        <n v="1465" u="1"/>
        <n v="5736" u="1"/>
        <n v="7753" u="1"/>
        <n v="9331" u="1"/>
        <n v="5476" u="1"/>
        <n v="7493" u="1"/>
        <n v="8811" u="1"/>
        <n v="2639" u="1"/>
        <n v="5216" u="1"/>
        <n v="7233" u="1"/>
        <n v="8291" u="1"/>
        <n v="2509" u="1"/>
        <n v="4956" u="1"/>
        <n v="6973" u="1"/>
        <n v="9788" u="1"/>
        <n v="2379" u="1"/>
        <n v="4696" u="1"/>
        <n v="6713" u="1"/>
        <n v="9268" u="1"/>
        <n v="1140" u="1"/>
        <n v="2249" u="1"/>
        <n v="4436" u="1"/>
        <n v="6453" u="1"/>
        <n v="8748" u="1"/>
        <n v="1075" u="1"/>
        <n v="2119" u="1"/>
        <n v="4176" u="1"/>
        <n v="6193" u="1"/>
        <n v="8228" u="1"/>
        <n v="1017" u="1"/>
        <n v="4006" u="1"/>
        <n v="5933" u="1"/>
        <n v="7950" u="1"/>
        <n v="9725" u="1"/>
        <n v="3876" u="1"/>
        <n v="5673" u="1"/>
        <n v="7690" u="1"/>
        <n v="9205" u="1"/>
        <n v="3746" u="1"/>
        <n v="5413" u="1"/>
        <n v="7430" u="1"/>
        <n v="8685" u="1"/>
        <n v="3616" u="1"/>
        <n v="5153" u="1"/>
        <n v="7170" u="1"/>
        <n v="3486" u="1"/>
        <n v="4893" u="1"/>
        <n v="6910" u="1"/>
        <n v="3356" u="1"/>
        <n v="4633" u="1"/>
        <n v="3226" u="1"/>
        <n v="4373" u="1"/>
        <n v="3096" u="1"/>
        <n v="7887" u="1"/>
        <n v="9599" u="1"/>
        <n v="7627" u="1"/>
        <n v="9079" u="1"/>
        <n v="5350" u="1"/>
        <n v="7367" u="1"/>
        <n v="8559" u="1"/>
        <n v="5090" u="1"/>
        <n v="7107" u="1"/>
        <n v="4830" u="1"/>
        <n v="6847" u="1"/>
        <n v="9536" u="1"/>
        <n v="2316" u="1"/>
        <n v="4570" u="1"/>
        <n v="6587" u="1"/>
        <n v="9016" u="1"/>
        <n v="2186" u="1"/>
        <n v="4310" u="1"/>
        <n v="6327" u="1"/>
        <n v="8496" u="1"/>
        <n v="2056" u="1"/>
        <n v="4073" u="1"/>
        <n v="6067" u="1"/>
        <n v="8084" u="1"/>
        <n v="1987" u="1"/>
        <n v="3943" u="1"/>
        <n v="5807" u="1"/>
        <n v="7824" u="1"/>
        <n v="9473" u="1"/>
        <n v="1922" u="1"/>
        <n v="3813" u="1"/>
        <n v="5547" u="1"/>
        <n v="7564" u="1"/>
        <n v="8953" u="1"/>
        <n v="1857" u="1"/>
        <n v="3683" u="1"/>
        <n v="5287" u="1"/>
        <n v="7304" u="1"/>
        <n v="8433" u="1"/>
        <n v="1792" u="1"/>
        <n v="3553" u="1"/>
        <n v="5027" u="1"/>
        <n v="7044" u="1"/>
        <n v="9930" u="1"/>
        <n v="1727" u="1"/>
        <n v="3423" u="1"/>
        <n v="4767" u="1"/>
        <n v="6784" u="1"/>
        <n v="9410" u="1"/>
        <n v="1662" u="1"/>
        <n v="3293" u="1"/>
        <n v="4507" u="1"/>
        <n v="6524" u="1"/>
        <n v="1597" u="1"/>
        <n v="3163" u="1"/>
        <n v="4247" u="1"/>
        <n v="6264" u="1"/>
        <n v="1532" u="1"/>
        <n v="3033" u="1"/>
        <n v="9867" u="1"/>
        <n v="1467" u="1"/>
        <n v="2903" u="1"/>
        <n v="9347" u="1"/>
        <n v="1402" u="1"/>
        <n v="2773" u="1"/>
        <n v="8827" u="1"/>
        <n v="1337" u="1"/>
        <n v="7241" u="1"/>
        <n v="8307" u="1"/>
        <n v="1272" u="1"/>
        <n v="4964" u="1"/>
        <n v="6981" u="1"/>
        <n v="9804" u="1"/>
        <n v="1207" u="1"/>
        <n v="4704" u="1"/>
        <n v="6721" u="1"/>
        <n v="9284" u="1"/>
        <n v="4444" u="1"/>
        <n v="6461" u="1"/>
        <n v="8764" u="1"/>
        <n v="2123" u="1"/>
        <n v="4184" u="1"/>
        <n v="6201" u="1"/>
        <n v="8244" u="1"/>
        <n v="4010" u="1"/>
        <n v="5941" u="1"/>
        <n v="7958" u="1"/>
        <n v="3880" u="1"/>
        <n v="5681" u="1"/>
        <n v="7698" u="1"/>
        <n v="3750" u="1"/>
        <n v="5421" u="1"/>
        <n v="7438" u="1"/>
        <n v="3620" u="1"/>
        <n v="5161" u="1"/>
        <n v="7178" u="1"/>
        <n v="3490" u="1"/>
        <n v="4901" u="1"/>
        <n v="6918" u="1"/>
        <n v="9678" u="1"/>
        <n v="3360" u="1"/>
        <n v="4641" u="1"/>
        <n v="6658" u="1"/>
        <n v="9158" u="1"/>
        <n v="3230" u="1"/>
        <n v="4381" u="1"/>
        <n v="6398" u="1"/>
        <n v="8638" u="1"/>
        <n v="3100" u="1"/>
        <n v="4121" u="1"/>
        <n v="6138" u="1"/>
        <n v="8155" u="1"/>
        <n v="2970" u="1"/>
        <n v="5878" u="1"/>
        <n v="9615" u="1"/>
        <n v="2840" u="1"/>
        <n v="9095" u="1"/>
        <n v="2710" u="1"/>
        <n v="8575" u="1"/>
        <n v="2580" u="1"/>
        <n v="6855" u="1"/>
        <n v="9552" u="1"/>
        <n v="6595" u="1"/>
        <n v="9032" u="1"/>
        <n v="4318" u="1"/>
        <n v="6335" u="1"/>
        <n v="8512" u="1"/>
        <n v="4077" u="1"/>
        <n v="6075" u="1"/>
        <n v="8092" u="1"/>
        <n v="3947" u="1"/>
        <n v="5815" u="1"/>
        <n v="7832" u="1"/>
        <n v="1924" u="1"/>
        <n v="3817" u="1"/>
        <n v="5555" u="1"/>
        <n v="7572" u="1"/>
        <n v="1859" u="1"/>
        <n v="3687" u="1"/>
        <n v="5295" u="1"/>
        <n v="7312" u="1"/>
        <n v="1794" u="1"/>
        <n v="3557" u="1"/>
        <n v="5035" u="1"/>
        <n v="7052" u="1"/>
        <n v="9946" u="1"/>
        <n v="1729" u="1"/>
        <n v="3427" u="1"/>
        <n v="4775" u="1"/>
        <n v="6792" u="1"/>
        <n v="9426" u="1"/>
        <n v="1664" u="1"/>
        <n v="3297" u="1"/>
        <n v="4515" u="1"/>
        <n v="6532" u="1"/>
        <n v="8906" u="1"/>
        <n v="1599" u="1"/>
        <n v="3167" u="1"/>
        <n v="4255" u="1"/>
        <n v="6272" u="1"/>
        <n v="8386" u="1"/>
        <n v="1534" u="1"/>
        <n v="3037" u="1"/>
        <n v="6012" u="1"/>
        <n v="8029" u="1"/>
        <n v="9883" u="1"/>
        <n v="1469" u="1"/>
        <n v="2907" u="1"/>
        <n v="5752" u="1"/>
        <n v="7769" u="1"/>
        <n v="9363" u="1"/>
        <n v="1404" u="1"/>
        <n v="2777" u="1"/>
        <n v="5492" u="1"/>
        <n v="8843" u="1"/>
        <n v="1339" u="1"/>
        <n v="2647" u="1"/>
        <n v="8323" u="1"/>
        <n v="1274" u="1"/>
        <n v="2517" u="1"/>
        <n v="1209" u="1"/>
        <n v="2387" u="1"/>
        <n v="9300" u="1"/>
        <n v="1144" u="1"/>
        <n v="8780" u="1"/>
        <n v="1079" u="1"/>
        <n v="6209" u="1"/>
        <n v="8260" u="1"/>
        <n v="1019" u="1"/>
        <n v="4014" u="1"/>
        <n v="5949" u="1"/>
        <n v="7966" u="1"/>
        <n v="9757" u="1"/>
        <n v="3884" u="1"/>
        <n v="5689" u="1"/>
        <n v="7706" u="1"/>
        <n v="9237" u="1"/>
        <n v="3754" u="1"/>
        <n v="5429" u="1"/>
        <n v="7446" u="1"/>
        <n v="3624" u="1"/>
        <n v="5169" u="1"/>
        <n v="7186" u="1"/>
        <n v="3494" u="1"/>
        <n v="4909" u="1"/>
        <n v="6926" u="1"/>
        <n v="9694" u="1"/>
        <n v="3364" u="1"/>
        <n v="4649" u="1"/>
        <n v="6666" u="1"/>
        <n v="9174" u="1"/>
        <n v="3234" u="1"/>
        <n v="4389" u="1"/>
        <n v="6406" u="1"/>
        <n v="8654" u="1"/>
        <n v="3104" u="1"/>
        <n v="4129" u="1"/>
        <n v="6146" u="1"/>
        <n v="8163" u="1"/>
        <n v="2974" u="1"/>
        <n v="5886" u="1"/>
        <n v="7903" u="1"/>
        <n v="9631" u="1"/>
        <n v="2844" u="1"/>
        <n v="5626" u="1"/>
        <n v="7643" u="1"/>
        <n v="9111" u="1"/>
        <n v="2714" u="1"/>
        <n v="5366" u="1"/>
        <n v="7383" u="1"/>
        <n v="8591" u="1"/>
        <n v="2584" u="1"/>
        <n v="5106" u="1"/>
        <n v="2454" u="1"/>
        <n v="4846" u="1"/>
        <n v="2324" u="1"/>
        <n v="2194" u="1"/>
        <n v="8528" u="1"/>
        <n v="2064" u="1"/>
        <n v="8100" u="1"/>
        <n v="5823" u="1"/>
        <n v="7840" u="1"/>
        <n v="9505" u="1"/>
        <n v="3821" u="1"/>
        <n v="5563" u="1"/>
        <n v="7580" u="1"/>
        <n v="8985" u="1"/>
        <n v="3691" u="1"/>
        <n v="5303" u="1"/>
        <n v="7320" u="1"/>
        <n v="8465" u="1"/>
        <n v="3561" u="1"/>
        <n v="5043" u="1"/>
        <n v="7060" u="1"/>
        <n v="9962" u="1"/>
        <n v="1731" u="1"/>
        <n v="3431" u="1"/>
        <n v="4783" u="1"/>
        <n v="6800" u="1"/>
        <n v="9442" u="1"/>
        <n v="1666" u="1"/>
        <n v="3301" u="1"/>
        <n v="4523" u="1"/>
        <n v="6540" u="1"/>
        <n v="8922" u="1"/>
        <n v="1601" u="1"/>
        <n v="3171" u="1"/>
        <n v="4263" u="1"/>
        <n v="6280" u="1"/>
        <n v="8402" u="1"/>
        <n v="1536" u="1"/>
        <n v="3041" u="1"/>
        <n v="6020" u="1"/>
        <n v="8037" u="1"/>
        <n v="9899" u="1"/>
        <n v="1471" u="1"/>
        <n v="2911" u="1"/>
        <n v="5760" u="1"/>
        <n v="7777" u="1"/>
        <n v="9379" u="1"/>
        <n v="1406" u="1"/>
        <n v="2781" u="1"/>
        <n v="5500" u="1"/>
        <n v="7517" u="1"/>
        <n v="8859" u="1"/>
        <n v="1341" u="1"/>
        <n v="2651" u="1"/>
        <n v="5240" u="1"/>
        <n v="7257" u="1"/>
        <n v="8339" u="1"/>
        <n v="1276" u="1"/>
        <n v="2521" u="1"/>
        <n v="4980" u="1"/>
        <n v="6997" u="1"/>
        <n v="1211" u="1"/>
        <n v="2391" u="1"/>
        <n v="4720" u="1"/>
        <n v="6737" u="1"/>
        <n v="1146" u="1"/>
        <n v="2261" u="1"/>
        <n v="4460" u="1"/>
        <n v="1081" u="1"/>
        <n v="2131" u="1"/>
        <n v="1020" u="1"/>
        <n v="9773" u="1"/>
        <n v="7714" u="1"/>
        <n v="9253" u="1"/>
        <n v="5437" u="1"/>
        <n v="7454" u="1"/>
        <n v="8733" u="1"/>
        <n v="5177" u="1"/>
        <n v="7194" u="1"/>
        <n v="8213" u="1"/>
        <n v="3498" u="1"/>
        <n v="4917" u="1"/>
        <n v="6934" u="1"/>
        <n v="9710" u="1"/>
        <n v="3368" u="1"/>
        <n v="4657" u="1"/>
        <n v="6674" u="1"/>
        <n v="9190" u="1"/>
        <n v="3238" u="1"/>
        <n v="4397" u="1"/>
        <n v="6414" u="1"/>
        <n v="8670" u="1"/>
        <n v="3108" u="1"/>
        <n v="4137" u="1"/>
        <n v="6154" u="1"/>
        <n v="8171" u="1"/>
        <n v="2978" u="1"/>
        <n v="5894" u="1"/>
        <n v="7911" u="1"/>
        <n v="2848" u="1"/>
        <n v="5634" u="1"/>
        <n v="7651" u="1"/>
        <n v="9127" u="1"/>
        <n v="2718" u="1"/>
        <n v="5374" u="1"/>
        <n v="7391" u="1"/>
        <n v="8607" u="1"/>
        <n v="2588" u="1"/>
        <n v="5114" u="1"/>
        <n v="7131" u="1"/>
        <n v="2458" u="1"/>
        <n v="4854" u="1"/>
        <n v="6871" u="1"/>
        <n v="9584" u="1"/>
        <n v="2328" u="1"/>
        <n v="4594" u="1"/>
        <n v="6611" u="1"/>
        <n v="9064" u="1"/>
        <n v="2198" u="1"/>
        <n v="4334" u="1"/>
        <n v="6351" u="1"/>
        <n v="2068" u="1"/>
        <n v="4085" u="1"/>
        <n v="1993" u="1"/>
        <n v="3955" u="1"/>
        <n v="9521" u="1"/>
        <n v="1928" u="1"/>
        <n v="9001" u="1"/>
        <n v="1863" u="1"/>
        <n v="7328" u="1"/>
        <n v="8481" u="1"/>
        <n v="1798" u="1"/>
        <n v="7068" u="1"/>
        <n v="9978" u="1"/>
        <n v="4791" u="1"/>
        <n v="6808" u="1"/>
        <n v="9458" u="1"/>
        <n v="3305" u="1"/>
        <n v="4531" u="1"/>
        <n v="6548" u="1"/>
        <n v="8938" u="1"/>
        <n v="3175" u="1"/>
        <n v="4271" u="1"/>
        <n v="6288" u="1"/>
        <n v="8418" u="1"/>
        <n v="3045" u="1"/>
        <n v="6028" u="1"/>
        <n v="8045" u="1"/>
        <n v="1473" u="1"/>
        <n v="2915" u="1"/>
        <n v="5768" u="1"/>
        <n v="7785" u="1"/>
        <n v="1408" u="1"/>
        <n v="2785" u="1"/>
        <n v="5508" u="1"/>
        <n v="7525" u="1"/>
        <n v="1343" u="1"/>
        <n v="2655" u="1"/>
        <n v="5248" u="1"/>
        <n v="7265" u="1"/>
        <n v="8355" u="1"/>
        <n v="1278" u="1"/>
        <n v="2525" u="1"/>
        <n v="4988" u="1"/>
        <n v="7005" u="1"/>
        <n v="9852" u="1"/>
        <n v="1213" u="1"/>
        <n v="2395" u="1"/>
        <n v="4728" u="1"/>
        <n v="6745" u="1"/>
        <n v="9332" u="1"/>
        <n v="1148" u="1"/>
        <n v="2265" u="1"/>
        <n v="4468" u="1"/>
        <n v="6485" u="1"/>
        <n v="8812" u="1"/>
        <n v="1083" u="1"/>
        <n v="2135" u="1"/>
        <n v="4208" u="1"/>
        <n v="6225" u="1"/>
        <n v="8292" u="1"/>
        <n v="1021" u="1"/>
        <n v="4022" u="1"/>
        <n v="5965" u="1"/>
        <n v="9789" u="1"/>
        <n v="3892" u="1"/>
        <n v="5705" u="1"/>
        <n v="9269" u="1"/>
        <n v="3762" u="1"/>
        <n v="8749" u="1"/>
        <n v="8229" u="1"/>
        <n v="9726" u="1"/>
        <n v="6682" u="1"/>
        <n v="9206" u="1"/>
        <n v="4405" u="1"/>
        <n v="6422" u="1"/>
        <n v="8686" u="1"/>
        <n v="4145" u="1"/>
        <n v="6162" u="1"/>
        <n v="8179" u="1"/>
        <n v="2982" u="1"/>
        <n v="5902" u="1"/>
        <n v="7919" u="1"/>
        <n v="2852" u="1"/>
        <n v="5642" u="1"/>
        <n v="7659" u="1"/>
        <n v="2722" u="1"/>
        <n v="5382" u="1"/>
        <n v="7399" u="1"/>
        <n v="2592" u="1"/>
        <n v="5122" u="1"/>
        <n v="7139" u="1"/>
        <n v="2462" u="1"/>
        <n v="4862" u="1"/>
        <n v="6879" u="1"/>
        <n v="9600" u="1"/>
        <n v="2332" u="1"/>
        <n v="4602" u="1"/>
        <n v="6619" u="1"/>
        <n v="9080" u="1"/>
        <n v="2202" u="1"/>
        <n v="4342" u="1"/>
        <n v="6359" u="1"/>
        <n v="8560" u="1"/>
        <n v="2072" u="1"/>
        <n v="4089" u="1"/>
        <n v="6099" u="1"/>
        <n v="8116" u="1"/>
        <n v="1995" u="1"/>
        <n v="3959" u="1"/>
        <n v="5839" u="1"/>
        <n v="7856" u="1"/>
        <n v="9537" u="1"/>
        <n v="1930" u="1"/>
        <n v="3829" u="1"/>
        <n v="5579" u="1"/>
        <n v="7596" u="1"/>
        <n v="9017" u="1"/>
        <n v="1865" u="1"/>
        <n v="3699" u="1"/>
        <n v="5319" u="1"/>
        <n v="8497" u="1"/>
        <n v="1800" u="1"/>
        <n v="3569" u="1"/>
        <n v="1735" u="1"/>
        <n v="1670" u="1"/>
        <n v="8954" u="1"/>
        <n v="1605" u="1"/>
        <n v="6296" u="1"/>
        <n v="8434" u="1"/>
        <n v="6036" u="1"/>
        <n v="8053" u="1"/>
        <n v="9931" u="1"/>
        <n v="5776" u="1"/>
        <n v="7793" u="1"/>
        <n v="9411" u="1"/>
        <n v="2789" u="1"/>
        <n v="5516" u="1"/>
        <n v="7533" u="1"/>
        <n v="2659" u="1"/>
        <n v="5256" u="1"/>
        <n v="7273" u="1"/>
        <n v="2529" u="1"/>
        <n v="4996" u="1"/>
        <n v="7013" u="1"/>
        <n v="9868" u="1"/>
        <n v="1215" u="1"/>
        <n v="2399" u="1"/>
        <n v="4736" u="1"/>
        <n v="6753" u="1"/>
        <n v="9348" u="1"/>
        <n v="1150" u="1"/>
        <n v="2269" u="1"/>
        <n v="4476" u="1"/>
        <n v="6493" u="1"/>
        <n v="8828" u="1"/>
        <n v="1085" u="1"/>
        <n v="2139" u="1"/>
        <n v="4216" u="1"/>
        <n v="6233" u="1"/>
        <n v="8308" u="1"/>
        <n v="1022" u="1"/>
        <n v="4026" u="1"/>
        <n v="5973" u="1"/>
        <n v="7990" u="1"/>
        <n v="9805" u="1"/>
        <n v="3896" u="1"/>
        <n v="5713" u="1"/>
        <n v="7730" u="1"/>
        <n v="9285" u="1"/>
        <n v="3766" u="1"/>
        <n v="5453" u="1"/>
        <n v="7470" u="1"/>
        <n v="8765" u="1"/>
        <n v="3636" u="1"/>
        <n v="5193" u="1"/>
        <n v="7210" u="1"/>
        <n v="8245" u="1"/>
        <n v="3506" u="1"/>
        <n v="4933" u="1"/>
        <n v="3376" u="1"/>
        <n v="3246" u="1"/>
        <n v="8187" u="1"/>
        <n v="5910" u="1"/>
        <n v="7927" u="1"/>
        <n v="9679" u="1"/>
        <n v="5650" u="1"/>
        <n v="7667" u="1"/>
        <n v="9159" u="1"/>
        <n v="5390" u="1"/>
        <n v="7407" u="1"/>
        <n v="8639" u="1"/>
        <n v="2596" u="1"/>
        <n v="5130" u="1"/>
        <n v="7147" u="1"/>
        <n v="2466" u="1"/>
        <n v="4870" u="1"/>
        <n v="6887" u="1"/>
        <n v="9616" u="1"/>
        <n v="2336" u="1"/>
        <n v="4610" u="1"/>
        <n v="6627" u="1"/>
        <n v="9096" u="1"/>
        <n v="2206" u="1"/>
        <n v="4350" u="1"/>
        <n v="6367" u="1"/>
        <n v="8576" u="1"/>
        <n v="2076" u="1"/>
        <n v="4093" u="1"/>
        <n v="6107" u="1"/>
        <n v="8124" u="1"/>
        <n v="1997" u="1"/>
        <n v="3963" u="1"/>
        <n v="5847" u="1"/>
        <n v="7864" u="1"/>
        <n v="9553" u="1"/>
        <n v="1932" u="1"/>
        <n v="3833" u="1"/>
        <n v="5587" u="1"/>
        <n v="7604" u="1"/>
        <n v="9033" u="1"/>
        <n v="1867" u="1"/>
        <n v="3703" u="1"/>
        <n v="5327" u="1"/>
        <n v="7344" u="1"/>
        <n v="8513" u="1"/>
        <n v="1802" u="1"/>
        <n v="3573" u="1"/>
        <n v="5067" u="1"/>
        <n v="7084" u="1"/>
        <n v="1737" u="1"/>
        <n v="3443" u="1"/>
        <n v="4807" u="1"/>
        <n v="6824" u="1"/>
        <n v="1672" u="1"/>
        <n v="3313" u="1"/>
        <n v="4547" u="1"/>
        <n v="1607" u="1"/>
        <n v="3183" u="1"/>
        <n v="4287" u="1"/>
        <n v="1542" u="1"/>
        <n v="3053" u="1"/>
        <n v="9947" u="1"/>
        <n v="1477" u="1"/>
        <n v="7801" u="1"/>
        <n v="9427" u="1"/>
        <n v="1412" u="1"/>
        <n v="7541" u="1"/>
        <n v="8907" u="1"/>
        <n v="1347" u="1"/>
        <n v="5264" u="1"/>
        <n v="7281" u="1"/>
        <n v="8387" u="1"/>
        <n v="5004" u="1"/>
        <n v="7021" u="1"/>
        <n v="9884" u="1"/>
        <n v="4744" u="1"/>
        <n v="6761" u="1"/>
        <n v="9364" u="1"/>
        <n v="2273" u="1"/>
        <n v="4484" u="1"/>
        <n v="6501" u="1"/>
        <n v="8844" u="1"/>
        <n v="2143" u="1"/>
        <n v="4224" u="1"/>
        <n v="6241" u="1"/>
        <n v="8324" u="1"/>
        <n v="4030" u="1"/>
        <n v="5981" u="1"/>
        <n v="7998" u="1"/>
        <n v="3900" u="1"/>
        <n v="5721" u="1"/>
        <n v="7738" u="1"/>
        <n v="9301" u="1"/>
        <n v="3770" u="1"/>
        <n v="5461" u="1"/>
        <n v="7478" u="1"/>
        <n v="8781" u="1"/>
        <n v="3640" u="1"/>
        <n v="5201" u="1"/>
        <n v="7218" u="1"/>
        <n v="8261" u="1"/>
        <n v="3510" u="1"/>
        <n v="4941" u="1"/>
        <n v="6958" u="1"/>
        <n v="9758" u="1"/>
        <n v="3380" u="1"/>
        <n v="4681" u="1"/>
        <n v="6698" u="1"/>
        <n v="9238" u="1"/>
        <n v="3250" u="1"/>
        <n v="4421" u="1"/>
        <n v="6438" u="1"/>
        <n v="3120" u="1"/>
        <n v="4161" u="1"/>
        <n v="6178" u="1"/>
        <n v="2990" u="1"/>
        <n v="9695" u="1"/>
        <n v="2860" u="1"/>
        <n v="9175" u="1"/>
        <n v="2730" u="1"/>
        <n v="8655" u="1"/>
        <n v="7155" u="1"/>
        <n v="4878" u="1"/>
        <n v="6895" u="1"/>
        <n v="9632" u="1"/>
        <n v="4618" u="1"/>
        <n v="6635" u="1"/>
        <n v="9112" u="1"/>
        <n v="4358" u="1"/>
        <n v="6375" u="1"/>
        <n v="8592" u="1"/>
        <n v="2080" u="1"/>
        <n v="4098" u="1"/>
        <n v="6115" u="1"/>
        <n v="8132" u="1"/>
        <n v="1999" u="1"/>
        <n v="3967" u="1"/>
        <n v="5855" u="1"/>
        <n v="7872" u="1"/>
        <n v="1934" u="1"/>
        <n v="3837" u="1"/>
        <n v="5595" u="1"/>
        <n v="7612" u="1"/>
        <n v="1869" u="1"/>
        <n v="3707" u="1"/>
        <n v="5335" u="1"/>
        <n v="7352" u="1"/>
        <n v="1804" u="1"/>
        <n v="3577" u="1"/>
        <n v="5075" u="1"/>
        <n v="7092" u="1"/>
        <n v="1739" u="1"/>
        <n v="3447" u="1"/>
        <n v="4815" u="1"/>
        <n v="6832" u="1"/>
        <n v="9506" u="1"/>
        <n v="1674" u="1"/>
        <n v="3317" u="1"/>
        <n v="4555" u="1"/>
        <n v="6572" u="1"/>
        <n v="8986" u="1"/>
        <n v="1609" u="1"/>
        <n v="3187" u="1"/>
        <n v="4295" u="1"/>
        <n v="6312" u="1"/>
        <n v="8466" u="1"/>
        <n v="1544" u="1"/>
        <n v="3057" u="1"/>
        <n v="6052" u="1"/>
        <n v="8069" u="1"/>
        <n v="9963" u="1"/>
        <n v="1479" u="1"/>
        <n v="2927" u="1"/>
        <n v="5792" u="1"/>
        <n v="9443" u="1"/>
        <n v="1414" u="1"/>
        <n v="2797" u="1"/>
        <n v="8923" u="1"/>
        <n v="1349" u="1"/>
        <n v="2667" u="1"/>
        <n v="8403" u="1"/>
        <n v="1284" u="1"/>
        <n v="2537" u="1"/>
        <n v="9900" u="1"/>
        <n v="1219" u="1"/>
        <n v="6769" u="1"/>
        <n v="9380" u="1"/>
        <n v="1154" u="1"/>
        <n v="6509" u="1"/>
        <n v="8860" u="1"/>
        <n v="1089" u="1"/>
        <n v="4232" u="1"/>
        <n v="6249" u="1"/>
        <n v="8340" u="1"/>
        <n v="4034" u="1"/>
        <n v="5989" u="1"/>
        <n v="8006" u="1"/>
        <n v="9837" u="1"/>
        <n v="3904" u="1"/>
        <n v="5729" u="1"/>
        <n v="7746" u="1"/>
        <n v="3774" u="1"/>
        <n v="5469" u="1"/>
        <n v="7486" u="1"/>
        <n v="3644" u="1"/>
        <n v="5209" u="1"/>
        <n v="7226" u="1"/>
        <n v="3514" u="1"/>
        <n v="4949" u="1"/>
        <n v="6966" u="1"/>
        <n v="9774" u="1"/>
        <n v="3384" u="1"/>
        <n v="4689" u="1"/>
        <n v="6706" u="1"/>
        <n v="9254" u="1"/>
        <n v="3254" u="1"/>
        <n v="4429" u="1"/>
        <n v="6446" u="1"/>
        <n v="8734" u="1"/>
        <n v="3124" u="1"/>
        <n v="4169" u="1"/>
        <n v="6186" u="1"/>
        <n v="8214" u="1"/>
        <n v="2994" u="1"/>
        <n v="5926" u="1"/>
        <n v="7943" u="1"/>
        <n v="9711" u="1"/>
        <n v="2864" u="1"/>
        <n v="5666" u="1"/>
        <n v="7683" u="1"/>
        <n v="9191" u="1"/>
        <n v="2734" u="1"/>
        <n v="5406" u="1"/>
        <n v="8671" u="1"/>
        <n v="2604" u="1"/>
        <n v="2474" u="1"/>
        <n v="2344" u="1"/>
        <n v="9128" u="1"/>
        <n v="8608" u="1"/>
        <n v="6123" u="1"/>
        <n v="8140" u="1"/>
        <n v="3971" u="1"/>
        <n v="5863" u="1"/>
        <n v="7880" u="1"/>
        <n v="9585" u="1"/>
        <n v="3841" u="1"/>
        <n v="5603" u="1"/>
        <n v="7620" u="1"/>
        <n v="9065" u="1"/>
        <n v="3711" u="1"/>
        <n v="5343" u="1"/>
        <n v="7360" u="1"/>
        <n v="1806" u="1"/>
        <n v="3581" u="1"/>
        <n v="5083" u="1"/>
        <n v="7100" u="1"/>
        <n v="1741" u="1"/>
        <n v="3451" u="1"/>
        <n v="4823" u="1"/>
        <n v="6840" u="1"/>
        <n v="9522" u="1"/>
        <n v="1676" u="1"/>
        <n v="3321" u="1"/>
        <n v="4563" u="1"/>
        <n v="6580" u="1"/>
        <n v="9002" u="1"/>
        <n v="1611" u="1"/>
        <n v="3191" u="1"/>
        <n v="4303" u="1"/>
        <n v="6320" u="1"/>
        <n v="8482" u="1"/>
        <n v="1546" u="1"/>
        <n v="3061" u="1"/>
        <n v="6060" u="1"/>
        <n v="8077" u="1"/>
        <n v="9979" u="1"/>
        <n v="1481" u="1"/>
        <n v="2931" u="1"/>
        <n v="5800" u="1"/>
        <n v="7817" u="1"/>
        <n v="9459" u="1"/>
        <n v="1416" u="1"/>
        <n v="2801" u="1"/>
        <n v="5540" u="1"/>
        <n v="7557" u="1"/>
        <n v="8939" u="1"/>
        <n v="1351" u="1"/>
        <n v="2671" u="1"/>
        <n v="5280" u="1"/>
        <n v="7297" u="1"/>
        <n v="8419" u="1"/>
        <n v="1286" u="1"/>
        <n v="2541" u="1"/>
        <n v="5020" u="1"/>
        <n v="1221" u="1"/>
        <n v="2411" u="1"/>
        <n v="4760" u="1"/>
        <n v="1156" u="1"/>
        <n v="2281" u="1"/>
        <n v="1091" u="1"/>
        <n v="2151" u="1"/>
        <n v="8356" u="1"/>
        <n v="1026" u="1"/>
        <n v="8014" u="1"/>
        <n v="9853" u="1"/>
        <n v="5737" u="1"/>
        <n v="7754" u="1"/>
        <n v="9333" u="1"/>
        <n v="3778" u="1"/>
        <n v="5477" u="1"/>
        <n v="7494" u="1"/>
        <n v="8813" u="1"/>
        <n v="3648" u="1"/>
        <n v="5217" u="1"/>
        <n v="7234" u="1"/>
        <n v="8293" u="1"/>
        <n v="3518" u="1"/>
        <n v="4957" u="1"/>
        <n v="6974" u="1"/>
        <n v="9790" u="1"/>
        <n v="3388" u="1"/>
        <n v="4697" u="1"/>
        <n v="6714" u="1"/>
        <n v="9270" u="1"/>
        <n v="3258" u="1"/>
        <n v="4437" u="1"/>
        <n v="6454" u="1"/>
        <n v="8750" u="1"/>
        <n v="3128" u="1"/>
        <n v="4177" u="1"/>
        <n v="6194" u="1"/>
        <n v="8230" u="1"/>
        <n v="2998" u="1"/>
        <n v="5934" u="1"/>
        <n v="7951" u="1"/>
        <n v="9727" u="1"/>
        <n v="2868" u="1"/>
        <n v="5674" u="1"/>
        <n v="7691" u="1"/>
        <n v="9207" u="1"/>
        <n v="2738" u="1"/>
        <n v="5414" u="1"/>
        <n v="7431" u="1"/>
        <n v="8687" u="1"/>
        <n v="2608" u="1"/>
        <n v="5154" u="1"/>
        <n v="7171" u="1"/>
        <n v="2478" u="1"/>
        <n v="4894" u="1"/>
        <n v="6911" u="1"/>
        <n v="2348" u="1"/>
        <n v="4634" u="1"/>
        <n v="6651" u="1"/>
        <n v="2218" u="1"/>
        <n v="4374" u="1"/>
        <n v="2088" u="1"/>
        <n v="2003" u="1"/>
        <n v="9601" u="1"/>
        <n v="1938" u="1"/>
        <n v="7628" u="1"/>
        <n v="9081" u="1"/>
        <n v="5351" u="1"/>
        <n v="7368" u="1"/>
        <n v="8561" u="1"/>
        <n v="5091" u="1"/>
        <n v="7108" u="1"/>
        <n v="3455" u="1"/>
        <n v="4831" u="1"/>
        <n v="6848" u="1"/>
        <n v="9538" u="1"/>
        <n v="3325" u="1"/>
        <n v="4571" u="1"/>
        <n v="6588" u="1"/>
        <n v="9018" u="1"/>
        <n v="3195" u="1"/>
        <n v="4311" u="1"/>
        <n v="6328" u="1"/>
        <n v="8498" u="1"/>
        <n v="1548" u="1"/>
        <n v="3065" u="1"/>
        <n v="6068" u="1"/>
        <n v="8085" u="1"/>
        <n v="1483" u="1"/>
        <n v="2935" u="1"/>
        <n v="5808" u="1"/>
        <n v="7825" u="1"/>
        <n v="1418" u="1"/>
        <n v="2805" u="1"/>
        <n v="5548" u="1"/>
        <n v="7565" u="1"/>
        <n v="8955" u="1"/>
        <n v="1353" u="1"/>
        <n v="2675" u="1"/>
        <n v="5288" u="1"/>
        <n v="7305" u="1"/>
        <n v="8435" u="1"/>
        <n v="1288" u="1"/>
        <n v="2545" u="1"/>
        <n v="5028" u="1"/>
        <n v="7045" u="1"/>
        <n v="9932" u="1"/>
        <n v="1223" u="1"/>
        <n v="2415" u="1"/>
        <n v="4768" u="1"/>
        <n v="6785" u="1"/>
        <n v="9412" u="1"/>
        <n v="1158" u="1"/>
        <n v="2285" u="1"/>
        <n v="4508" u="1"/>
        <n v="6525" u="1"/>
        <n v="8892" u="1"/>
        <n v="1093" u="1"/>
        <n v="2155" u="1"/>
        <n v="4248" u="1"/>
        <n v="6265" u="1"/>
        <n v="1028" u="1"/>
        <n v="4042" u="1"/>
        <n v="9869" u="1"/>
        <n v="3912" u="1"/>
        <n v="9349" u="1"/>
        <n v="8829" u="1"/>
        <n v="7242" u="1"/>
        <n v="8309" u="1"/>
        <n v="6982" u="1"/>
        <n v="9806" u="1"/>
        <n v="4705" u="1"/>
        <n v="6722" u="1"/>
        <n v="9286" u="1"/>
        <n v="3262" u="1"/>
        <n v="4445" u="1"/>
        <n v="6462" u="1"/>
        <n v="8766" u="1"/>
        <n v="3132" u="1"/>
        <n v="4185" u="1"/>
        <n v="6202" u="1"/>
        <n v="8246" u="1"/>
        <n v="3002" u="1"/>
        <n v="5942" u="1"/>
        <n v="7959" u="1"/>
        <n v="2872" u="1"/>
        <n v="5682" u="1"/>
        <n v="7699" u="1"/>
        <n v="2742" u="1"/>
        <n v="5422" u="1"/>
        <n v="7439" u="1"/>
        <n v="2612" u="1"/>
        <n v="5162" u="1"/>
        <n v="7179" u="1"/>
        <n v="2482" u="1"/>
        <n v="4902" u="1"/>
        <n v="6919" u="1"/>
        <n v="9680" u="1"/>
        <n v="2352" u="1"/>
        <n v="4642" u="1"/>
        <n v="6659" u="1"/>
        <n v="9160" u="1"/>
        <n v="2222" u="1"/>
        <n v="4382" u="1"/>
        <n v="6399" u="1"/>
        <n v="8640" u="1"/>
        <n v="2092" u="1"/>
        <n v="4122" u="1"/>
        <n v="6139" u="1"/>
        <n v="8156" u="1"/>
        <n v="2005" u="1"/>
        <n v="3979" u="1"/>
        <n v="5879" u="1"/>
        <n v="9617" u="1"/>
        <n v="1940" u="1"/>
        <n v="3849" u="1"/>
        <n v="5619" u="1"/>
        <n v="9097" u="1"/>
        <n v="1875" u="1"/>
        <n v="3719" u="1"/>
        <n v="8577" u="1"/>
        <n v="1810" u="1"/>
        <n v="1745" u="1"/>
        <n v="9554" u="1"/>
        <n v="1680" u="1"/>
        <n v="6596" u="1"/>
        <n v="9034" u="1"/>
        <n v="4319" u="1"/>
        <n v="6336" u="1"/>
        <n v="8514" u="1"/>
        <n v="6076" u="1"/>
        <n v="8093" u="1"/>
        <n v="2939" u="1"/>
        <n v="5816" u="1"/>
        <n v="7833" u="1"/>
        <n v="2809" u="1"/>
        <n v="5556" u="1"/>
        <n v="7573" u="1"/>
        <n v="1355" u="1"/>
        <n v="2679" u="1"/>
        <n v="5296" u="1"/>
        <n v="7313" u="1"/>
        <n v="1290" u="1"/>
        <n v="2549" u="1"/>
        <n v="5036" u="1"/>
        <n v="7053" u="1"/>
        <n v="9948" u="1"/>
        <n v="1225" u="1"/>
        <n v="2419" u="1"/>
        <n v="4776" u="1"/>
        <n v="6793" u="1"/>
        <n v="9428" u="1"/>
        <n v="1160" u="1"/>
        <n v="2289" u="1"/>
        <n v="4516" u="1"/>
        <n v="6533" u="1"/>
        <n v="8908" u="1"/>
        <n v="1095" u="1"/>
        <n v="2159" u="1"/>
        <n v="4256" u="1"/>
        <n v="6273" u="1"/>
        <n v="8388" u="1"/>
        <n v="1030" u="1"/>
        <n v="4046" u="1"/>
        <n v="6013" u="1"/>
        <n v="8030" u="1"/>
        <n v="9885" u="1"/>
        <n v="3916" u="1"/>
        <n v="5753" u="1"/>
        <n v="7770" u="1"/>
        <n v="9365" u="1"/>
        <n v="3786" u="1"/>
        <n v="5493" u="1"/>
        <n v="7510" u="1"/>
        <n v="8845" u="1"/>
        <n v="3656" u="1"/>
        <n v="5233" u="1"/>
        <n v="8325" u="1"/>
        <n v="3526" u="1"/>
        <n v="8782" u="1"/>
        <n v="6210" u="1"/>
        <n v="8262" u="1"/>
        <n v="5950" u="1"/>
        <n v="7967" u="1"/>
        <n v="9759" u="1"/>
        <n v="5690" u="1"/>
        <n v="7707" u="1"/>
        <n v="9239" u="1"/>
        <n v="2746" u="1"/>
        <n v="5430" u="1"/>
        <n v="7447" u="1"/>
        <n v="2616" u="1"/>
        <n v="5170" u="1"/>
        <n v="7187" u="1"/>
        <n v="2486" u="1"/>
        <n v="4910" u="1"/>
        <n v="6927" u="1"/>
        <n v="9696" u="1"/>
        <n v="2356" u="1"/>
        <n v="4650" u="1"/>
        <n v="6667" u="1"/>
        <n v="9176" u="1"/>
        <n v="2226" u="1"/>
        <n v="4390" u="1"/>
        <n v="6407" u="1"/>
        <n v="8656" u="1"/>
        <n v="2096" u="1"/>
        <n v="4130" u="1"/>
        <n v="6147" u="1"/>
        <n v="8164" u="1"/>
        <n v="2007" u="1"/>
        <n v="3983" u="1"/>
        <n v="5887" u="1"/>
        <n v="7904" u="1"/>
        <n v="9633" u="1"/>
        <n v="1942" u="1"/>
        <n v="3853" u="1"/>
        <n v="5627" u="1"/>
        <n v="7644" u="1"/>
        <n v="9113" u="1"/>
        <n v="1877" u="1"/>
        <n v="3723" u="1"/>
        <n v="5367" u="1"/>
        <n v="7384" u="1"/>
        <n v="8593" u="1"/>
        <n v="1812" u="1"/>
        <n v="3593" u="1"/>
        <n v="5107" u="1"/>
        <n v="7124" u="1"/>
        <n v="1747" u="1"/>
        <n v="3463" u="1"/>
        <n v="4847" u="1"/>
        <n v="1682" u="1"/>
        <n v="3333" u="1"/>
        <n v="1617" u="1"/>
        <n v="3203" u="1"/>
        <n v="1552" u="1"/>
        <n v="8101" u="1"/>
        <n v="1487" u="1"/>
        <n v="5824" u="1"/>
        <n v="7841" u="1"/>
        <n v="9507" u="1"/>
        <n v="1422" u="1"/>
        <n v="5564" u="1"/>
        <n v="7581" u="1"/>
        <n v="8987" u="1"/>
        <n v="5304" u="1"/>
        <n v="7321" u="1"/>
        <n v="8467" u="1"/>
        <n v="2553" u="1"/>
        <n v="5044" u="1"/>
        <n v="7061" u="1"/>
        <n v="9964" u="1"/>
        <n v="2423" u="1"/>
        <n v="4784" u="1"/>
        <n v="6801" u="1"/>
        <n v="9444" u="1"/>
        <n v="2293" u="1"/>
        <n v="4524" u="1"/>
        <n v="6541" u="1"/>
        <n v="8924" u="1"/>
        <n v="1097" u="1"/>
        <n v="2163" u="1"/>
        <n v="4264" u="1"/>
        <n v="6281" u="1"/>
        <n v="8404" u="1"/>
        <n v="1032" u="1"/>
        <n v="4050" u="1"/>
        <n v="6021" u="1"/>
        <n v="8038" u="1"/>
        <n v="9901" u="1"/>
        <n v="3920" u="1"/>
        <n v="5761" u="1"/>
        <n v="7778" u="1"/>
        <n v="9381" u="1"/>
        <n v="3790" u="1"/>
        <n v="5501" u="1"/>
        <n v="7518" u="1"/>
        <n v="8861" u="1"/>
        <n v="3660" u="1"/>
        <n v="5241" u="1"/>
        <n v="7258" u="1"/>
        <n v="8341" u="1"/>
        <n v="3530" u="1"/>
        <n v="4981" u="1"/>
        <n v="6998" u="1"/>
        <n v="9838" u="1"/>
        <n v="3400" u="1"/>
        <n v="4721" u="1"/>
        <n v="6738" u="1"/>
        <n v="3270" u="1"/>
        <n v="4461" u="1"/>
        <n v="3140" u="1"/>
        <n v="4201" u="1"/>
        <n v="3010" u="1"/>
        <n v="9775" u="1"/>
        <n v="7715" u="1"/>
        <n v="9255" u="1"/>
        <n v="7455" u="1"/>
        <n v="8735" u="1"/>
        <n v="5178" u="1"/>
        <n v="7195" u="1"/>
        <n v="8215" u="1"/>
        <n v="4918" u="1"/>
        <n v="6935" u="1"/>
        <n v="9712" u="1"/>
        <n v="4658" u="1"/>
        <n v="6675" u="1"/>
        <n v="9192" u="1"/>
        <n v="2230" u="1"/>
        <n v="4398" u="1"/>
        <n v="6415" u="1"/>
        <n v="8672" u="1"/>
        <n v="2100" u="1"/>
        <n v="4138" u="1"/>
        <n v="6155" u="1"/>
        <n v="8172" u="1"/>
        <n v="2009" u="1"/>
        <n v="3987" u="1"/>
        <n v="5895" u="1"/>
        <n v="7912" u="1"/>
        <n v="1944" u="1"/>
        <n v="3857" u="1"/>
        <n v="5635" u="1"/>
        <n v="7652" u="1"/>
        <n v="9129" u="1"/>
        <n v="1879" u="1"/>
        <n v="3727" u="1"/>
        <n v="5375" u="1"/>
        <n v="7392" u="1"/>
        <n v="8609" u="1"/>
        <n v="1814" u="1"/>
        <n v="3597" u="1"/>
        <n v="5115" u="1"/>
        <n v="7132" u="1"/>
        <n v="1749" u="1"/>
        <n v="3467" u="1"/>
        <n v="4855" u="1"/>
        <n v="6872" u="1"/>
        <n v="9586" u="1"/>
        <n v="1684" u="1"/>
        <n v="3337" u="1"/>
        <n v="4595" u="1"/>
        <n v="6612" u="1"/>
        <n v="9066" u="1"/>
        <n v="1619" u="1"/>
        <n v="3207" u="1"/>
        <n v="4335" u="1"/>
        <n v="6352" u="1"/>
        <n v="1554" u="1"/>
        <n v="3077" u="1"/>
        <n v="6092" u="1"/>
        <n v="1489" u="1"/>
        <n v="2947" u="1"/>
        <n v="9523" u="1"/>
        <n v="1424" u="1"/>
        <n v="2817" u="1"/>
        <n v="9003" u="1"/>
        <n v="1359" u="1"/>
        <n v="2687" u="1"/>
        <n v="8483" u="1"/>
        <n v="1294" u="1"/>
        <n v="7069" u="1"/>
        <n v="9980" u="1"/>
        <n v="1229" u="1"/>
        <n v="4792" u="1"/>
        <n v="6809" u="1"/>
        <n v="9460" u="1"/>
        <n v="4532" u="1"/>
        <n v="6549" u="1"/>
        <n v="8940" u="1"/>
        <n v="4272" u="1"/>
        <n v="6289" u="1"/>
        <n v="8420" u="1"/>
        <n v="4054" u="1"/>
        <n v="6029" u="1"/>
        <n v="8046" u="1"/>
        <n v="3924" u="1"/>
        <n v="5769" u="1"/>
        <n v="7786" u="1"/>
        <n v="3794" u="1"/>
        <n v="5509" u="1"/>
        <n v="7526" u="1"/>
        <n v="3664" u="1"/>
        <n v="5249" u="1"/>
        <n v="7266" u="1"/>
        <n v="3534" u="1"/>
        <n v="4989" u="1"/>
        <n v="7006" u="1"/>
        <n v="9854" u="1"/>
        <n v="3404" u="1"/>
        <n v="4729" u="1"/>
        <n v="6746" u="1"/>
        <n v="9334" u="1"/>
        <n v="3274" u="1"/>
        <n v="4469" u="1"/>
        <n v="6486" u="1"/>
        <n v="8814" u="1"/>
        <n v="3144" u="1"/>
        <n v="4209" u="1"/>
        <n v="6226" u="1"/>
        <n v="8294" u="1"/>
        <n v="3014" u="1"/>
        <n v="5966" u="1"/>
        <n v="7983" u="1"/>
        <n v="9791" u="1"/>
        <n v="2884" u="1"/>
        <n v="5706" u="1"/>
        <n v="9271" u="1"/>
        <n v="2754" u="1"/>
        <n v="8751" u="1"/>
        <n v="2624" u="1"/>
        <n v="8231" u="1"/>
        <n v="2494" u="1"/>
        <n v="9728" u="1"/>
        <n v="6683" u="1"/>
        <n v="9208" u="1"/>
        <n v="6423" u="1"/>
        <n v="8688" u="1"/>
        <n v="4146" u="1"/>
        <n v="6163" u="1"/>
        <n v="8180" u="1"/>
        <n v="3991" u="1"/>
        <n v="5903" u="1"/>
        <n v="7920" u="1"/>
        <n v="9665" u="1"/>
        <n v="1946" u="1"/>
        <n v="3861" u="1"/>
        <n v="5643" u="1"/>
        <n v="7660" u="1"/>
        <n v="1881" u="1"/>
        <n v="3731" u="1"/>
        <n v="5383" u="1"/>
        <n v="7400" u="1"/>
        <n v="1816" u="1"/>
        <n v="3601" u="1"/>
        <n v="5123" u="1"/>
        <n v="7140" u="1"/>
        <n v="1751" u="1"/>
        <n v="3471" u="1"/>
        <n v="4863" u="1"/>
        <n v="6880" u="1"/>
        <n v="9602" u="1"/>
        <n v="1686" u="1"/>
        <n v="3341" u="1"/>
        <n v="4603" u="1"/>
        <n v="6620" u="1"/>
        <n v="9082" u="1"/>
        <n v="1621" u="1"/>
        <n v="3211" u="1"/>
        <n v="4343" u="1"/>
        <n v="6360" u="1"/>
        <n v="8562" u="1"/>
        <n v="1556" u="1"/>
        <n v="3081" u="1"/>
        <n v="6100" u="1"/>
        <n v="8117" u="1"/>
        <n v="1491" u="1"/>
        <n v="2951" u="1"/>
        <n v="5840" u="1"/>
        <n v="7857" u="1"/>
        <n v="9539" u="1"/>
        <n v="1426" u="1"/>
        <n v="2821" u="1"/>
        <n v="5580" u="1"/>
        <n v="7597" u="1"/>
        <n v="9019" u="1"/>
        <n v="1361" u="1"/>
        <n v="2691" u="1"/>
        <n v="5320" u="1"/>
        <n v="8499" u="1"/>
        <n v="1296" u="1"/>
        <n v="2561" u="1"/>
        <n v="1231" u="1"/>
        <n v="2431" u="1"/>
        <n v="1166" u="1"/>
        <n v="2301" u="1"/>
        <n v="8956" u="1"/>
        <n v="1101" u="1"/>
        <n v="6297" u="1"/>
        <n v="8436" u="1"/>
        <n v="1036" u="1"/>
        <n v="6037" u="1"/>
        <n v="8054" u="1"/>
        <n v="9933" u="1"/>
        <n v="3928" u="1"/>
        <n v="5777" u="1"/>
        <n v="7794" u="1"/>
        <n v="9413" u="1"/>
        <n v="3798" u="1"/>
        <n v="5517" u="1"/>
        <n v="7534" u="1"/>
        <n v="8893" u="1"/>
        <n v="3668" u="1"/>
        <n v="5257" u="1"/>
        <n v="7274" u="1"/>
        <n v="3538" u="1"/>
        <n v="4997" u="1"/>
        <n v="7014" u="1"/>
        <n v="9870" u="1"/>
        <n v="3408" u="1"/>
        <n v="4737" u="1"/>
        <n v="6754" u="1"/>
        <n v="9350" u="1"/>
        <n v="3278" u="1"/>
        <n v="4477" u="1"/>
        <n v="6494" u="1"/>
        <n v="8830" u="1"/>
        <n v="3148" u="1"/>
        <n v="4217" u="1"/>
        <n v="6234" u="1"/>
        <n v="8310" u="1"/>
        <n v="3018" u="1"/>
        <n v="5974" u="1"/>
        <n v="7991" u="1"/>
        <n v="9807" u="1"/>
        <n v="2888" u="1"/>
        <n v="5714" u="1"/>
        <n v="7731" u="1"/>
        <n v="9287" u="1"/>
        <n v="2758" u="1"/>
        <n v="5454" u="1"/>
        <n v="7471" u="1"/>
        <n v="8767" u="1"/>
        <n v="2628" u="1"/>
        <n v="5194" u="1"/>
        <n v="7211" u="1"/>
        <n v="8247" u="1"/>
        <n v="2498" u="1"/>
        <n v="4934" u="1"/>
        <n v="2368" u="1"/>
        <n v="4674" u="1"/>
        <n v="2238" u="1"/>
        <n v="2108" u="1"/>
        <n v="8188" u="1"/>
        <n v="2013" u="1"/>
        <n v="7928" u="1"/>
        <n v="9681" u="1"/>
        <n v="5651" u="1"/>
        <n v="7668" u="1"/>
        <n v="9161" u="1"/>
        <n v="3735" u="1"/>
        <n v="5391" u="1"/>
        <n v="7408" u="1"/>
        <n v="8641" u="1"/>
        <n v="3605" u="1"/>
        <n v="5131" u="1"/>
        <n v="7148" u="1"/>
        <n v="3475" u="1"/>
        <n v="4871" u="1"/>
        <n v="6888" u="1"/>
        <n v="9618" u="1"/>
        <n v="1688" u="1"/>
        <n v="3345" u="1"/>
        <n v="4611" u="1"/>
        <n v="6628" u="1"/>
        <n v="9098" u="1"/>
        <n v="1623" u="1"/>
        <n v="3215" u="1"/>
        <n v="4351" u="1"/>
        <n v="6368" u="1"/>
        <n v="8578" u="1"/>
        <n v="1558" u="1"/>
        <n v="3085" u="1"/>
        <n v="6108" u="1"/>
        <n v="8125" u="1"/>
        <n v="1493" u="1"/>
        <n v="2955" u="1"/>
        <n v="5848" u="1"/>
        <n v="7865" u="1"/>
        <n v="9555" u="1"/>
        <n v="1428" u="1"/>
        <n v="2825" u="1"/>
        <n v="5588" u="1"/>
        <n v="7605" u="1"/>
        <n v="9035" u="1"/>
        <n v="1363" u="1"/>
        <n v="2695" u="1"/>
        <n v="5328" u="1"/>
        <n v="7345" u="1"/>
        <n v="8515" u="1"/>
        <n v="1298" u="1"/>
        <n v="2565" u="1"/>
        <n v="5068" u="1"/>
        <n v="7085" u="1"/>
        <n v="1233" u="1"/>
        <n v="2435" u="1"/>
        <n v="4808" u="1"/>
        <n v="6825" u="1"/>
        <n v="1168" u="1"/>
        <n v="2305" u="1"/>
        <n v="4548" u="1"/>
        <n v="6565" u="1"/>
        <n v="1103" u="1"/>
        <n v="2175" u="1"/>
        <n v="4288" u="1"/>
        <n v="1038" u="1"/>
        <n v="9949" u="1"/>
        <n v="9429" u="1"/>
        <n v="7542" u="1"/>
        <n v="8909" u="1"/>
        <n v="5265" u="1"/>
        <n v="7282" u="1"/>
        <n v="8389" u="1"/>
        <n v="5005" u="1"/>
        <n v="7022" u="1"/>
        <n v="9886" u="1"/>
        <n v="3412" u="1"/>
        <n v="4745" u="1"/>
        <n v="6762" u="1"/>
        <n v="9366" u="1"/>
        <n v="3282" u="1"/>
        <n v="4485" u="1"/>
        <n v="6502" u="1"/>
        <n v="8846" u="1"/>
        <n v="3152" u="1"/>
        <n v="4225" u="1"/>
        <n v="6242" u="1"/>
        <n v="8326" u="1"/>
        <n v="3022" u="1"/>
        <n v="5982" u="1"/>
        <n v="7999" u="1"/>
        <n v="2892" u="1"/>
        <n v="5722" u="1"/>
        <n v="7739" u="1"/>
        <n v="2762" u="1"/>
        <n v="5462" u="1"/>
        <n v="7479" u="1"/>
        <n v="8783" u="1"/>
        <n v="2632" u="1"/>
        <n v="5202" u="1"/>
        <n v="7219" u="1"/>
        <n v="8263" u="1"/>
        <n v="2502" u="1"/>
        <n v="4942" u="1"/>
        <n v="6959" u="1"/>
        <n v="9760" u="1"/>
        <n v="2372" u="1"/>
        <n v="4682" u="1"/>
        <n v="6699" u="1"/>
        <n v="9240" u="1"/>
        <n v="2242" u="1"/>
        <n v="4422" u="1"/>
        <n v="6439" u="1"/>
        <n v="8720" u="1"/>
        <n v="2112" u="1"/>
        <n v="4162" u="1"/>
        <n v="6179" u="1"/>
        <n v="2015" u="1"/>
        <n v="3999" u="1"/>
        <n v="9697" u="1"/>
        <n v="1950" u="1"/>
        <n v="3869" u="1"/>
        <n v="9177" u="1"/>
        <n v="1885" u="1"/>
        <n v="8657" u="1"/>
        <n v="1820" u="1"/>
        <n v="7156" u="1"/>
        <n v="1755" u="1"/>
        <n v="6896" u="1"/>
        <n v="9634" u="1"/>
        <n v="4619" u="1"/>
        <n v="6636" u="1"/>
        <n v="9114" u="1"/>
        <n v="3219" u="1"/>
        <n v="4359" u="1"/>
        <n v="6376" u="1"/>
        <n v="8594" u="1"/>
        <n v="3089" u="1"/>
        <n v="4099" u="1"/>
        <n v="6116" u="1"/>
        <n v="8133" u="1"/>
        <n v="2959" u="1"/>
        <n v="5856" u="1"/>
        <n v="7873" u="1"/>
        <n v="1430" u="1"/>
        <n v="2829" u="1"/>
        <n v="5596" u="1"/>
        <n v="7613" u="1"/>
        <n v="1365" u="1"/>
        <n v="2699" u="1"/>
        <n v="5336" u="1"/>
        <n v="7353" u="1"/>
        <n v="1300" u="1"/>
        <n v="2569" u="1"/>
        <n v="5076" u="1"/>
        <n v="7093" u="1"/>
        <n v="1235" u="1"/>
        <n v="2439" u="1"/>
        <n v="4816" u="1"/>
        <n v="6833" u="1"/>
        <n v="9508" u="1"/>
        <n v="1170" u="1"/>
        <n v="2309" u="1"/>
        <n v="4556" u="1"/>
        <n v="6573" u="1"/>
        <n v="8988" u="1"/>
        <n v="1105" u="1"/>
        <n v="2179" u="1"/>
        <n v="4296" u="1"/>
        <n v="6313" u="1"/>
        <n v="8468" u="1"/>
        <n v="1040" u="1"/>
        <n v="2049" u="1"/>
        <n v="4066" u="1"/>
        <n v="6053" u="1"/>
        <n v="8070" u="1"/>
        <n v="9965" u="1"/>
        <n v="3936" u="1"/>
        <n v="5793" u="1"/>
        <n v="9445" u="1"/>
        <n v="3806" u="1"/>
        <n v="5533" u="1"/>
        <n v="8925" u="1"/>
        <n v="3676" u="1"/>
        <n v="8405" u="1"/>
        <n v="9902" u="1"/>
        <n v="9382" u="1"/>
        <n v="6510" u="1"/>
        <n v="8862" u="1"/>
        <n v="4233" u="1"/>
        <n v="6250" u="1"/>
        <n v="8342" u="1"/>
        <n v="5990" u="1"/>
        <n v="8007" u="1"/>
        <n v="9839" u="1"/>
        <n v="2896" u="1"/>
        <n v="5730" u="1"/>
        <n v="7747" u="1"/>
        <n v="2766" u="1"/>
        <n v="5470" u="1"/>
        <n v="7487" u="1"/>
        <n v="2636" u="1"/>
        <n v="5210" u="1"/>
        <n v="7227" u="1"/>
        <n v="2506" u="1"/>
        <n v="4950" u="1"/>
        <n v="6967" u="1"/>
        <n v="9776" u="1"/>
        <n v="2376" u="1"/>
        <n v="4690" u="1"/>
        <n v="6707" u="1"/>
        <n v="9256" u="1"/>
        <n v="2246" u="1"/>
        <n v="4430" u="1"/>
        <n v="6447" u="1"/>
        <n v="8736" u="1"/>
        <n v="2116" u="1"/>
        <n v="4170" u="1"/>
        <n v="6187" u="1"/>
        <n v="8216" u="1"/>
        <n v="2017" u="1"/>
        <n v="4003" u="1"/>
        <n v="5927" u="1"/>
        <n v="7944" u="1"/>
        <n v="9713" u="1"/>
        <n v="1952" u="1"/>
        <n v="3873" u="1"/>
        <n v="5667" u="1"/>
        <n v="7684" u="1"/>
        <n v="9193" u="1"/>
        <n v="1887" u="1"/>
        <n v="3743" u="1"/>
        <n v="5407" u="1"/>
        <n v="8673" u="1"/>
        <n v="1822" u="1"/>
        <n v="3613" u="1"/>
        <n v="5147" u="1"/>
        <n v="1757" u="1"/>
        <n v="3483" u="1"/>
        <n v="1692" u="1"/>
        <n v="1627" u="1"/>
        <n v="8610" u="1"/>
        <n v="1562" u="1"/>
        <n v="6124" u="1"/>
        <n v="8141" u="1"/>
        <n v="5864" u="1"/>
        <n v="7881" u="1"/>
        <n v="9587" u="1"/>
        <n v="5604" u="1"/>
        <n v="7621" u="1"/>
        <n v="9067" u="1"/>
        <n v="2703" u="1"/>
        <n v="5344" u="1"/>
        <n v="7361" u="1"/>
        <n v="2573" u="1"/>
        <n v="5084" u="1"/>
        <n v="7101" u="1"/>
        <n v="2443" u="1"/>
        <n v="4824" u="1"/>
        <n v="6841" u="1"/>
        <n v="9524" u="1"/>
        <n v="1172" u="1"/>
        <n v="2313" u="1"/>
        <n v="4564" u="1"/>
        <n v="6581" u="1"/>
        <n v="9004" u="1"/>
        <n v="1107" u="1"/>
        <n v="2183" u="1"/>
        <n v="4304" u="1"/>
        <n v="6321" u="1"/>
        <n v="8484" u="1"/>
        <n v="1042" u="1"/>
        <n v="2053" u="1"/>
        <n v="4070" u="1"/>
        <n v="6061" u="1"/>
        <n v="8078" u="1"/>
        <n v="9981" u="1"/>
        <n v="3940" u="1"/>
        <n v="5801" u="1"/>
        <n v="7818" u="1"/>
        <n v="9461" u="1"/>
        <n v="3810" u="1"/>
        <n v="5541" u="1"/>
        <n v="7558" u="1"/>
        <n v="8941" u="1"/>
        <n v="3680" u="1"/>
        <n v="5281" u="1"/>
        <n v="7298" u="1"/>
        <n v="8421" u="1"/>
        <n v="3550" u="1"/>
        <n v="5021" u="1"/>
        <n v="7038" u="1"/>
        <n v="3420" u="1"/>
        <n v="4761" u="1"/>
        <n v="3290" u="1"/>
        <n v="3160" u="1"/>
        <n v="8015" u="1"/>
        <n v="9855" u="1"/>
        <n v="5738" u="1"/>
        <n v="7755" u="1"/>
        <n v="9335" u="1"/>
        <n v="5478" u="1"/>
        <n v="7495" u="1"/>
        <n v="8815" u="1"/>
        <n v="5218" u="1"/>
        <n v="7235" u="1"/>
        <n v="8295" u="1"/>
        <n v="2510" u="1"/>
        <n v="4958" u="1"/>
        <n v="6975" u="1"/>
        <n v="9792" u="1"/>
        <n v="2380" u="1"/>
        <n v="4698" u="1"/>
        <n v="6715" u="1"/>
        <n v="9272" u="1"/>
        <n v="2250" u="1"/>
        <n v="4438" u="1"/>
        <n v="6455" u="1"/>
        <n v="8752" u="1"/>
        <n v="2120" u="1"/>
        <n v="4178" u="1"/>
        <n v="6195" u="1"/>
        <n v="8232" u="1"/>
        <n v="2019" u="1"/>
        <n v="4007" u="1"/>
        <n v="5935" u="1"/>
        <n v="7952" u="1"/>
        <n v="9729" u="1"/>
        <n v="1954" u="1"/>
        <n v="3877" u="1"/>
        <n v="5675" u="1"/>
        <n v="7692" u="1"/>
        <n v="9209" u="1"/>
        <n v="1889" u="1"/>
        <n v="3747" u="1"/>
        <n v="5415" u="1"/>
        <n v="7432" u="1"/>
        <n v="8689" u="1"/>
        <n v="1824" u="1"/>
        <n v="3617" u="1"/>
        <n v="5155" u="1"/>
        <n v="7172" u="1"/>
        <n v="1759" u="1"/>
        <n v="3487" u="1"/>
        <n v="4895" u="1"/>
        <n v="6912" u="1"/>
        <n v="9666" u="1"/>
        <n v="1694" u="1"/>
        <n v="3357" u="1"/>
        <n v="4635" u="1"/>
        <n v="6652" u="1"/>
        <n v="1629" u="1"/>
        <n v="3227" u="1"/>
        <n v="4375" u="1"/>
        <n v="1564" u="1"/>
        <n v="3097" u="1"/>
        <n v="4115" u="1"/>
        <n v="1499" u="1"/>
        <n v="2967" u="1"/>
        <n v="9603" u="1"/>
        <n v="1434" u="1"/>
        <n v="7629" u="1"/>
        <n v="9083" u="1"/>
        <n v="1369" u="1"/>
        <n v="7369" u="1"/>
        <n v="8563" u="1"/>
        <n v="1304" u="1"/>
        <n v="5092" u="1"/>
        <n v="7109" u="1"/>
        <n v="4832" u="1"/>
        <n v="6849" u="1"/>
        <n v="9540" u="1"/>
        <n v="4572" u="1"/>
        <n v="6589" u="1"/>
        <n v="9020" u="1"/>
        <n v="2187" u="1"/>
        <n v="4312" u="1"/>
        <n v="6329" u="1"/>
        <n v="8500" u="1"/>
        <n v="2057" u="1"/>
        <n v="4074" u="1"/>
        <n v="6069" u="1"/>
        <n v="8086" u="1"/>
        <n v="3944" u="1"/>
        <n v="5809" u="1"/>
        <n v="7826" u="1"/>
        <n v="3814" u="1"/>
        <n v="5549" u="1"/>
        <n v="7566" u="1"/>
        <n v="8957" u="1"/>
        <n v="3684" u="1"/>
        <n v="5289" u="1"/>
        <n v="7306" u="1"/>
        <n v="8437" u="1"/>
        <n v="3554" u="1"/>
        <n v="5029" u="1"/>
        <n v="7046" u="1"/>
        <n v="9934" u="1"/>
        <n v="3424" u="1"/>
        <n v="4769" u="1"/>
        <n v="6786" u="1"/>
        <n v="9414" u="1"/>
        <n v="3294" u="1"/>
        <n v="4509" u="1"/>
        <n v="6526" u="1"/>
        <n v="8894" u="1"/>
        <n v="3164" u="1"/>
        <n v="4249" u="1"/>
        <n v="6266" u="1"/>
        <n v="3034" u="1"/>
        <n v="6006" u="1"/>
        <n v="9871" u="1"/>
        <n v="2904" u="1"/>
        <n v="9351" u="1"/>
        <n v="2774" u="1"/>
        <n v="8831" u="1"/>
        <n v="2644" u="1"/>
        <n v="8311" u="1"/>
        <n v="6983" u="1"/>
        <n v="9808" u="1"/>
        <n v="4706" u="1"/>
        <n v="6723" u="1"/>
        <n v="9288" u="1"/>
        <n v="4446" u="1"/>
        <n v="6463" u="1"/>
        <n v="8768" u="1"/>
        <n v="4186" u="1"/>
        <n v="6203" u="1"/>
        <n v="8248" u="1"/>
        <n v="2021" u="1"/>
        <n v="4011" u="1"/>
        <n v="5943" u="1"/>
        <n v="7960" u="1"/>
        <n v="1956" u="1"/>
        <n v="3881" u="1"/>
        <n v="5683" u="1"/>
        <n v="7700" u="1"/>
        <n v="1891" u="1"/>
        <n v="3751" u="1"/>
        <n v="5423" u="1"/>
        <n v="7440" u="1"/>
        <n v="1826" u="1"/>
        <n v="3621" u="1"/>
        <n v="5163" u="1"/>
        <n v="7180" u="1"/>
        <n v="1761" u="1"/>
        <n v="3491" u="1"/>
        <n v="4903" u="1"/>
        <n v="6920" u="1"/>
        <n v="9682" u="1"/>
        <n v="1696" u="1"/>
        <n v="3361" u="1"/>
        <n v="4643" u="1"/>
        <n v="6660" u="1"/>
        <n v="9162" u="1"/>
        <n v="1631" u="1"/>
        <n v="3231" u="1"/>
        <n v="4383" u="1"/>
        <n v="6400" u="1"/>
        <n v="8642" u="1"/>
        <n v="1566" u="1"/>
        <n v="3101" u="1"/>
        <n v="4123" u="1"/>
        <n v="6140" u="1"/>
        <n v="8157" u="1"/>
        <n v="1501" u="1"/>
        <n v="2971" u="1"/>
        <n v="5880" u="1"/>
        <n v="7897" u="1"/>
        <n v="9619" u="1"/>
        <n v="1436" u="1"/>
        <n v="2841" u="1"/>
        <n v="5620" u="1"/>
        <n v="9099" u="1"/>
        <n v="1371" u="1"/>
        <n v="2711" u="1"/>
        <n v="8579" u="1"/>
        <n v="1306" u="1"/>
        <n v="2581" u="1"/>
        <n v="1241" u="1"/>
        <n v="2451" u="1"/>
        <n v="9556" u="1"/>
        <n v="1176" u="1"/>
        <n v="6597" u="1"/>
        <n v="9036" u="1"/>
        <n v="1111" u="1"/>
        <n v="6337" u="1"/>
        <n v="8516" u="1"/>
        <n v="1046" u="1"/>
        <n v="4078" u="1"/>
        <n v="6077" u="1"/>
        <n v="8094" u="1"/>
        <n v="3948" u="1"/>
        <n v="5817" u="1"/>
        <n v="7834" u="1"/>
        <n v="9493" u="1"/>
        <n v="3818" u="1"/>
        <n v="5557" u="1"/>
        <n v="7574" u="1"/>
        <n v="3688" u="1"/>
        <n v="5297" u="1"/>
        <n v="7314" u="1"/>
        <n v="3558" u="1"/>
        <n v="5037" u="1"/>
        <n v="7054" u="1"/>
        <n v="9950" u="1"/>
        <n v="3428" u="1"/>
        <n v="4777" u="1"/>
        <n v="6794" u="1"/>
        <n v="9430" u="1"/>
        <n v="3298" u="1"/>
        <n v="4517" u="1"/>
        <n v="6534" u="1"/>
        <n v="8910" u="1"/>
        <n v="3168" u="1"/>
        <n v="4257" u="1"/>
        <n v="6274" u="1"/>
        <n v="8390" u="1"/>
        <n v="3038" u="1"/>
        <n v="6014" u="1"/>
        <n v="8031" u="1"/>
        <n v="9887" u="1"/>
        <n v="2908" u="1"/>
        <n v="5754" u="1"/>
        <n v="7771" u="1"/>
        <n v="9367" u="1"/>
        <n v="2778" u="1"/>
        <n v="5494" u="1"/>
        <n v="7511" u="1"/>
        <n v="8847" u="1"/>
        <n v="2648" u="1"/>
        <n v="5234" u="1"/>
        <n v="8327" u="1"/>
        <n v="2518" u="1"/>
        <n v="2388" u="1"/>
        <n v="2258" u="1"/>
        <n v="8784" u="1"/>
        <n v="6211" u="1"/>
        <n v="8264" u="1"/>
        <n v="5951" u="1"/>
        <n v="7968" u="1"/>
        <n v="9761" u="1"/>
        <n v="3885" u="1"/>
        <n v="5691" u="1"/>
        <n v="7708" u="1"/>
        <n v="9241" u="1"/>
        <n v="3755" u="1"/>
        <n v="5431" u="1"/>
        <n v="7448" u="1"/>
        <n v="8721" u="1"/>
        <n v="3625" u="1"/>
        <n v="5171" u="1"/>
        <n v="7188" u="1"/>
        <n v="1763" u="1"/>
        <n v="3495" u="1"/>
        <n v="4911" u="1"/>
        <n v="6928" u="1"/>
        <n v="9698" u="1"/>
        <n v="1698" u="1"/>
        <n v="3365" u="1"/>
        <n v="4651" u="1"/>
        <n v="6668" u="1"/>
        <n v="9178" u="1"/>
        <n v="1633" u="1"/>
        <n v="3235" u="1"/>
        <n v="4391" u="1"/>
        <n v="6408" u="1"/>
        <n v="8658" u="1"/>
        <n v="1568" u="1"/>
        <n v="3105" u="1"/>
        <n v="4131" u="1"/>
        <n v="6148" u="1"/>
        <n v="8165" u="1"/>
        <n v="1503" u="1"/>
        <n v="2975" u="1"/>
        <n v="5888" u="1"/>
        <n v="7905" u="1"/>
        <n v="9635" u="1"/>
        <n v="1438" u="1"/>
        <n v="2845" u="1"/>
        <n v="5628" u="1"/>
        <n v="7645" u="1"/>
        <n v="9115" u="1"/>
        <n v="1373" u="1"/>
        <n v="2715" u="1"/>
        <n v="5368" u="1"/>
        <n v="7385" u="1"/>
        <n v="8595" u="1"/>
        <n v="1308" u="1"/>
        <n v="2585" u="1"/>
        <n v="5108" u="1"/>
        <n v="7125" u="1"/>
        <n v="1243" u="1"/>
        <n v="2455" u="1"/>
        <n v="4848" u="1"/>
        <n v="1178" u="1"/>
        <n v="2325" u="1"/>
        <n v="4588" u="1"/>
        <n v="1113" u="1"/>
        <n v="2195" u="1"/>
        <n v="1048" u="1"/>
        <n v="2065" u="1"/>
        <n v="8102" u="1"/>
        <n v="7842" u="1"/>
        <n v="9509" u="1"/>
        <n v="5565" u="1"/>
        <n v="7582" u="1"/>
        <n v="8989" u="1"/>
        <n v="3692" u="1"/>
        <n v="5305" u="1"/>
        <n v="7322" u="1"/>
        <n v="8469" u="1"/>
        <n v="3562" u="1"/>
        <n v="5045" u="1"/>
        <n v="7062" u="1"/>
        <n v="9966" u="1"/>
        <n v="3432" u="1"/>
        <n v="4785" u="1"/>
        <n v="6802" u="1"/>
        <n v="9446" u="1"/>
        <n v="3302" u="1"/>
        <n v="4525" u="1"/>
        <n v="6542" u="1"/>
        <n v="8926" u="1"/>
        <n v="3172" u="1"/>
        <n v="4265" u="1"/>
        <n v="6282" u="1"/>
        <n v="8406" u="1"/>
        <n v="3042" u="1"/>
        <n v="6022" u="1"/>
        <n v="8039" u="1"/>
        <n v="9903" u="1"/>
        <n v="2912" u="1"/>
        <n v="5762" u="1"/>
        <n v="7779" u="1"/>
        <n v="9383" u="1"/>
        <n v="2782" u="1"/>
        <n v="5502" u="1"/>
        <n v="7519" u="1"/>
        <n v="8863" u="1"/>
        <n v="2652" u="1"/>
        <n v="5242" u="1"/>
        <n v="7259" u="1"/>
        <n v="8343" u="1"/>
        <n v="2522" u="1"/>
        <n v="4982" u="1"/>
        <n v="6999" u="1"/>
        <n v="9840" u="1"/>
        <n v="2392" u="1"/>
        <n v="4722" u="1"/>
        <n v="6739" u="1"/>
        <n v="2262" u="1"/>
        <n v="4462" u="1"/>
        <n v="6479" u="1"/>
        <n v="2132" u="1"/>
        <n v="4202" u="1"/>
        <n v="2025" u="1"/>
        <n v="9777" u="1"/>
        <n v="1960" u="1"/>
        <n v="9257" u="1"/>
        <n v="1895" u="1"/>
        <n v="7456" u="1"/>
        <n v="8737" u="1"/>
        <n v="5179" u="1"/>
        <n v="7196" u="1"/>
        <n v="8217" u="1"/>
        <n v="4919" u="1"/>
        <n v="6936" u="1"/>
        <n v="9714" u="1"/>
        <n v="3369" u="1"/>
        <n v="4659" u="1"/>
        <n v="6676" u="1"/>
        <n v="9194" u="1"/>
        <n v="3239" u="1"/>
        <n v="4399" u="1"/>
        <n v="6416" u="1"/>
        <n v="8674" u="1"/>
        <n v="3109" u="1"/>
        <n v="4139" u="1"/>
        <n v="6156" u="1"/>
        <n v="8173" u="1"/>
        <n v="1505" u="1"/>
        <n v="2979" u="1"/>
        <n v="5896" u="1"/>
        <n v="7913" u="1"/>
        <n v="1440" u="1"/>
        <n v="2849" u="1"/>
        <n v="5636" u="1"/>
        <n v="7653" u="1"/>
        <n v="1375" u="1"/>
        <n v="2719" u="1"/>
        <n v="5376" u="1"/>
        <n v="7393" u="1"/>
        <n v="8611" u="1"/>
        <n v="1310" u="1"/>
        <n v="2589" u="1"/>
        <n v="5116" u="1"/>
        <n v="7133" u="1"/>
        <n v="1245" u="1"/>
        <n v="2459" u="1"/>
        <n v="4856" u="1"/>
        <n v="6873" u="1"/>
        <n v="9588" u="1"/>
        <n v="1180" u="1"/>
        <n v="2329" u="1"/>
        <n v="4596" u="1"/>
        <n v="6613" u="1"/>
        <n v="9068" u="1"/>
        <n v="1115" u="1"/>
        <n v="2199" u="1"/>
        <n v="4336" u="1"/>
        <n v="6353" u="1"/>
        <n v="8548" u="1"/>
        <n v="1050" u="1"/>
        <n v="2069" u="1"/>
        <n v="4086" u="1"/>
        <n v="6093" u="1"/>
        <n v="3956" u="1"/>
        <n v="9525" u="1"/>
        <n v="3826" u="1"/>
        <n v="9005" u="1"/>
        <n v="8485" u="1"/>
        <n v="7070" u="1"/>
        <n v="9982" u="1"/>
        <n v="6810" u="1"/>
        <n v="9462" u="1"/>
        <n v="4533" u="1"/>
        <n v="6550" u="1"/>
        <n v="8942" u="1"/>
        <n v="3176" u="1"/>
        <n v="4273" u="1"/>
        <n v="6290" u="1"/>
        <n v="8422" u="1"/>
        <n v="3046" u="1"/>
        <n v="6030" u="1"/>
        <n v="8047" u="1"/>
        <n v="2916" u="1"/>
        <n v="5770" u="1"/>
        <n v="7787" u="1"/>
        <n v="2786" u="1"/>
        <n v="5510" u="1"/>
        <n v="7527" u="1"/>
        <n v="2656" u="1"/>
        <n v="5250" u="1"/>
        <n v="7267" u="1"/>
        <n v="2526" u="1"/>
        <n v="4990" u="1"/>
        <n v="7007" u="1"/>
        <n v="9856" u="1"/>
        <n v="2396" u="1"/>
        <n v="4730" u="1"/>
        <n v="6747" u="1"/>
        <n v="9336" u="1"/>
      </sharedItems>
    </cacheField>
    <cacheField name="POSLABEL" numFmtId="0" sqlType="12">
      <sharedItems containsBlank="1" count="1055">
        <s v="2018-05-29-13:00"/>
        <s v="2018-05-29-14:00"/>
        <s v="2018-05-29-15:00"/>
        <s v="2018-06-29-14:00"/>
        <s v="2018-06-29-15:00"/>
        <s v="2018-03-26-03:00"/>
        <s v="2018-03-26-04:00"/>
        <s v="2018-03-26-05:00"/>
        <s v="2018-03-26-06:00"/>
        <s v="2018-03-26-07:00"/>
        <s v="2018-03-26-08:00"/>
        <s v="2018-03-26-09:00"/>
        <s v="2018-04-06-07:00"/>
        <s v="2018-04-06-08:00"/>
        <s v="2018-04-06-09:00"/>
        <s v="2018-04-06-10:00"/>
        <s v="2018-04-06-11:00"/>
        <s v="2018-04-06-12:00"/>
        <s v="2018-04-06-13:00"/>
        <s v="2018-04-06-14:00"/>
        <s v="2018-04-17-12:00"/>
        <s v="2018-04-17-13:00"/>
        <s v="2018-04-17-14:00"/>
        <s v="2018-04-17-15:00"/>
        <s v="2018-04-18-02:00"/>
        <s v="2018-04-18-03:00"/>
        <s v="2018-04-18-04:00"/>
        <s v="2018-04-26-15:00"/>
        <s v="2018-04-27-02:00"/>
        <s v="2018-04-27-03:00"/>
        <s v="2018-04-27-04:00"/>
        <s v="2018-04-27-05:00"/>
        <s v="2018-04-27-06:00"/>
        <s v="2018-04-27-07:00"/>
        <s v="2018-05-09-05:00"/>
        <s v="2018-05-09-06:00"/>
        <s v="2018-05-09-07:00"/>
        <s v="2018-05-09-08:00"/>
        <s v="2018-05-09-09:00"/>
        <s v="2018-05-09-10:00"/>
        <s v="2018-05-09-11:00"/>
        <s v="2018-05-09-12:00"/>
        <s v="2018-05-11-09:00"/>
        <s v="2018-05-11-10:00"/>
        <s v="2018-05-11-11:00"/>
        <s v="2018-05-11-12:00"/>
        <s v="2018-05-11-13:00"/>
        <s v="2018-05-11-14:00"/>
        <s v="2018-05-11-15:00"/>
        <s v="2018-05-14-02:00"/>
        <s v="2018-02-19-06:00"/>
        <s v="2018-02-19-07:00"/>
        <s v="2018-02-19-08:00"/>
        <s v="2018-02-19-09:00"/>
        <s v="2018-02-19-10:00"/>
        <s v="2018-02-19-11:00"/>
        <s v="2018-02-19-12:00"/>
        <s v="2018-02-28-11:00"/>
        <s v="2018-02-28-12:00"/>
        <s v="2018-02-28-13:00"/>
        <s v="2018-02-28-14:00"/>
        <s v="2018-02-28-15:00"/>
        <s v="2018-03-01-02:00"/>
        <s v="2018-03-01-03:00"/>
        <s v="2018-03-01-04:00"/>
        <s v="2018-03-06-13:00"/>
        <s v="2018-03-06-14:00"/>
        <s v="2018-03-06-15:00"/>
        <s v="2018-03-07-02:00"/>
        <s v="2018-03-07-03:00"/>
        <s v="2018-03-07-04:00"/>
        <s v="2018-03-07-05:00"/>
        <s v="2018-03-16-04:00"/>
        <s v="2018-03-16-05:00"/>
        <s v="2018-03-16-06:00"/>
        <s v="2018-03-16-07:00"/>
        <s v="2018-03-16-08:00"/>
        <s v="2018-03-16-09:00"/>
        <s v="2018-03-16-10:00"/>
        <s v="2018-03-16-11:00"/>
        <s v="2018-03-26-10:00"/>
        <s v="2018-03-26-11:00"/>
        <s v="2018-03-26-12:00"/>
        <s v="2018-03-26-13:00"/>
        <s v="2018-03-26-14:00"/>
        <s v="2018-03-26-15:00"/>
        <s v="2018-04-06-15:00"/>
        <s v="2018-04-09-02:00"/>
        <s v="2018-04-09-03:00"/>
        <s v="2018-04-09-04:00"/>
        <s v="2018-04-09-05:00"/>
        <s v="2018-04-09-06:00"/>
        <s v="2018-04-18-05:00"/>
        <s v="2018-04-18-06:00"/>
        <s v="2018-04-18-07:00"/>
        <s v="2018-04-18-08:00"/>
        <s v="2018-04-18-09:00"/>
        <s v="2018-04-18-10:00"/>
        <s v="2018-04-27-08:00"/>
        <s v="2018-04-27-09:00"/>
        <s v="2018-04-27-10:00"/>
        <s v="2018-04-27-11:00"/>
        <s v="2018-04-27-12:00"/>
        <s v="2018-04-27-13:00"/>
        <s v="2018-04-27-14:00"/>
        <s v="2018-05-09-13:00"/>
        <s v="2018-05-09-14:00"/>
        <s v="2018-05-09-15:00"/>
        <s v="2018-05-10-02:00"/>
        <s v="2018-05-10-03:00"/>
        <s v="2018-05-10-04:00"/>
        <s v="2018-05-14-03:00"/>
        <s v="2018-05-14-04:00"/>
        <s v="2018-05-14-05:00"/>
        <s v="2018-05-14-06:00"/>
        <s v="2018-05-14-07:00"/>
        <s v="2018-05-14-08:00"/>
        <s v="2018-02-19-13:00"/>
        <s v="2018-02-19-14:00"/>
        <s v="2018-02-19-15:00"/>
        <s v="2018-02-20-02:00"/>
        <s v="2018-02-20-03:00"/>
        <s v="2018-02-20-04:00"/>
        <s v="2018-02-20-05:00"/>
        <s v="2018-03-01-05:00"/>
        <s v="2018-03-01-06:00"/>
        <s v="2018-03-01-07:00"/>
        <s v="2018-03-01-08:00"/>
        <s v="2018-03-01-09:00"/>
        <s v="2018-03-01-10:00"/>
        <s v="2018-03-07-06:00"/>
        <s v="2018-03-07-07:00"/>
        <s v="2018-03-07-08:00"/>
        <s v="2018-03-07-09:00"/>
        <s v="2018-03-07-10:00"/>
        <s v="2018-03-07-11:00"/>
        <s v="2018-03-07-12:00"/>
        <s v="2018-03-16-12:00"/>
        <s v="2018-03-16-13:00"/>
        <s v="2018-03-16-14:00"/>
        <s v="2018-03-16-15:00"/>
        <s v="2018-03-16-16:00"/>
        <s v="2018-03-19-03:00"/>
        <s v="2018-03-27-02:00"/>
        <s v="2018-03-27-03:00"/>
        <s v="2018-03-27-04:00"/>
        <s v="2018-03-27-05:00"/>
        <s v="2018-03-27-06:00"/>
        <s v="2018-03-27-07:00"/>
        <s v="2018-03-27-08:00"/>
        <s v="2018-04-09-07:00"/>
        <s v="2018-04-09-08:00"/>
        <s v="2018-04-09-09:00"/>
        <s v="2018-04-09-10:00"/>
        <s v="2018-04-09-11:00"/>
        <s v="2018-04-09-12:00"/>
        <s v="2018-04-18-11:00"/>
        <s v="2018-04-18-12:00"/>
        <s v="2018-04-18-13:00"/>
        <s v="2018-04-18-14:00"/>
        <s v="2018-04-18-15:00"/>
        <s v="2018-04-19-02:00"/>
        <s v="2018-04-19-03:00"/>
        <s v="2018-04-27-15:00"/>
        <s v="2018-04-30-02:00"/>
        <s v="2018-04-30-03:00"/>
        <s v="2018-04-30-04:00"/>
        <s v="2018-04-30-05:00"/>
        <s v="2018-04-30-06:00"/>
        <s v="2018-05-10-05:00"/>
        <s v="2018-05-10-06:00"/>
        <s v="2018-05-10-07:00"/>
        <s v="2018-05-10-08:00"/>
        <s v="2018-05-10-09:00"/>
        <s v="2018-05-10-10:00"/>
        <s v="2018-05-14-09:00"/>
        <s v="2018-05-14-10:00"/>
        <s v="2018-05-14-11:00"/>
        <s v="2018-05-14-12:00"/>
        <s v="2018-05-14-13:00"/>
        <s v="2018-05-14-14:00"/>
        <s v="2018-02-20-06:00"/>
        <s v="2018-02-20-07:00"/>
        <s v="2018-02-20-08:00"/>
        <s v="2018-02-20-09:00"/>
        <s v="2018-02-20-10:00"/>
        <s v="2018-02-20-11:00"/>
        <s v="2018-03-01-11:00"/>
        <s v="2018-03-01-12:00"/>
        <s v="2018-03-01-13:00"/>
        <s v="2018-03-01-14:00"/>
        <s v="2018-03-01-15:00"/>
        <s v="2018-03-02-02:00"/>
        <s v="2018-03-07-13:00"/>
        <s v="2018-03-07-14:00"/>
        <s v="2018-03-07-15:00"/>
        <s v="2018-03-08-02:00"/>
        <s v="2018-03-08-03:00"/>
        <s v="2018-03-08-04:00"/>
        <s v="2018-03-19-04:00"/>
        <s v="2018-03-19-05:00"/>
        <s v="2018-03-19-06:00"/>
        <s v="2018-03-19-07:00"/>
        <s v="2018-03-19-08:00"/>
        <s v="2018-03-19-09:00"/>
        <s v="2018-03-19-10:00"/>
        <s v="2018-03-27-09:00"/>
        <s v="2018-03-27-10:00"/>
        <s v="2018-03-27-11:00"/>
        <s v="2018-03-27-12:00"/>
        <s v="2018-03-27-13:00"/>
        <s v="2018-03-27-14:00"/>
        <s v="2018-04-09-13:00"/>
        <s v="2018-04-09-14:00"/>
        <s v="2018-04-09-15:00"/>
        <s v="2018-04-10-02:00"/>
        <s v="2018-04-10-03:00"/>
        <s v="2018-04-10-04:00"/>
        <s v="2018-04-10-05:00"/>
        <s v="2018-04-19-04:00"/>
        <s v="2018-04-19-05:00"/>
        <s v="2018-04-19-06:00"/>
        <s v="2018-04-19-07:00"/>
        <s v="2018-04-19-08:00"/>
        <s v="2018-04-19-09:00"/>
        <s v="2018-04-30-07:00"/>
        <s v="2018-04-30-08:00"/>
        <s v="2018-04-30-09:00"/>
        <s v="2018-04-30-10:00"/>
        <s v="2018-04-30-11:00"/>
        <s v="2018-04-30-12:00"/>
        <s v="2018-02-20-12:00"/>
        <s v="2018-02-20-13:00"/>
        <s v="2018-02-20-14:00"/>
        <s v="2018-02-20-15:00"/>
        <s v="2018-02-21-02:00"/>
        <s v="2018-02-21-03:00"/>
        <s v="2018-02-21-04:00"/>
        <s v="2018-03-08-05:00"/>
        <s v="2018-03-08-06:00"/>
        <s v="2018-03-08-07:00"/>
        <s v="2018-03-08-08:00"/>
        <s v="2018-03-08-09:00"/>
        <s v="2018-03-08-10:00"/>
        <s v="2018-03-27-15:00"/>
        <s v="2018-03-28-02:00"/>
        <s v="2018-03-28-03:00"/>
        <s v="2018-03-28-04:00"/>
        <s v="2018-03-28-05:00"/>
        <s v="2018-03-28-06:00"/>
        <s v="2018-03-28-07:00"/>
        <s v="2018-04-10-06:00"/>
        <s v="2018-04-10-07:00"/>
        <s v="2018-04-10-08:00"/>
        <s v="2018-04-10-09:00"/>
        <s v="2018-04-10-10:00"/>
        <s v="2018-04-10-11:00"/>
        <s v="2018-04-19-10:00"/>
        <s v="2018-04-19-11:00"/>
        <s v="2018-04-19-12:00"/>
        <s v="2018-04-19-13:00"/>
        <s v="2018-04-19-14:00"/>
        <s v="2018-04-19-15:00"/>
        <s v="2018-04-30-13:00"/>
        <s v="2018-04-30-14:00"/>
        <s v="2018-04-30-15:00"/>
        <s v="2018-05-02-02:00"/>
        <s v="2018-05-02-03:00"/>
        <s v="2018-05-02-04:00"/>
        <s v="2018-05-02-05:00"/>
        <s v="2018-02-21-05:00"/>
        <s v="2018-02-21-06:00"/>
        <s v="2018-02-21-07:00"/>
        <s v="2018-02-21-08:00"/>
        <s v="2018-02-21-09:00"/>
        <s v="2018-02-21-10:00"/>
        <s v="2018-03-08-11:00"/>
        <s v="2018-03-08-12:00"/>
        <s v="2018-03-08-13:00"/>
        <s v="2018-03-08-14:00"/>
        <s v="2018-03-08-15:00"/>
        <s v="2018-03-09-02:00"/>
        <s v="2018-03-09-03:00"/>
        <s v="2018-03-28-08:00"/>
        <s v="2018-03-28-09:00"/>
        <s v="2018-03-28-10:00"/>
        <s v="2018-03-28-11:00"/>
        <s v="2018-03-28-12:00"/>
        <s v="2018-03-28-13:00"/>
        <s v="2018-04-10-12:00"/>
        <s v="2018-04-10-13:00"/>
        <s v="2018-04-10-14:00"/>
        <s v="2018-04-10-15:00"/>
        <s v="2018-04-11-02:00"/>
        <s v="2018-04-11-03:00"/>
        <s v="2018-04-11-04:00"/>
        <s v="2018-04-20-02:00"/>
        <s v="2018-04-20-03:00"/>
        <s v="2018-04-20-04:00"/>
        <s v="2018-04-20-05:00"/>
        <s v="2018-04-20-06:00"/>
        <s v="2018-04-20-07:00"/>
        <s v="2018-04-20-08:00"/>
        <s v="2018-05-02-06:00"/>
        <s v="2018-05-02-07:00"/>
        <s v="2018-05-02-08:00"/>
        <s v="2018-05-02-09:00"/>
        <s v="2018-05-02-10:00"/>
        <s v="2018-05-02-11:00"/>
        <s v="2018-02-21-11:00"/>
        <s v="2018-02-21-12:00"/>
        <s v="2018-02-21-13:00"/>
        <s v="2018-02-21-14:00"/>
        <s v="2018-02-21-15:00"/>
        <s v="2018-02-22-02:00"/>
        <s v="2018-02-22-03:00"/>
        <s v="2018-03-09-04:00"/>
        <s v="2018-03-09-05:00"/>
        <s v="2018-03-09-06:00"/>
        <s v="2018-03-09-07:00"/>
        <s v="2018-03-09-08:00"/>
        <s v="2018-03-09-09:00"/>
        <s v="2018-03-19-11:00"/>
        <s v="2018-03-19-12:00"/>
        <s v="2018-03-19-13:00"/>
        <s v="2018-03-19-14:00"/>
        <s v="2018-03-19-15:00"/>
        <s v="2018-03-19-16:00"/>
        <s v="2018-03-28-14:00"/>
        <s v="2018-03-28-15:00"/>
        <s v="2018-03-29-02:00"/>
        <s v="2018-03-29-03:00"/>
        <s v="2018-03-29-04:00"/>
        <s v="2018-03-29-05:00"/>
        <s v="2018-04-11-05:00"/>
        <s v="2018-04-11-06:00"/>
        <s v="2018-04-11-07:00"/>
        <s v="2018-04-11-08:00"/>
        <s v="2018-04-11-09:00"/>
        <s v="2018-04-11-10:00"/>
        <s v="2018-04-20-09:00"/>
        <s v="2018-04-20-10:00"/>
        <s v="2018-04-20-11:00"/>
        <s v="2018-04-20-12:00"/>
        <s v="2018-04-20-13:00"/>
        <s v="2018-04-20-14:00"/>
        <s v="2018-05-02-12:00"/>
        <s v="2018-05-02-13:00"/>
        <s v="2018-05-02-14:00"/>
        <s v="2018-05-02-15:00"/>
        <s v="2018-05-03-02:00"/>
        <s v="2018-05-03-03:00"/>
        <s v="2018-05-03-04:00"/>
        <s v="2018-02-22-04:00"/>
        <s v="2018-02-22-05:00"/>
        <s v="2018-02-22-06:00"/>
        <s v="2018-02-22-07:00"/>
        <s v="2018-02-22-08:00"/>
        <s v="2018-02-22-09:00"/>
        <s v="2018-03-09-10:00"/>
        <s v="2018-03-09-11:00"/>
        <s v="2018-03-09-12:00"/>
        <s v="2018-03-09-13:00"/>
        <s v="2018-03-09-14:00"/>
        <s v="2018-03-09-15:00"/>
        <s v="2018-03-12-03:00"/>
        <s v="2018-03-20-03:00"/>
        <s v="2018-03-20-04:00"/>
        <s v="2018-03-20-05:00"/>
        <s v="2018-03-20-06:00"/>
        <s v="2018-03-20-07:00"/>
        <s v="2018-03-20-08:00"/>
        <s v="2018-03-29-06:00"/>
        <s v="2018-03-29-07:00"/>
        <s v="2018-03-29-08:00"/>
        <s v="2018-03-29-09:00"/>
        <s v="2018-03-29-10:00"/>
        <s v="2018-03-29-11:00"/>
        <s v="2018-03-29-12:00"/>
        <s v="2018-04-11-11:00"/>
        <s v="2018-04-11-12:00"/>
        <s v="2018-04-11-13:00"/>
        <s v="2018-04-11-14:00"/>
        <s v="2018-04-11-15:00"/>
        <s v="2018-04-12-02:00"/>
        <s v="2018-04-20-15:00"/>
        <s v="2018-04-23-02:00"/>
        <s v="2018-04-23-03:00"/>
        <s v="2018-04-23-04:00"/>
        <s v="2018-04-23-05:00"/>
        <s v="2018-04-23-06:00"/>
        <s v="2018-04-23-07:00"/>
        <s v="2018-05-03-05:00"/>
        <s v="2018-05-03-06:00"/>
        <s v="2018-05-03-07:00"/>
        <s v="2018-05-03-08:00"/>
        <s v="2018-05-03-09:00"/>
        <s v="2018-05-03-10:00"/>
        <s v="2018-02-22-10:00"/>
        <s v="2018-02-22-11:00"/>
        <s v="2018-02-22-12:00"/>
        <s v="2018-02-22-13:00"/>
        <s v="2018-02-22-14:00"/>
        <s v="2018-02-22-15:00"/>
        <s v="2018-02-23-02:00"/>
        <s v="2018-03-12-04:00"/>
        <s v="2018-03-12-05:00"/>
        <s v="2018-03-12-06:00"/>
        <s v="2018-03-12-07:00"/>
        <s v="2018-03-12-08:00"/>
        <s v="2018-03-12-09:00"/>
        <s v="2018-03-20-09:00"/>
        <s v="2018-03-20-10:00"/>
        <s v="2018-03-20-11:00"/>
        <s v="2018-03-20-12:00"/>
        <s v="2018-03-20-13:00"/>
        <s v="2018-03-20-14:00"/>
        <s v="2018-03-20-15:00"/>
        <s v="2018-03-29-13:00"/>
        <s v="2018-03-29-14:00"/>
        <s v="2018-03-29-15:00"/>
        <s v="2018-04-03-02:00"/>
        <s v="2018-04-03-03:00"/>
        <s v="2018-04-03-04:00"/>
        <s v="2018-04-12-03:00"/>
        <s v="2018-04-12-04:00"/>
        <s v="2018-04-12-05:00"/>
        <s v="2018-04-12-06:00"/>
        <s v="2018-04-12-07:00"/>
        <s v="2018-04-12-08:00"/>
        <s v="2018-04-12-09:00"/>
        <s v="2018-04-23-08:00"/>
        <s v="2018-04-23-09:00"/>
        <s v="2018-04-23-10:00"/>
        <s v="2018-04-23-11:00"/>
        <s v="2018-04-23-12:00"/>
        <s v="2018-04-23-13:00"/>
        <s v="2018-05-03-11:00"/>
        <s v="2018-05-03-12:00"/>
        <s v="2018-05-03-13:00"/>
        <s v="2018-05-03-14:00"/>
        <s v="2018-05-03-15:00"/>
        <s v="2018-05-04-02:00"/>
        <s v="2018-02-23-03:00"/>
        <s v="2018-02-23-04:00"/>
        <s v="2018-02-23-05:00"/>
        <s v="2018-02-23-06:00"/>
        <s v="2018-02-23-07:00"/>
        <s v="2018-02-23-08:00"/>
        <s v="2018-03-12-10:00"/>
        <s v="2018-03-12-11:00"/>
        <s v="2018-03-12-12:00"/>
        <s v="2018-03-12-13:00"/>
        <s v="2018-03-12-14:00"/>
        <s v="2018-03-12-15:00"/>
        <s v="2018-03-20-16:00"/>
        <s v="2018-03-21-03:00"/>
        <s v="2018-03-21-04:00"/>
        <s v="2018-03-21-05:00"/>
        <s v="2018-03-21-06:00"/>
        <s v="2018-03-21-07:00"/>
        <s v="2018-04-03-05:00"/>
        <s v="2018-04-03-06:00"/>
        <s v="2018-04-03-07:00"/>
        <s v="2018-04-03-08:00"/>
        <s v="2018-04-03-09:00"/>
        <s v="2018-04-03-10:00"/>
        <s v="2018-04-03-11:00"/>
        <s v="2018-04-12-10:00"/>
        <s v="2018-04-12-11:00"/>
        <s v="2018-04-12-12:00"/>
        <s v="2018-04-12-13:00"/>
        <s v="2018-04-12-14:00"/>
        <s v="2018-04-12-15:00"/>
        <s v="2018-04-23-14:00"/>
        <s v="2018-04-23-15:00"/>
        <s v="2018-04-24-02:00"/>
        <s v="2018-04-24-03:00"/>
        <s v="2018-04-24-04:00"/>
        <s v="2018-04-24-05:00"/>
        <s v="2018-05-04-03:00"/>
        <s v="2018-05-04-04:00"/>
        <s v="2018-05-04-05:00"/>
        <s v="2018-05-04-06:00"/>
        <s v="2018-05-04-07:00"/>
        <s v="2018-05-04-08:00"/>
        <s v="2018-05-04-09:00"/>
        <s v="2018-02-23-09:00"/>
        <s v="2018-02-23-10:00"/>
        <s v="2018-02-23-11:00"/>
        <s v="2018-02-23-12:00"/>
        <s v="2018-02-23-13:00"/>
        <s v="2018-02-23-14:00"/>
        <s v="2018-02-23-15:00"/>
        <s v="2018-03-12-16:00"/>
        <s v="2018-03-13-03:00"/>
        <s v="2018-03-13-04:00"/>
        <s v="2018-03-13-05:00"/>
        <s v="2018-03-13-06:00"/>
        <s v="2018-03-13-07:00"/>
        <s v="2018-03-13-08:00"/>
        <s v="2018-03-21-08:00"/>
        <s v="2018-03-21-09:00"/>
        <s v="2018-03-21-10:00"/>
        <s v="2018-03-21-11:00"/>
        <s v="2018-03-21-12:00"/>
        <s v="2018-03-21-13:00"/>
        <s v="2018-03-21-14:00"/>
        <s v="2018-04-03-12:00"/>
        <s v="2018-04-03-13:00"/>
        <s v="2018-04-03-14:00"/>
        <s v="2018-04-03-15:00"/>
        <s v="2018-04-04-02:00"/>
        <s v="2018-04-04-03:00"/>
        <s v="2018-04-13-02:00"/>
        <s v="2018-04-13-03:00"/>
        <s v="2018-04-13-04:00"/>
        <s v="2018-04-13-05:00"/>
        <s v="2018-04-13-06:00"/>
        <s v="2018-04-13-07:00"/>
        <s v="2018-04-13-08:00"/>
        <s v="2018-04-24-06:00"/>
        <s v="2018-04-24-07:00"/>
        <s v="2018-04-24-08:00"/>
        <s v="2018-04-24-09:00"/>
        <s v="2018-04-24-10:00"/>
        <s v="2018-04-24-11:00"/>
        <s v="2018-04-24-12:00"/>
        <s v="2018-05-04-10:00"/>
        <s v="2018-05-04-11:00"/>
        <s v="2018-05-04-12:00"/>
        <s v="2018-05-04-13:00"/>
        <s v="2018-05-04-14:00"/>
        <s v="2018-05-04-15:00"/>
        <s v="2018-02-14-09:00"/>
        <s v="2018-02-14-10:00"/>
        <s v="2018-02-14-11:00"/>
        <s v="2018-02-14-12:00"/>
        <s v="2018-02-14-13:00"/>
        <s v="2018-02-14-14:00"/>
        <s v="2018-02-14-15:00"/>
        <s v="2018-02-26-02:00"/>
        <s v="2018-02-26-03:00"/>
        <s v="2018-02-26-04:00"/>
        <s v="2018-02-26-05:00"/>
        <s v="2018-02-26-06:00"/>
        <s v="2018-02-26-07:00"/>
        <s v="2018-03-02-03:00"/>
        <s v="2018-03-02-04:00"/>
        <s v="2018-03-02-05:00"/>
        <s v="2018-03-02-06:00"/>
        <s v="2018-03-02-07:00"/>
        <s v="2018-03-02-08:00"/>
        <s v="2018-03-02-09:00"/>
        <s v="2018-03-13-09:00"/>
        <s v="2018-03-13-10:00"/>
        <s v="2018-03-13-11:00"/>
        <s v="2018-03-13-12:00"/>
        <s v="2018-03-13-13:00"/>
        <s v="2018-03-13-14:00"/>
        <s v="2018-03-21-15:00"/>
        <s v="2018-03-21-16:00"/>
        <s v="2018-03-22-03:00"/>
        <s v="2018-03-22-04:00"/>
        <s v="2018-03-22-05:00"/>
        <s v="2018-03-22-06:00"/>
        <s v="2018-04-04-04:00"/>
        <s v="2018-04-04-05:00"/>
        <s v="2018-04-04-06:00"/>
        <s v="2018-04-04-07:00"/>
        <s v="2018-04-04-08:00"/>
        <s v="2018-04-04-09:00"/>
        <s v="2018-04-04-10:00"/>
        <s v="2018-04-13-09:00"/>
        <s v="2018-04-13-10:00"/>
        <s v="2018-04-13-11:00"/>
        <s v="2018-04-13-12:00"/>
        <s v="2018-04-13-13:00"/>
        <s v="2018-04-13-14:00"/>
        <s v="2018-04-24-13:00"/>
        <s v="2018-04-24-14:00"/>
        <s v="2018-04-24-15:00"/>
        <s v="2018-04-25-02:00"/>
        <s v="2018-04-25-03:00"/>
        <s v="2018-04-25-04:00"/>
        <s v="2018-05-07-02:00"/>
        <s v="2018-05-07-03:00"/>
        <s v="2018-05-07-04:00"/>
        <s v="2018-05-07-05:00"/>
        <s v="2018-05-07-06:00"/>
        <s v="2018-05-07-07:00"/>
        <s v="2018-05-07-08:00"/>
        <s v="2018-02-15-02:00"/>
        <s v="2018-02-15-03:00"/>
        <s v="2018-02-15-04:00"/>
        <s v="2018-02-15-05:00"/>
        <s v="2018-02-15-06:00"/>
        <s v="2018-02-15-07:00"/>
        <s v="2018-02-15-08:00"/>
        <s v="2018-02-26-08:00"/>
        <s v="2018-02-26-09:00"/>
        <s v="2018-02-26-10:00"/>
        <s v="2018-02-26-11:00"/>
        <s v="2018-02-26-12:00"/>
        <s v="2018-02-26-13:00"/>
        <s v="2018-02-26-14:00"/>
        <s v="2018-03-02-10:00"/>
        <s v="2018-03-02-11:00"/>
        <s v="2018-03-02-12:00"/>
        <s v="2018-03-02-13:00"/>
        <s v="2018-03-02-14:00"/>
        <s v="2018-03-02-15:00"/>
        <s v="2018-03-13-15:00"/>
        <s v="2018-03-13-16:00"/>
        <s v="2018-03-14-03:00"/>
        <s v="2018-03-14-04:00"/>
        <s v="2018-03-14-05:00"/>
        <s v="2018-03-14-06:00"/>
        <s v="2018-03-14-07:00"/>
        <s v="2018-03-22-07:00"/>
        <s v="2018-03-22-08:00"/>
        <s v="2018-03-22-09:00"/>
        <s v="2018-03-22-10:00"/>
        <s v="2018-03-22-11:00"/>
        <s v="2018-03-22-12:00"/>
        <s v="2018-04-04-11:00"/>
        <s v="2018-04-04-12:00"/>
        <s v="2018-04-04-13:00"/>
        <s v="2018-04-04-14:00"/>
        <s v="2018-04-04-15:00"/>
        <s v="2018-04-05-02:00"/>
        <s v="2018-04-13-15:00"/>
        <s v="2018-04-16-02:00"/>
        <s v="2018-04-16-03:00"/>
        <s v="2018-04-16-04:00"/>
        <s v="2018-04-16-05:00"/>
        <s v="2018-04-16-06:00"/>
        <s v="2018-04-25-05:00"/>
        <s v="2018-04-25-06:00"/>
        <s v="2018-04-25-07:00"/>
        <s v="2018-04-25-08:00"/>
        <s v="2018-04-25-09:00"/>
        <s v="2018-04-25-10:00"/>
        <s v="2018-04-25-11:00"/>
        <s v="2018-05-07-09:00"/>
        <s v="2018-05-07-10:00"/>
        <s v="2018-05-07-11:00"/>
        <s v="2018-05-07-12:00"/>
        <s v="2018-05-07-13:00"/>
        <s v="2018-05-07-14:00"/>
        <s v="2018-02-15-09:00"/>
        <s v="2018-02-15-10:00"/>
        <s v="2018-02-15-11:00"/>
        <s v="2018-02-15-12:00"/>
        <s v="2018-02-15-13:00"/>
        <s v="2018-02-15-14:00"/>
        <s v="2018-02-15-15:00"/>
        <s v="2018-02-26-15:00"/>
        <s v="2018-02-27-02:00"/>
        <s v="2018-02-27-03:00"/>
        <s v="2018-02-27-04:00"/>
        <s v="2018-02-27-05:00"/>
        <s v="2018-02-27-06:00"/>
        <s v="2018-03-05-02:00"/>
        <s v="2018-03-05-03:00"/>
        <s v="2018-03-05-04:00"/>
        <s v="2018-03-05-05:00"/>
        <s v="2018-03-05-06:00"/>
        <s v="2018-03-05-07:00"/>
        <s v="2018-03-05-08:00"/>
        <s v="2018-03-14-08:00"/>
        <s v="2018-03-14-09:00"/>
        <s v="2018-03-14-10:00"/>
        <s v="2018-03-14-11:00"/>
        <s v="2018-03-14-12:00"/>
        <s v="2018-03-14-13:00"/>
        <s v="2018-03-22-13:00"/>
        <s v="2018-03-22-14:00"/>
        <s v="2018-03-22-15:00"/>
        <s v="2018-03-22-16:00"/>
        <s v="2018-03-23-03:00"/>
        <s v="2018-03-23-04:00"/>
        <s v="2018-03-23-05:00"/>
        <s v="2018-04-05-03:00"/>
        <s v="2018-04-05-04:00"/>
        <s v="2018-04-05-05:00"/>
        <s v="2018-04-05-06:00"/>
        <s v="2018-04-05-07:00"/>
        <s v="2018-04-05-08:00"/>
        <s v="2018-04-16-07:00"/>
        <s v="2018-04-16-08:00"/>
        <s v="2018-04-16-09:00"/>
        <s v="2018-04-16-10:00"/>
        <s v="2018-04-16-11:00"/>
        <s v="2018-04-16-12:00"/>
        <s v="2018-04-16-13:00"/>
        <s v="2018-04-25-12:00"/>
        <s v="2018-04-25-13:00"/>
        <s v="2018-04-25-14:00"/>
        <s v="2018-04-25-15:00"/>
        <s v="2018-04-25-16:00"/>
        <s v="2018-04-26-02:00"/>
        <s v="2018-05-07-15:00"/>
        <s v="2018-05-08-02:00"/>
        <s v="2018-05-08-03:00"/>
        <s v="2018-05-08-04:00"/>
        <s v="2018-05-08-05:00"/>
        <s v="2018-05-08-06:00"/>
        <s v="2018-02-16-02:00"/>
        <s v="2018-02-16-03:00"/>
        <s v="2018-02-16-04:00"/>
        <s v="2018-02-16-05:00"/>
        <s v="2018-02-16-06:00"/>
        <s v="2018-02-16-07:00"/>
        <s v="2018-02-27-07:00"/>
        <s v="2018-02-27-08:00"/>
        <s v="2018-02-27-09:00"/>
        <s v="2018-02-27-10:00"/>
        <s v="2018-02-27-11:00"/>
        <s v="2018-02-27-12:00"/>
        <s v="2018-03-05-09:00"/>
        <s v="2018-03-05-10:00"/>
        <s v="2018-03-05-11:00"/>
        <s v="2018-03-05-12:00"/>
        <s v="2018-03-05-13:00"/>
        <s v="2018-03-05-14:00"/>
        <s v="2018-03-14-14:00"/>
        <s v="2018-03-14-15:00"/>
        <s v="2018-03-14-16:00"/>
        <s v="2018-03-15-03:00"/>
        <s v="2018-03-15-04:00"/>
        <s v="2018-03-15-05:00"/>
        <s v="2018-03-15-06:00"/>
        <s v="2018-03-23-06:00"/>
        <s v="2018-03-23-07:00"/>
        <s v="2018-03-23-08:00"/>
        <s v="2018-03-23-09:00"/>
        <s v="2018-03-23-10:00"/>
        <s v="2018-03-23-11:00"/>
        <s v="2018-04-05-09:00"/>
        <s v="2018-04-05-10:00"/>
        <s v="2018-04-05-11:00"/>
        <s v="2018-04-05-12:00"/>
        <s v="2018-04-05-13:00"/>
        <s v="2018-04-05-14:00"/>
        <s v="2018-04-05-15:00"/>
        <s v="2018-04-16-14:00"/>
        <s v="2018-04-16-15:00"/>
        <s v="2018-04-17-02:00"/>
        <s v="2018-04-17-03:00"/>
        <s v="2018-04-17-04:00"/>
        <s v="2018-04-17-05:00"/>
        <s v="2018-04-26-03:00"/>
        <s v="2018-04-26-04:00"/>
        <s v="2018-04-26-05:00"/>
        <s v="2018-04-26-06:00"/>
        <s v="2018-04-26-07:00"/>
        <s v="2018-04-26-08:00"/>
        <s v="2018-05-08-07:00"/>
        <s v="2018-05-08-08:00"/>
        <s v="2018-05-08-09:00"/>
        <s v="2018-05-08-10:00"/>
        <s v="2018-05-08-11:00"/>
        <s v="2018-05-08-12:00"/>
        <s v="2018-05-08-13:00"/>
        <s v="2018-05-10-11:00"/>
        <s v="2018-05-10-12:00"/>
        <s v="2018-05-10-13:00"/>
        <s v="2018-05-10-14:00"/>
        <s v="2018-05-10-15:00"/>
        <s v="2018-05-11-02:00"/>
        <s v="2018-05-11-03:00"/>
        <s v="2018-02-16-08:00"/>
        <s v="2018-02-16-09:00"/>
        <s v="2018-02-16-10:00"/>
        <s v="2018-02-16-11:00"/>
        <s v="2018-02-16-12:00"/>
        <s v="2018-02-16-13:00"/>
        <s v="2018-02-27-13:00"/>
        <s v="2018-02-27-14:00"/>
        <s v="2018-02-27-15:00"/>
        <s v="2018-02-28-02:00"/>
        <s v="2018-02-28-03:00"/>
        <s v="2018-02-28-04:00"/>
        <s v="2018-02-28-05:00"/>
        <s v="2018-03-05-15:00"/>
        <s v="2018-03-06-02:00"/>
        <s v="2018-03-06-03:00"/>
        <s v="2018-03-06-04:00"/>
        <s v="2018-03-06-05:00"/>
        <s v="2018-03-06-06:00"/>
        <s v="2018-03-15-07:00"/>
        <s v="2018-03-15-08:00"/>
        <s v="2018-03-15-09:00"/>
        <s v="2018-03-15-10:00"/>
        <s v="2018-03-15-11:00"/>
        <s v="2018-03-15-12:00"/>
        <s v="2018-03-23-12:00"/>
        <s v="2018-03-23-13:00"/>
        <s v="2018-03-23-14:00"/>
        <s v="2018-03-23-15:00"/>
        <s v="2018-03-23-16:00"/>
        <s v="2018-03-26-02:00"/>
        <s v="2018-04-06-02:00"/>
        <s v="2018-04-06-03:00"/>
        <s v="2018-04-06-04:00"/>
        <s v="2018-04-06-05:00"/>
        <s v="2018-04-06-06:00"/>
        <s v="2018-04-17-06:00"/>
        <s v="2018-04-17-07:00"/>
        <s v="2018-04-17-08:00"/>
        <s v="2018-04-17-09:00"/>
        <s v="2018-04-17-10:00"/>
        <s v="2018-04-17-11:00"/>
        <s v="2018-04-26-09:00"/>
        <s v="2018-04-26-10:00"/>
        <s v="2018-04-26-11:00"/>
        <s v="2018-04-26-12:00"/>
        <s v="2018-04-26-13:00"/>
        <s v="2018-04-26-14:00"/>
        <s v="2018-05-08-14:00"/>
        <s v="2018-05-08-15:00"/>
        <s v="2018-05-09-02:00"/>
        <s v="2018-05-09-03:00"/>
        <s v="2018-05-09-04:00"/>
        <s v="2018-05-11-04:00"/>
        <s v="2018-05-11-05:00"/>
        <s v="2018-05-11-06:00"/>
        <s v="2018-05-11-07:00"/>
        <s v="2018-05-11-08:00"/>
        <s v="2018-02-16-14:00"/>
        <s v="2018-02-16-15:00"/>
        <s v="2018-02-19-02:00"/>
        <s v="2018-02-19-03:00"/>
        <s v="2018-02-19-04:00"/>
        <s v="2018-02-19-05:00"/>
        <s v="2018-02-28-06:00"/>
        <s v="2018-02-28-07:00"/>
        <s v="2018-02-28-08:00"/>
        <s v="2018-02-28-09:00"/>
        <s v="2018-02-28-10:00"/>
        <s v="2018-03-06-07:00"/>
        <s v="2018-03-06-08:00"/>
        <s v="2018-03-06-09:00"/>
        <s v="2018-03-06-10:00"/>
        <s v="2018-03-06-11:00"/>
        <s v="2018-03-06-12:00"/>
        <s v="2018-03-15-13:00"/>
        <s v="2018-03-15-14:00"/>
        <s v="2018-03-15-15:00"/>
        <s v="2018-03-15-16:00"/>
        <s v="2018-03-16-03:00"/>
        <s v="2018-05-15-07:00"/>
        <s v="2018-05-15-08:00"/>
        <s v="2018-05-15-09:00"/>
        <s v="2018-05-15-10:00"/>
        <s v="2018-05-15-11:00"/>
        <s v="2018-05-15-12:00"/>
        <s v="2018-05-15-13:00"/>
        <s v="2018-05-22-13:00"/>
        <s v="2018-05-22-14:00"/>
        <s v="2018-05-22-15:00"/>
        <s v="2018-05-23-02:00"/>
        <s v="2018-05-23-03:00"/>
        <s v="2018-05-23-04:00"/>
        <s v="2018-05-23-05:00"/>
        <s v="2018-05-15-14:00"/>
        <s v="2018-05-15-15:00"/>
        <s v="2018-05-16-02:00"/>
        <s v="2018-05-16-03:00"/>
        <s v="2018-05-16-04:00"/>
        <s v="2018-05-16-05:00"/>
        <s v="2018-05-23-06:00"/>
        <s v="2018-05-23-07:00"/>
        <s v="2018-05-23-08:00"/>
        <s v="2018-05-23-09:00"/>
        <s v="2018-05-23-10:00"/>
        <s v="2018-05-23-11:00"/>
        <s v="2018-05-23-12:00"/>
        <s v="2018-05-16-06:00"/>
        <s v="2018-05-16-07:00"/>
        <s v="2018-05-16-08:00"/>
        <s v="2018-05-16-09:00"/>
        <s v="2018-05-16-10:00"/>
        <s v="2018-05-16-11:00"/>
        <s v="2018-05-16-12:00"/>
        <s v="2018-05-23-13:00"/>
        <s v="2018-05-23-14:00"/>
        <s v="2018-05-23-15:00"/>
        <s v="2018-05-24-02:00"/>
        <s v="2018-05-24-03:00"/>
        <s v="2018-05-24-04:00"/>
        <s v="2018-05-24-05:00"/>
        <s v="2018-05-24-06:00"/>
        <s v="2018-05-24-07:00"/>
        <s v="2018-05-24-08:00"/>
        <s v="2018-05-24-09:00"/>
        <s v="2018-05-24-10:00"/>
        <s v="2018-05-24-11:00"/>
        <s v="2018-05-24-12:00"/>
        <s v="2018-05-24-13:00"/>
        <s v="2018-05-24-14:00"/>
        <s v="2018-05-24-15:00"/>
        <s v="2018-05-25-02:00"/>
        <s v="2018-05-25-03:00"/>
        <s v="2018-05-25-04:00"/>
        <s v="2018-05-25-05:00"/>
        <s v="2018-05-25-06:00"/>
        <s v="2018-05-25-07:00"/>
        <s v="2018-05-25-08:00"/>
        <s v="2018-05-25-09:00"/>
        <s v="2018-05-25-10:00"/>
        <s v="2018-05-25-11:00"/>
        <s v="2018-05-25-12:00"/>
        <s v="2018-05-25-13:00"/>
        <s v="2018-05-25-14:00"/>
        <s v="2018-05-25-15:00"/>
        <s v="2018-05-28-02:00"/>
        <s v="2018-05-16-13:00"/>
        <s v="2018-05-16-14:00"/>
        <s v="2018-05-16-15:00"/>
        <s v="2018-05-17-02:00"/>
        <s v="2018-05-17-03:00"/>
        <s v="2018-05-17-04:00"/>
        <s v="2018-05-28-03:00"/>
        <s v="2018-05-28-04:00"/>
        <s v="2018-05-28-05:00"/>
        <s v="2018-05-28-06:00"/>
        <s v="2018-05-28-07:00"/>
        <s v="2018-05-28-08:00"/>
        <s v="2018-05-17-05:00"/>
        <s v="2018-05-17-06:00"/>
        <s v="2018-05-17-07:00"/>
        <s v="2018-05-17-08:00"/>
        <s v="2018-05-17-09:00"/>
        <s v="2018-05-17-10:00"/>
        <s v="2018-05-17-11:00"/>
        <s v="2018-05-28-09:00"/>
        <s v="2018-05-28-10:00"/>
        <s v="2018-05-28-11:00"/>
        <s v="2018-05-28-12:00"/>
        <s v="2018-05-28-13:00"/>
        <s v="2018-05-28-14:00"/>
        <s v="2018-05-28-15:00"/>
        <s v="2018-05-17-12:00"/>
        <s v="2018-05-17-13:00"/>
        <s v="2018-05-17-14:00"/>
        <s v="2018-05-17-15:00"/>
        <s v="2018-05-18-02:00"/>
        <s v="2018-05-18-03:00"/>
        <s v="2018-05-29-02:00"/>
        <s v="2018-05-29-03:00"/>
        <s v="2018-05-29-04:00"/>
        <s v="2018-05-29-05:00"/>
        <s v="2018-05-29-06:00"/>
        <s v="2018-05-29-07:00"/>
        <s v="2018-05-18-04:00"/>
        <s v="2018-05-18-05:00"/>
        <s v="2018-05-18-06:00"/>
        <s v="2018-05-18-07:00"/>
        <s v="2018-05-18-08:00"/>
        <s v="2018-05-18-09:00"/>
        <s v="2018-05-29-08:00"/>
        <s v="2018-05-29-09:00"/>
        <s v="2018-05-29-10:00"/>
        <s v="2018-05-29-11:00"/>
        <s v="2018-05-29-12:00"/>
        <s v="2018-05-18-10:00"/>
        <s v="2018-05-18-11:00"/>
        <s v="2018-05-18-12:00"/>
        <s v="2018-05-18-13:00"/>
        <s v="2018-05-18-14:00"/>
        <s v="2018-05-18-15:00"/>
        <s v="2018-05-21-02:00"/>
        <s v="2018-05-21-03:00"/>
        <s v="2018-05-21-04:00"/>
        <s v="2018-05-21-05:00"/>
        <s v="2018-05-21-06:00"/>
        <s v="2018-05-21-07:00"/>
        <s v="2018-05-21-08:00"/>
        <s v="2018-05-21-09:00"/>
        <s v="2018-05-21-10:00"/>
        <s v="2018-05-21-11:00"/>
        <s v="2018-05-21-12:00"/>
        <s v="2018-05-21-13:00"/>
        <s v="2018-05-21-14:00"/>
        <s v="2018-05-21-15:00"/>
        <s v="2018-05-22-02:00"/>
        <s v="2018-05-22-03:00"/>
        <s v="2018-05-22-04:00"/>
        <s v="2018-05-22-05:00"/>
        <s v="2018-05-22-06:00"/>
        <s v="2018-05-22-07:00"/>
        <s v="2018-05-14-15:00"/>
        <s v="2018-05-15-02:00"/>
        <s v="2018-05-15-03:00"/>
        <s v="2018-05-15-04:00"/>
        <s v="2018-05-15-05:00"/>
        <s v="2018-05-15-06:00"/>
        <s v="2018-05-22-08:00"/>
        <s v="2018-05-22-09:00"/>
        <s v="2018-05-22-10:00"/>
        <s v="2018-05-22-11:00"/>
        <s v="2018-05-22-12:00"/>
        <s v="2018-06-26-06:00"/>
        <s v="2018-06-26-07:00"/>
        <s v="2018-06-26-08:00"/>
        <s v="2018-06-26-09:00"/>
        <s v="2018-06-26-10:00"/>
        <s v="2018-06-26-11:00"/>
        <s v="2018-06-26-12:00"/>
        <s v="2018-06-26-13:00"/>
        <s v="2018-06-26-14:00"/>
        <s v="2018-06-26-15:00"/>
        <s v="2018-06-27-02:00"/>
        <s v="2018-06-27-03:00"/>
        <s v="2018-06-27-04:00"/>
        <s v="2018-06-27-05:00"/>
        <s v="2018-06-27-06:00"/>
        <s v="2018-06-27-07:00"/>
        <s v="2018-06-27-08:00"/>
        <s v="2018-06-27-09:00"/>
        <s v="2018-06-27-10:00"/>
        <s v="2018-06-27-11:00"/>
        <s v="2018-06-27-12:00"/>
        <s v="2018-06-27-13:00"/>
        <s v="2018-06-27-14:00"/>
        <s v="2018-06-27-15:00"/>
        <s v="2018-06-28-02:00"/>
        <s v="2018-06-28-03:00"/>
        <s v="2018-06-28-04:00"/>
        <s v="2018-06-28-05:00"/>
        <s v="2018-06-28-06:00"/>
        <s v="2018-06-28-07:00"/>
        <s v="2018-06-28-08:00"/>
        <s v="2018-06-28-09:00"/>
        <s v="2018-06-28-10:00"/>
        <s v="2018-06-28-11:00"/>
        <s v="2018-06-28-12:00"/>
        <s v="2018-06-28-13:00"/>
        <s v="2018-06-28-14:00"/>
        <s v="2018-06-28-15:00"/>
        <s v="2018-06-29-02:00"/>
        <s v="2018-06-29-03:00"/>
        <s v="2018-06-29-04:00"/>
        <s v="2018-06-29-05:00"/>
        <s v="2018-06-29-06:00"/>
        <s v="2018-06-29-07:00"/>
        <s v="2018-06-29-08:00"/>
        <s v="2018-06-29-09:00"/>
        <s v="2018-06-29-10:00"/>
        <s v="2018-06-29-11:00"/>
        <s v="2018-06-29-12:00"/>
        <s v="2018-06-29-13:00"/>
        <m u="1"/>
      </sharedItems>
    </cacheField>
    <cacheField name="FEATURE" numFmtId="0" sqlType="6">
      <sharedItems containsSemiMixedTypes="0" containsString="0" containsNumber="1" containsInteger="1" minValue="0" maxValue="9" count="10">
        <n v="9"/>
        <n v="0"/>
        <n v="1"/>
        <n v="2"/>
        <n v="3"/>
        <n v="4"/>
        <n v="5"/>
        <n v="6"/>
        <n v="7"/>
        <n v="8"/>
      </sharedItems>
    </cacheField>
    <cacheField name="ACTUALTRS" numFmtId="0" sqlType="6">
      <sharedItems containsSemiMixedTypes="0" containsString="0" containsNumber="1" minValue="-1.13766729831696" maxValue="1.38585758209229"/>
    </cacheField>
    <cacheField name="PREDICTEDTRS" numFmtId="0" sqlType="6">
      <sharedItems containsSemiMixedTypes="0" containsString="0" containsNumber="1" minValue="-0.97058814764022805" maxValue="0.981220662593842"/>
    </cacheField>
    <cacheField name="ERRORTRS" numFmtId="0" sqlType="6">
      <sharedItems containsSemiMixedTypes="0" containsString="0" containsNumber="1" minValue="0" maxValue="1.5008284449577329"/>
    </cacheField>
    <cacheField name="ACTUALTR" numFmtId="0" sqlType="6">
      <sharedItems containsSemiMixedTypes="0" containsString="0" containsNumber="1" minValue="-96" maxValue="49.9990425109863"/>
    </cacheField>
    <cacheField name="PREDICTEDTR" numFmtId="0" sqlType="6">
      <sharedItems containsSemiMixedTypes="0" containsString="0" containsNumber="1" minValue="-37.7071723937988" maxValue="32.660247802734403"/>
    </cacheField>
    <cacheField name="ERRORTR" numFmtId="0" sqlType="6">
      <sharedItems containsSemiMixedTypes="0" containsString="0" containsNumber="1" minValue="0" maxValue="97.878791570663452"/>
    </cacheField>
    <cacheField name="ACTUALBASE" numFmtId="0" sqlType="6">
      <sharedItems containsSemiMixedTypes="0" containsString="0" containsNumber="1" minValue="1.14991998672485" maxValue="3590"/>
    </cacheField>
    <cacheField name="PREDICTEDBASE" numFmtId="0" sqlType="6">
      <sharedItems containsSemiMixedTypes="0" containsString="0" containsNumber="1" minValue="1.15025663375854" maxValue="3582.98608398438"/>
    </cacheField>
    <cacheField name="ERRORBASE" numFmtId="0" sqlType="6">
      <sharedItems containsSemiMixedTypes="0" containsString="0" containsNumber="1" minValue="0" maxValue="97.87890625"/>
    </cacheField>
  </cacheFields>
  <extLst>
    <ext xmlns:x14="http://schemas.microsoft.com/office/spreadsheetml/2009/9/main" uri="{725AE2AE-9491-48be-B2B4-4EB974FC3084}">
      <x14:pivotCacheDefinition pivotCacheId="7"/>
    </ext>
  </extLst>
</pivotCacheDefinition>
</file>

<file path=xl/pivotCache/pivotCacheRecords1.xml><?xml version="1.0" encoding="utf-8"?>
<pivotCacheRecords xmlns="http://schemas.openxmlformats.org/spreadsheetml/2006/main" xmlns:r="http://schemas.openxmlformats.org/officeDocument/2006/relationships" count="322">
  <r>
    <n v="444"/>
    <n v="3708"/>
    <x v="0"/>
    <x v="0"/>
    <x v="0"/>
    <x v="0"/>
    <x v="0"/>
    <x v="0"/>
    <x v="0"/>
    <x v="0"/>
    <n v="444"/>
    <n v="2368"/>
    <x v="0"/>
    <n v="1.4656863960565312E-3"/>
    <n v="5.5587218131548108E-4"/>
    <n v="1.827055081617222E-2"/>
  </r>
  <r>
    <n v="532"/>
    <n v="4784"/>
    <x v="1"/>
    <x v="0"/>
    <x v="1"/>
    <x v="1"/>
    <x v="1"/>
    <x v="1"/>
    <x v="0"/>
    <x v="0"/>
    <n v="2464"/>
    <n v="2268"/>
    <x v="0"/>
    <n v="1.4947015047073371E-3"/>
    <n v="3.2009985711839465E-3"/>
    <n v="0.10836075300493953"/>
  </r>
  <r>
    <n v="532"/>
    <n v="4784"/>
    <x v="1"/>
    <x v="0"/>
    <x v="1"/>
    <x v="1"/>
    <x v="1"/>
    <x v="1"/>
    <x v="0"/>
    <x v="0"/>
    <n v="9544"/>
    <n v="9816"/>
    <x v="0"/>
    <n v="1.4947015047073371E-3"/>
    <n v="3.2009985711839465E-3"/>
    <n v="0.10836075300493953"/>
  </r>
  <r>
    <n v="796"/>
    <n v="9036"/>
    <x v="2"/>
    <x v="1"/>
    <x v="2"/>
    <x v="2"/>
    <x v="2"/>
    <x v="2"/>
    <x v="1"/>
    <x v="0"/>
    <n v="796"/>
    <n v="120"/>
    <x v="1"/>
    <n v="1.7042870654000177E-3"/>
    <n v="5.891261087240038E-4"/>
    <n v="2.8036685881023121E-3"/>
  </r>
  <r>
    <n v="1164"/>
    <n v="1444"/>
    <x v="3"/>
    <x v="2"/>
    <x v="3"/>
    <x v="1"/>
    <x v="1"/>
    <x v="3"/>
    <x v="0"/>
    <x v="0"/>
    <n v="8344"/>
    <n v="8748"/>
    <x v="2"/>
    <n v="1.9109921880287701E-3"/>
    <n v="4099150.8746546963"/>
    <n v="1.862803554603264E+17"/>
  </r>
  <r>
    <n v="1328"/>
    <n v="8948"/>
    <x v="4"/>
    <x v="0"/>
    <x v="4"/>
    <x v="1"/>
    <x v="1"/>
    <x v="1"/>
    <x v="0"/>
    <x v="0"/>
    <n v="6468"/>
    <n v="2720"/>
    <x v="0"/>
    <n v="1.2706255912780762E-3"/>
    <n v="4.2058698392504694E-4"/>
    <n v="7.493153462655432E-3"/>
  </r>
  <r>
    <n v="1328"/>
    <n v="8948"/>
    <x v="4"/>
    <x v="0"/>
    <x v="4"/>
    <x v="1"/>
    <x v="1"/>
    <x v="1"/>
    <x v="0"/>
    <x v="0"/>
    <n v="5928"/>
    <n v="3004"/>
    <x v="0"/>
    <n v="1.2706255912780762E-3"/>
    <n v="4.2058698392504694E-4"/>
    <n v="7.493153462655432E-3"/>
  </r>
  <r>
    <n v="1328"/>
    <n v="8948"/>
    <x v="4"/>
    <x v="0"/>
    <x v="4"/>
    <x v="1"/>
    <x v="1"/>
    <x v="1"/>
    <x v="0"/>
    <x v="0"/>
    <n v="8260"/>
    <n v="8336"/>
    <x v="0"/>
    <n v="1.2706255912780762E-3"/>
    <n v="4.2058698392504694E-4"/>
    <n v="7.493153462655432E-3"/>
  </r>
  <r>
    <n v="1328"/>
    <n v="8948"/>
    <x v="4"/>
    <x v="0"/>
    <x v="4"/>
    <x v="1"/>
    <x v="1"/>
    <x v="1"/>
    <x v="0"/>
    <x v="0"/>
    <n v="4620"/>
    <n v="4124"/>
    <x v="0"/>
    <n v="1.2706255912780762E-3"/>
    <n v="4.2058698392504694E-4"/>
    <n v="7.493153462655432E-3"/>
  </r>
  <r>
    <n v="1340"/>
    <n v="10152"/>
    <x v="2"/>
    <x v="1"/>
    <x v="5"/>
    <x v="2"/>
    <x v="3"/>
    <x v="4"/>
    <x v="1"/>
    <x v="0"/>
    <n v="1340"/>
    <n v="3220"/>
    <x v="1"/>
    <n v="1.7156385531028112E-3"/>
    <n v="5.4577898917464391E-4"/>
    <n v="2.740248835534663E-3"/>
  </r>
  <r>
    <n v="1344"/>
    <n v="560"/>
    <x v="1"/>
    <x v="0"/>
    <x v="6"/>
    <x v="3"/>
    <x v="1"/>
    <x v="5"/>
    <x v="0"/>
    <x v="0"/>
    <n v="7212"/>
    <n v="1972"/>
    <x v="0"/>
    <n v="1.4947015047073371E-3"/>
    <n v="2.7859103348520072E-3"/>
    <n v="8.2061051910506735E-2"/>
  </r>
  <r>
    <n v="1576"/>
    <n v="5408"/>
    <x v="5"/>
    <x v="0"/>
    <x v="7"/>
    <x v="1"/>
    <x v="1"/>
    <x v="1"/>
    <x v="0"/>
    <x v="0"/>
    <n v="1576"/>
    <n v="9440"/>
    <x v="0"/>
    <n v="1.2696708713497197E-3"/>
    <n v="4.2026968750912756E-4"/>
    <n v="7.4808224758102183E-3"/>
  </r>
  <r>
    <n v="1608"/>
    <n v="408"/>
    <x v="6"/>
    <x v="0"/>
    <x v="8"/>
    <x v="1"/>
    <x v="1"/>
    <x v="1"/>
    <x v="0"/>
    <x v="0"/>
    <n v="1608"/>
    <n v="7540"/>
    <x v="0"/>
    <n v="1.2696708713497197E-3"/>
    <n v="4.2033190982381484E-4"/>
    <n v="7.4815858364629534E-3"/>
  </r>
  <r>
    <n v="1624"/>
    <n v="8044"/>
    <x v="2"/>
    <x v="1"/>
    <x v="9"/>
    <x v="4"/>
    <x v="3"/>
    <x v="6"/>
    <x v="1"/>
    <x v="0"/>
    <n v="1624"/>
    <n v="8460"/>
    <x v="1"/>
    <n v="1.9269707898298899E-3"/>
    <n v="6.0805584837855808E-4"/>
    <n v="3.3281145014955565E-3"/>
  </r>
  <r>
    <n v="1980"/>
    <n v="8804"/>
    <x v="2"/>
    <x v="1"/>
    <x v="10"/>
    <x v="4"/>
    <x v="2"/>
    <x v="2"/>
    <x v="1"/>
    <x v="0"/>
    <n v="1980"/>
    <n v="10024"/>
    <x v="1"/>
    <n v="1.7042870654000177E-3"/>
    <n v="5.9984870938559827E-4"/>
    <n v="2.8654319099386317E-3"/>
  </r>
  <r>
    <n v="2064"/>
    <n v="9996"/>
    <x v="1"/>
    <x v="2"/>
    <x v="11"/>
    <x v="1"/>
    <x v="1"/>
    <x v="7"/>
    <x v="0"/>
    <x v="1"/>
    <n v="6904"/>
    <n v="1972"/>
    <x v="0"/>
    <n v="1.4947015047073371E-3"/>
    <n v="3.2044958737161428E-3"/>
    <n v="0.1105962309651978"/>
  </r>
  <r>
    <n v="2140"/>
    <n v="5688"/>
    <x v="7"/>
    <x v="1"/>
    <x v="12"/>
    <x v="5"/>
    <x v="1"/>
    <x v="8"/>
    <x v="0"/>
    <x v="1"/>
    <n v="5668"/>
    <n v="1616"/>
    <x v="2"/>
    <n v="2.0817210674285891E-3"/>
    <n v="5.6871338105069199E-3"/>
    <n v="0.19366978094072812"/>
  </r>
  <r>
    <n v="2140"/>
    <n v="5688"/>
    <x v="7"/>
    <x v="1"/>
    <x v="12"/>
    <x v="5"/>
    <x v="1"/>
    <x v="8"/>
    <x v="0"/>
    <x v="1"/>
    <n v="7940"/>
    <n v="8492"/>
    <x v="0"/>
    <n v="1.2706255912780762E-3"/>
    <n v="4.0327409501627514E-3"/>
    <n v="0.2321064970893838"/>
  </r>
  <r>
    <n v="2140"/>
    <n v="5688"/>
    <x v="7"/>
    <x v="1"/>
    <x v="12"/>
    <x v="5"/>
    <x v="1"/>
    <x v="8"/>
    <x v="0"/>
    <x v="1"/>
    <n v="10560"/>
    <n v="8152"/>
    <x v="2"/>
    <n v="1.9151763617992401E-3"/>
    <n v="5.6925603835359315E-3"/>
    <n v="0.19353560130173519"/>
  </r>
  <r>
    <n v="2140"/>
    <n v="5688"/>
    <x v="7"/>
    <x v="1"/>
    <x v="12"/>
    <x v="5"/>
    <x v="1"/>
    <x v="8"/>
    <x v="0"/>
    <x v="1"/>
    <n v="6784"/>
    <n v="10812"/>
    <x v="0"/>
    <n v="1.8451517820358278E-3"/>
    <n v="3.0912293765035345E-3"/>
    <n v="0.15949631274698201"/>
  </r>
  <r>
    <n v="2140"/>
    <n v="5688"/>
    <x v="7"/>
    <x v="1"/>
    <x v="12"/>
    <x v="5"/>
    <x v="1"/>
    <x v="8"/>
    <x v="0"/>
    <x v="0"/>
    <n v="6064"/>
    <n v="5868"/>
    <x v="1"/>
    <n v="1.2528616189956664E-3"/>
    <n v="8.4597132478354082E-4"/>
    <n v="4.0375866954164868E-2"/>
  </r>
  <r>
    <n v="2140"/>
    <n v="5688"/>
    <x v="7"/>
    <x v="1"/>
    <x v="12"/>
    <x v="5"/>
    <x v="1"/>
    <x v="8"/>
    <x v="0"/>
    <x v="0"/>
    <n v="6108"/>
    <n v="12232"/>
    <x v="1"/>
    <n v="1.3009989261627197E-3"/>
    <n v="2.2228986889831627E-3"/>
    <n v="0.33751327997502062"/>
  </r>
  <r>
    <n v="2140"/>
    <n v="5688"/>
    <x v="7"/>
    <x v="1"/>
    <x v="12"/>
    <x v="5"/>
    <x v="1"/>
    <x v="8"/>
    <x v="0"/>
    <x v="1"/>
    <n v="11600"/>
    <n v="300"/>
    <x v="2"/>
    <n v="1.808226704597473E-3"/>
    <n v="3.3184590314497735E-3"/>
    <n v="0.18428831125470366"/>
  </r>
  <r>
    <n v="2148"/>
    <n v="1476"/>
    <x v="1"/>
    <x v="1"/>
    <x v="13"/>
    <x v="1"/>
    <x v="1"/>
    <x v="8"/>
    <x v="0"/>
    <x v="1"/>
    <n v="1316"/>
    <n v="4240"/>
    <x v="0"/>
    <n v="1.4947015047073371E-3"/>
    <n v="2.6128525535265607E-3"/>
    <n v="7.8612314984830595E-2"/>
  </r>
  <r>
    <n v="2280"/>
    <n v="6048"/>
    <x v="8"/>
    <x v="1"/>
    <x v="14"/>
    <x v="3"/>
    <x v="4"/>
    <x v="9"/>
    <x v="0"/>
    <x v="0"/>
    <n v="2280"/>
    <n v="10332"/>
    <x v="1"/>
    <n v="1.2979016199216738E-3"/>
    <n v="4.9768240863637761E-4"/>
    <n v="1.0381225797370348E-2"/>
  </r>
  <r>
    <n v="2408"/>
    <n v="3540"/>
    <x v="9"/>
    <x v="0"/>
    <x v="15"/>
    <x v="6"/>
    <x v="1"/>
    <x v="1"/>
    <x v="2"/>
    <x v="0"/>
    <n v="2408"/>
    <n v="8268"/>
    <x v="0"/>
    <n v="1.2706255912780762E-3"/>
    <n v="4.6283365079042226E-4"/>
    <n v="8.5597287626510855E-3"/>
  </r>
  <r>
    <n v="2528"/>
    <n v="3284"/>
    <x v="9"/>
    <x v="0"/>
    <x v="16"/>
    <x v="1"/>
    <x v="1"/>
    <x v="1"/>
    <x v="0"/>
    <x v="0"/>
    <n v="5524"/>
    <n v="4376"/>
    <x v="0"/>
    <n v="1.2696708713497197E-3"/>
    <n v="6.3093073557026153E-4"/>
    <n v="1.1973419810592354E-2"/>
  </r>
  <r>
    <n v="2564"/>
    <n v="6764"/>
    <x v="7"/>
    <x v="1"/>
    <x v="17"/>
    <x v="3"/>
    <x v="1"/>
    <x v="8"/>
    <x v="0"/>
    <x v="1"/>
    <n v="4788"/>
    <n v="4752"/>
    <x v="2"/>
    <n v="1.9151763617992401E-3"/>
    <n v="1.3873047256347305E-3"/>
    <n v="1.7143824743762994E-2"/>
  </r>
  <r>
    <n v="2564"/>
    <n v="6764"/>
    <x v="7"/>
    <x v="1"/>
    <x v="17"/>
    <x v="3"/>
    <x v="1"/>
    <x v="8"/>
    <x v="0"/>
    <x v="1"/>
    <n v="7828"/>
    <n v="6764"/>
    <x v="2"/>
    <n v="1.808226704597473E-3"/>
    <n v="3.1951801915281997E-3"/>
    <n v="0.11884483765585439"/>
  </r>
  <r>
    <n v="2564"/>
    <n v="6764"/>
    <x v="7"/>
    <x v="1"/>
    <x v="17"/>
    <x v="3"/>
    <x v="1"/>
    <x v="8"/>
    <x v="0"/>
    <x v="1"/>
    <n v="7256"/>
    <n v="5220"/>
    <x v="2"/>
    <n v="2.0817210674285891E-3"/>
    <n v="1.4117173681119405E-3"/>
    <n v="1.7429651081834936E-2"/>
  </r>
  <r>
    <n v="2564"/>
    <n v="6764"/>
    <x v="7"/>
    <x v="1"/>
    <x v="17"/>
    <x v="3"/>
    <x v="1"/>
    <x v="8"/>
    <x v="0"/>
    <x v="0"/>
    <n v="11520"/>
    <n v="10560"/>
    <x v="1"/>
    <n v="1.505911946296692E-3"/>
    <n v="5.2106117567065735E-4"/>
    <n v="2.6107664099410365E-3"/>
  </r>
  <r>
    <n v="2564"/>
    <n v="6764"/>
    <x v="7"/>
    <x v="1"/>
    <x v="17"/>
    <x v="3"/>
    <x v="1"/>
    <x v="8"/>
    <x v="0"/>
    <x v="0"/>
    <n v="11560"/>
    <n v="12004"/>
    <x v="1"/>
    <n v="1.2274467945098877E-3"/>
    <n v="7.8378243153321672E-4"/>
    <n v="6.1297789645209759E-2"/>
  </r>
  <r>
    <n v="2564"/>
    <n v="6764"/>
    <x v="7"/>
    <x v="1"/>
    <x v="17"/>
    <x v="3"/>
    <x v="1"/>
    <x v="8"/>
    <x v="0"/>
    <x v="1"/>
    <n v="11480"/>
    <n v="6784"/>
    <x v="0"/>
    <n v="1.7028637230396271E-3"/>
    <n v="1.1708091021502278E-3"/>
    <n v="2.6016885104579501E-2"/>
  </r>
  <r>
    <n v="2564"/>
    <n v="6764"/>
    <x v="7"/>
    <x v="1"/>
    <x v="17"/>
    <x v="3"/>
    <x v="1"/>
    <x v="8"/>
    <x v="0"/>
    <x v="1"/>
    <n v="12036"/>
    <n v="7076"/>
    <x v="0"/>
    <n v="1.8451517820358278E-3"/>
    <n v="1.3245720032966232E-3"/>
    <n v="3.3099077646357979E-2"/>
  </r>
  <r>
    <n v="2564"/>
    <n v="6764"/>
    <x v="7"/>
    <x v="1"/>
    <x v="17"/>
    <x v="3"/>
    <x v="1"/>
    <x v="8"/>
    <x v="0"/>
    <x v="0"/>
    <n v="5232"/>
    <n v="10176"/>
    <x v="1"/>
    <n v="1.2528616189956664E-3"/>
    <n v="7.1876747617366532E-4"/>
    <n v="3.1144787097139658E-2"/>
  </r>
  <r>
    <n v="2564"/>
    <n v="6764"/>
    <x v="7"/>
    <x v="1"/>
    <x v="17"/>
    <x v="3"/>
    <x v="1"/>
    <x v="8"/>
    <x v="0"/>
    <x v="1"/>
    <n v="444"/>
    <n v="11648"/>
    <x v="0"/>
    <n v="1.2706255912780762E-3"/>
    <n v="1.0509319441555846E-3"/>
    <n v="2.0949432947590333E-2"/>
  </r>
  <r>
    <n v="2564"/>
    <n v="6764"/>
    <x v="7"/>
    <x v="1"/>
    <x v="17"/>
    <x v="3"/>
    <x v="1"/>
    <x v="8"/>
    <x v="0"/>
    <x v="0"/>
    <n v="8232"/>
    <n v="9320"/>
    <x v="1"/>
    <n v="1.3009989261627197E-3"/>
    <n v="6.9760033826400236E-4"/>
    <n v="4.7566059315861074E-2"/>
  </r>
  <r>
    <n v="2564"/>
    <n v="6764"/>
    <x v="7"/>
    <x v="1"/>
    <x v="17"/>
    <x v="3"/>
    <x v="1"/>
    <x v="8"/>
    <x v="0"/>
    <x v="0"/>
    <n v="11740"/>
    <n v="4208"/>
    <x v="1"/>
    <n v="1.2528616189956664E-3"/>
    <n v="7.1876747617366532E-4"/>
    <n v="3.1144787097139658E-2"/>
  </r>
  <r>
    <n v="2620"/>
    <n v="5988"/>
    <x v="10"/>
    <x v="0"/>
    <x v="18"/>
    <x v="1"/>
    <x v="1"/>
    <x v="1"/>
    <x v="0"/>
    <x v="0"/>
    <n v="9396"/>
    <n v="376"/>
    <x v="0"/>
    <n v="1.2706255912780762E-3"/>
    <n v="4.2074463956581336E-4"/>
    <n v="7.4978018175790393E-3"/>
  </r>
  <r>
    <n v="2872"/>
    <n v="6648"/>
    <x v="0"/>
    <x v="0"/>
    <x v="19"/>
    <x v="0"/>
    <x v="0"/>
    <x v="0"/>
    <x v="0"/>
    <x v="0"/>
    <n v="2872"/>
    <n v="9724"/>
    <x v="0"/>
    <n v="1.4656863960565312E-3"/>
    <n v="5.563177444316722E-4"/>
    <n v="1.8359537227547615E-2"/>
  </r>
  <r>
    <n v="2984"/>
    <n v="6492"/>
    <x v="4"/>
    <x v="1"/>
    <x v="20"/>
    <x v="3"/>
    <x v="1"/>
    <x v="8"/>
    <x v="0"/>
    <x v="1"/>
    <n v="5220"/>
    <n v="4824"/>
    <x v="0"/>
    <n v="1.2706255912780762E-3"/>
    <n v="1.0469551186419426E-3"/>
    <n v="2.1138178726886756E-2"/>
  </r>
  <r>
    <n v="3144"/>
    <n v="4484"/>
    <x v="2"/>
    <x v="1"/>
    <x v="21"/>
    <x v="2"/>
    <x v="2"/>
    <x v="6"/>
    <x v="1"/>
    <x v="0"/>
    <n v="3144"/>
    <n v="5632"/>
    <x v="1"/>
    <n v="1.9269707898298899E-3"/>
    <n v="6.6756625752982903E-4"/>
    <n v="3.4071583270424955E-3"/>
  </r>
  <r>
    <n v="3228"/>
    <n v="1956"/>
    <x v="7"/>
    <x v="1"/>
    <x v="22"/>
    <x v="1"/>
    <x v="1"/>
    <x v="9"/>
    <x v="0"/>
    <x v="0"/>
    <n v="4504"/>
    <n v="10424"/>
    <x v="1"/>
    <n v="1.2981245517730714E-3"/>
    <n v="4.0211644119659781E-4"/>
    <n v="8.8912746997774749E-3"/>
  </r>
  <r>
    <n v="3228"/>
    <n v="1956"/>
    <x v="7"/>
    <x v="1"/>
    <x v="22"/>
    <x v="1"/>
    <x v="1"/>
    <x v="9"/>
    <x v="0"/>
    <x v="1"/>
    <n v="7404"/>
    <n v="8404"/>
    <x v="0"/>
    <n v="1.8451517820358278E-3"/>
    <n v="1.5376941509800412E-3"/>
    <n v="4.3244440462430762E-2"/>
  </r>
  <r>
    <n v="3228"/>
    <n v="1956"/>
    <x v="7"/>
    <x v="1"/>
    <x v="22"/>
    <x v="1"/>
    <x v="1"/>
    <x v="9"/>
    <x v="0"/>
    <x v="1"/>
    <n v="6904"/>
    <n v="10696"/>
    <x v="2"/>
    <n v="2.0817210674285891E-3"/>
    <n v="2.355514917788089E-3"/>
    <n v="3.4383421527074784E-2"/>
  </r>
  <r>
    <n v="3228"/>
    <n v="1956"/>
    <x v="7"/>
    <x v="1"/>
    <x v="22"/>
    <x v="1"/>
    <x v="1"/>
    <x v="9"/>
    <x v="0"/>
    <x v="1"/>
    <n v="8864"/>
    <n v="5928"/>
    <x v="2"/>
    <n v="1.9151763617992401E-3"/>
    <n v="2.350699457797833E-3"/>
    <n v="3.4226947782469604E-2"/>
  </r>
  <r>
    <n v="3228"/>
    <n v="1956"/>
    <x v="7"/>
    <x v="1"/>
    <x v="22"/>
    <x v="1"/>
    <x v="1"/>
    <x v="9"/>
    <x v="0"/>
    <x v="0"/>
    <n v="2568"/>
    <n v="9456"/>
    <x v="1"/>
    <n v="1.2528616189956664E-3"/>
    <n v="8.2856650070905384E-4"/>
    <n v="3.8412012034567213E-2"/>
  </r>
  <r>
    <n v="3228"/>
    <n v="1956"/>
    <x v="7"/>
    <x v="1"/>
    <x v="22"/>
    <x v="1"/>
    <x v="1"/>
    <x v="9"/>
    <x v="0"/>
    <x v="1"/>
    <n v="2944"/>
    <n v="5748"/>
    <x v="0"/>
    <n v="1.2706255912780762E-3"/>
    <n v="1.0910043968221888E-3"/>
    <n v="2.1310149607483231E-2"/>
  </r>
  <r>
    <n v="3228"/>
    <n v="1956"/>
    <x v="7"/>
    <x v="1"/>
    <x v="22"/>
    <x v="1"/>
    <x v="1"/>
    <x v="9"/>
    <x v="0"/>
    <x v="0"/>
    <n v="10840"/>
    <n v="10344"/>
    <x v="1"/>
    <n v="1.2274467945098877E-3"/>
    <n v="1.9610352689327475E-3"/>
    <n v="0.31450207744428466"/>
  </r>
  <r>
    <n v="3228"/>
    <n v="1956"/>
    <x v="7"/>
    <x v="1"/>
    <x v="22"/>
    <x v="1"/>
    <x v="1"/>
    <x v="9"/>
    <x v="0"/>
    <x v="0"/>
    <n v="3036"/>
    <n v="12064"/>
    <x v="1"/>
    <n v="1.3009989261627197E-3"/>
    <n v="7.6402428911355057E-4"/>
    <n v="5.0466191896195514E-2"/>
  </r>
  <r>
    <n v="3400"/>
    <n v="7232"/>
    <x v="2"/>
    <x v="1"/>
    <x v="23"/>
    <x v="4"/>
    <x v="2"/>
    <x v="6"/>
    <x v="1"/>
    <x v="0"/>
    <n v="3400"/>
    <n v="2264"/>
    <x v="1"/>
    <n v="1.9269707898298899E-3"/>
    <n v="6.5895715237916631E-4"/>
    <n v="3.3867012060050596E-3"/>
  </r>
  <r>
    <n v="3576"/>
    <n v="5164"/>
    <x v="2"/>
    <x v="1"/>
    <x v="24"/>
    <x v="4"/>
    <x v="5"/>
    <x v="2"/>
    <x v="1"/>
    <x v="0"/>
    <n v="3576"/>
    <n v="4628"/>
    <x v="1"/>
    <n v="1.7042870654000177E-3"/>
    <n v="5.4984983102363797E-4"/>
    <n v="2.7077459680566792E-3"/>
  </r>
  <r>
    <n v="3748"/>
    <n v="4412"/>
    <x v="11"/>
    <x v="0"/>
    <x v="25"/>
    <x v="1"/>
    <x v="1"/>
    <x v="1"/>
    <x v="0"/>
    <x v="0"/>
    <n v="8244"/>
    <n v="6884"/>
    <x v="0"/>
    <n v="1.4940612386948999E-3"/>
    <n v="1.4728182587175739E-3"/>
    <n v="7.2870876094595111E-2"/>
  </r>
  <r>
    <n v="3780"/>
    <n v="6188"/>
    <x v="2"/>
    <x v="1"/>
    <x v="26"/>
    <x v="2"/>
    <x v="5"/>
    <x v="2"/>
    <x v="1"/>
    <x v="0"/>
    <n v="3780"/>
    <n v="6192"/>
    <x v="1"/>
    <n v="1.7042870654000177E-3"/>
    <n v="5.5852550369073868E-4"/>
    <n v="2.7300304051260131E-3"/>
  </r>
  <r>
    <n v="3832"/>
    <n v="8120"/>
    <x v="12"/>
    <x v="0"/>
    <x v="27"/>
    <x v="1"/>
    <x v="1"/>
    <x v="1"/>
    <x v="0"/>
    <x v="0"/>
    <n v="3832"/>
    <n v="608"/>
    <x v="0"/>
    <n v="1.2696708713497197E-3"/>
    <n v="3820749.625"/>
    <n v="1.862803554603264E+17"/>
  </r>
  <r>
    <n v="3964"/>
    <n v="5092"/>
    <x v="13"/>
    <x v="0"/>
    <x v="28"/>
    <x v="1"/>
    <x v="1"/>
    <x v="1"/>
    <x v="0"/>
    <x v="0"/>
    <n v="8488"/>
    <n v="8748"/>
    <x v="0"/>
    <n v="1.4947015047073371E-3"/>
    <n v="3.2052728864881731E-3"/>
    <n v="0.10842899005068332"/>
  </r>
  <r>
    <n v="3976"/>
    <n v="8380"/>
    <x v="0"/>
    <x v="0"/>
    <x v="29"/>
    <x v="0"/>
    <x v="0"/>
    <x v="0"/>
    <x v="0"/>
    <x v="0"/>
    <n v="3976"/>
    <n v="3304"/>
    <x v="0"/>
    <n v="1.4656863960565312E-3"/>
    <n v="5.6136942204133974E-4"/>
    <n v="1.8612174557744613E-2"/>
  </r>
  <r>
    <n v="4140"/>
    <n v="2316"/>
    <x v="8"/>
    <x v="2"/>
    <x v="30"/>
    <x v="5"/>
    <x v="4"/>
    <x v="3"/>
    <x v="0"/>
    <x v="1"/>
    <n v="5592"/>
    <n v="9032"/>
    <x v="0"/>
    <n v="1.4940612386948999E-3"/>
    <n v="1.7264366808517203E-3"/>
    <n v="9.563032833386842E-2"/>
  </r>
  <r>
    <n v="4140"/>
    <n v="2316"/>
    <x v="8"/>
    <x v="2"/>
    <x v="30"/>
    <x v="5"/>
    <x v="4"/>
    <x v="3"/>
    <x v="0"/>
    <x v="0"/>
    <n v="7860"/>
    <n v="10264"/>
    <x v="2"/>
    <n v="1.9109921880287701E-3"/>
    <n v="5.7576219679900953E-3"/>
    <n v="0.38443377942499729"/>
  </r>
  <r>
    <n v="4140"/>
    <n v="2316"/>
    <x v="8"/>
    <x v="2"/>
    <x v="30"/>
    <x v="5"/>
    <x v="4"/>
    <x v="3"/>
    <x v="0"/>
    <x v="0"/>
    <n v="4140"/>
    <n v="7032"/>
    <x v="2"/>
    <n v="2.0835725339380775E-3"/>
    <n v="7.7480390889408772E-4"/>
    <n v="7.6716353121191712E-3"/>
  </r>
  <r>
    <n v="4160"/>
    <n v="3804"/>
    <x v="9"/>
    <x v="0"/>
    <x v="31"/>
    <x v="1"/>
    <x v="1"/>
    <x v="1"/>
    <x v="0"/>
    <x v="0"/>
    <n v="4160"/>
    <n v="9632"/>
    <x v="0"/>
    <n v="1.2696708713497197E-3"/>
    <n v="6.1722154691928204E-4"/>
    <n v="1.157764500317272E-2"/>
  </r>
  <r>
    <n v="4616"/>
    <n v="6552"/>
    <x v="2"/>
    <x v="1"/>
    <x v="32"/>
    <x v="2"/>
    <x v="5"/>
    <x v="10"/>
    <x v="1"/>
    <x v="0"/>
    <n v="4616"/>
    <n v="9452"/>
    <x v="1"/>
    <n v="1.6382796367009481E-3"/>
    <n v="5.4383389544418296E-4"/>
    <n v="2.6104636095401856E-3"/>
  </r>
  <r>
    <n v="4848"/>
    <n v="8148"/>
    <x v="4"/>
    <x v="1"/>
    <x v="33"/>
    <x v="1"/>
    <x v="1"/>
    <x v="9"/>
    <x v="0"/>
    <x v="1"/>
    <n v="3976"/>
    <n v="9728"/>
    <x v="0"/>
    <n v="1.2706255912780762E-3"/>
    <n v="1.1431473623085889E-3"/>
    <n v="2.2729567211868397E-2"/>
  </r>
  <r>
    <n v="4848"/>
    <n v="8148"/>
    <x v="4"/>
    <x v="1"/>
    <x v="33"/>
    <x v="1"/>
    <x v="1"/>
    <x v="9"/>
    <x v="0"/>
    <x v="1"/>
    <n v="10140"/>
    <n v="8956"/>
    <x v="0"/>
    <n v="1.2706255912780762E-3"/>
    <n v="1.1431473623085889E-3"/>
    <n v="2.2729567211868397E-2"/>
  </r>
  <r>
    <n v="4848"/>
    <n v="8148"/>
    <x v="4"/>
    <x v="1"/>
    <x v="33"/>
    <x v="1"/>
    <x v="1"/>
    <x v="9"/>
    <x v="0"/>
    <x v="1"/>
    <n v="6424"/>
    <n v="6648"/>
    <x v="0"/>
    <n v="1.2706255912780762E-3"/>
    <n v="1.1431473623085889E-3"/>
    <n v="2.2729567211868397E-2"/>
  </r>
  <r>
    <n v="4848"/>
    <n v="8148"/>
    <x v="4"/>
    <x v="1"/>
    <x v="33"/>
    <x v="1"/>
    <x v="1"/>
    <x v="9"/>
    <x v="0"/>
    <x v="1"/>
    <n v="9820"/>
    <n v="4296"/>
    <x v="0"/>
    <n v="1.2706255912780762E-3"/>
    <n v="1.1431473623085889E-3"/>
    <n v="2.2729567211868397E-2"/>
  </r>
  <r>
    <n v="4856"/>
    <n v="11172"/>
    <x v="7"/>
    <x v="0"/>
    <x v="34"/>
    <x v="5"/>
    <x v="1"/>
    <x v="1"/>
    <x v="0"/>
    <x v="1"/>
    <n v="5520"/>
    <n v="11020"/>
    <x v="2"/>
    <n v="1.808226704597473E-3"/>
    <n v="4.5177614940502403E-3"/>
    <n v="0.32810803383627002"/>
  </r>
  <r>
    <n v="4856"/>
    <n v="11172"/>
    <x v="7"/>
    <x v="0"/>
    <x v="34"/>
    <x v="5"/>
    <x v="1"/>
    <x v="1"/>
    <x v="0"/>
    <x v="0"/>
    <n v="8164"/>
    <n v="2340"/>
    <x v="0"/>
    <n v="1.2706255912780762E-3"/>
    <n v="4.2585610680775308E-4"/>
    <n v="7.4808017130321139E-3"/>
  </r>
  <r>
    <n v="4856"/>
    <n v="11172"/>
    <x v="7"/>
    <x v="0"/>
    <x v="34"/>
    <x v="5"/>
    <x v="1"/>
    <x v="1"/>
    <x v="0"/>
    <x v="0"/>
    <n v="9164"/>
    <n v="10444"/>
    <x v="0"/>
    <n v="1.2706255912780762E-3"/>
    <n v="4.2585610680775308E-4"/>
    <n v="7.4808017130321139E-3"/>
  </r>
  <r>
    <n v="4856"/>
    <n v="11172"/>
    <x v="7"/>
    <x v="0"/>
    <x v="34"/>
    <x v="5"/>
    <x v="1"/>
    <x v="1"/>
    <x v="0"/>
    <x v="1"/>
    <n v="10828"/>
    <n v="9552"/>
    <x v="1"/>
    <n v="1.2528616189956664E-3"/>
    <n v="9.2413780471938879E-4"/>
    <n v="6.9837486322285161E-2"/>
  </r>
  <r>
    <n v="4856"/>
    <n v="11172"/>
    <x v="7"/>
    <x v="0"/>
    <x v="34"/>
    <x v="5"/>
    <x v="1"/>
    <x v="1"/>
    <x v="0"/>
    <x v="0"/>
    <n v="2888"/>
    <n v="10300"/>
    <x v="0"/>
    <n v="1.7028637230396271E-3"/>
    <n v="5.9564784647411502E-4"/>
    <n v="1.2170558571018163E-2"/>
  </r>
  <r>
    <n v="4856"/>
    <n v="11172"/>
    <x v="7"/>
    <x v="0"/>
    <x v="34"/>
    <x v="5"/>
    <x v="1"/>
    <x v="1"/>
    <x v="0"/>
    <x v="1"/>
    <n v="5784"/>
    <n v="10828"/>
    <x v="2"/>
    <n v="1.9151763617992401E-3"/>
    <n v="1.3640734136334126E-3"/>
    <n v="1.5322799756205747E-2"/>
  </r>
  <r>
    <n v="4856"/>
    <n v="11172"/>
    <x v="7"/>
    <x v="0"/>
    <x v="34"/>
    <x v="5"/>
    <x v="1"/>
    <x v="1"/>
    <x v="0"/>
    <x v="0"/>
    <n v="10972"/>
    <n v="10596"/>
    <x v="0"/>
    <n v="1.8451517820358278E-3"/>
    <n v="1.0585946112006196E-3"/>
    <n v="2.8466964533242652E-2"/>
  </r>
  <r>
    <n v="4856"/>
    <n v="11172"/>
    <x v="7"/>
    <x v="0"/>
    <x v="34"/>
    <x v="5"/>
    <x v="1"/>
    <x v="1"/>
    <x v="0"/>
    <x v="1"/>
    <n v="10480"/>
    <n v="11916"/>
    <x v="1"/>
    <n v="1.2274467945098877E-3"/>
    <n v="1.9457147108109969E-3"/>
    <n v="0.35374906882862955"/>
  </r>
  <r>
    <n v="4896"/>
    <n v="6076"/>
    <x v="7"/>
    <x v="0"/>
    <x v="35"/>
    <x v="5"/>
    <x v="1"/>
    <x v="5"/>
    <x v="0"/>
    <x v="1"/>
    <n v="10692"/>
    <n v="11676"/>
    <x v="1"/>
    <n v="1.2528616189956664E-3"/>
    <n v="1.0507539086837671E-3"/>
    <n v="7.3374644545853615E-2"/>
  </r>
  <r>
    <n v="4896"/>
    <n v="6076"/>
    <x v="7"/>
    <x v="0"/>
    <x v="35"/>
    <x v="5"/>
    <x v="1"/>
    <x v="5"/>
    <x v="0"/>
    <x v="1"/>
    <n v="7304"/>
    <n v="4120"/>
    <x v="2"/>
    <n v="2.0817210674285891E-3"/>
    <n v="2.417400547083488E-3"/>
    <n v="4.1950126121567455E-2"/>
  </r>
  <r>
    <n v="4896"/>
    <n v="6076"/>
    <x v="7"/>
    <x v="0"/>
    <x v="35"/>
    <x v="5"/>
    <x v="1"/>
    <x v="5"/>
    <x v="0"/>
    <x v="0"/>
    <n v="5884"/>
    <n v="9712"/>
    <x v="0"/>
    <n v="1.2706255912780762E-3"/>
    <n v="1.1655131242924595E-3"/>
    <n v="2.8526554596542322E-2"/>
  </r>
  <r>
    <n v="4896"/>
    <n v="6076"/>
    <x v="7"/>
    <x v="0"/>
    <x v="35"/>
    <x v="5"/>
    <x v="1"/>
    <x v="5"/>
    <x v="0"/>
    <x v="1"/>
    <n v="8988"/>
    <n v="12232"/>
    <x v="1"/>
    <n v="1.2274467945098877E-3"/>
    <n v="1.5372324256257639E-3"/>
    <n v="0.3062158513024888"/>
  </r>
  <r>
    <n v="4896"/>
    <n v="6076"/>
    <x v="7"/>
    <x v="0"/>
    <x v="35"/>
    <x v="5"/>
    <x v="1"/>
    <x v="5"/>
    <x v="0"/>
    <x v="1"/>
    <n v="6076"/>
    <n v="11524"/>
    <x v="1"/>
    <n v="1.3009989261627197E-3"/>
    <n v="6.610091411973052E-4"/>
    <n v="4.5274772011668872E-2"/>
  </r>
  <r>
    <n v="4896"/>
    <n v="6076"/>
    <x v="7"/>
    <x v="0"/>
    <x v="35"/>
    <x v="5"/>
    <x v="1"/>
    <x v="5"/>
    <x v="0"/>
    <x v="0"/>
    <n v="1936"/>
    <n v="6304"/>
    <x v="0"/>
    <n v="1.7028637230396271E-3"/>
    <n v="1.3165573789158283E-3"/>
    <n v="3.5021556121961159E-2"/>
  </r>
  <r>
    <n v="4896"/>
    <n v="6076"/>
    <x v="7"/>
    <x v="0"/>
    <x v="35"/>
    <x v="5"/>
    <x v="1"/>
    <x v="5"/>
    <x v="0"/>
    <x v="0"/>
    <n v="3812"/>
    <n v="11664"/>
    <x v="0"/>
    <n v="1.1660134792327883E-3"/>
    <n v="3.8876025543107433E-4"/>
    <n v="5.7582625778553123E-3"/>
  </r>
  <r>
    <n v="4896"/>
    <n v="6076"/>
    <x v="7"/>
    <x v="0"/>
    <x v="35"/>
    <x v="5"/>
    <x v="1"/>
    <x v="5"/>
    <x v="0"/>
    <x v="1"/>
    <n v="7632"/>
    <n v="12020"/>
    <x v="2"/>
    <n v="1.808226704597473E-3"/>
    <n v="4.3593916383456426E-3"/>
    <n v="0.24526216520120392"/>
  </r>
  <r>
    <n v="4980"/>
    <n v="6540"/>
    <x v="7"/>
    <x v="1"/>
    <x v="36"/>
    <x v="5"/>
    <x v="1"/>
    <x v="9"/>
    <x v="0"/>
    <x v="0"/>
    <n v="4980"/>
    <n v="2088"/>
    <x v="1"/>
    <n v="1.2274467945098877E-3"/>
    <n v="2.2350284973336331E-3"/>
    <n v="0.41933928712242763"/>
  </r>
  <r>
    <n v="4980"/>
    <n v="6540"/>
    <x v="7"/>
    <x v="1"/>
    <x v="36"/>
    <x v="5"/>
    <x v="1"/>
    <x v="9"/>
    <x v="0"/>
    <x v="1"/>
    <n v="7972"/>
    <n v="10568"/>
    <x v="0"/>
    <n v="1.2706255912780762E-3"/>
    <n v="1.3990666512108138E-3"/>
    <n v="3.5808478941399977E-2"/>
  </r>
  <r>
    <n v="4980"/>
    <n v="6540"/>
    <x v="7"/>
    <x v="1"/>
    <x v="36"/>
    <x v="5"/>
    <x v="1"/>
    <x v="9"/>
    <x v="0"/>
    <x v="1"/>
    <n v="10692"/>
    <n v="6764"/>
    <x v="0"/>
    <n v="1.7028637230396271E-3"/>
    <n v="1.4503678935789174E-3"/>
    <n v="3.8606264864324488E-2"/>
  </r>
  <r>
    <n v="4980"/>
    <n v="6540"/>
    <x v="7"/>
    <x v="1"/>
    <x v="36"/>
    <x v="5"/>
    <x v="1"/>
    <x v="9"/>
    <x v="0"/>
    <x v="0"/>
    <n v="3180"/>
    <n v="6860"/>
    <x v="1"/>
    <n v="1.3009989261627197E-3"/>
    <n v="9.797293309486007E-4"/>
    <n v="7.6600335844788661E-2"/>
  </r>
  <r>
    <n v="4980"/>
    <n v="6540"/>
    <x v="7"/>
    <x v="1"/>
    <x v="36"/>
    <x v="5"/>
    <x v="1"/>
    <x v="9"/>
    <x v="0"/>
    <x v="0"/>
    <n v="11908"/>
    <n v="7416"/>
    <x v="1"/>
    <n v="1.2981245517730714E-3"/>
    <n v="4.0239651375433726E-4"/>
    <n v="8.7292160268367999E-3"/>
  </r>
  <r>
    <n v="4980"/>
    <n v="6540"/>
    <x v="7"/>
    <x v="1"/>
    <x v="36"/>
    <x v="5"/>
    <x v="1"/>
    <x v="9"/>
    <x v="0"/>
    <x v="1"/>
    <n v="2888"/>
    <n v="10496"/>
    <x v="2"/>
    <n v="1.9151763617992401E-3"/>
    <n v="2.7701499679428318E-3"/>
    <n v="7.0767741023372466E-2"/>
  </r>
  <r>
    <n v="4980"/>
    <n v="6540"/>
    <x v="7"/>
    <x v="1"/>
    <x v="36"/>
    <x v="5"/>
    <x v="1"/>
    <x v="9"/>
    <x v="0"/>
    <x v="1"/>
    <n v="4740"/>
    <n v="492"/>
    <x v="2"/>
    <n v="1.808226704597473E-3"/>
    <n v="3.3112353888539339E-3"/>
    <n v="0.15064887142499261"/>
  </r>
  <r>
    <n v="4980"/>
    <n v="6540"/>
    <x v="7"/>
    <x v="1"/>
    <x v="36"/>
    <x v="5"/>
    <x v="1"/>
    <x v="9"/>
    <x v="0"/>
    <x v="0"/>
    <n v="5980"/>
    <n v="1956"/>
    <x v="1"/>
    <n v="1.2528616189956664E-3"/>
    <n v="1.1136816080482689E-3"/>
    <n v="6.4925775533709915E-2"/>
  </r>
  <r>
    <n v="4980"/>
    <n v="6540"/>
    <x v="7"/>
    <x v="1"/>
    <x v="36"/>
    <x v="5"/>
    <x v="1"/>
    <x v="9"/>
    <x v="0"/>
    <x v="1"/>
    <n v="5580"/>
    <n v="7844"/>
    <x v="0"/>
    <n v="1.8451517820358278E-3"/>
    <n v="1.7636849257436466E-3"/>
    <n v="5.5796292867383447E-2"/>
  </r>
  <r>
    <n v="4980"/>
    <n v="6540"/>
    <x v="7"/>
    <x v="1"/>
    <x v="36"/>
    <x v="5"/>
    <x v="1"/>
    <x v="9"/>
    <x v="0"/>
    <x v="1"/>
    <n v="6660"/>
    <n v="11656"/>
    <x v="2"/>
    <n v="2.0817210674285891E-3"/>
    <n v="2.7763330617175072E-3"/>
    <n v="7.0680477732154204E-2"/>
  </r>
  <r>
    <n v="5084"/>
    <n v="3228"/>
    <x v="4"/>
    <x v="0"/>
    <x v="37"/>
    <x v="1"/>
    <x v="1"/>
    <x v="5"/>
    <x v="0"/>
    <x v="0"/>
    <n v="9536"/>
    <n v="5204"/>
    <x v="0"/>
    <n v="1.2706255912780762E-3"/>
    <n v="1.3252862358767918E-3"/>
    <n v="2.8969600832036209E-2"/>
  </r>
  <r>
    <n v="5176"/>
    <n v="9456"/>
    <x v="0"/>
    <x v="0"/>
    <x v="38"/>
    <x v="0"/>
    <x v="0"/>
    <x v="0"/>
    <x v="0"/>
    <x v="0"/>
    <n v="5176"/>
    <n v="7140"/>
    <x v="0"/>
    <n v="1.4656863960565312E-3"/>
    <n v="5.5669413672553166E-4"/>
    <n v="1.832250243368503E-2"/>
  </r>
  <r>
    <n v="5340"/>
    <n v="8928"/>
    <x v="2"/>
    <x v="1"/>
    <x v="39"/>
    <x v="2"/>
    <x v="3"/>
    <x v="6"/>
    <x v="1"/>
    <x v="0"/>
    <n v="5340"/>
    <n v="9980"/>
    <x v="1"/>
    <n v="1.9269707898298899E-3"/>
    <n v="6.2414599727991685E-4"/>
    <n v="3.364669375301286E-3"/>
  </r>
  <r>
    <n v="5368"/>
    <n v="5340"/>
    <x v="2"/>
    <x v="1"/>
    <x v="40"/>
    <x v="4"/>
    <x v="2"/>
    <x v="10"/>
    <x v="1"/>
    <x v="0"/>
    <n v="5368"/>
    <n v="8916"/>
    <x v="1"/>
    <n v="1.6382796367009481E-3"/>
    <n v="5.7429471474759514E-4"/>
    <n v="2.6094244824981902E-3"/>
  </r>
  <r>
    <n v="5368"/>
    <n v="5800"/>
    <x v="2"/>
    <x v="1"/>
    <x v="41"/>
    <x v="4"/>
    <x v="2"/>
    <x v="10"/>
    <x v="1"/>
    <x v="0"/>
    <n v="5368"/>
    <n v="8916"/>
    <x v="1"/>
    <n v="1.6382796367009481E-3"/>
    <n v="5.7429471474759514E-4"/>
    <n v="2.6094244824981902E-3"/>
  </r>
  <r>
    <n v="5396"/>
    <n v="3024"/>
    <x v="14"/>
    <x v="0"/>
    <x v="42"/>
    <x v="1"/>
    <x v="1"/>
    <x v="1"/>
    <x v="0"/>
    <x v="0"/>
    <n v="2684"/>
    <n v="6472"/>
    <x v="0"/>
    <n v="1.4947015047073371E-3"/>
    <n v="3.2341200444433427E-3"/>
    <n v="0.10932363776169715"/>
  </r>
  <r>
    <n v="5532"/>
    <n v="9232"/>
    <x v="2"/>
    <x v="1"/>
    <x v="43"/>
    <x v="4"/>
    <x v="5"/>
    <x v="4"/>
    <x v="1"/>
    <x v="0"/>
    <n v="5532"/>
    <n v="3864"/>
    <x v="1"/>
    <n v="1.7156385531028112E-3"/>
    <n v="5.6014690739753642E-4"/>
    <n v="2.777186140328763E-3"/>
  </r>
  <r>
    <n v="5616"/>
    <n v="9832"/>
    <x v="8"/>
    <x v="0"/>
    <x v="44"/>
    <x v="5"/>
    <x v="4"/>
    <x v="5"/>
    <x v="0"/>
    <x v="0"/>
    <n v="8136"/>
    <n v="1092"/>
    <x v="0"/>
    <n v="1.4940612386948999E-3"/>
    <n v="1.7276025938065672E-3"/>
    <n v="9.5715841018702286E-2"/>
  </r>
  <r>
    <n v="5616"/>
    <n v="9832"/>
    <x v="8"/>
    <x v="0"/>
    <x v="44"/>
    <x v="5"/>
    <x v="4"/>
    <x v="5"/>
    <x v="0"/>
    <x v="1"/>
    <n v="7764"/>
    <n v="3284"/>
    <x v="2"/>
    <n v="1.9109921880287701E-3"/>
    <n v="5.7612250852321391E-3"/>
    <n v="0.38491808954833451"/>
  </r>
  <r>
    <n v="5616"/>
    <n v="9832"/>
    <x v="8"/>
    <x v="0"/>
    <x v="44"/>
    <x v="5"/>
    <x v="4"/>
    <x v="5"/>
    <x v="0"/>
    <x v="0"/>
    <n v="5616"/>
    <n v="7652"/>
    <x v="0"/>
    <n v="1.1660179634323006E-3"/>
    <n v="4.2941494248722572E-4"/>
    <n v="5.8445066645300484E-3"/>
  </r>
  <r>
    <n v="5732"/>
    <n v="1228"/>
    <x v="11"/>
    <x v="0"/>
    <x v="45"/>
    <x v="1"/>
    <x v="1"/>
    <x v="5"/>
    <x v="0"/>
    <x v="0"/>
    <n v="4100"/>
    <n v="1408"/>
    <x v="0"/>
    <n v="1.4940612386948999E-3"/>
    <n v="1.4642875497512399E-3"/>
    <n v="7.1653803305772645E-2"/>
  </r>
  <r>
    <n v="5796"/>
    <n v="8304"/>
    <x v="15"/>
    <x v="0"/>
    <x v="46"/>
    <x v="1"/>
    <x v="1"/>
    <x v="1"/>
    <x v="0"/>
    <x v="0"/>
    <n v="5796"/>
    <n v="9484"/>
    <x v="0"/>
    <n v="1.2706255912780762E-3"/>
    <n v="4.2097212510496874E-4"/>
    <n v="7.5051750954326273E-3"/>
  </r>
  <r>
    <n v="5796"/>
    <n v="9340"/>
    <x v="15"/>
    <x v="0"/>
    <x v="47"/>
    <x v="1"/>
    <x v="1"/>
    <x v="1"/>
    <x v="0"/>
    <x v="0"/>
    <n v="5796"/>
    <n v="9484"/>
    <x v="0"/>
    <n v="1.2706255912780762E-3"/>
    <n v="4.2097212510496874E-4"/>
    <n v="7.5051750954326273E-3"/>
  </r>
  <r>
    <n v="5820"/>
    <n v="1384"/>
    <x v="5"/>
    <x v="0"/>
    <x v="48"/>
    <x v="1"/>
    <x v="1"/>
    <x v="1"/>
    <x v="0"/>
    <x v="0"/>
    <n v="5820"/>
    <n v="4248"/>
    <x v="0"/>
    <n v="1.2696708713497197E-3"/>
    <n v="4.2050335215896385E-4"/>
    <n v="7.4857359389592874E-3"/>
  </r>
  <r>
    <n v="5856"/>
    <n v="3648"/>
    <x v="8"/>
    <x v="2"/>
    <x v="49"/>
    <x v="5"/>
    <x v="4"/>
    <x v="7"/>
    <x v="0"/>
    <x v="0"/>
    <n v="6248"/>
    <n v="7296"/>
    <x v="2"/>
    <n v="1.9109921880287701E-3"/>
    <n v="5.7886712129603434E-3"/>
    <n v="0.38835731946867735"/>
  </r>
  <r>
    <n v="5856"/>
    <n v="3648"/>
    <x v="8"/>
    <x v="2"/>
    <x v="49"/>
    <x v="5"/>
    <x v="4"/>
    <x v="7"/>
    <x v="0"/>
    <x v="0"/>
    <n v="5856"/>
    <n v="10352"/>
    <x v="2"/>
    <n v="2.3377571089276072E-3"/>
    <n v="9.2654941323979604E-4"/>
    <n v="7.7841161657472855E-3"/>
  </r>
  <r>
    <n v="5856"/>
    <n v="3648"/>
    <x v="8"/>
    <x v="2"/>
    <x v="49"/>
    <x v="5"/>
    <x v="4"/>
    <x v="7"/>
    <x v="0"/>
    <x v="1"/>
    <n v="7444"/>
    <n v="7424"/>
    <x v="0"/>
    <n v="1.4940612386948999E-3"/>
    <n v="1.7352752922648225E-3"/>
    <n v="9.6427241633363414E-2"/>
  </r>
  <r>
    <n v="5944"/>
    <n v="10080"/>
    <x v="2"/>
    <x v="1"/>
    <x v="50"/>
    <x v="2"/>
    <x v="2"/>
    <x v="4"/>
    <x v="1"/>
    <x v="0"/>
    <n v="5944"/>
    <n v="4936"/>
    <x v="1"/>
    <n v="1.7156385531028112E-3"/>
    <n v="5.9262057067797046E-4"/>
    <n v="2.8386868138961098E-3"/>
  </r>
  <r>
    <n v="6048"/>
    <n v="2324"/>
    <x v="11"/>
    <x v="2"/>
    <x v="51"/>
    <x v="1"/>
    <x v="1"/>
    <x v="7"/>
    <x v="0"/>
    <x v="1"/>
    <n v="6004"/>
    <n v="6672"/>
    <x v="0"/>
    <n v="1.4940612386948999E-3"/>
    <n v="1.3642316035802852E-3"/>
    <n v="6.0822867689900618E-2"/>
  </r>
  <r>
    <n v="6152"/>
    <n v="9684"/>
    <x v="4"/>
    <x v="0"/>
    <x v="52"/>
    <x v="3"/>
    <x v="1"/>
    <x v="5"/>
    <x v="0"/>
    <x v="0"/>
    <n v="3448"/>
    <n v="6096"/>
    <x v="0"/>
    <n v="1.2706255912780762E-3"/>
    <n v="1.0249968156963963E-3"/>
    <n v="2.0987519415338326E-2"/>
  </r>
  <r>
    <n v="6172"/>
    <n v="10140"/>
    <x v="4"/>
    <x v="1"/>
    <x v="53"/>
    <x v="5"/>
    <x v="1"/>
    <x v="8"/>
    <x v="0"/>
    <x v="1"/>
    <n v="2940"/>
    <n v="8208"/>
    <x v="0"/>
    <n v="1.2706255912780762E-3"/>
    <n v="4.0271336560058976E-3"/>
    <n v="0.24441471888208519"/>
  </r>
  <r>
    <n v="6316"/>
    <n v="7648"/>
    <x v="4"/>
    <x v="2"/>
    <x v="54"/>
    <x v="1"/>
    <x v="1"/>
    <x v="3"/>
    <x v="0"/>
    <x v="1"/>
    <n v="7324"/>
    <n v="7572"/>
    <x v="0"/>
    <n v="1.2706255912780762E-3"/>
    <n v="7.0070943307129648E-4"/>
    <n v="1.2551056370299475E-2"/>
  </r>
  <r>
    <n v="6316"/>
    <n v="7648"/>
    <x v="4"/>
    <x v="2"/>
    <x v="54"/>
    <x v="1"/>
    <x v="1"/>
    <x v="3"/>
    <x v="0"/>
    <x v="1"/>
    <n v="9448"/>
    <n v="9636"/>
    <x v="0"/>
    <n v="1.2706255912780762E-3"/>
    <n v="7.0070943307129648E-4"/>
    <n v="1.2551056370299475E-2"/>
  </r>
  <r>
    <n v="6316"/>
    <n v="7648"/>
    <x v="4"/>
    <x v="2"/>
    <x v="54"/>
    <x v="1"/>
    <x v="1"/>
    <x v="3"/>
    <x v="0"/>
    <x v="1"/>
    <n v="4936"/>
    <n v="6712"/>
    <x v="0"/>
    <n v="1.2706255912780762E-3"/>
    <n v="7.0070943307129648E-4"/>
    <n v="1.2551056370299475E-2"/>
  </r>
  <r>
    <n v="6320"/>
    <n v="9576"/>
    <x v="16"/>
    <x v="0"/>
    <x v="55"/>
    <x v="1"/>
    <x v="1"/>
    <x v="1"/>
    <x v="0"/>
    <x v="0"/>
    <n v="1888"/>
    <n v="6648"/>
    <x v="0"/>
    <n v="1.2706255912780762E-3"/>
    <n v="4.2093854290237929E-4"/>
    <n v="7.4951582981018141E-3"/>
  </r>
  <r>
    <n v="6448"/>
    <n v="6956"/>
    <x v="4"/>
    <x v="1"/>
    <x v="56"/>
    <x v="5"/>
    <x v="1"/>
    <x v="9"/>
    <x v="0"/>
    <x v="1"/>
    <n v="8148"/>
    <n v="7140"/>
    <x v="0"/>
    <n v="1.2706255912780762E-3"/>
    <n v="1.3637578113926006E-3"/>
    <n v="3.3616891777106694E-2"/>
  </r>
  <r>
    <n v="6488"/>
    <n v="2268"/>
    <x v="4"/>
    <x v="2"/>
    <x v="57"/>
    <x v="1"/>
    <x v="1"/>
    <x v="7"/>
    <x v="0"/>
    <x v="1"/>
    <n v="9252"/>
    <n v="6256"/>
    <x v="0"/>
    <n v="1.2706255912780762E-3"/>
    <n v="6.2290087018487675E-4"/>
    <n v="1.0753953891811472E-2"/>
  </r>
  <r>
    <n v="6496"/>
    <n v="9716"/>
    <x v="1"/>
    <x v="0"/>
    <x v="58"/>
    <x v="5"/>
    <x v="1"/>
    <x v="5"/>
    <x v="0"/>
    <x v="0"/>
    <n v="7928"/>
    <n v="704"/>
    <x v="0"/>
    <n v="1.4947015047073371E-3"/>
    <n v="2.9501989483833313E-3"/>
    <n v="9.8463558649527577E-2"/>
  </r>
  <r>
    <n v="6556"/>
    <n v="9548"/>
    <x v="2"/>
    <x v="1"/>
    <x v="59"/>
    <x v="4"/>
    <x v="3"/>
    <x v="10"/>
    <x v="1"/>
    <x v="1"/>
    <n v="608"/>
    <n v="1864"/>
    <x v="3"/>
    <n v="2.1220728754997257E-3"/>
    <n v="1.0141340585855337E-2"/>
    <n v="1.0461184623439905"/>
  </r>
  <r>
    <n v="6556"/>
    <n v="9548"/>
    <x v="2"/>
    <x v="1"/>
    <x v="59"/>
    <x v="4"/>
    <x v="3"/>
    <x v="10"/>
    <x v="1"/>
    <x v="0"/>
    <n v="6556"/>
    <n v="1624"/>
    <x v="1"/>
    <n v="1.6382796367009481E-3"/>
    <n v="5.2458034340805077E-4"/>
    <n v="2.5630468979848226E-3"/>
  </r>
  <r>
    <n v="6556"/>
    <n v="9548"/>
    <x v="2"/>
    <x v="1"/>
    <x v="59"/>
    <x v="4"/>
    <x v="3"/>
    <x v="10"/>
    <x v="1"/>
    <x v="1"/>
    <n v="4404"/>
    <n v="8248"/>
    <x v="4"/>
    <n v="1.3171547651290893E-3"/>
    <n v="5.4029924186629868E-3"/>
    <n v="1.1940672966994847"/>
  </r>
  <r>
    <n v="6556"/>
    <n v="9548"/>
    <x v="2"/>
    <x v="1"/>
    <x v="59"/>
    <x v="4"/>
    <x v="3"/>
    <x v="10"/>
    <x v="1"/>
    <x v="1"/>
    <n v="7328"/>
    <n v="10028"/>
    <x v="5"/>
    <n v="1.3687986135482787E-3"/>
    <n v="4.0213279301506222E-3"/>
    <n v="1.0922463411392496"/>
  </r>
  <r>
    <n v="6556"/>
    <n v="9548"/>
    <x v="2"/>
    <x v="1"/>
    <x v="59"/>
    <x v="4"/>
    <x v="3"/>
    <x v="10"/>
    <x v="1"/>
    <x v="1"/>
    <n v="9416"/>
    <n v="1416"/>
    <x v="6"/>
    <n v="1.7654034495353701E-3"/>
    <n v="1.3918787838736375E-3"/>
    <n v="8.8175139217825077E-2"/>
  </r>
  <r>
    <n v="6556"/>
    <n v="9548"/>
    <x v="2"/>
    <x v="1"/>
    <x v="59"/>
    <x v="4"/>
    <x v="3"/>
    <x v="10"/>
    <x v="1"/>
    <x v="1"/>
    <n v="8600"/>
    <n v="8212"/>
    <x v="7"/>
    <n v="1.7695733904838564E-3"/>
    <n v="9.52826942031707E-3"/>
    <n v="1.0716891956387535"/>
  </r>
  <r>
    <n v="6556"/>
    <n v="9548"/>
    <x v="2"/>
    <x v="1"/>
    <x v="59"/>
    <x v="4"/>
    <x v="3"/>
    <x v="10"/>
    <x v="1"/>
    <x v="1"/>
    <n v="7424"/>
    <n v="5420"/>
    <x v="8"/>
    <n v="1.2611734867095947E-3"/>
    <n v="1.4340161935647786E-3"/>
    <n v="0.18296995152139325"/>
  </r>
  <r>
    <n v="6640"/>
    <n v="1964"/>
    <x v="1"/>
    <x v="0"/>
    <x v="60"/>
    <x v="5"/>
    <x v="1"/>
    <x v="1"/>
    <x v="0"/>
    <x v="0"/>
    <n v="2628"/>
    <n v="9772"/>
    <x v="0"/>
    <n v="1.4947015047073371E-3"/>
    <n v="3.3912736508581371E-3"/>
    <n v="0.12500182205203741"/>
  </r>
  <r>
    <n v="6648"/>
    <n v="6668"/>
    <x v="4"/>
    <x v="2"/>
    <x v="61"/>
    <x v="5"/>
    <x v="1"/>
    <x v="3"/>
    <x v="0"/>
    <x v="1"/>
    <n v="2312"/>
    <n v="7680"/>
    <x v="0"/>
    <n v="1.2706255912780762E-3"/>
    <n v="1.7998111314277206E-3"/>
    <n v="5.8396636542833835E-2"/>
  </r>
  <r>
    <n v="6764"/>
    <n v="7528"/>
    <x v="1"/>
    <x v="2"/>
    <x v="62"/>
    <x v="5"/>
    <x v="1"/>
    <x v="3"/>
    <x v="0"/>
    <x v="1"/>
    <n v="5140"/>
    <n v="9864"/>
    <x v="0"/>
    <n v="1.4947015047073371E-3"/>
    <n v="3.8547697994444105E-3"/>
    <n v="0.15281182842582985"/>
  </r>
  <r>
    <n v="6780"/>
    <n v="9028"/>
    <x v="17"/>
    <x v="0"/>
    <x v="63"/>
    <x v="1"/>
    <x v="1"/>
    <x v="1"/>
    <x v="0"/>
    <x v="0"/>
    <n v="6780"/>
    <n v="1660"/>
    <x v="0"/>
    <n v="1.2696708713497197E-3"/>
    <n v="4.2075088745051716E-4"/>
    <n v="7.4825153158202843E-3"/>
  </r>
  <r>
    <n v="6784"/>
    <n v="2752"/>
    <x v="1"/>
    <x v="1"/>
    <x v="64"/>
    <x v="3"/>
    <x v="1"/>
    <x v="8"/>
    <x v="0"/>
    <x v="1"/>
    <n v="2548"/>
    <n v="8748"/>
    <x v="0"/>
    <n v="1.4947015047073371E-3"/>
    <n v="2.166827685303158E-3"/>
    <n v="5.5597698846418769E-2"/>
  </r>
  <r>
    <n v="6828"/>
    <n v="1392"/>
    <x v="12"/>
    <x v="0"/>
    <x v="65"/>
    <x v="1"/>
    <x v="1"/>
    <x v="1"/>
    <x v="0"/>
    <x v="0"/>
    <n v="6828"/>
    <n v="2564"/>
    <x v="0"/>
    <n v="1.2696708713497197E-3"/>
    <n v="4.2054342958795972E-4"/>
    <n v="7.477636259053828E-3"/>
  </r>
  <r>
    <n v="6892"/>
    <n v="9768"/>
    <x v="18"/>
    <x v="0"/>
    <x v="66"/>
    <x v="1"/>
    <x v="1"/>
    <x v="1"/>
    <x v="0"/>
    <x v="0"/>
    <n v="10200"/>
    <n v="5772"/>
    <x v="0"/>
    <n v="1.4947015047073371E-3"/>
    <n v="3.2035514712333681E-3"/>
    <n v="0.10879724554899023"/>
  </r>
  <r>
    <n v="6892"/>
    <n v="9768"/>
    <x v="18"/>
    <x v="0"/>
    <x v="66"/>
    <x v="1"/>
    <x v="1"/>
    <x v="1"/>
    <x v="0"/>
    <x v="0"/>
    <n v="4932"/>
    <n v="2464"/>
    <x v="0"/>
    <n v="1.4947015047073371E-3"/>
    <n v="3.2035514712333681E-3"/>
    <n v="0.10879724554899023"/>
  </r>
  <r>
    <n v="6892"/>
    <n v="9768"/>
    <x v="18"/>
    <x v="0"/>
    <x v="66"/>
    <x v="1"/>
    <x v="1"/>
    <x v="1"/>
    <x v="0"/>
    <x v="0"/>
    <n v="9476"/>
    <n v="6992"/>
    <x v="0"/>
    <n v="1.2706255912780762E-3"/>
    <n v="4.2064098651629618E-4"/>
    <n v="7.494728744556531E-3"/>
  </r>
  <r>
    <n v="6892"/>
    <n v="9768"/>
    <x v="18"/>
    <x v="0"/>
    <x v="66"/>
    <x v="1"/>
    <x v="1"/>
    <x v="1"/>
    <x v="0"/>
    <x v="0"/>
    <n v="6108"/>
    <n v="9856"/>
    <x v="0"/>
    <n v="1.2706255912780762E-3"/>
    <n v="4.2064098651629618E-4"/>
    <n v="7.494728744556531E-3"/>
  </r>
  <r>
    <n v="6924"/>
    <n v="1968"/>
    <x v="2"/>
    <x v="1"/>
    <x v="67"/>
    <x v="2"/>
    <x v="2"/>
    <x v="10"/>
    <x v="1"/>
    <x v="0"/>
    <n v="6924"/>
    <n v="3308"/>
    <x v="1"/>
    <n v="1.6382796367009481E-3"/>
    <n v="5.7716538400809554E-4"/>
    <n v="2.6523258939838276E-3"/>
  </r>
  <r>
    <n v="6992"/>
    <n v="1276"/>
    <x v="0"/>
    <x v="0"/>
    <x v="68"/>
    <x v="0"/>
    <x v="0"/>
    <x v="0"/>
    <x v="0"/>
    <x v="0"/>
    <n v="6992"/>
    <n v="6644"/>
    <x v="0"/>
    <n v="1.4652001857757575E-3"/>
    <n v="5.5964234509045573E-4"/>
    <n v="1.8778694623874107E-2"/>
  </r>
  <r>
    <n v="7072"/>
    <n v="7464"/>
    <x v="8"/>
    <x v="1"/>
    <x v="69"/>
    <x v="5"/>
    <x v="4"/>
    <x v="9"/>
    <x v="0"/>
    <x v="1"/>
    <n v="6064"/>
    <n v="5856"/>
    <x v="0"/>
    <n v="1.4940612386948999E-3"/>
    <n v="1.7280657647064377E-3"/>
    <n v="9.575437049627436E-2"/>
  </r>
  <r>
    <n v="7072"/>
    <n v="7464"/>
    <x v="8"/>
    <x v="1"/>
    <x v="69"/>
    <x v="5"/>
    <x v="4"/>
    <x v="9"/>
    <x v="0"/>
    <x v="0"/>
    <n v="7072"/>
    <n v="8652"/>
    <x v="1"/>
    <n v="1.2979016199216738E-3"/>
    <n v="4.3445106105032119E-4"/>
    <n v="8.5570025604480016E-3"/>
  </r>
  <r>
    <n v="7188"/>
    <n v="9368"/>
    <x v="1"/>
    <x v="2"/>
    <x v="70"/>
    <x v="1"/>
    <x v="1"/>
    <x v="3"/>
    <x v="0"/>
    <x v="1"/>
    <n v="6972"/>
    <n v="3980"/>
    <x v="0"/>
    <n v="1.4947015047073371E-3"/>
    <n v="2.8533001740773524E-3"/>
    <n v="9.317963535795816E-2"/>
  </r>
  <r>
    <n v="7232"/>
    <n v="10640"/>
    <x v="19"/>
    <x v="0"/>
    <x v="71"/>
    <x v="1"/>
    <x v="1"/>
    <x v="1"/>
    <x v="0"/>
    <x v="0"/>
    <n v="7232"/>
    <n v="7152"/>
    <x v="0"/>
    <n v="1.2696708713497197E-3"/>
    <n v="6.1880000187615328E-4"/>
    <n v="1.1647708474743985E-2"/>
  </r>
  <r>
    <n v="7536"/>
    <n v="3452"/>
    <x v="4"/>
    <x v="0"/>
    <x v="72"/>
    <x v="5"/>
    <x v="1"/>
    <x v="1"/>
    <x v="0"/>
    <x v="0"/>
    <n v="8516"/>
    <n v="5928"/>
    <x v="0"/>
    <n v="1.2706255912780762E-3"/>
    <n v="4.2350875602460019E-4"/>
    <n v="7.4292628605574411E-3"/>
  </r>
  <r>
    <n v="7568"/>
    <n v="348"/>
    <x v="4"/>
    <x v="2"/>
    <x v="73"/>
    <x v="3"/>
    <x v="1"/>
    <x v="7"/>
    <x v="0"/>
    <x v="1"/>
    <n v="6488"/>
    <n v="9592"/>
    <x v="0"/>
    <n v="1.2706255912780762E-3"/>
    <n v="5.6858602468867444E-4"/>
    <n v="9.9001767879668794E-3"/>
  </r>
  <r>
    <n v="7616"/>
    <n v="10016"/>
    <x v="7"/>
    <x v="0"/>
    <x v="74"/>
    <x v="3"/>
    <x v="1"/>
    <x v="5"/>
    <x v="0"/>
    <x v="1"/>
    <n v="6484"/>
    <n v="6808"/>
    <x v="1"/>
    <n v="1.3009989261627197E-3"/>
    <n v="5.9692832914065564E-4"/>
    <n v="3.654972461368329E-2"/>
  </r>
  <r>
    <n v="7616"/>
    <n v="10016"/>
    <x v="7"/>
    <x v="0"/>
    <x v="74"/>
    <x v="3"/>
    <x v="1"/>
    <x v="5"/>
    <x v="0"/>
    <x v="0"/>
    <n v="9456"/>
    <n v="11024"/>
    <x v="0"/>
    <n v="1.8451517820358278E-3"/>
    <n v="1.7092136720239647E-3"/>
    <n v="6.1857955864402965E-2"/>
  </r>
  <r>
    <n v="7616"/>
    <n v="10016"/>
    <x v="7"/>
    <x v="0"/>
    <x v="74"/>
    <x v="3"/>
    <x v="1"/>
    <x v="5"/>
    <x v="0"/>
    <x v="0"/>
    <n v="7224"/>
    <n v="11012"/>
    <x v="0"/>
    <n v="1.2706255912780762E-3"/>
    <n v="1.027652821557699E-3"/>
    <n v="2.1216883534403205E-2"/>
  </r>
  <r>
    <n v="7616"/>
    <n v="10016"/>
    <x v="7"/>
    <x v="0"/>
    <x v="74"/>
    <x v="3"/>
    <x v="1"/>
    <x v="5"/>
    <x v="0"/>
    <x v="0"/>
    <n v="6588"/>
    <n v="6204"/>
    <x v="0"/>
    <n v="1.7028637230396271E-3"/>
    <n v="1.2122074354903843E-3"/>
    <n v="3.0939422399761728E-2"/>
  </r>
  <r>
    <n v="7616"/>
    <n v="10016"/>
    <x v="7"/>
    <x v="0"/>
    <x v="74"/>
    <x v="3"/>
    <x v="1"/>
    <x v="5"/>
    <x v="0"/>
    <x v="1"/>
    <n v="10356"/>
    <n v="8596"/>
    <x v="1"/>
    <n v="1.2274467945098877E-3"/>
    <n v="1.5191269320482649E-3"/>
    <n v="0.22298944448887709"/>
  </r>
  <r>
    <n v="7616"/>
    <n v="10016"/>
    <x v="7"/>
    <x v="0"/>
    <x v="74"/>
    <x v="3"/>
    <x v="1"/>
    <x v="5"/>
    <x v="0"/>
    <x v="1"/>
    <n v="6296"/>
    <n v="10580"/>
    <x v="2"/>
    <n v="1.9151763617992401E-3"/>
    <n v="2.0344285282458208E-3"/>
    <n v="2.7243468834234733E-2"/>
  </r>
  <r>
    <n v="7616"/>
    <n v="10016"/>
    <x v="7"/>
    <x v="0"/>
    <x v="74"/>
    <x v="3"/>
    <x v="1"/>
    <x v="5"/>
    <x v="0"/>
    <x v="1"/>
    <n v="1240"/>
    <n v="8360"/>
    <x v="2"/>
    <n v="2.0817210674285891E-3"/>
    <n v="2.0463940861129952E-3"/>
    <n v="2.7312420745155691E-2"/>
  </r>
  <r>
    <n v="7616"/>
    <n v="10016"/>
    <x v="7"/>
    <x v="0"/>
    <x v="74"/>
    <x v="3"/>
    <x v="1"/>
    <x v="5"/>
    <x v="0"/>
    <x v="1"/>
    <n v="11340"/>
    <n v="1732"/>
    <x v="1"/>
    <n v="1.2528616189956664E-3"/>
    <n v="9.145714505187049E-4"/>
    <n v="4.5865988707890208E-2"/>
  </r>
  <r>
    <n v="7616"/>
    <n v="10016"/>
    <x v="7"/>
    <x v="0"/>
    <x v="74"/>
    <x v="3"/>
    <x v="1"/>
    <x v="5"/>
    <x v="0"/>
    <x v="0"/>
    <n v="8308"/>
    <n v="912"/>
    <x v="0"/>
    <n v="1.1660134792327883E-3"/>
    <n v="4.0184350491888294E-4"/>
    <n v="5.9930618434994257E-3"/>
  </r>
  <r>
    <n v="7616"/>
    <n v="10016"/>
    <x v="7"/>
    <x v="0"/>
    <x v="74"/>
    <x v="3"/>
    <x v="1"/>
    <x v="5"/>
    <x v="0"/>
    <x v="1"/>
    <n v="3632"/>
    <n v="12104"/>
    <x v="2"/>
    <n v="1.808226704597473E-3"/>
    <n v="3.6940386710506631E-3"/>
    <n v="0.15075124539360391"/>
  </r>
  <r>
    <n v="7620"/>
    <n v="8356"/>
    <x v="11"/>
    <x v="2"/>
    <x v="75"/>
    <x v="1"/>
    <x v="1"/>
    <x v="3"/>
    <x v="0"/>
    <x v="1"/>
    <n v="8004"/>
    <n v="2884"/>
    <x v="0"/>
    <n v="1.4940612386948999E-3"/>
    <n v="1.1515437898056285E-3"/>
    <n v="4.9919788090149846E-2"/>
  </r>
  <r>
    <n v="7648"/>
    <n v="9600"/>
    <x v="15"/>
    <x v="0"/>
    <x v="76"/>
    <x v="1"/>
    <x v="1"/>
    <x v="1"/>
    <x v="0"/>
    <x v="0"/>
    <n v="7648"/>
    <n v="3024"/>
    <x v="0"/>
    <n v="1.2706255912780762E-3"/>
    <n v="4.2097045352448116E-4"/>
    <n v="7.5040458151427129E-3"/>
  </r>
  <r>
    <n v="7656"/>
    <n v="5032"/>
    <x v="2"/>
    <x v="1"/>
    <x v="77"/>
    <x v="2"/>
    <x v="2"/>
    <x v="10"/>
    <x v="1"/>
    <x v="0"/>
    <n v="7656"/>
    <n v="912"/>
    <x v="1"/>
    <n v="1.6382796367009481E-3"/>
    <n v="5.7620313747686904E-4"/>
    <n v="2.6511082773499014E-3"/>
  </r>
  <r>
    <n v="7688"/>
    <n v="8808"/>
    <x v="2"/>
    <x v="1"/>
    <x v="78"/>
    <x v="2"/>
    <x v="3"/>
    <x v="2"/>
    <x v="1"/>
    <x v="0"/>
    <n v="7688"/>
    <n v="10208"/>
    <x v="1"/>
    <n v="1.7042870654000177E-3"/>
    <n v="5.5276122529683753E-4"/>
    <n v="2.739571537557617E-3"/>
  </r>
  <r>
    <n v="7796"/>
    <n v="4752"/>
    <x v="8"/>
    <x v="0"/>
    <x v="79"/>
    <x v="3"/>
    <x v="4"/>
    <x v="5"/>
    <x v="0"/>
    <x v="0"/>
    <n v="7796"/>
    <n v="6036"/>
    <x v="0"/>
    <n v="1.1660179634323006E-3"/>
    <n v="5.0710838253182483E-4"/>
    <n v="7.1620341278345236E-3"/>
  </r>
  <r>
    <n v="7860"/>
    <n v="11132"/>
    <x v="8"/>
    <x v="1"/>
    <x v="80"/>
    <x v="3"/>
    <x v="4"/>
    <x v="8"/>
    <x v="0"/>
    <x v="0"/>
    <n v="7860"/>
    <n v="7064"/>
    <x v="1"/>
    <n v="1.5125257083620208E-3"/>
    <n v="6.8493276057560756E-4"/>
    <n v="3.7370935773589093E-3"/>
  </r>
  <r>
    <n v="7868"/>
    <n v="1276"/>
    <x v="7"/>
    <x v="2"/>
    <x v="81"/>
    <x v="5"/>
    <x v="1"/>
    <x v="7"/>
    <x v="0"/>
    <x v="1"/>
    <n v="300"/>
    <n v="9048"/>
    <x v="0"/>
    <n v="1.2706255912780762E-3"/>
    <n v="6.5463460594069299E-4"/>
    <n v="1.1354741349434783E-2"/>
  </r>
  <r>
    <n v="7868"/>
    <n v="1276"/>
    <x v="7"/>
    <x v="2"/>
    <x v="81"/>
    <x v="5"/>
    <x v="1"/>
    <x v="7"/>
    <x v="0"/>
    <x v="0"/>
    <n v="5472"/>
    <n v="8828"/>
    <x v="2"/>
    <n v="1.9151763617992401E-3"/>
    <n v="1.5893156170385947E-3"/>
    <n v="2.3606275043614146E-2"/>
  </r>
  <r>
    <n v="7868"/>
    <n v="1276"/>
    <x v="7"/>
    <x v="2"/>
    <x v="81"/>
    <x v="5"/>
    <x v="1"/>
    <x v="7"/>
    <x v="0"/>
    <x v="0"/>
    <n v="10608"/>
    <n v="11076"/>
    <x v="2"/>
    <n v="2.3375559747219085E-3"/>
    <n v="7.4907361367564313E-4"/>
    <n v="6.5783787967028376E-3"/>
  </r>
  <r>
    <n v="7868"/>
    <n v="1276"/>
    <x v="7"/>
    <x v="2"/>
    <x v="81"/>
    <x v="5"/>
    <x v="1"/>
    <x v="7"/>
    <x v="0"/>
    <x v="1"/>
    <n v="10736"/>
    <n v="8380"/>
    <x v="0"/>
    <n v="1.8451517820358278E-3"/>
    <n v="1.3386839140688209E-3"/>
    <n v="3.5838026273745362E-2"/>
  </r>
  <r>
    <n v="7868"/>
    <n v="1276"/>
    <x v="7"/>
    <x v="2"/>
    <x v="81"/>
    <x v="5"/>
    <x v="1"/>
    <x v="7"/>
    <x v="0"/>
    <x v="1"/>
    <n v="9748"/>
    <n v="1896"/>
    <x v="0"/>
    <n v="1.7028637230396271E-3"/>
    <n v="9.1327594853794162E-4"/>
    <n v="1.8750844703358544E-2"/>
  </r>
  <r>
    <n v="7868"/>
    <n v="1276"/>
    <x v="7"/>
    <x v="2"/>
    <x v="81"/>
    <x v="5"/>
    <x v="1"/>
    <x v="7"/>
    <x v="0"/>
    <x v="0"/>
    <n v="11916"/>
    <n v="2636"/>
    <x v="2"/>
    <n v="1.808226704597473E-3"/>
    <n v="4.4588250031886443E-3"/>
    <n v="0.28043290834932955"/>
  </r>
  <r>
    <n v="7868"/>
    <n v="1276"/>
    <x v="7"/>
    <x v="2"/>
    <x v="81"/>
    <x v="5"/>
    <x v="1"/>
    <x v="7"/>
    <x v="0"/>
    <x v="1"/>
    <n v="1972"/>
    <n v="8232"/>
    <x v="1"/>
    <n v="1.3009989261627197E-3"/>
    <n v="5.4253932668539974E-4"/>
    <n v="2.9965305456779671E-2"/>
  </r>
  <r>
    <n v="7868"/>
    <n v="1276"/>
    <x v="7"/>
    <x v="2"/>
    <x v="81"/>
    <x v="5"/>
    <x v="1"/>
    <x v="7"/>
    <x v="0"/>
    <x v="0"/>
    <n v="9748"/>
    <n v="7904"/>
    <x v="2"/>
    <n v="2.0817210674285891E-3"/>
    <n v="1.5998951499663319E-3"/>
    <n v="2.3692656461208859E-2"/>
  </r>
  <r>
    <n v="7868"/>
    <n v="1276"/>
    <x v="7"/>
    <x v="2"/>
    <x v="81"/>
    <x v="5"/>
    <x v="1"/>
    <x v="7"/>
    <x v="0"/>
    <x v="1"/>
    <n v="4416"/>
    <n v="9412"/>
    <x v="1"/>
    <n v="1.2274467945098877E-3"/>
    <n v="1.8830693966849557E-3"/>
    <n v="0.38980365730635114"/>
  </r>
  <r>
    <n v="7912"/>
    <n v="2092"/>
    <x v="3"/>
    <x v="0"/>
    <x v="82"/>
    <x v="1"/>
    <x v="1"/>
    <x v="1"/>
    <x v="0"/>
    <x v="0"/>
    <n v="1228"/>
    <n v="6772"/>
    <x v="0"/>
    <n v="1.4940612386948999E-3"/>
    <n v="1.5010020350883023E-3"/>
    <n v="7.7109826595412378E-2"/>
  </r>
  <r>
    <n v="7912"/>
    <n v="2092"/>
    <x v="3"/>
    <x v="0"/>
    <x v="82"/>
    <x v="1"/>
    <x v="1"/>
    <x v="1"/>
    <x v="0"/>
    <x v="1"/>
    <n v="6788"/>
    <n v="4848"/>
    <x v="2"/>
    <n v="1.9109921880287701E-3"/>
    <n v="4099150.8746546963"/>
    <n v="1.862803554603264E+17"/>
  </r>
  <r>
    <n v="7912"/>
    <n v="2092"/>
    <x v="3"/>
    <x v="0"/>
    <x v="82"/>
    <x v="1"/>
    <x v="1"/>
    <x v="1"/>
    <x v="0"/>
    <x v="0"/>
    <n v="32"/>
    <n v="7976"/>
    <x v="0"/>
    <n v="1.4940612386948999E-3"/>
    <n v="2724490.0625"/>
    <n v="1.862803554603264E+17"/>
  </r>
  <r>
    <n v="7912"/>
    <n v="6740"/>
    <x v="3"/>
    <x v="0"/>
    <x v="83"/>
    <x v="1"/>
    <x v="1"/>
    <x v="1"/>
    <x v="0"/>
    <x v="0"/>
    <n v="1228"/>
    <n v="6772"/>
    <x v="0"/>
    <n v="1.4940612386948999E-3"/>
    <n v="1.5010020350883023E-3"/>
    <n v="7.7109826595412378E-2"/>
  </r>
  <r>
    <n v="7912"/>
    <n v="6740"/>
    <x v="3"/>
    <x v="0"/>
    <x v="83"/>
    <x v="1"/>
    <x v="1"/>
    <x v="1"/>
    <x v="0"/>
    <x v="0"/>
    <n v="32"/>
    <n v="7976"/>
    <x v="0"/>
    <n v="1.4940612386948999E-3"/>
    <n v="2724490.0625"/>
    <n v="1.862803554603264E+17"/>
  </r>
  <r>
    <n v="7912"/>
    <n v="6740"/>
    <x v="3"/>
    <x v="0"/>
    <x v="83"/>
    <x v="1"/>
    <x v="1"/>
    <x v="1"/>
    <x v="0"/>
    <x v="1"/>
    <n v="6788"/>
    <n v="4848"/>
    <x v="2"/>
    <n v="1.9109921880287701E-3"/>
    <n v="4099150.8746546963"/>
    <n v="1.862803554603264E+17"/>
  </r>
  <r>
    <n v="8012"/>
    <n v="8440"/>
    <x v="8"/>
    <x v="0"/>
    <x v="84"/>
    <x v="5"/>
    <x v="4"/>
    <x v="1"/>
    <x v="0"/>
    <x v="1"/>
    <n v="7924"/>
    <n v="9096"/>
    <x v="2"/>
    <n v="1.9109921880287701E-3"/>
    <n v="5.7629103160036204E-3"/>
    <n v="0.38517942733903388"/>
  </r>
  <r>
    <n v="8012"/>
    <n v="8440"/>
    <x v="8"/>
    <x v="0"/>
    <x v="84"/>
    <x v="5"/>
    <x v="4"/>
    <x v="1"/>
    <x v="0"/>
    <x v="0"/>
    <n v="6684"/>
    <n v="11192"/>
    <x v="0"/>
    <n v="1.4940612386948999E-3"/>
    <n v="1.7281273451957913E-3"/>
    <n v="9.5759859404965259E-2"/>
  </r>
  <r>
    <n v="8012"/>
    <n v="8440"/>
    <x v="8"/>
    <x v="0"/>
    <x v="84"/>
    <x v="5"/>
    <x v="4"/>
    <x v="1"/>
    <x v="0"/>
    <x v="0"/>
    <n v="8012"/>
    <n v="5508"/>
    <x v="0"/>
    <n v="1.2696708713497197E-3"/>
    <n v="5.0359510691088934E-4"/>
    <n v="7.8947562436009113E-3"/>
  </r>
  <r>
    <n v="8052"/>
    <n v="3844"/>
    <x v="2"/>
    <x v="1"/>
    <x v="85"/>
    <x v="4"/>
    <x v="3"/>
    <x v="4"/>
    <x v="1"/>
    <x v="0"/>
    <n v="8052"/>
    <n v="10148"/>
    <x v="1"/>
    <n v="1.7156385531028112E-3"/>
    <n v="5.3940753164438324E-4"/>
    <n v="2.7267208623176194E-3"/>
  </r>
  <r>
    <n v="8052"/>
    <n v="9120"/>
    <x v="2"/>
    <x v="1"/>
    <x v="86"/>
    <x v="4"/>
    <x v="3"/>
    <x v="4"/>
    <x v="1"/>
    <x v="0"/>
    <n v="8052"/>
    <n v="10148"/>
    <x v="1"/>
    <n v="1.7156385531028112E-3"/>
    <n v="5.3940753164438324E-4"/>
    <n v="2.7267208623176194E-3"/>
  </r>
  <r>
    <n v="8144"/>
    <n v="10172"/>
    <x v="8"/>
    <x v="0"/>
    <x v="87"/>
    <x v="1"/>
    <x v="4"/>
    <x v="5"/>
    <x v="0"/>
    <x v="0"/>
    <n v="11204"/>
    <n v="8732"/>
    <x v="0"/>
    <n v="1.4940612386948999E-3"/>
    <n v="1.7328081210015228E-3"/>
    <n v="9.621244587017283E-2"/>
  </r>
  <r>
    <n v="8144"/>
    <n v="10172"/>
    <x v="8"/>
    <x v="0"/>
    <x v="87"/>
    <x v="1"/>
    <x v="4"/>
    <x v="5"/>
    <x v="0"/>
    <x v="0"/>
    <n v="8144"/>
    <n v="552"/>
    <x v="0"/>
    <n v="1.1660179634323006E-3"/>
    <n v="5.3083759354688161E-4"/>
    <n v="7.6513515927225974E-3"/>
  </r>
  <r>
    <n v="8144"/>
    <n v="10172"/>
    <x v="8"/>
    <x v="0"/>
    <x v="87"/>
    <x v="1"/>
    <x v="4"/>
    <x v="5"/>
    <x v="0"/>
    <x v="1"/>
    <n v="4544"/>
    <n v="7156"/>
    <x v="2"/>
    <n v="1.9109921880287701E-3"/>
    <n v="5.7757170819445871E-3"/>
    <n v="0.38722804994346749"/>
  </r>
  <r>
    <n v="8304"/>
    <n v="2464"/>
    <x v="11"/>
    <x v="1"/>
    <x v="88"/>
    <x v="1"/>
    <x v="1"/>
    <x v="9"/>
    <x v="0"/>
    <x v="1"/>
    <n v="3596"/>
    <n v="7300"/>
    <x v="0"/>
    <n v="1.4940612386948999E-3"/>
    <n v="1.3006031513214111E-3"/>
    <n v="6.0424149273674212E-2"/>
  </r>
  <r>
    <n v="8396"/>
    <n v="5204"/>
    <x v="4"/>
    <x v="1"/>
    <x v="89"/>
    <x v="1"/>
    <x v="1"/>
    <x v="8"/>
    <x v="0"/>
    <x v="1"/>
    <n v="6104"/>
    <n v="2940"/>
    <x v="0"/>
    <n v="1.2706255912780762E-3"/>
    <n v="1.9161942150931336E-3"/>
    <n v="6.3704914415566374E-2"/>
  </r>
  <r>
    <n v="8820"/>
    <n v="9980"/>
    <x v="7"/>
    <x v="1"/>
    <x v="90"/>
    <x v="3"/>
    <x v="1"/>
    <x v="9"/>
    <x v="0"/>
    <x v="1"/>
    <n v="6324"/>
    <n v="11364"/>
    <x v="0"/>
    <n v="1.8451517820358278E-3"/>
    <n v="1.3236743164565759E-3"/>
    <n v="3.5643691049954115E-2"/>
  </r>
  <r>
    <n v="8820"/>
    <n v="9980"/>
    <x v="7"/>
    <x v="1"/>
    <x v="90"/>
    <x v="3"/>
    <x v="1"/>
    <x v="9"/>
    <x v="0"/>
    <x v="1"/>
    <n v="9640"/>
    <n v="10696"/>
    <x v="2"/>
    <n v="1.9151763617992401E-3"/>
    <n v="1.9019806951246152E-3"/>
    <n v="2.6046009855644741E-2"/>
  </r>
  <r>
    <n v="8820"/>
    <n v="9980"/>
    <x v="7"/>
    <x v="1"/>
    <x v="90"/>
    <x v="3"/>
    <x v="1"/>
    <x v="9"/>
    <x v="0"/>
    <x v="0"/>
    <n v="8876"/>
    <n v="4740"/>
    <x v="1"/>
    <n v="1.2528616189956664E-3"/>
    <n v="8.077937464046846E-4"/>
    <n v="3.4857430497343952E-2"/>
  </r>
  <r>
    <n v="8820"/>
    <n v="9980"/>
    <x v="7"/>
    <x v="1"/>
    <x v="90"/>
    <x v="3"/>
    <x v="1"/>
    <x v="9"/>
    <x v="0"/>
    <x v="1"/>
    <n v="8560"/>
    <n v="9560"/>
    <x v="0"/>
    <n v="1.7028637230396271E-3"/>
    <n v="1.0746938961920291E-3"/>
    <n v="2.3396010659063486E-2"/>
  </r>
  <r>
    <n v="8820"/>
    <n v="9980"/>
    <x v="7"/>
    <x v="1"/>
    <x v="90"/>
    <x v="3"/>
    <x v="1"/>
    <x v="9"/>
    <x v="0"/>
    <x v="1"/>
    <n v="12156"/>
    <n v="8860"/>
    <x v="2"/>
    <n v="1.808226704597473E-3"/>
    <n v="2.9553333027067157E-3"/>
    <n v="0.11068322894942258"/>
  </r>
  <r>
    <n v="8820"/>
    <n v="9980"/>
    <x v="7"/>
    <x v="1"/>
    <x v="90"/>
    <x v="3"/>
    <x v="1"/>
    <x v="9"/>
    <x v="0"/>
    <x v="1"/>
    <n v="8172"/>
    <n v="10288"/>
    <x v="0"/>
    <n v="1.2706255912780762E-3"/>
    <n v="9.6016053059536023E-4"/>
    <n v="1.7205882936833485E-2"/>
  </r>
  <r>
    <n v="8820"/>
    <n v="9980"/>
    <x v="7"/>
    <x v="1"/>
    <x v="90"/>
    <x v="3"/>
    <x v="1"/>
    <x v="9"/>
    <x v="0"/>
    <x v="1"/>
    <n v="3592"/>
    <n v="10404"/>
    <x v="2"/>
    <n v="2.0817210674285891E-3"/>
    <n v="1.92528211630734E-3"/>
    <n v="2.6207649667638853E-2"/>
  </r>
  <r>
    <n v="8820"/>
    <n v="9980"/>
    <x v="7"/>
    <x v="1"/>
    <x v="90"/>
    <x v="3"/>
    <x v="1"/>
    <x v="9"/>
    <x v="0"/>
    <x v="0"/>
    <n v="8220"/>
    <n v="10916"/>
    <x v="1"/>
    <n v="1.2981245517730714E-3"/>
    <n v="4.2192554341355257E-4"/>
    <n v="9.2099686189382069E-3"/>
  </r>
  <r>
    <n v="8820"/>
    <n v="9980"/>
    <x v="7"/>
    <x v="1"/>
    <x v="90"/>
    <x v="3"/>
    <x v="1"/>
    <x v="9"/>
    <x v="0"/>
    <x v="0"/>
    <n v="10920"/>
    <n v="11816"/>
    <x v="1"/>
    <n v="1.3009989261627197E-3"/>
    <n v="6.9345018794479977E-4"/>
    <n v="4.271188395045155E-2"/>
  </r>
  <r>
    <n v="8896"/>
    <n v="3088"/>
    <x v="2"/>
    <x v="1"/>
    <x v="91"/>
    <x v="2"/>
    <x v="5"/>
    <x v="4"/>
    <x v="1"/>
    <x v="0"/>
    <n v="8896"/>
    <n v="9900"/>
    <x v="1"/>
    <n v="1.7156385531028112E-3"/>
    <n v="5.5393187055687932E-4"/>
    <n v="2.7408566146298508E-3"/>
  </r>
  <r>
    <n v="8912"/>
    <n v="9360"/>
    <x v="7"/>
    <x v="0"/>
    <x v="92"/>
    <x v="1"/>
    <x v="1"/>
    <x v="1"/>
    <x v="0"/>
    <x v="1"/>
    <n v="11336"/>
    <n v="9464"/>
    <x v="2"/>
    <n v="2.0817210674285891E-3"/>
    <n v="9.6526491997397392E-4"/>
    <n v="9.9849341449871759E-3"/>
  </r>
  <r>
    <n v="8912"/>
    <n v="9360"/>
    <x v="7"/>
    <x v="0"/>
    <x v="92"/>
    <x v="1"/>
    <x v="1"/>
    <x v="1"/>
    <x v="0"/>
    <x v="0"/>
    <n v="4140"/>
    <n v="3924"/>
    <x v="0"/>
    <n v="1.2706255912780762E-3"/>
    <n v="4.2091127053964857E-4"/>
    <n v="7.5005847653090464E-3"/>
  </r>
  <r>
    <n v="8912"/>
    <n v="9360"/>
    <x v="7"/>
    <x v="0"/>
    <x v="92"/>
    <x v="1"/>
    <x v="1"/>
    <x v="1"/>
    <x v="0"/>
    <x v="0"/>
    <n v="7468"/>
    <n v="10584"/>
    <x v="0"/>
    <n v="1.2706255912780762E-3"/>
    <n v="4.2091127053964857E-4"/>
    <n v="7.5005847653090464E-3"/>
  </r>
  <r>
    <n v="8912"/>
    <n v="9360"/>
    <x v="7"/>
    <x v="0"/>
    <x v="92"/>
    <x v="1"/>
    <x v="1"/>
    <x v="1"/>
    <x v="0"/>
    <x v="0"/>
    <n v="11248"/>
    <n v="5744"/>
    <x v="0"/>
    <n v="1.2706255912780762E-3"/>
    <n v="4.2091127053964857E-4"/>
    <n v="7.5005847653090464E-3"/>
  </r>
  <r>
    <n v="8912"/>
    <n v="9360"/>
    <x v="7"/>
    <x v="0"/>
    <x v="92"/>
    <x v="1"/>
    <x v="1"/>
    <x v="1"/>
    <x v="0"/>
    <x v="0"/>
    <n v="9760"/>
    <n v="10120"/>
    <x v="0"/>
    <n v="1.7028637230396271E-3"/>
    <n v="5.9748330991595639E-4"/>
    <n v="1.2232255707191397E-2"/>
  </r>
  <r>
    <n v="8912"/>
    <n v="9360"/>
    <x v="7"/>
    <x v="0"/>
    <x v="92"/>
    <x v="1"/>
    <x v="1"/>
    <x v="1"/>
    <x v="0"/>
    <x v="1"/>
    <n v="1772"/>
    <n v="8232"/>
    <x v="2"/>
    <n v="1.808226704597473E-3"/>
    <n v="4.5523031720385385E-3"/>
    <n v="0.24815017994971325"/>
  </r>
  <r>
    <n v="8912"/>
    <n v="9360"/>
    <x v="7"/>
    <x v="0"/>
    <x v="92"/>
    <x v="1"/>
    <x v="1"/>
    <x v="1"/>
    <x v="0"/>
    <x v="1"/>
    <n v="6464"/>
    <n v="10608"/>
    <x v="1"/>
    <n v="1.2528616189956664E-3"/>
    <n v="8.7998927940300103E-4"/>
    <n v="4.7019709219583004E-2"/>
  </r>
  <r>
    <n v="8912"/>
    <n v="9360"/>
    <x v="7"/>
    <x v="0"/>
    <x v="92"/>
    <x v="1"/>
    <x v="1"/>
    <x v="1"/>
    <x v="0"/>
    <x v="1"/>
    <n v="11380"/>
    <n v="1772"/>
    <x v="1"/>
    <n v="1.2274467945098877E-3"/>
    <n v="1.3313669732163073E-3"/>
    <n v="0.17656821874453407"/>
  </r>
  <r>
    <n v="8912"/>
    <n v="9360"/>
    <x v="7"/>
    <x v="0"/>
    <x v="92"/>
    <x v="1"/>
    <x v="1"/>
    <x v="1"/>
    <x v="0"/>
    <x v="1"/>
    <n v="10336"/>
    <n v="2372"/>
    <x v="2"/>
    <n v="1.9151763617992401E-3"/>
    <n v="9.2823923934867963E-4"/>
    <n v="9.5645112245106249E-3"/>
  </r>
  <r>
    <n v="8912"/>
    <n v="9360"/>
    <x v="7"/>
    <x v="0"/>
    <x v="92"/>
    <x v="1"/>
    <x v="1"/>
    <x v="1"/>
    <x v="0"/>
    <x v="1"/>
    <n v="8724"/>
    <n v="10748"/>
    <x v="1"/>
    <n v="1.3009989261627197E-3"/>
    <n v="5.4975251094647006E-4"/>
    <n v="3.4733689466127433E-2"/>
  </r>
  <r>
    <n v="8932"/>
    <n v="1604"/>
    <x v="2"/>
    <x v="1"/>
    <x v="93"/>
    <x v="2"/>
    <x v="3"/>
    <x v="4"/>
    <x v="1"/>
    <x v="0"/>
    <n v="8932"/>
    <n v="3400"/>
    <x v="1"/>
    <n v="1.7156385531028112E-3"/>
    <n v="5.460864848306898E-4"/>
    <n v="2.7393519240135398E-3"/>
  </r>
  <r>
    <n v="8992"/>
    <n v="6776"/>
    <x v="8"/>
    <x v="0"/>
    <x v="94"/>
    <x v="3"/>
    <x v="4"/>
    <x v="1"/>
    <x v="0"/>
    <x v="0"/>
    <n v="8992"/>
    <n v="10828"/>
    <x v="0"/>
    <n v="1.2696708713497197E-3"/>
    <n v="5.7037662750998868E-4"/>
    <n v="1.0189539854199573E-2"/>
  </r>
  <r>
    <n v="8992"/>
    <n v="6776"/>
    <x v="8"/>
    <x v="0"/>
    <x v="94"/>
    <x v="3"/>
    <x v="4"/>
    <x v="1"/>
    <x v="0"/>
    <x v="0"/>
    <n v="8932"/>
    <n v="7700"/>
    <x v="0"/>
    <n v="1.4940612386948999E-3"/>
    <n v="1.7278530321068527E-3"/>
    <n v="9.5737512975351713E-2"/>
  </r>
  <r>
    <n v="8992"/>
    <n v="6776"/>
    <x v="8"/>
    <x v="0"/>
    <x v="94"/>
    <x v="3"/>
    <x v="4"/>
    <x v="1"/>
    <x v="0"/>
    <x v="1"/>
    <n v="10712"/>
    <n v="8664"/>
    <x v="2"/>
    <n v="1.9109921880287701E-3"/>
    <n v="5.7618018671952561E-3"/>
    <n v="0.38501589635821087"/>
  </r>
  <r>
    <n v="9048"/>
    <n v="8680"/>
    <x v="2"/>
    <x v="1"/>
    <x v="95"/>
    <x v="4"/>
    <x v="5"/>
    <x v="10"/>
    <x v="1"/>
    <x v="0"/>
    <n v="9048"/>
    <n v="5076"/>
    <x v="1"/>
    <n v="1.6382796367009481E-3"/>
    <n v="5.2624937840933968E-4"/>
    <n v="2.5045186660632374E-3"/>
  </r>
  <r>
    <n v="9312"/>
    <n v="7432"/>
    <x v="2"/>
    <x v="1"/>
    <x v="96"/>
    <x v="2"/>
    <x v="5"/>
    <x v="6"/>
    <x v="1"/>
    <x v="0"/>
    <n v="9312"/>
    <n v="10084"/>
    <x v="1"/>
    <n v="1.9269707898298899E-3"/>
    <n v="6.3158793252639906E-4"/>
    <n v="3.3380647395034203E-3"/>
  </r>
  <r>
    <n v="9312"/>
    <n v="10080"/>
    <x v="2"/>
    <x v="1"/>
    <x v="97"/>
    <x v="2"/>
    <x v="5"/>
    <x v="6"/>
    <x v="1"/>
    <x v="0"/>
    <n v="9312"/>
    <n v="10084"/>
    <x v="1"/>
    <n v="1.9269707898298899E-3"/>
    <n v="6.3158793252639906E-4"/>
    <n v="3.3380647395034203E-3"/>
  </r>
  <r>
    <n v="9368"/>
    <n v="3584"/>
    <x v="2"/>
    <x v="1"/>
    <x v="98"/>
    <x v="4"/>
    <x v="5"/>
    <x v="6"/>
    <x v="1"/>
    <x v="0"/>
    <n v="9368"/>
    <n v="9744"/>
    <x v="1"/>
    <n v="1.9269707898298899E-3"/>
    <n v="6.2104985737802603E-4"/>
    <n v="3.3087662542233879E-3"/>
  </r>
  <r>
    <n v="9372"/>
    <n v="8740"/>
    <x v="2"/>
    <x v="1"/>
    <x v="99"/>
    <x v="4"/>
    <x v="3"/>
    <x v="2"/>
    <x v="1"/>
    <x v="0"/>
    <n v="9372"/>
    <n v="852"/>
    <x v="1"/>
    <n v="1.7042870654000177E-3"/>
    <n v="5.3902086198638762E-4"/>
    <n v="2.7150907390394857E-3"/>
  </r>
  <r>
    <n v="9488"/>
    <n v="2796"/>
    <x v="2"/>
    <x v="1"/>
    <x v="100"/>
    <x v="2"/>
    <x v="3"/>
    <x v="10"/>
    <x v="1"/>
    <x v="0"/>
    <n v="9488"/>
    <n v="1040"/>
    <x v="1"/>
    <n v="1.6382796367009481E-3"/>
    <n v="5.4572651137382291E-4"/>
    <n v="2.6922531523068927E-3"/>
  </r>
  <r>
    <n v="9592"/>
    <n v="9168"/>
    <x v="6"/>
    <x v="0"/>
    <x v="101"/>
    <x v="1"/>
    <x v="1"/>
    <x v="1"/>
    <x v="0"/>
    <x v="0"/>
    <n v="9592"/>
    <n v="8784"/>
    <x v="0"/>
    <n v="1.2696708713497197E-3"/>
    <n v="4.2064794081139598E-4"/>
    <n v="7.487134945599141E-3"/>
  </r>
  <r>
    <n v="9700"/>
    <n v="3776"/>
    <x v="20"/>
    <x v="0"/>
    <x v="102"/>
    <x v="1"/>
    <x v="1"/>
    <x v="1"/>
    <x v="0"/>
    <x v="0"/>
    <n v="9356"/>
    <n v="5732"/>
    <x v="0"/>
    <n v="1.4940612386948999E-3"/>
    <n v="1.4403605658705064E-3"/>
    <n v="7.0143119011622512E-2"/>
  </r>
  <r>
    <n v="9716"/>
    <n v="2700"/>
    <x v="4"/>
    <x v="0"/>
    <x v="103"/>
    <x v="3"/>
    <x v="1"/>
    <x v="1"/>
    <x v="0"/>
    <x v="0"/>
    <n v="8032"/>
    <n v="9944"/>
    <x v="0"/>
    <n v="1.2706255912780762E-3"/>
    <n v="4.3868714357157319E-4"/>
    <n v="7.9172703572184169E-3"/>
  </r>
  <r>
    <n v="9716"/>
    <n v="2940"/>
    <x v="4"/>
    <x v="0"/>
    <x v="104"/>
    <x v="3"/>
    <x v="1"/>
    <x v="1"/>
    <x v="0"/>
    <x v="0"/>
    <n v="8032"/>
    <n v="9944"/>
    <x v="0"/>
    <n v="1.2706255912780762E-3"/>
    <n v="4.3868714357157319E-4"/>
    <n v="7.9172703572184169E-3"/>
  </r>
  <r>
    <n v="9780"/>
    <n v="9204"/>
    <x v="9"/>
    <x v="0"/>
    <x v="105"/>
    <x v="1"/>
    <x v="1"/>
    <x v="1"/>
    <x v="0"/>
    <x v="1"/>
    <n v="9780"/>
    <n v="11144"/>
    <x v="9"/>
    <n v="-2.1069237736421765E+34"/>
    <n v="6.2816894559638897E-4"/>
    <n v="1.1888789780307728E-2"/>
  </r>
  <r>
    <n v="9816"/>
    <n v="7492"/>
    <x v="1"/>
    <x v="1"/>
    <x v="106"/>
    <x v="5"/>
    <x v="1"/>
    <x v="9"/>
    <x v="0"/>
    <x v="1"/>
    <n v="3024"/>
    <n v="9368"/>
    <x v="0"/>
    <n v="1.4947015047073371E-3"/>
    <n v="2.0642648140589397E-3"/>
    <n v="5.3456667333402048E-2"/>
  </r>
  <r>
    <n v="9832"/>
    <n v="9996"/>
    <x v="7"/>
    <x v="1"/>
    <x v="107"/>
    <x v="1"/>
    <x v="1"/>
    <x v="8"/>
    <x v="0"/>
    <x v="1"/>
    <n v="11960"/>
    <n v="4124"/>
    <x v="0"/>
    <n v="1.7028637230396271E-3"/>
    <n v="1.9937756355368893E-3"/>
    <n v="6.6209392592273472E-2"/>
  </r>
  <r>
    <n v="9832"/>
    <n v="9996"/>
    <x v="7"/>
    <x v="1"/>
    <x v="107"/>
    <x v="1"/>
    <x v="1"/>
    <x v="8"/>
    <x v="0"/>
    <x v="1"/>
    <n v="5260"/>
    <n v="8200"/>
    <x v="0"/>
    <n v="1.2706255912780762E-3"/>
    <n v="1.8778212628260955E-3"/>
    <n v="6.1380680345340992E-2"/>
  </r>
  <r>
    <n v="9832"/>
    <n v="9996"/>
    <x v="7"/>
    <x v="1"/>
    <x v="107"/>
    <x v="1"/>
    <x v="1"/>
    <x v="8"/>
    <x v="0"/>
    <x v="1"/>
    <n v="7496"/>
    <n v="11980"/>
    <x v="0"/>
    <n v="1.8451517820358278E-3"/>
    <n v="2.0430120283192257E-3"/>
    <n v="7.1016013268607847E-2"/>
  </r>
  <r>
    <n v="9832"/>
    <n v="9996"/>
    <x v="7"/>
    <x v="1"/>
    <x v="107"/>
    <x v="1"/>
    <x v="1"/>
    <x v="8"/>
    <x v="0"/>
    <x v="1"/>
    <n v="10784"/>
    <n v="1808"/>
    <x v="2"/>
    <n v="1.9151763617992401E-3"/>
    <n v="2.3773040942876422E-3"/>
    <n v="4.8752736709021201E-2"/>
  </r>
  <r>
    <n v="9832"/>
    <n v="9996"/>
    <x v="7"/>
    <x v="1"/>
    <x v="107"/>
    <x v="1"/>
    <x v="1"/>
    <x v="8"/>
    <x v="0"/>
    <x v="0"/>
    <n v="11716"/>
    <n v="11240"/>
    <x v="1"/>
    <n v="1.2528616189956664E-3"/>
    <n v="6.9982536490982713E-4"/>
    <n v="3.1484898030905435E-2"/>
  </r>
  <r>
    <n v="9832"/>
    <n v="9996"/>
    <x v="7"/>
    <x v="1"/>
    <x v="107"/>
    <x v="1"/>
    <x v="1"/>
    <x v="8"/>
    <x v="0"/>
    <x v="0"/>
    <n v="8524"/>
    <n v="10032"/>
    <x v="1"/>
    <n v="1.3009989261627197E-3"/>
    <n v="1.0963292266573945E-3"/>
    <n v="9.7446574564187663E-2"/>
  </r>
  <r>
    <n v="9832"/>
    <n v="9996"/>
    <x v="7"/>
    <x v="1"/>
    <x v="107"/>
    <x v="1"/>
    <x v="1"/>
    <x v="8"/>
    <x v="0"/>
    <x v="0"/>
    <n v="9524"/>
    <n v="2588"/>
    <x v="1"/>
    <n v="1.2274467945098877E-3"/>
    <n v="9.5554986479562095E-4"/>
    <n v="8.9143521321966401E-2"/>
  </r>
  <r>
    <n v="9832"/>
    <n v="9996"/>
    <x v="7"/>
    <x v="1"/>
    <x v="107"/>
    <x v="1"/>
    <x v="1"/>
    <x v="8"/>
    <x v="0"/>
    <x v="0"/>
    <n v="11780"/>
    <n v="12048"/>
    <x v="1"/>
    <n v="1.505911946296692E-3"/>
    <n v="4.9895936443926131E-4"/>
    <n v="2.4606122016135271E-3"/>
  </r>
  <r>
    <n v="9832"/>
    <n v="9996"/>
    <x v="7"/>
    <x v="1"/>
    <x v="107"/>
    <x v="1"/>
    <x v="1"/>
    <x v="8"/>
    <x v="0"/>
    <x v="1"/>
    <n v="2856"/>
    <n v="10552"/>
    <x v="2"/>
    <n v="1.808226704597473E-3"/>
    <n v="2.6618975919909717E-3"/>
    <n v="0.11461636450771222"/>
  </r>
  <r>
    <n v="9832"/>
    <n v="9996"/>
    <x v="7"/>
    <x v="1"/>
    <x v="107"/>
    <x v="1"/>
    <x v="1"/>
    <x v="8"/>
    <x v="0"/>
    <x v="1"/>
    <n v="10228"/>
    <n v="4288"/>
    <x v="2"/>
    <n v="2.0817210674285891E-3"/>
    <n v="2.3881657187417036E-3"/>
    <n v="4.8940286193866638E-2"/>
  </r>
  <r>
    <n v="9892"/>
    <n v="3588"/>
    <x v="21"/>
    <x v="3"/>
    <x v="108"/>
    <x v="0"/>
    <x v="0"/>
    <x v="0"/>
    <x v="0"/>
    <x v="1"/>
    <n v="9152"/>
    <n v="6196"/>
    <x v="10"/>
    <n v="1.6002446413040164E-3"/>
    <n v="3.0303163961930709E-3"/>
    <n v="0.5716748032475536"/>
  </r>
  <r>
    <n v="9892"/>
    <n v="3588"/>
    <x v="21"/>
    <x v="3"/>
    <x v="108"/>
    <x v="0"/>
    <x v="0"/>
    <x v="0"/>
    <x v="0"/>
    <x v="0"/>
    <n v="7028"/>
    <n v="7868"/>
    <x v="7"/>
    <n v="1.6461750768846082E-3"/>
    <n v="6.2531175174015746E-4"/>
    <n v="3.1500829659453469E-3"/>
  </r>
  <r>
    <n v="9892"/>
    <n v="3588"/>
    <x v="21"/>
    <x v="3"/>
    <x v="108"/>
    <x v="0"/>
    <x v="0"/>
    <x v="0"/>
    <x v="0"/>
    <x v="1"/>
    <n v="7352"/>
    <n v="3588"/>
    <x v="11"/>
    <n v="1.4004492759704592E-3"/>
    <n v="1.6861464640106818E-3"/>
    <n v="0.38008249494308782"/>
  </r>
  <r>
    <n v="9892"/>
    <n v="3588"/>
    <x v="21"/>
    <x v="3"/>
    <x v="108"/>
    <x v="0"/>
    <x v="0"/>
    <x v="0"/>
    <x v="0"/>
    <x v="1"/>
    <n v="7996"/>
    <n v="10396"/>
    <x v="10"/>
    <n v="1.6002446413040164E-3"/>
    <n v="3.0303163961930709E-3"/>
    <n v="0.5716748032475536"/>
  </r>
  <r>
    <n v="9892"/>
    <n v="3588"/>
    <x v="21"/>
    <x v="3"/>
    <x v="108"/>
    <x v="0"/>
    <x v="0"/>
    <x v="0"/>
    <x v="0"/>
    <x v="1"/>
    <n v="10468"/>
    <n v="9516"/>
    <x v="11"/>
    <n v="1.4004492759704592E-3"/>
    <n v="1.6861464640106818E-3"/>
    <n v="0.38008249494308782"/>
  </r>
  <r>
    <n v="9948"/>
    <n v="3836"/>
    <x v="1"/>
    <x v="1"/>
    <x v="109"/>
    <x v="3"/>
    <x v="1"/>
    <x v="9"/>
    <x v="0"/>
    <x v="1"/>
    <n v="8072"/>
    <n v="1752"/>
    <x v="0"/>
    <n v="1.4947015047073371E-3"/>
    <n v="2.2078139914406673E-3"/>
    <n v="6.0113997160405955E-2"/>
  </r>
  <r>
    <n v="9996"/>
    <n v="10124"/>
    <x v="20"/>
    <x v="2"/>
    <x v="110"/>
    <x v="1"/>
    <x v="1"/>
    <x v="3"/>
    <x v="0"/>
    <x v="0"/>
    <n v="8368"/>
    <n v="7980"/>
    <x v="2"/>
    <n v="1.9109921880287701E-3"/>
    <n v="3.0573832066678212E-3"/>
    <n v="0.15389629300718452"/>
  </r>
  <r>
    <n v="9996"/>
    <n v="10124"/>
    <x v="20"/>
    <x v="2"/>
    <x v="110"/>
    <x v="1"/>
    <x v="1"/>
    <x v="3"/>
    <x v="0"/>
    <x v="0"/>
    <n v="6960"/>
    <n v="2724"/>
    <x v="2"/>
    <n v="1.9109921880287701E-3"/>
    <n v="3.0573832066678212E-3"/>
    <n v="0.15389629300718452"/>
  </r>
  <r>
    <n v="10008"/>
    <n v="8860"/>
    <x v="1"/>
    <x v="2"/>
    <x v="111"/>
    <x v="3"/>
    <x v="1"/>
    <x v="7"/>
    <x v="0"/>
    <x v="1"/>
    <n v="6468"/>
    <n v="9420"/>
    <x v="0"/>
    <n v="1.4947015047073371E-3"/>
    <n v="2.7904836667908559E-3"/>
    <n v="8.8395220342460168E-2"/>
  </r>
  <r>
    <n v="10152"/>
    <n v="10724"/>
    <x v="9"/>
    <x v="0"/>
    <x v="112"/>
    <x v="1"/>
    <x v="1"/>
    <x v="1"/>
    <x v="0"/>
    <x v="0"/>
    <n v="10152"/>
    <n v="164"/>
    <x v="0"/>
    <n v="1.2696708713497197E-3"/>
    <n v="6.2616839666429166E-4"/>
    <n v="1.1845215615348589E-2"/>
  </r>
  <r>
    <n v="10220"/>
    <n v="7280"/>
    <x v="8"/>
    <x v="1"/>
    <x v="113"/>
    <x v="1"/>
    <x v="4"/>
    <x v="8"/>
    <x v="0"/>
    <x v="1"/>
    <n v="2564"/>
    <n v="1492"/>
    <x v="0"/>
    <n v="1.4940612386948999E-3"/>
    <n v="1.7314843051341358E-3"/>
    <n v="9.5974032736547379E-2"/>
  </r>
  <r>
    <n v="10220"/>
    <n v="7280"/>
    <x v="8"/>
    <x v="1"/>
    <x v="113"/>
    <x v="1"/>
    <x v="4"/>
    <x v="8"/>
    <x v="0"/>
    <x v="1"/>
    <n v="8032"/>
    <n v="4880"/>
    <x v="2"/>
    <n v="1.9109921880287701E-3"/>
    <n v="5.7634304570888285E-3"/>
    <n v="0.38683567137938579"/>
  </r>
  <r>
    <n v="10220"/>
    <n v="7280"/>
    <x v="8"/>
    <x v="1"/>
    <x v="113"/>
    <x v="1"/>
    <x v="4"/>
    <x v="8"/>
    <x v="0"/>
    <x v="0"/>
    <n v="10220"/>
    <n v="992"/>
    <x v="1"/>
    <n v="1.5125257083620208E-3"/>
    <n v="6.2392472888933982E-4"/>
    <n v="3.132895871110414E-3"/>
  </r>
  <r>
    <n v="10228"/>
    <n v="3672"/>
    <x v="8"/>
    <x v="2"/>
    <x v="114"/>
    <x v="1"/>
    <x v="4"/>
    <x v="3"/>
    <x v="0"/>
    <x v="0"/>
    <n v="900"/>
    <n v="11072"/>
    <x v="2"/>
    <n v="1.9109921880287701E-3"/>
    <n v="5.788995416124881E-3"/>
    <n v="0.38882503344213626"/>
  </r>
  <r>
    <n v="10228"/>
    <n v="3672"/>
    <x v="8"/>
    <x v="2"/>
    <x v="114"/>
    <x v="1"/>
    <x v="4"/>
    <x v="3"/>
    <x v="0"/>
    <x v="0"/>
    <n v="10228"/>
    <n v="9028"/>
    <x v="2"/>
    <n v="2.0835725339380775E-3"/>
    <n v="8.9256693802388255E-4"/>
    <n v="8.5736659697516707E-3"/>
  </r>
  <r>
    <n v="10228"/>
    <n v="3672"/>
    <x v="8"/>
    <x v="2"/>
    <x v="114"/>
    <x v="1"/>
    <x v="4"/>
    <x v="3"/>
    <x v="0"/>
    <x v="1"/>
    <n v="8524"/>
    <n v="2832"/>
    <x v="0"/>
    <n v="1.4940612386948999E-3"/>
    <n v="1.7371421360837822E-3"/>
    <n v="9.6432443526093564E-2"/>
  </r>
  <r>
    <n v="10260"/>
    <n v="7416"/>
    <x v="8"/>
    <x v="0"/>
    <x v="115"/>
    <x v="1"/>
    <x v="4"/>
    <x v="1"/>
    <x v="0"/>
    <x v="0"/>
    <n v="10260"/>
    <n v="32"/>
    <x v="0"/>
    <n v="1.2696708713497197E-3"/>
    <n v="5.9336756877811188E-4"/>
    <n v="1.0382621061225122E-2"/>
  </r>
  <r>
    <n v="10260"/>
    <n v="7416"/>
    <x v="8"/>
    <x v="0"/>
    <x v="115"/>
    <x v="1"/>
    <x v="4"/>
    <x v="1"/>
    <x v="0"/>
    <x v="0"/>
    <n v="5596"/>
    <n v="6592"/>
    <x v="0"/>
    <n v="1.4940612386948999E-3"/>
    <n v="1.726650895334739E-3"/>
    <n v="9.5657630921031966E-2"/>
  </r>
  <r>
    <n v="10260"/>
    <n v="7416"/>
    <x v="8"/>
    <x v="0"/>
    <x v="115"/>
    <x v="1"/>
    <x v="4"/>
    <x v="1"/>
    <x v="0"/>
    <x v="1"/>
    <n v="7400"/>
    <n v="5924"/>
    <x v="2"/>
    <n v="1.9109921880287701E-3"/>
    <n v="5.7581990792606418E-3"/>
    <n v="0.38412033370769694"/>
  </r>
  <r>
    <n v="10260"/>
    <n v="7416"/>
    <x v="8"/>
    <x v="0"/>
    <x v="115"/>
    <x v="1"/>
    <x v="4"/>
    <x v="1"/>
    <x v="0"/>
    <x v="0"/>
    <n v="5316"/>
    <n v="9404"/>
    <x v="0"/>
    <n v="1.4940612386948999E-3"/>
    <n v="1.726650895334739E-3"/>
    <n v="9.5657630921031966E-2"/>
  </r>
  <r>
    <n v="10348"/>
    <n v="9668"/>
    <x v="8"/>
    <x v="1"/>
    <x v="116"/>
    <x v="1"/>
    <x v="4"/>
    <x v="9"/>
    <x v="0"/>
    <x v="0"/>
    <n v="10348"/>
    <n v="8252"/>
    <x v="1"/>
    <n v="1.2979016199216738E-3"/>
    <n v="5.238562868168145E-4"/>
    <n v="1.0745372264012974E-2"/>
  </r>
  <r>
    <n v="10348"/>
    <n v="9668"/>
    <x v="8"/>
    <x v="1"/>
    <x v="116"/>
    <x v="1"/>
    <x v="4"/>
    <x v="9"/>
    <x v="0"/>
    <x v="1"/>
    <n v="8672"/>
    <n v="11196"/>
    <x v="2"/>
    <n v="1.9109921880287701E-3"/>
    <n v="5.7158982226861773E-3"/>
    <n v="0.37920633921204999"/>
  </r>
  <r>
    <n v="10348"/>
    <n v="9668"/>
    <x v="8"/>
    <x v="1"/>
    <x v="116"/>
    <x v="1"/>
    <x v="4"/>
    <x v="9"/>
    <x v="0"/>
    <x v="1"/>
    <n v="7600"/>
    <n v="5560"/>
    <x v="0"/>
    <n v="1.4940612386948999E-3"/>
    <n v="1.7191981742395225E-3"/>
    <n v="9.5064815545786246E-2"/>
  </r>
  <r>
    <n v="10508"/>
    <n v="8592"/>
    <x v="22"/>
    <x v="2"/>
    <x v="117"/>
    <x v="7"/>
    <x v="6"/>
    <x v="11"/>
    <x v="1"/>
    <x v="0"/>
    <n v="10508"/>
    <n v="6712"/>
    <x v="2"/>
    <n v="2.3375559747219085E-3"/>
    <n v="7.4319969735347222E-4"/>
    <n v="6.3639134778771299E-3"/>
  </r>
  <r>
    <n v="10584"/>
    <n v="3488"/>
    <x v="7"/>
    <x v="0"/>
    <x v="118"/>
    <x v="1"/>
    <x v="1"/>
    <x v="5"/>
    <x v="0"/>
    <x v="0"/>
    <n v="10456"/>
    <n v="7836"/>
    <x v="0"/>
    <n v="1.1660134792327883E-3"/>
    <n v="3.8647369303035811E-4"/>
    <n v="5.7969179713357154E-3"/>
  </r>
  <r>
    <n v="10584"/>
    <n v="3488"/>
    <x v="7"/>
    <x v="0"/>
    <x v="118"/>
    <x v="1"/>
    <x v="1"/>
    <x v="5"/>
    <x v="0"/>
    <x v="0"/>
    <n v="10988"/>
    <n v="11632"/>
    <x v="0"/>
    <n v="1.7028637230396271E-3"/>
    <n v="1.4229183861165667E-3"/>
    <n v="3.5564837990036464E-2"/>
  </r>
  <r>
    <n v="10584"/>
    <n v="3488"/>
    <x v="7"/>
    <x v="0"/>
    <x v="118"/>
    <x v="1"/>
    <x v="1"/>
    <x v="5"/>
    <x v="0"/>
    <x v="1"/>
    <n v="1956"/>
    <n v="2664"/>
    <x v="2"/>
    <n v="1.808226704597473E-3"/>
    <n v="4.1164228186443804E-3"/>
    <n v="0.20598691654528248"/>
  </r>
  <r>
    <n v="10584"/>
    <n v="3488"/>
    <x v="7"/>
    <x v="0"/>
    <x v="118"/>
    <x v="1"/>
    <x v="1"/>
    <x v="5"/>
    <x v="0"/>
    <x v="1"/>
    <n v="9240"/>
    <n v="2384"/>
    <x v="2"/>
    <n v="1.9151763617992401E-3"/>
    <n v="2.52354745687355E-3"/>
    <n v="3.8000063958786461E-2"/>
  </r>
  <r>
    <n v="10584"/>
    <n v="3488"/>
    <x v="7"/>
    <x v="0"/>
    <x v="118"/>
    <x v="1"/>
    <x v="1"/>
    <x v="5"/>
    <x v="0"/>
    <x v="1"/>
    <n v="9304"/>
    <n v="11020"/>
    <x v="1"/>
    <n v="1.2528616189956664E-3"/>
    <n v="1.0803111557476941E-3"/>
    <n v="6.1096199200963021E-2"/>
  </r>
  <r>
    <n v="10584"/>
    <n v="3488"/>
    <x v="7"/>
    <x v="0"/>
    <x v="118"/>
    <x v="1"/>
    <x v="1"/>
    <x v="5"/>
    <x v="0"/>
    <x v="0"/>
    <n v="9580"/>
    <n v="7352"/>
    <x v="0"/>
    <n v="1.8451517820358278E-3"/>
    <n v="1.9922565501723881E-3"/>
    <n v="6.9472395067503384E-2"/>
  </r>
  <r>
    <n v="10584"/>
    <n v="3488"/>
    <x v="7"/>
    <x v="0"/>
    <x v="118"/>
    <x v="1"/>
    <x v="1"/>
    <x v="5"/>
    <x v="0"/>
    <x v="1"/>
    <n v="6924"/>
    <n v="11080"/>
    <x v="1"/>
    <n v="1.2274467945098877E-3"/>
    <n v="2.0054615409680586E-3"/>
    <n v="0.33795937960914091"/>
  </r>
  <r>
    <n v="10584"/>
    <n v="3488"/>
    <x v="7"/>
    <x v="0"/>
    <x v="118"/>
    <x v="1"/>
    <x v="1"/>
    <x v="5"/>
    <x v="0"/>
    <x v="1"/>
    <n v="1616"/>
    <n v="10656"/>
    <x v="1"/>
    <n v="1.3009989261627197E-3"/>
    <n v="6.7631927832449961E-4"/>
    <n v="4.2544107937753844E-2"/>
  </r>
  <r>
    <n v="10584"/>
    <n v="3488"/>
    <x v="7"/>
    <x v="0"/>
    <x v="118"/>
    <x v="1"/>
    <x v="1"/>
    <x v="5"/>
    <x v="0"/>
    <x v="0"/>
    <n v="6104"/>
    <n v="6108"/>
    <x v="0"/>
    <n v="1.2706255912780762E-3"/>
    <n v="1.2618882780185911E-3"/>
    <n v="2.6600404671046896E-2"/>
  </r>
  <r>
    <n v="10664"/>
    <n v="10232"/>
    <x v="8"/>
    <x v="2"/>
    <x v="119"/>
    <x v="3"/>
    <x v="4"/>
    <x v="7"/>
    <x v="0"/>
    <x v="0"/>
    <n v="10664"/>
    <n v="10228"/>
    <x v="2"/>
    <n v="2.3377571089276072E-3"/>
    <n v="1.2528734911969571E-3"/>
    <n v="1.2219350522855311E-2"/>
  </r>
  <r>
    <n v="10880"/>
    <n v="6364"/>
    <x v="8"/>
    <x v="2"/>
    <x v="120"/>
    <x v="3"/>
    <x v="4"/>
    <x v="3"/>
    <x v="0"/>
    <x v="1"/>
    <n v="5760"/>
    <n v="4216"/>
    <x v="0"/>
    <n v="1.4940612386948999E-3"/>
    <n v="1.7278899145389789E-3"/>
    <n v="9.5741349221799513E-2"/>
  </r>
  <r>
    <n v="10880"/>
    <n v="6364"/>
    <x v="8"/>
    <x v="2"/>
    <x v="120"/>
    <x v="3"/>
    <x v="4"/>
    <x v="3"/>
    <x v="0"/>
    <x v="0"/>
    <n v="10880"/>
    <n v="708"/>
    <x v="2"/>
    <n v="2.0835725339380775E-3"/>
    <n v="8.6130019275424785E-4"/>
    <n v="8.4217762655484293E-3"/>
  </r>
  <r>
    <n v="10880"/>
    <n v="6364"/>
    <x v="8"/>
    <x v="2"/>
    <x v="120"/>
    <x v="3"/>
    <x v="4"/>
    <x v="3"/>
    <x v="0"/>
    <x v="0"/>
    <n v="7628"/>
    <n v="4176"/>
    <x v="2"/>
    <n v="1.9109921880287701E-3"/>
    <n v="5.7619204178699472E-3"/>
    <n v="0.38503064932480813"/>
  </r>
  <r>
    <n v="11180"/>
    <n v="5092"/>
    <x v="7"/>
    <x v="2"/>
    <x v="121"/>
    <x v="3"/>
    <x v="1"/>
    <x v="7"/>
    <x v="0"/>
    <x v="0"/>
    <n v="11824"/>
    <n v="10180"/>
    <x v="2"/>
    <n v="1.808226704597473E-3"/>
    <n v="3.2657444634349494E-3"/>
    <n v="0.12082199118464501"/>
  </r>
  <r>
    <n v="11180"/>
    <n v="5092"/>
    <x v="7"/>
    <x v="2"/>
    <x v="121"/>
    <x v="3"/>
    <x v="1"/>
    <x v="7"/>
    <x v="0"/>
    <x v="1"/>
    <n v="2616"/>
    <n v="9136"/>
    <x v="1"/>
    <n v="1.2528616189956664E-3"/>
    <n v="6.8430952603458907E-4"/>
    <n v="3.2772239589109978E-2"/>
  </r>
  <r>
    <n v="11180"/>
    <n v="5092"/>
    <x v="7"/>
    <x v="2"/>
    <x v="121"/>
    <x v="3"/>
    <x v="1"/>
    <x v="7"/>
    <x v="0"/>
    <x v="1"/>
    <n v="11048"/>
    <n v="10268"/>
    <x v="0"/>
    <n v="1.8451517820358278E-3"/>
    <n v="1.1673618432399781E-3"/>
    <n v="3.0499959918135998E-2"/>
  </r>
  <r>
    <n v="11180"/>
    <n v="5092"/>
    <x v="7"/>
    <x v="2"/>
    <x v="121"/>
    <x v="3"/>
    <x v="1"/>
    <x v="7"/>
    <x v="0"/>
    <x v="0"/>
    <n v="6204"/>
    <n v="6640"/>
    <x v="2"/>
    <n v="2.3375559747219085E-3"/>
    <n v="7.7742890935352806E-4"/>
    <n v="6.8028249806984754E-3"/>
  </r>
  <r>
    <n v="11180"/>
    <n v="5092"/>
    <x v="7"/>
    <x v="2"/>
    <x v="121"/>
    <x v="3"/>
    <x v="1"/>
    <x v="7"/>
    <x v="0"/>
    <x v="1"/>
    <n v="10644"/>
    <n v="5176"/>
    <x v="0"/>
    <n v="1.7028637230396271E-3"/>
    <n v="7.596982305867069E-4"/>
    <n v="1.5873965941343382E-2"/>
  </r>
  <r>
    <n v="11180"/>
    <n v="5092"/>
    <x v="7"/>
    <x v="2"/>
    <x v="121"/>
    <x v="3"/>
    <x v="1"/>
    <x v="7"/>
    <x v="0"/>
    <x v="1"/>
    <n v="10896"/>
    <n v="10632"/>
    <x v="1"/>
    <n v="1.3009989261627197E-3"/>
    <n v="5.1852958498026268E-4"/>
    <n v="2.8582530031502858E-2"/>
  </r>
  <r>
    <n v="11180"/>
    <n v="5092"/>
    <x v="7"/>
    <x v="2"/>
    <x v="121"/>
    <x v="3"/>
    <x v="1"/>
    <x v="7"/>
    <x v="0"/>
    <x v="0"/>
    <n v="9248"/>
    <n v="6176"/>
    <x v="2"/>
    <n v="1.9151763617992401E-3"/>
    <n v="6.7894770949122538E-4"/>
    <n v="7.0988265750376884E-3"/>
  </r>
  <r>
    <n v="11180"/>
    <n v="5092"/>
    <x v="7"/>
    <x v="2"/>
    <x v="121"/>
    <x v="3"/>
    <x v="1"/>
    <x v="7"/>
    <x v="0"/>
    <x v="1"/>
    <n v="6308"/>
    <n v="9456"/>
    <x v="0"/>
    <n v="1.2706255912780762E-3"/>
    <n v="5.7429216798355394E-4"/>
    <n v="1.0000037357606214E-2"/>
  </r>
  <r>
    <n v="11180"/>
    <n v="5092"/>
    <x v="7"/>
    <x v="2"/>
    <x v="121"/>
    <x v="3"/>
    <x v="1"/>
    <x v="7"/>
    <x v="0"/>
    <x v="1"/>
    <n v="4456"/>
    <n v="11592"/>
    <x v="1"/>
    <n v="1.2274467945098877E-3"/>
    <n v="9.5743390434947101E-4"/>
    <n v="0.12960121318216231"/>
  </r>
  <r>
    <n v="11180"/>
    <n v="5092"/>
    <x v="7"/>
    <x v="2"/>
    <x v="121"/>
    <x v="3"/>
    <x v="1"/>
    <x v="7"/>
    <x v="0"/>
    <x v="0"/>
    <n v="11760"/>
    <n v="4372"/>
    <x v="2"/>
    <n v="2.0817210674285891E-3"/>
    <n v="7.1849148040952675E-4"/>
    <n v="7.3910614896790646E-3"/>
  </r>
  <r>
    <n v="11228"/>
    <n v="4376"/>
    <x v="7"/>
    <x v="2"/>
    <x v="122"/>
    <x v="5"/>
    <x v="1"/>
    <x v="3"/>
    <x v="0"/>
    <x v="1"/>
    <n v="6924"/>
    <n v="7900"/>
    <x v="0"/>
    <n v="1.2706255912780762E-3"/>
    <n v="1.8568032916716219E-3"/>
    <n v="6.0852583704786772E-2"/>
  </r>
  <r>
    <n v="11228"/>
    <n v="4376"/>
    <x v="7"/>
    <x v="2"/>
    <x v="122"/>
    <x v="5"/>
    <x v="1"/>
    <x v="3"/>
    <x v="0"/>
    <x v="1"/>
    <n v="10572"/>
    <n v="8304"/>
    <x v="1"/>
    <n v="1.2528616189956664E-3"/>
    <n v="8.1661791183217038E-4"/>
    <n v="5.1374593927985095E-2"/>
  </r>
  <r>
    <n v="11228"/>
    <n v="4376"/>
    <x v="7"/>
    <x v="2"/>
    <x v="122"/>
    <x v="5"/>
    <x v="1"/>
    <x v="3"/>
    <x v="0"/>
    <x v="1"/>
    <n v="10112"/>
    <n v="8492"/>
    <x v="1"/>
    <n v="1.2274467945098877E-3"/>
    <n v="2.124597240426687E-3"/>
    <n v="0.46009280138472292"/>
  </r>
  <r>
    <n v="11228"/>
    <n v="4376"/>
    <x v="7"/>
    <x v="2"/>
    <x v="122"/>
    <x v="5"/>
    <x v="1"/>
    <x v="3"/>
    <x v="0"/>
    <x v="1"/>
    <n v="240"/>
    <n v="10832"/>
    <x v="0"/>
    <n v="1.8451517820358278E-3"/>
    <n v="2.1785602248752967E-3"/>
    <n v="7.8465892759158579E-2"/>
  </r>
  <r>
    <n v="11228"/>
    <n v="4376"/>
    <x v="7"/>
    <x v="2"/>
    <x v="122"/>
    <x v="5"/>
    <x v="1"/>
    <x v="3"/>
    <x v="0"/>
    <x v="0"/>
    <n v="1508"/>
    <n v="11364"/>
    <x v="2"/>
    <n v="1.9151763617992401E-3"/>
    <n v="6.3728096396381345E-4"/>
    <n v="6.3404361647380544E-3"/>
  </r>
  <r>
    <n v="11228"/>
    <n v="4376"/>
    <x v="7"/>
    <x v="2"/>
    <x v="122"/>
    <x v="5"/>
    <x v="1"/>
    <x v="3"/>
    <x v="0"/>
    <x v="0"/>
    <n v="6436"/>
    <n v="10656"/>
    <x v="2"/>
    <n v="2.0817210674285891E-3"/>
    <n v="6.83856392942817E-4"/>
    <n v="6.5804008911586141E-3"/>
  </r>
  <r>
    <n v="11228"/>
    <n v="4376"/>
    <x v="7"/>
    <x v="2"/>
    <x v="122"/>
    <x v="5"/>
    <x v="1"/>
    <x v="3"/>
    <x v="0"/>
    <x v="0"/>
    <n v="5488"/>
    <n v="1216"/>
    <x v="2"/>
    <n v="2.0817210674285891E-3"/>
    <n v="6.83856392942817E-4"/>
    <n v="6.5804008911586141E-3"/>
  </r>
  <r>
    <n v="11228"/>
    <n v="4376"/>
    <x v="7"/>
    <x v="2"/>
    <x v="122"/>
    <x v="5"/>
    <x v="1"/>
    <x v="3"/>
    <x v="0"/>
    <x v="0"/>
    <n v="5172"/>
    <n v="7276"/>
    <x v="2"/>
    <n v="1.808226704597473E-3"/>
    <n v="3.834891916894032E-3"/>
    <n v="0.22370810765174901"/>
  </r>
  <r>
    <n v="11228"/>
    <n v="4376"/>
    <x v="7"/>
    <x v="2"/>
    <x v="122"/>
    <x v="5"/>
    <x v="1"/>
    <x v="3"/>
    <x v="0"/>
    <x v="1"/>
    <n v="8596"/>
    <n v="3976"/>
    <x v="1"/>
    <n v="1.3009989261627197E-3"/>
    <n v="6.5791449634884159E-4"/>
    <n v="4.3631285566328941E-2"/>
  </r>
  <r>
    <n v="11228"/>
    <n v="4376"/>
    <x v="7"/>
    <x v="2"/>
    <x v="122"/>
    <x v="5"/>
    <x v="1"/>
    <x v="3"/>
    <x v="0"/>
    <x v="1"/>
    <n v="11224"/>
    <n v="11052"/>
    <x v="0"/>
    <n v="1.7028637230396271E-3"/>
    <n v="2.181629926463606E-3"/>
    <n v="8.5660878650297062E-2"/>
  </r>
  <r>
    <n v="11408"/>
    <n v="908"/>
    <x v="7"/>
    <x v="2"/>
    <x v="123"/>
    <x v="1"/>
    <x v="1"/>
    <x v="3"/>
    <x v="0"/>
    <x v="1"/>
    <n v="2432"/>
    <n v="11672"/>
    <x v="0"/>
    <n v="1.2706255912780762E-3"/>
    <n v="7.1281151014967006E-4"/>
    <n v="1.2597825758940757E-2"/>
  </r>
  <r>
    <n v="11408"/>
    <n v="908"/>
    <x v="7"/>
    <x v="2"/>
    <x v="123"/>
    <x v="1"/>
    <x v="1"/>
    <x v="3"/>
    <x v="0"/>
    <x v="1"/>
    <n v="11452"/>
    <n v="4476"/>
    <x v="1"/>
    <n v="1.2274467945098877E-3"/>
    <n v="8.5073609591862357E-4"/>
    <n v="0.11376549446301902"/>
  </r>
  <r>
    <n v="11408"/>
    <n v="908"/>
    <x v="7"/>
    <x v="2"/>
    <x v="123"/>
    <x v="1"/>
    <x v="1"/>
    <x v="3"/>
    <x v="0"/>
    <x v="1"/>
    <n v="9832"/>
    <n v="10460"/>
    <x v="1"/>
    <n v="1.3009989261627197E-3"/>
    <n v="5.0423477130074614E-4"/>
    <n v="2.956441427868103E-2"/>
  </r>
  <r>
    <n v="11408"/>
    <n v="908"/>
    <x v="7"/>
    <x v="2"/>
    <x v="123"/>
    <x v="1"/>
    <x v="1"/>
    <x v="3"/>
    <x v="0"/>
    <x v="0"/>
    <n v="2092"/>
    <n v="3756"/>
    <x v="2"/>
    <n v="2.0817210674285891E-3"/>
    <n v="6.7883708851695251E-4"/>
    <n v="6.6562296039261153E-3"/>
  </r>
  <r>
    <n v="11408"/>
    <n v="908"/>
    <x v="7"/>
    <x v="2"/>
    <x v="123"/>
    <x v="1"/>
    <x v="1"/>
    <x v="3"/>
    <x v="0"/>
    <x v="1"/>
    <n v="9536"/>
    <n v="7944"/>
    <x v="0"/>
    <n v="1.7028637230396271E-3"/>
    <n v="8.3609547021300256E-4"/>
    <n v="1.8321881224062954E-2"/>
  </r>
  <r>
    <n v="11408"/>
    <n v="908"/>
    <x v="7"/>
    <x v="2"/>
    <x v="123"/>
    <x v="1"/>
    <x v="1"/>
    <x v="3"/>
    <x v="0"/>
    <x v="0"/>
    <n v="4320"/>
    <n v="6964"/>
    <x v="2"/>
    <n v="1.9151763617992401E-3"/>
    <n v="6.3037700157263471E-4"/>
    <n v="6.3766225312804226E-3"/>
  </r>
  <r>
    <n v="11408"/>
    <n v="908"/>
    <x v="7"/>
    <x v="2"/>
    <x v="123"/>
    <x v="1"/>
    <x v="1"/>
    <x v="3"/>
    <x v="0"/>
    <x v="0"/>
    <n v="4624"/>
    <n v="11224"/>
    <x v="2"/>
    <n v="2.0817210674285891E-3"/>
    <n v="6.7883708851695251E-4"/>
    <n v="6.6562296039261153E-3"/>
  </r>
  <r>
    <n v="11408"/>
    <n v="908"/>
    <x v="7"/>
    <x v="2"/>
    <x v="123"/>
    <x v="1"/>
    <x v="1"/>
    <x v="3"/>
    <x v="0"/>
    <x v="1"/>
    <n v="10552"/>
    <n v="1272"/>
    <x v="1"/>
    <n v="1.2528616189956664E-3"/>
    <n v="5.7930293683063083E-4"/>
    <n v="2.7930654293197955E-2"/>
  </r>
  <r>
    <n v="11408"/>
    <n v="908"/>
    <x v="7"/>
    <x v="2"/>
    <x v="123"/>
    <x v="1"/>
    <x v="1"/>
    <x v="3"/>
    <x v="0"/>
    <x v="0"/>
    <n v="10608"/>
    <n v="7700"/>
    <x v="2"/>
    <n v="1.808226704597473E-3"/>
    <n v="2.6068403569878247E-3"/>
    <n v="9.3556964770281345E-2"/>
  </r>
  <r>
    <n v="11808"/>
    <n v="3772"/>
    <x v="7"/>
    <x v="2"/>
    <x v="124"/>
    <x v="3"/>
    <x v="1"/>
    <x v="3"/>
    <x v="0"/>
    <x v="1"/>
    <n v="10540"/>
    <n v="4136"/>
    <x v="1"/>
    <n v="1.2274467945098877E-3"/>
    <n v="6.9863436608341158E-4"/>
    <n v="7.935006723518187E-2"/>
  </r>
  <r>
    <n v="11808"/>
    <n v="3772"/>
    <x v="7"/>
    <x v="2"/>
    <x v="124"/>
    <x v="3"/>
    <x v="1"/>
    <x v="3"/>
    <x v="0"/>
    <x v="1"/>
    <n v="5468"/>
    <n v="4276"/>
    <x v="1"/>
    <n v="1.2528616189956664E-3"/>
    <n v="6.2332632299871285E-4"/>
    <n v="2.883629997355654E-2"/>
  </r>
  <r>
    <n v="11808"/>
    <n v="3772"/>
    <x v="7"/>
    <x v="2"/>
    <x v="124"/>
    <x v="3"/>
    <x v="1"/>
    <x v="3"/>
    <x v="0"/>
    <x v="1"/>
    <n v="6120"/>
    <n v="7928"/>
    <x v="0"/>
    <n v="1.7028637230396271E-3"/>
    <n v="7.2939741749206469E-4"/>
    <n v="1.5938149537675445E-2"/>
  </r>
  <r>
    <n v="11808"/>
    <n v="3772"/>
    <x v="7"/>
    <x v="2"/>
    <x v="124"/>
    <x v="3"/>
    <x v="1"/>
    <x v="3"/>
    <x v="0"/>
    <x v="1"/>
    <n v="704"/>
    <n v="9712"/>
    <x v="0"/>
    <n v="1.8451517820358278E-3"/>
    <n v="9.5216902390633535E-4"/>
    <n v="2.1858669520762354E-2"/>
  </r>
  <r>
    <n v="11808"/>
    <n v="3772"/>
    <x v="7"/>
    <x v="2"/>
    <x v="124"/>
    <x v="3"/>
    <x v="1"/>
    <x v="3"/>
    <x v="0"/>
    <x v="1"/>
    <n v="1592"/>
    <n v="12104"/>
    <x v="0"/>
    <n v="1.2706255912780762E-3"/>
    <n v="6.0645199111159735E-4"/>
    <n v="1.0500309624959847E-2"/>
  </r>
  <r>
    <n v="11808"/>
    <n v="3772"/>
    <x v="7"/>
    <x v="2"/>
    <x v="124"/>
    <x v="3"/>
    <x v="1"/>
    <x v="3"/>
    <x v="0"/>
    <x v="0"/>
    <n v="6016"/>
    <n v="2092"/>
    <x v="2"/>
    <n v="1.808226704597473E-3"/>
    <n v="2.8984585192083998E-3"/>
    <n v="0.10075161590306815"/>
  </r>
  <r>
    <n v="11808"/>
    <n v="3772"/>
    <x v="7"/>
    <x v="2"/>
    <x v="124"/>
    <x v="3"/>
    <x v="1"/>
    <x v="3"/>
    <x v="0"/>
    <x v="1"/>
    <n v="10800"/>
    <n v="4196"/>
    <x v="1"/>
    <n v="1.3009989261627197E-3"/>
    <n v="5.0870346834288433E-4"/>
    <n v="2.9503548542067198E-2"/>
  </r>
  <r>
    <n v="11808"/>
    <n v="3772"/>
    <x v="7"/>
    <x v="2"/>
    <x v="124"/>
    <x v="3"/>
    <x v="1"/>
    <x v="3"/>
    <x v="0"/>
    <x v="0"/>
    <n v="9532"/>
    <n v="7444"/>
    <x v="2"/>
    <n v="2.0817210674285891E-3"/>
    <n v="7.0020920884555015E-4"/>
    <n v="6.9453017377530731E-3"/>
  </r>
  <r>
    <n v="11884"/>
    <n v="3632"/>
    <x v="7"/>
    <x v="0"/>
    <x v="125"/>
    <x v="3"/>
    <x v="1"/>
    <x v="1"/>
    <x v="0"/>
    <x v="1"/>
    <n v="4456"/>
    <n v="4284"/>
    <x v="2"/>
    <n v="1.9151763617992401E-3"/>
    <n v="8.4865996100018056E-4"/>
    <n v="8.5553739840250297E-3"/>
  </r>
  <r>
    <n v="11884"/>
    <n v="3632"/>
    <x v="7"/>
    <x v="0"/>
    <x v="125"/>
    <x v="3"/>
    <x v="1"/>
    <x v="1"/>
    <x v="0"/>
    <x v="0"/>
    <n v="11104"/>
    <n v="4592"/>
    <x v="0"/>
    <n v="1.7028637230396271E-3"/>
    <n v="6.2486506395988811E-4"/>
    <n v="1.3126079862218898E-2"/>
  </r>
  <r>
    <n v="11884"/>
    <n v="3632"/>
    <x v="7"/>
    <x v="0"/>
    <x v="125"/>
    <x v="3"/>
    <x v="1"/>
    <x v="1"/>
    <x v="0"/>
    <x v="1"/>
    <n v="3452"/>
    <n v="12076"/>
    <x v="2"/>
    <n v="1.808226704597473E-3"/>
    <n v="4.0855590145946492E-3"/>
    <n v="0.18529700038966282"/>
  </r>
  <r>
    <n v="11884"/>
    <n v="3632"/>
    <x v="7"/>
    <x v="0"/>
    <x v="125"/>
    <x v="3"/>
    <x v="1"/>
    <x v="1"/>
    <x v="0"/>
    <x v="0"/>
    <n v="7128"/>
    <n v="6460"/>
    <x v="0"/>
    <n v="1.2706255912780762E-3"/>
    <n v="4.3890234073525188E-4"/>
    <n v="7.9200486865376139E-3"/>
  </r>
  <r>
    <n v="11884"/>
    <n v="3632"/>
    <x v="7"/>
    <x v="0"/>
    <x v="125"/>
    <x v="3"/>
    <x v="1"/>
    <x v="1"/>
    <x v="0"/>
    <x v="0"/>
    <n v="7156"/>
    <n v="11424"/>
    <x v="0"/>
    <n v="1.8451517820358278E-3"/>
    <n v="9.5445373756589862E-4"/>
    <n v="2.4192720211344981E-2"/>
  </r>
  <r>
    <n v="11884"/>
    <n v="3632"/>
    <x v="7"/>
    <x v="0"/>
    <x v="125"/>
    <x v="3"/>
    <x v="1"/>
    <x v="1"/>
    <x v="0"/>
    <x v="1"/>
    <n v="7932"/>
    <n v="5840"/>
    <x v="1"/>
    <n v="1.2274467945098877E-3"/>
    <n v="9.6512057261760012E-4"/>
    <n v="0.11977763439663427"/>
  </r>
  <r>
    <n v="11884"/>
    <n v="3632"/>
    <x v="7"/>
    <x v="0"/>
    <x v="125"/>
    <x v="3"/>
    <x v="1"/>
    <x v="1"/>
    <x v="0"/>
    <x v="0"/>
    <n v="2384"/>
    <n v="6084"/>
    <x v="0"/>
    <n v="1.2706255912780762E-3"/>
    <n v="4.3890234073525188E-4"/>
    <n v="7.9200486865376139E-3"/>
  </r>
  <r>
    <n v="11884"/>
    <n v="3632"/>
    <x v="7"/>
    <x v="0"/>
    <x v="125"/>
    <x v="3"/>
    <x v="1"/>
    <x v="1"/>
    <x v="0"/>
    <x v="1"/>
    <n v="4700"/>
    <n v="9968"/>
    <x v="2"/>
    <n v="2.0817210674285891E-3"/>
    <n v="8.8911906765710839E-4"/>
    <n v="8.9677514574731075E-3"/>
  </r>
  <r>
    <n v="12120"/>
    <n v="8968"/>
    <x v="7"/>
    <x v="2"/>
    <x v="126"/>
    <x v="1"/>
    <x v="1"/>
    <x v="7"/>
    <x v="0"/>
    <x v="0"/>
    <n v="4480"/>
    <n v="5700"/>
    <x v="2"/>
    <n v="1.808226704597473E-3"/>
    <n v="3.8697142399709899E-3"/>
    <n v="0.18827352892990221"/>
  </r>
  <r>
    <n v="12120"/>
    <n v="8968"/>
    <x v="7"/>
    <x v="2"/>
    <x v="126"/>
    <x v="1"/>
    <x v="1"/>
    <x v="7"/>
    <x v="0"/>
    <x v="1"/>
    <n v="11332"/>
    <n v="12088"/>
    <x v="0"/>
    <n v="1.8451517820358278E-3"/>
    <n v="1.2366165429117811E-3"/>
    <n v="3.192184462713081E-2"/>
  </r>
  <r>
    <n v="12120"/>
    <n v="8968"/>
    <x v="7"/>
    <x v="2"/>
    <x v="126"/>
    <x v="1"/>
    <x v="1"/>
    <x v="7"/>
    <x v="0"/>
    <x v="1"/>
    <n v="10340"/>
    <n v="8540"/>
    <x v="0"/>
    <n v="1.7028637230396271E-3"/>
    <n v="7.0970542776722359E-4"/>
    <n v="1.5390182429454686E-2"/>
  </r>
  <r>
    <n v="12120"/>
    <n v="8968"/>
    <x v="7"/>
    <x v="2"/>
    <x v="126"/>
    <x v="1"/>
    <x v="1"/>
    <x v="7"/>
    <x v="0"/>
    <x v="0"/>
    <n v="11292"/>
    <n v="9980"/>
    <x v="2"/>
    <n v="2.3375559747219085E-3"/>
    <n v="7.5743027025804242E-4"/>
    <n v="6.6527038441915034E-3"/>
  </r>
  <r>
    <n v="12120"/>
    <n v="8968"/>
    <x v="7"/>
    <x v="2"/>
    <x v="126"/>
    <x v="1"/>
    <x v="1"/>
    <x v="7"/>
    <x v="0"/>
    <x v="0"/>
    <n v="4124"/>
    <n v="7360"/>
    <x v="2"/>
    <n v="2.0817210674285891E-3"/>
    <n v="7.3003225280757872E-4"/>
    <n v="7.5985814332117339E-3"/>
  </r>
  <r>
    <n v="12120"/>
    <n v="8968"/>
    <x v="7"/>
    <x v="2"/>
    <x v="126"/>
    <x v="1"/>
    <x v="1"/>
    <x v="7"/>
    <x v="0"/>
    <x v="1"/>
    <n v="8400"/>
    <n v="5916"/>
    <x v="1"/>
    <n v="1.2528616189956664E-3"/>
    <n v="7.8512722475690931E-4"/>
    <n v="4.3038683272899447E-2"/>
  </r>
  <r>
    <n v="12120"/>
    <n v="8968"/>
    <x v="7"/>
    <x v="2"/>
    <x v="126"/>
    <x v="1"/>
    <x v="1"/>
    <x v="7"/>
    <x v="0"/>
    <x v="1"/>
    <n v="9460"/>
    <n v="10244"/>
    <x v="1"/>
    <n v="1.3009989261627197E-3"/>
    <n v="5.4405704337248391E-4"/>
    <n v="3.06792340217826E-2"/>
  </r>
  <r>
    <n v="12120"/>
    <n v="8968"/>
    <x v="7"/>
    <x v="2"/>
    <x v="126"/>
    <x v="1"/>
    <x v="1"/>
    <x v="7"/>
    <x v="0"/>
    <x v="0"/>
    <n v="1552"/>
    <n v="4568"/>
    <x v="2"/>
    <n v="1.9151763617992401E-3"/>
    <n v="6.9401578664473609E-4"/>
    <n v="7.3399567312283261E-3"/>
  </r>
</pivotCacheRecords>
</file>

<file path=xl/pivotCache/pivotCacheRecords2.xml><?xml version="1.0" encoding="utf-8"?>
<pivotCacheRecords xmlns="http://schemas.openxmlformats.org/spreadsheetml/2006/main" xmlns:r="http://schemas.openxmlformats.org/officeDocument/2006/relationships" count="93">
  <r>
    <x v="0"/>
    <x v="0"/>
    <x v="0"/>
    <n v="6820114"/>
    <n v="34587.2578125"/>
    <n v="5.0713606178760503E-3"/>
    <n v="25.605934143066399"/>
    <n v="4.9999999873762104E-7"/>
    <n v="0"/>
    <n v="3099.54077148438"/>
    <n v="1880.32836914063"/>
    <n v="13.901726722717299"/>
    <x v="0"/>
    <x v="0"/>
    <x v="0"/>
  </r>
  <r>
    <x v="0"/>
    <x v="0"/>
    <x v="1"/>
    <n v="6941255680"/>
    <n v="1165108.5"/>
    <n v="1.67852704180405E-4"/>
    <n v="25.605934143066399"/>
    <n v="1.9999999949504901E-6"/>
    <n v="4.9999999873762104E-7"/>
    <n v="1880.99633789063"/>
    <n v="4825.1708984375"/>
    <n v="-30.109174728393601"/>
    <x v="0"/>
    <x v="0"/>
    <x v="0"/>
  </r>
  <r>
    <x v="0"/>
    <x v="0"/>
    <x v="2"/>
    <n v="6941255680"/>
    <n v="1165108.5"/>
    <n v="1.67852704180405E-4"/>
    <n v="25.605934143066399"/>
    <n v="7.99999997980194E-6"/>
    <n v="1.9999999949504901E-6"/>
    <n v="1880.57800292969"/>
    <n v="4825.1708984375"/>
    <n v="-30.113451004028299"/>
    <x v="0"/>
    <x v="0"/>
    <x v="0"/>
  </r>
  <r>
    <x v="0"/>
    <x v="0"/>
    <x v="3"/>
    <n v="6941255680"/>
    <n v="1165108.5"/>
    <n v="1.67852704180405E-4"/>
    <n v="25.605934143066399"/>
    <n v="3.1999999919207801E-5"/>
    <n v="7.99999997980194E-6"/>
    <n v="1880.57800292969"/>
    <n v="4825.1708984375"/>
    <n v="-30.113451004028299"/>
    <x v="0"/>
    <x v="0"/>
    <x v="0"/>
  </r>
  <r>
    <x v="0"/>
    <x v="0"/>
    <x v="4"/>
    <n v="6941256192"/>
    <n v="1165108.5"/>
    <n v="1.6785268962848899E-4"/>
    <n v="25.605934143066399"/>
    <n v="1.2799999967683101E-4"/>
    <n v="3.1999999919207801E-5"/>
    <n v="1880.57800292969"/>
    <n v="4825.169921875"/>
    <n v="-30.113445281982401"/>
    <x v="0"/>
    <x v="0"/>
    <x v="0"/>
  </r>
  <r>
    <x v="0"/>
    <x v="0"/>
    <x v="5"/>
    <n v="6941258752"/>
    <n v="1165108.5"/>
    <n v="1.67852631420828E-4"/>
    <n v="25.605934143066399"/>
    <n v="5.1199999870732405E-4"/>
    <n v="1.2799999967683101E-4"/>
    <n v="1880.57800292969"/>
    <n v="4825.166015625"/>
    <n v="-30.1134147644043"/>
    <x v="0"/>
    <x v="0"/>
    <x v="0"/>
  </r>
  <r>
    <x v="0"/>
    <x v="0"/>
    <x v="6"/>
    <n v="6941267968"/>
    <n v="1165108.5"/>
    <n v="1.6785239859018499E-4"/>
    <n v="25.605934143066399"/>
    <n v="2.0479999948293001E-3"/>
    <n v="5.1199999870732405E-4"/>
    <n v="1880.57800292969"/>
    <n v="4825.1484375"/>
    <n v="-30.113273620605501"/>
    <x v="0"/>
    <x v="0"/>
    <x v="0"/>
  </r>
  <r>
    <x v="0"/>
    <x v="0"/>
    <x v="7"/>
    <n v="6941304832"/>
    <n v="1165108.5"/>
    <n v="1.6785151092335601E-4"/>
    <n v="25.605934143066399"/>
    <n v="8.19199997931719E-3"/>
    <n v="2.0479999948293001E-3"/>
    <n v="1880.57800292969"/>
    <n v="4825.08349609375"/>
    <n v="-30.112771987915"/>
    <x v="0"/>
    <x v="0"/>
    <x v="0"/>
  </r>
  <r>
    <x v="0"/>
    <x v="0"/>
    <x v="8"/>
    <n v="6941452800"/>
    <n v="1165108.5"/>
    <n v="1.6784793115220999E-4"/>
    <n v="25.605934143066399"/>
    <n v="3.2767999917268802E-2"/>
    <n v="8.19199997931719E-3"/>
    <n v="1880.57800292969"/>
    <n v="4824.818359375"/>
    <n v="-30.110702514648398"/>
    <x v="0"/>
    <x v="0"/>
    <x v="0"/>
  </r>
  <r>
    <x v="0"/>
    <x v="0"/>
    <x v="9"/>
    <n v="6942045184"/>
    <n v="1165108.5"/>
    <n v="1.6783361206762501E-4"/>
    <n v="25.605934143066399"/>
    <n v="0.13107199966907501"/>
    <n v="3.2767999917268802E-2"/>
    <n v="1880.57800292969"/>
    <n v="4823.759765625"/>
    <n v="-30.102443695068398"/>
    <x v="0"/>
    <x v="0"/>
    <x v="0"/>
  </r>
  <r>
    <x v="0"/>
    <x v="0"/>
    <x v="10"/>
    <n v="6944415232"/>
    <n v="1165108.5"/>
    <n v="1.6777633572928599E-4"/>
    <n v="25.605934143066399"/>
    <n v="0.52428799867630005"/>
    <n v="0.13107199966907501"/>
    <n v="1880.57836914063"/>
    <n v="4819.52783203125"/>
    <n v="-30.069419860839801"/>
    <x v="0"/>
    <x v="0"/>
    <x v="0"/>
  </r>
  <r>
    <x v="0"/>
    <x v="0"/>
    <x v="11"/>
    <n v="6953896448"/>
    <n v="1165108.5"/>
    <n v="1.6754757962189601E-4"/>
    <n v="25.605934143066399"/>
    <n v="2.0971519947052002"/>
    <n v="0.52428799867630005"/>
    <n v="1880.57836914063"/>
    <n v="4802.6533203125"/>
    <n v="-29.937587738037099"/>
    <x v="0"/>
    <x v="0"/>
    <x v="0"/>
  </r>
  <r>
    <x v="0"/>
    <x v="0"/>
    <x v="12"/>
    <n v="6991820800"/>
    <n v="1165108.5"/>
    <n v="1.6663878341205399E-4"/>
    <n v="25.605934143066399"/>
    <n v="8.3886079788208008"/>
    <n v="2.0971519947052002"/>
    <n v="1880.57922363281"/>
    <n v="4736.07470703125"/>
    <n v="-29.415012359619102"/>
    <x v="0"/>
    <x v="0"/>
    <x v="0"/>
  </r>
  <r>
    <x v="0"/>
    <x v="0"/>
    <x v="13"/>
    <n v="7143518208"/>
    <n v="1165108.5"/>
    <n v="1.6310009232256599E-4"/>
    <n v="25.605934143066399"/>
    <n v="33.554431915283203"/>
    <n v="8.3886079788208008"/>
    <n v="1880.58276367187"/>
    <n v="4483.85595703125"/>
    <n v="-27.3986492156982"/>
    <x v="0"/>
    <x v="0"/>
    <x v="0"/>
  </r>
  <r>
    <x v="0"/>
    <x v="0"/>
    <x v="14"/>
    <n v="7750308864"/>
    <n v="1165108.5"/>
    <n v="1.5033058298286099E-4"/>
    <n v="25.605934143066399"/>
    <n v="134.21772766113301"/>
    <n v="33.554431915283203"/>
    <n v="1880.59643554687"/>
    <n v="3665.86206054687"/>
    <n v="-20.385393142700199"/>
    <x v="0"/>
    <x v="0"/>
    <x v="0"/>
  </r>
  <r>
    <x v="0"/>
    <x v="0"/>
    <x v="15"/>
    <n v="10177471488"/>
    <n v="1165108.5"/>
    <n v="1.1447916767792801E-4"/>
    <n v="25.605934143066399"/>
    <n v="536.87091064453102"/>
    <n v="134.21772766113301"/>
    <n v="1880.64392089844"/>
    <n v="2099.02783203125"/>
    <n v="-3.27459645271301"/>
    <x v="0"/>
    <x v="0"/>
    <x v="0"/>
  </r>
  <r>
    <x v="0"/>
    <x v="0"/>
    <x v="16"/>
    <n v="19886120960"/>
    <n v="1165108.5"/>
    <n v="5.8589026593835997E-5"/>
    <n v="-2.5963768362999001E-2"/>
    <n v="268.43545532226602"/>
    <n v="0"/>
    <n v="1880.76293945313"/>
    <n v="1377.953125"/>
    <n v="14.731639862060501"/>
    <x v="1"/>
    <x v="1"/>
    <x v="0"/>
  </r>
  <r>
    <x v="0"/>
    <x v="0"/>
    <x v="17"/>
    <n v="8568138"/>
    <n v="8182.3271484375"/>
    <n v="9.5497147412970695E-4"/>
    <n v="-2.5963768362999001E-2"/>
    <n v="1073.74182128906"/>
    <n v="268.43545532226602"/>
    <n v="1377.33239746094"/>
    <n v="1419.93774414063"/>
    <n v="-10.9050302505493"/>
    <x v="1"/>
    <x v="1"/>
    <x v="0"/>
  </r>
  <r>
    <x v="0"/>
    <x v="0"/>
    <x v="18"/>
    <n v="27167528"/>
    <n v="8182.3271484375"/>
    <n v="3.0118040740489998E-4"/>
    <n v="4.69384813308716"/>
    <n v="536.87091064453102"/>
    <n v="0"/>
    <n v="1377.5068359375"/>
    <n v="1370.45874023437"/>
    <n v="5.7200293540954599"/>
    <x v="2"/>
    <x v="2"/>
    <x v="0"/>
  </r>
  <r>
    <x v="0"/>
    <x v="0"/>
    <x v="19"/>
    <n v="4075904000"/>
    <n v="-33394.67578125"/>
    <n v="-8.1931948443525505E-6"/>
    <n v="4.69384813308716"/>
    <n v="78474.28125"/>
    <n v="19618.5703125"/>
    <n v="1370.51477050781"/>
    <n v="1370.62890625"/>
    <n v="-0.834297955036163"/>
    <x v="2"/>
    <x v="2"/>
    <x v="0"/>
  </r>
  <r>
    <x v="0"/>
    <x v="0"/>
    <x v="20"/>
    <n v="28531326976"/>
    <n v="-33394.67578125"/>
    <n v="-1.1704564712999901E-6"/>
    <n v="4.69384813308716"/>
    <n v="313897.125"/>
    <n v="78474.28125"/>
    <n v="1370.50793457031"/>
    <n v="1370.52197265625"/>
    <n v="-0.71829921007156405"/>
    <x v="2"/>
    <x v="2"/>
    <x v="0"/>
  </r>
  <r>
    <x v="0"/>
    <x v="0"/>
    <x v="21"/>
    <n v="126353022976"/>
    <n v="-33394.67578125"/>
    <n v="-2.64296602381364E-7"/>
    <n v="4.69384813308716"/>
    <n v="1255588.5"/>
    <n v="313897.125"/>
    <n v="1370.513671875"/>
    <n v="1370.51611328125"/>
    <n v="-0.55322426557540905"/>
    <x v="2"/>
    <x v="2"/>
    <x v="0"/>
  </r>
  <r>
    <x v="0"/>
    <x v="0"/>
    <x v="22"/>
    <n v="517639798784"/>
    <n v="-33394.67578125"/>
    <n v="-6.4513344000260999E-8"/>
    <n v="4.69384813308716"/>
    <n v="5022354"/>
    <n v="1255588.5"/>
    <n v="1370.5146484375"/>
    <n v="1370.51489257813"/>
    <n v="-0.22664348781108901"/>
    <x v="2"/>
    <x v="2"/>
    <x v="0"/>
  </r>
  <r>
    <x v="0"/>
    <x v="0"/>
    <x v="23"/>
    <n v="2082786902016"/>
    <n v="-33394.67578125"/>
    <n v="-1.6033649075097899E-8"/>
    <n v="1.5007538604550099E-4"/>
    <n v="20089416"/>
    <n v="0"/>
    <n v="1370.51477050781"/>
    <n v="1370.51477050781"/>
    <n v="0"/>
    <x v="3"/>
    <x v="3"/>
    <x v="0"/>
  </r>
  <r>
    <x v="0"/>
    <x v="0"/>
    <x v="24"/>
    <n v="109894238208"/>
    <n v="26537.619140625"/>
    <n v="2.4148326360773401E-7"/>
    <n v="-2.3059099912643398E-3"/>
    <n v="10044708"/>
    <n v="0"/>
    <n v="1370.51477050781"/>
    <n v="1370.49890136719"/>
    <n v="4.9526128768920898"/>
    <x v="4"/>
    <x v="4"/>
    <x v="0"/>
  </r>
  <r>
    <x v="0"/>
    <x v="0"/>
    <x v="25"/>
    <n v="439118194540544"/>
    <n v="26359.03515625"/>
    <n v="6.0027198489631698E-11"/>
    <n v="-5.9277584796291205E-7"/>
    <n v="16697701376"/>
    <n v="0"/>
    <n v="1370.49890136719"/>
    <n v="1370.49865722656"/>
    <n v="308.59753417968801"/>
    <x v="5"/>
    <x v="5"/>
    <x v="0"/>
  </r>
  <r>
    <x v="0"/>
    <x v="0"/>
    <x v="26"/>
    <n v="5.2532664120377296E+16"/>
    <n v="26420.05078125"/>
    <n v="5.0292615124542003E-13"/>
    <n v="-1.4785172197662201E-7"/>
    <n v="15906914697216"/>
    <n v="0"/>
    <n v="1370.49865722656"/>
    <n v="1370.49865722656"/>
    <n v="0"/>
    <x v="6"/>
    <x v="5"/>
    <x v="0"/>
  </r>
  <r>
    <x v="0"/>
    <x v="0"/>
    <x v="27"/>
    <n v="1.14285569555688E+19"/>
    <n v="26420.0625"/>
    <n v="2.3117583185466901E-15"/>
    <n v="-1.4785165092234799E-7"/>
    <n v="63627658788864"/>
    <n v="0"/>
    <n v="1370.49865722656"/>
    <n v="1370.49865722656"/>
    <n v="0"/>
    <x v="6"/>
    <x v="5"/>
    <x v="0"/>
  </r>
  <r>
    <x v="0"/>
    <x v="0"/>
    <x v="28"/>
    <n v="1.45885004213171E+21"/>
    <n v="26420.0625"/>
    <n v="1.81101980326462E-17"/>
    <n v="-1.4785165092234799E-7"/>
    <n v="4.4174010081293101E+17"/>
    <n v="0"/>
    <n v="1370.49865722656"/>
    <n v="1370.49865722656"/>
    <n v="0"/>
    <x v="6"/>
    <x v="5"/>
    <x v="0"/>
  </r>
  <r>
    <x v="0"/>
    <x v="0"/>
    <x v="29"/>
    <n v="1.51668553313288E+23"/>
    <n v="26420.0625"/>
    <n v="1.7419604274572501E-19"/>
    <n v="-1.4785165092234799E-7"/>
    <n v="1.7669604032517199E+18"/>
    <n v="0"/>
    <n v="1370.49865722656"/>
    <n v="1370.49865722656"/>
    <n v="0"/>
    <x v="6"/>
    <x v="5"/>
    <x v="0"/>
  </r>
  <r>
    <x v="0"/>
    <x v="0"/>
    <x v="30"/>
    <n v="1.43644807631191E+25"/>
    <n v="26420.0625"/>
    <n v="1.83926335504454E-21"/>
    <n v="-1.4785165092234799E-7"/>
    <n v="4.3495683573400999E+21"/>
    <n v="0"/>
    <n v="1370.49865722656"/>
    <n v="1370.49865722656"/>
    <n v="0"/>
    <x v="6"/>
    <x v="5"/>
    <x v="0"/>
  </r>
  <r>
    <x v="0"/>
    <x v="0"/>
    <x v="31"/>
    <n v="3.8684690608808699E+27"/>
    <n v="26420.0625"/>
    <n v="6.8295908970825895E-24"/>
    <n v="-1.4785165092234799E-7"/>
    <n v="1.73982734293604E+22"/>
    <n v="0"/>
    <n v="1370.49865722656"/>
    <n v="1370.49865722656"/>
    <n v="0"/>
    <x v="6"/>
    <x v="5"/>
    <x v="0"/>
  </r>
  <r>
    <x v="0"/>
    <x v="0"/>
    <x v="32"/>
    <n v="1.0624786614467E+30"/>
    <n v="26420.0625"/>
    <n v="2.48664410987537E-26"/>
    <n v="-1.4785165092234799E-7"/>
    <n v="3.2171877981056501E+26"/>
    <n v="0"/>
    <n v="1370.49865722656"/>
    <n v="1370.49865722656"/>
    <n v="0"/>
    <x v="6"/>
    <x v="5"/>
    <x v="0"/>
  </r>
  <r>
    <x v="1"/>
    <x v="1"/>
    <x v="0"/>
    <n v="80774032"/>
    <n v="664947.6875"/>
    <n v="8.2321958616375906E-3"/>
    <n v="0"/>
    <n v="971.79400634765602"/>
    <n v="242.94850158691401"/>
    <n v="57452.3671875"/>
    <n v="1014756.3125"/>
    <n v="-349.76522827148398"/>
    <x v="7"/>
    <x v="6"/>
    <x v="0"/>
  </r>
  <r>
    <x v="1"/>
    <x v="1"/>
    <x v="1"/>
    <n v="565418240"/>
    <n v="664947.6875"/>
    <n v="1.17602804675698E-3"/>
    <n v="7.9902839660644496"/>
    <n v="485.89700317382801"/>
    <n v="0"/>
    <n v="57446.3046875"/>
    <n v="46634.58984375"/>
    <n v="27.651548385620099"/>
    <x v="8"/>
    <x v="7"/>
    <x v="0"/>
  </r>
  <r>
    <x v="1"/>
    <x v="1"/>
    <x v="2"/>
    <n v="509391437824"/>
    <n v="7927701"/>
    <n v="1.5563082342850999E-5"/>
    <n v="0.32965552806854198"/>
    <n v="242.94850158691401"/>
    <n v="0"/>
    <n v="46633.1796875"/>
    <n v="45488.87109375"/>
    <n v="18.549415588378899"/>
    <x v="9"/>
    <x v="8"/>
    <x v="0"/>
  </r>
  <r>
    <x v="1"/>
    <x v="1"/>
    <x v="3"/>
    <n v="1126447616"/>
    <n v="-167334.71875"/>
    <n v="-1.4855082554277E-4"/>
    <n v="0.32965552806854198"/>
    <n v="971.79400634765602"/>
    <n v="242.94850158691401"/>
    <n v="45488.578125"/>
    <n v="48390.15234375"/>
    <n v="-233.45468139648401"/>
    <x v="9"/>
    <x v="8"/>
    <x v="0"/>
  </r>
  <r>
    <x v="1"/>
    <x v="1"/>
    <x v="4"/>
    <n v="4505790464"/>
    <n v="-167334.71875"/>
    <n v="-3.7137706385692602E-5"/>
    <n v="0.32965552806854198"/>
    <n v="3887.17602539063"/>
    <n v="971.79400634765602"/>
    <n v="45489.296875"/>
    <n v="45685.8203125"/>
    <n v="-63.247486114502003"/>
    <x v="9"/>
    <x v="8"/>
    <x v="0"/>
  </r>
  <r>
    <x v="1"/>
    <x v="1"/>
    <x v="5"/>
    <n v="18023161856"/>
    <n v="-167334.71875"/>
    <n v="-9.2844265964231505E-6"/>
    <n v="0.32965552806854198"/>
    <n v="15548.7041015625"/>
    <n v="3887.17602539063"/>
    <n v="45488.7578125"/>
    <n v="45490.73046875"/>
    <n v="-2.5394537448883101"/>
    <x v="9"/>
    <x v="8"/>
    <x v="0"/>
  </r>
  <r>
    <x v="1"/>
    <x v="1"/>
    <x v="6"/>
    <n v="72092647424"/>
    <n v="-167334.71875"/>
    <n v="-2.3211066491057902E-6"/>
    <n v="0.21373628079891199"/>
    <n v="7774.35205078125"/>
    <n v="0"/>
    <n v="45488.625"/>
    <n v="45485.9453125"/>
    <n v="13.7985372543335"/>
    <x v="10"/>
    <x v="9"/>
    <x v="0"/>
  </r>
  <r>
    <x v="1"/>
    <x v="1"/>
    <x v="7"/>
    <n v="6470051328"/>
    <n v="650555.375"/>
    <n v="1.00548721093219E-4"/>
    <n v="0.21373628079891199"/>
    <n v="31097.408203125"/>
    <n v="7774.35205078125"/>
    <n v="45485.953125"/>
    <n v="47323.84765625"/>
    <n v="-56.193977355957003"/>
    <x v="10"/>
    <x v="9"/>
    <x v="0"/>
  </r>
  <r>
    <x v="1"/>
    <x v="1"/>
    <x v="8"/>
    <n v="25880207360"/>
    <n v="650555.375"/>
    <n v="2.51371784543153E-5"/>
    <n v="0.876869797706604"/>
    <n v="15548.7041015625"/>
    <n v="0"/>
    <n v="45486.015625"/>
    <n v="45457.015625"/>
    <n v="3.5467226505279501"/>
    <x v="11"/>
    <x v="10"/>
    <x v="0"/>
  </r>
  <r>
    <x v="1"/>
    <x v="1"/>
    <x v="9"/>
    <n v="3770722048"/>
    <n v="-95937.984375"/>
    <n v="-2.5442868718528199E-5"/>
    <n v="0.876869797706604"/>
    <n v="62194.81640625"/>
    <n v="15548.7041015625"/>
    <n v="45457.05078125"/>
    <n v="45463.1015625"/>
    <n v="-4.9577517509460396"/>
    <x v="11"/>
    <x v="10"/>
    <x v="0"/>
  </r>
  <r>
    <x v="1"/>
    <x v="1"/>
    <x v="10"/>
    <n v="15082889216"/>
    <n v="-95937.984375"/>
    <n v="-6.3607167248846997E-6"/>
    <n v="0.30757597088813798"/>
    <n v="31097.408203125"/>
    <n v="0"/>
    <n v="45457.0625"/>
    <n v="45454.078125"/>
    <n v="9.7810783386230504"/>
    <x v="12"/>
    <x v="11"/>
    <x v="0"/>
  </r>
  <r>
    <x v="1"/>
    <x v="1"/>
    <x v="11"/>
    <n v="3687590912"/>
    <n v="116181.390625"/>
    <n v="3.1506042432738502E-5"/>
    <n v="1.9206182956695601"/>
    <n v="15548.7041015625"/>
    <n v="0"/>
    <n v="45454.078125"/>
    <n v="45437.2734375"/>
    <n v="9.1818466186523402"/>
    <x v="13"/>
    <x v="12"/>
    <x v="0"/>
  </r>
  <r>
    <x v="1"/>
    <x v="1"/>
    <x v="12"/>
    <n v="2295577856"/>
    <n v="-90813.8828125"/>
    <n v="-3.9560360164614401E-5"/>
    <n v="1.9206182956695601"/>
    <n v="62194.81640625"/>
    <n v="15548.7041015625"/>
    <n v="45437.24609375"/>
    <n v="45483.18359375"/>
    <n v="-25.573188781738299"/>
    <x v="13"/>
    <x v="12"/>
    <x v="0"/>
  </r>
  <r>
    <x v="1"/>
    <x v="1"/>
    <x v="13"/>
    <n v="9182311424"/>
    <n v="-90813.8828125"/>
    <n v="-9.8900900411536003E-6"/>
    <n v="0.26842394471168501"/>
    <n v="31097.408203125"/>
    <n v="0"/>
    <n v="45437.28125"/>
    <n v="45430.671875"/>
    <n v="14.7176313400269"/>
    <x v="14"/>
    <x v="13"/>
    <x v="0"/>
  </r>
  <r>
    <x v="1"/>
    <x v="1"/>
    <x v="14"/>
    <n v="385126720"/>
    <n v="10605.4521484375"/>
    <n v="2.7537565983948301E-5"/>
    <n v="-0.34413233399391202"/>
    <n v="15548.7041015625"/>
    <n v="0"/>
    <n v="45430.68359375"/>
    <n v="45418.80078125"/>
    <n v="81.375656127929702"/>
    <x v="15"/>
    <x v="14"/>
    <x v="0"/>
  </r>
  <r>
    <x v="1"/>
    <x v="1"/>
    <x v="15"/>
    <n v="23395622"/>
    <n v="1383.80346679688"/>
    <n v="5.9147965657757602E-5"/>
    <n v="-0.34413233399391202"/>
    <n v="62194.81640625"/>
    <n v="15548.7041015625"/>
    <n v="45418.80078125"/>
    <n v="45419.3359375"/>
    <n v="-13.0766458511353"/>
    <x v="15"/>
    <x v="14"/>
    <x v="0"/>
  </r>
  <r>
    <x v="1"/>
    <x v="1"/>
    <x v="16"/>
    <n v="93582496"/>
    <n v="1383.80346679688"/>
    <n v="1.47869905049447E-5"/>
    <n v="-0.202258750796318"/>
    <n v="31097.408203125"/>
    <n v="0"/>
    <n v="45418.8046875"/>
    <n v="45418.57421875"/>
    <n v="22.5261936187744"/>
    <x v="16"/>
    <x v="15"/>
    <x v="0"/>
  </r>
  <r>
    <x v="1"/>
    <x v="1"/>
    <x v="17"/>
    <n v="34416696"/>
    <n v="1127.54846191406"/>
    <n v="3.2761668990133303E-5"/>
    <n v="0.17359876632690399"/>
    <n v="15548.7041015625"/>
    <n v="0"/>
    <n v="45418.57421875"/>
    <n v="45414.5390625"/>
    <n v="218.46864318847699"/>
    <x v="17"/>
    <x v="16"/>
    <x v="0"/>
  </r>
  <r>
    <x v="1"/>
    <x v="1"/>
    <x v="18"/>
    <n v="17354072"/>
    <n v="974.56311035156295"/>
    <n v="5.61576052859891E-5"/>
    <n v="3.4089293330907801E-2"/>
    <n v="7774.35205078125"/>
    <n v="0"/>
    <n v="45414.5390625"/>
    <n v="45405.1640625"/>
    <n v="342.59634399414102"/>
    <x v="18"/>
    <x v="17"/>
    <x v="0"/>
  </r>
  <r>
    <x v="1"/>
    <x v="1"/>
    <x v="19"/>
    <n v="6851626"/>
    <n v="848.51031494140602"/>
    <n v="1.23840727610514E-4"/>
    <n v="0.74073219299316395"/>
    <n v="3887.17602539063"/>
    <n v="0"/>
    <n v="45405.16015625"/>
    <n v="45387.57421875"/>
    <n v="334.71481323242199"/>
    <x v="19"/>
    <x v="18"/>
    <x v="0"/>
  </r>
  <r>
    <x v="1"/>
    <x v="1"/>
    <x v="20"/>
    <n v="11389222"/>
    <n v="1893.62768554688"/>
    <n v="1.6626488650217701E-4"/>
    <n v="25.190269470214801"/>
    <n v="1943.58801269531"/>
    <n v="0"/>
    <n v="45387.57421875"/>
    <n v="45346.7421875"/>
    <n v="259.37960815429699"/>
    <x v="20"/>
    <x v="19"/>
    <x v="0"/>
  </r>
  <r>
    <x v="1"/>
    <x v="1"/>
    <x v="21"/>
    <n v="3417681152"/>
    <n v="-28512.595703125"/>
    <n v="-8.3426730270730298E-6"/>
    <n v="25.190269470214801"/>
    <n v="7774.35205078125"/>
    <n v="1943.58801269531"/>
    <n v="45346.73046875"/>
    <n v="45398.66796875"/>
    <n v="-436.685791015625"/>
    <x v="20"/>
    <x v="19"/>
    <x v="0"/>
  </r>
  <r>
    <x v="1"/>
    <x v="1"/>
    <x v="22"/>
    <n v="13670724608"/>
    <n v="-28512.595703125"/>
    <n v="-2.08566825676826E-6"/>
    <n v="25.190269470214801"/>
    <n v="31097.408203125"/>
    <n v="7774.35205078125"/>
    <n v="45346.7421875"/>
    <n v="45359.078125"/>
    <n v="-414.87777709960898"/>
    <x v="20"/>
    <x v="19"/>
    <x v="0"/>
  </r>
  <r>
    <x v="1"/>
    <x v="1"/>
    <x v="23"/>
    <n v="54682898432"/>
    <n v="-28512.595703125"/>
    <n v="-5.21417064192065E-7"/>
    <n v="25.190269470214801"/>
    <n v="124389.6328125"/>
    <n v="31097.408203125"/>
    <n v="45346.73046875"/>
    <n v="45349.7890625"/>
    <n v="-411.46206665039102"/>
    <x v="20"/>
    <x v="19"/>
    <x v="0"/>
  </r>
  <r>
    <x v="1"/>
    <x v="1"/>
    <x v="24"/>
    <n v="218731593728"/>
    <n v="-28512.595703125"/>
    <n v="-1.3035426604801601E-7"/>
    <n v="25.190269470214801"/>
    <n v="497558.53125"/>
    <n v="124389.6328125"/>
    <n v="45346.73046875"/>
    <n v="45347.5"/>
    <n v="-414.08953857421898"/>
    <x v="20"/>
    <x v="19"/>
    <x v="0"/>
  </r>
  <r>
    <x v="1"/>
    <x v="1"/>
    <x v="25"/>
    <n v="874926374912"/>
    <n v="-28512.595703125"/>
    <n v="-3.2588566512004003E-8"/>
    <n v="25.190269470214801"/>
    <n v="1990234.125"/>
    <n v="497558.53125"/>
    <n v="45346.73046875"/>
    <n v="45346.90234375"/>
    <n v="-369.947998046875"/>
    <x v="20"/>
    <x v="19"/>
    <x v="0"/>
  </r>
  <r>
    <x v="1"/>
    <x v="1"/>
    <x v="26"/>
    <n v="3499705499648"/>
    <n v="-28512.595703125"/>
    <n v="-8.1471416280010106E-9"/>
    <n v="25.190269470214801"/>
    <n v="7960936.5"/>
    <n v="1990234.125"/>
    <n v="45346.73046875"/>
    <n v="45346.77734375"/>
    <n v="-403.57965087890602"/>
    <x v="20"/>
    <x v="19"/>
    <x v="0"/>
  </r>
  <r>
    <x v="1"/>
    <x v="1"/>
    <x v="27"/>
    <n v="13998821998592"/>
    <n v="-28512.595703125"/>
    <n v="-2.0367854070002502E-9"/>
    <n v="25.190269470214801"/>
    <n v="31843746"/>
    <n v="7960936.5"/>
    <n v="45346.73046875"/>
    <n v="45346.74609375"/>
    <n v="-538.106201171875"/>
    <x v="20"/>
    <x v="19"/>
    <x v="0"/>
  </r>
  <r>
    <x v="1"/>
    <x v="1"/>
    <x v="28"/>
    <n v="55995287994368"/>
    <n v="-28512.595703125"/>
    <n v="-5.0919635175006296E-10"/>
    <n v="25.190269470214801"/>
    <n v="127374984"/>
    <n v="31843746"/>
    <n v="45346.73046875"/>
    <n v="45346.73828125"/>
    <n v="-1076.21240234375"/>
    <x v="20"/>
    <x v="19"/>
    <x v="0"/>
  </r>
  <r>
    <x v="2"/>
    <x v="2"/>
    <x v="0"/>
    <n v="351082048"/>
    <n v="772696.5"/>
    <n v="2.2009001113474399E-3"/>
    <n v="47.018848419189503"/>
    <n v="4.9999999873762104E-7"/>
    <n v="0"/>
    <n v="57370.2890625"/>
    <n v="47575.66796875"/>
    <n v="11.518830299377401"/>
    <x v="21"/>
    <x v="20"/>
    <x v="0"/>
  </r>
  <r>
    <x v="2"/>
    <x v="2"/>
    <x v="1"/>
    <n v="2083321151488"/>
    <n v="24451088"/>
    <n v="1.17365907499334E-5"/>
    <n v="47.018848419189503"/>
    <n v="1.9999999949504901E-6"/>
    <n v="4.9999999873762104E-7"/>
    <n v="47575.953125"/>
    <n v="53800.94140625"/>
    <n v="-43.383880615234403"/>
    <x v="21"/>
    <x v="20"/>
    <x v="0"/>
  </r>
  <r>
    <x v="2"/>
    <x v="2"/>
    <x v="2"/>
    <n v="2083321151488"/>
    <n v="24451088"/>
    <n v="1.17365907499334E-5"/>
    <n v="47.018848419189503"/>
    <n v="7.99999997980194E-6"/>
    <n v="1.9999999949504901E-6"/>
    <n v="47576.01953125"/>
    <n v="53800.94140625"/>
    <n v="-43.383419036865199"/>
    <x v="21"/>
    <x v="20"/>
    <x v="0"/>
  </r>
  <r>
    <x v="2"/>
    <x v="2"/>
    <x v="3"/>
    <n v="2083321151488"/>
    <n v="24451088"/>
    <n v="1.17365907499334E-5"/>
    <n v="47.018848419189503"/>
    <n v="3.1999999919207801E-5"/>
    <n v="7.99999997980194E-6"/>
    <n v="47576.01953125"/>
    <n v="53800.94140625"/>
    <n v="-43.383419036865199"/>
    <x v="21"/>
    <x v="20"/>
    <x v="0"/>
  </r>
  <r>
    <x v="2"/>
    <x v="2"/>
    <x v="4"/>
    <n v="2083321151488"/>
    <n v="24451088"/>
    <n v="1.17365907499334E-5"/>
    <n v="47.018848419189503"/>
    <n v="1.2799999967683101E-4"/>
    <n v="3.1999999919207801E-5"/>
    <n v="47576.01953125"/>
    <n v="53800.94140625"/>
    <n v="-43.383419036865199"/>
    <x v="21"/>
    <x v="20"/>
    <x v="0"/>
  </r>
  <r>
    <x v="2"/>
    <x v="2"/>
    <x v="5"/>
    <n v="2083321282560"/>
    <n v="24451088"/>
    <n v="1.17365898404387E-5"/>
    <n v="47.018848419189503"/>
    <n v="5.1199999870732405E-4"/>
    <n v="1.2799999967683101E-4"/>
    <n v="47576.01953125"/>
    <n v="53800.93359375"/>
    <n v="-43.383365631103501"/>
    <x v="21"/>
    <x v="20"/>
    <x v="0"/>
  </r>
  <r>
    <x v="2"/>
    <x v="2"/>
    <x v="6"/>
    <n v="2083321937920"/>
    <n v="24451088"/>
    <n v="1.1736586202459899E-5"/>
    <n v="47.018848419189503"/>
    <n v="2.0479999948293001E-3"/>
    <n v="5.1199999870732405E-4"/>
    <n v="47576.01953125"/>
    <n v="53800.921875"/>
    <n v="-43.383296966552699"/>
    <x v="21"/>
    <x v="20"/>
    <x v="0"/>
  </r>
  <r>
    <x v="2"/>
    <x v="2"/>
    <x v="7"/>
    <n v="2083324559360"/>
    <n v="24451088"/>
    <n v="1.17365716505446E-5"/>
    <n v="47.018848419189503"/>
    <n v="8.19199997931719E-3"/>
    <n v="2.0479999948293001E-3"/>
    <n v="47576.01953125"/>
    <n v="53800.87109375"/>
    <n v="-43.382999420166001"/>
    <x v="21"/>
    <x v="20"/>
    <x v="0"/>
  </r>
  <r>
    <x v="2"/>
    <x v="2"/>
    <x v="8"/>
    <n v="2083335176192"/>
    <n v="24451088"/>
    <n v="1.17365116238943E-5"/>
    <n v="47.018848419189503"/>
    <n v="3.2767999917268802E-2"/>
    <n v="8.19199997931719E-3"/>
    <n v="47576.01953125"/>
    <n v="53800.6875"/>
    <n v="-43.3819389343262"/>
    <x v="21"/>
    <x v="20"/>
    <x v="0"/>
  </r>
  <r>
    <x v="2"/>
    <x v="2"/>
    <x v="9"/>
    <n v="2083377512448"/>
    <n v="24451088"/>
    <n v="1.1736273336282499E-5"/>
    <n v="47.018848419189503"/>
    <n v="0.13107199966907501"/>
    <n v="3.2767999917268802E-2"/>
    <n v="47576.01953125"/>
    <n v="53800.0234375"/>
    <n v="-43.3781929016113"/>
    <x v="21"/>
    <x v="20"/>
    <x v="0"/>
  </r>
  <r>
    <x v="2"/>
    <x v="2"/>
    <x v="10"/>
    <n v="2083546726400"/>
    <n v="24451088"/>
    <n v="1.1735320185835001E-5"/>
    <n v="47.018848419189503"/>
    <n v="0.52428799867630005"/>
    <n v="0.13107199966907501"/>
    <n v="47576.01953125"/>
    <n v="53797.3046875"/>
    <n v="-43.362766265869098"/>
    <x v="21"/>
    <x v="20"/>
    <x v="0"/>
  </r>
  <r>
    <x v="2"/>
    <x v="2"/>
    <x v="11"/>
    <n v="2084223451136"/>
    <n v="24451088"/>
    <n v="1.1731510312529299E-5"/>
    <n v="47.018848419189503"/>
    <n v="2.0971519947052002"/>
    <n v="0.52428799867630005"/>
    <n v="47576.01953125"/>
    <n v="53786.47265625"/>
    <n v="-43.301326751708999"/>
    <x v="21"/>
    <x v="20"/>
    <x v="0"/>
  </r>
  <r>
    <x v="2"/>
    <x v="2"/>
    <x v="12"/>
    <n v="2086930481152"/>
    <n v="24451088"/>
    <n v="1.1716292647179199E-5"/>
    <n v="47.018848419189503"/>
    <n v="8.3886079788208008"/>
    <n v="2.0971519947052002"/>
    <n v="47576.01953125"/>
    <n v="53743.34765625"/>
    <n v="-43.056495666503899"/>
    <x v="21"/>
    <x v="20"/>
    <x v="0"/>
  </r>
  <r>
    <x v="2"/>
    <x v="2"/>
    <x v="13"/>
    <n v="2097758601216"/>
    <n v="24451088"/>
    <n v="1.16558157969848E-5"/>
    <n v="47.018848419189503"/>
    <n v="33.554431915283203"/>
    <n v="8.3886079788208008"/>
    <n v="47576.01953125"/>
    <n v="53573.25"/>
    <n v="-42.086215972900398"/>
    <x v="21"/>
    <x v="20"/>
    <x v="0"/>
  </r>
  <r>
    <x v="2"/>
    <x v="2"/>
    <x v="14"/>
    <n v="2141070819328"/>
    <n v="24451088"/>
    <n v="1.14200274765608E-5"/>
    <n v="47.018848419189503"/>
    <n v="134.21772766113301"/>
    <n v="33.554431915283203"/>
    <n v="47576.01953125"/>
    <n v="52931.24609375"/>
    <n v="-38.356815338134801"/>
    <x v="21"/>
    <x v="20"/>
    <x v="0"/>
  </r>
  <r>
    <x v="2"/>
    <x v="2"/>
    <x v="15"/>
    <n v="2314319691776"/>
    <n v="24451088"/>
    <n v="1.0565129741735299E-5"/>
    <n v="47.018848419189503"/>
    <n v="536.87091064453102"/>
    <n v="134.21772766113301"/>
    <n v="47576.01171875"/>
    <n v="50873.62890625"/>
    <n v="-25.5303764343262"/>
    <x v="21"/>
    <x v="20"/>
    <x v="0"/>
  </r>
  <r>
    <x v="2"/>
    <x v="2"/>
    <x v="16"/>
    <n v="3007315443712"/>
    <n v="24451088"/>
    <n v="8.1305361163685996E-6"/>
    <n v="6.1909031867981001"/>
    <n v="268.43545532226602"/>
    <n v="0"/>
    <n v="47576.01171875"/>
    <n v="47044.19921875"/>
    <n v="5.3502140045165998"/>
    <x v="22"/>
    <x v="21"/>
    <x v="0"/>
  </r>
  <r>
    <x v="2"/>
    <x v="2"/>
    <x v="17"/>
    <n v="17566936334336"/>
    <n v="-213809152"/>
    <n v="-1.21711118481471E-5"/>
    <n v="6.1909031867981001"/>
    <n v="1073.74182128906"/>
    <n v="268.43545532226602"/>
    <n v="47049.1484375"/>
    <n v="129349.0859375"/>
    <n v="-63.2518119812012"/>
    <x v="22"/>
    <x v="21"/>
    <x v="0"/>
  </r>
  <r>
    <x v="2"/>
    <x v="2"/>
    <x v="18"/>
    <n v="70267745337344"/>
    <n v="-213809152"/>
    <n v="-3.0427779620367801E-6"/>
    <n v="6.1909031867981001"/>
    <n v="4294.96728515625"/>
    <n v="1073.74182128906"/>
    <n v="47020.21484375"/>
    <n v="50140.76953125"/>
    <n v="-9.5932388305664098"/>
    <x v="22"/>
    <x v="21"/>
    <x v="0"/>
  </r>
  <r>
    <x v="2"/>
    <x v="2"/>
    <x v="19"/>
    <n v="281070981349376"/>
    <n v="-213809152"/>
    <n v="-7.6069449050919502E-7"/>
    <n v="5.6101404130458797E-2"/>
    <n v="2147.48364257813"/>
    <n v="0"/>
    <n v="47038.3828125"/>
    <n v="45611.31640625"/>
    <n v="17.548404693603501"/>
    <x v="23"/>
    <x v="22"/>
    <x v="0"/>
  </r>
  <r>
    <x v="2"/>
    <x v="2"/>
    <x v="20"/>
    <n v="443044364288"/>
    <n v="1683536"/>
    <n v="3.79992638954718E-6"/>
    <n v="-0.39535203576088002"/>
    <n v="1073.74182128906"/>
    <n v="0"/>
    <n v="45610.41796875"/>
    <n v="45375.37109375"/>
    <n v="73.483001708984403"/>
    <x v="24"/>
    <x v="23"/>
    <x v="0"/>
  </r>
  <r>
    <x v="2"/>
    <x v="2"/>
    <x v="21"/>
    <n v="35154882560"/>
    <n v="785627.125"/>
    <n v="2.23475963139208E-5"/>
    <n v="-0.39535203576088002"/>
    <n v="4294.96728515625"/>
    <n v="1073.74182128906"/>
    <n v="45375.60546875"/>
    <n v="46909.51171875"/>
    <n v="-174.73564147949199"/>
    <x v="24"/>
    <x v="23"/>
    <x v="0"/>
  </r>
  <r>
    <x v="2"/>
    <x v="2"/>
    <x v="22"/>
    <n v="140619530240"/>
    <n v="785627.125"/>
    <n v="5.5868990784802E-6"/>
    <n v="-0.39535203576088002"/>
    <n v="17179.869140625"/>
    <n v="4294.96728515625"/>
    <n v="45374.97265625"/>
    <n v="45446.31640625"/>
    <n v="-32.508625030517599"/>
    <x v="24"/>
    <x v="23"/>
    <x v="0"/>
  </r>
  <r>
    <x v="2"/>
    <x v="2"/>
    <x v="23"/>
    <n v="562478120960"/>
    <n v="785627.125"/>
    <n v="1.39672476962005E-6"/>
    <n v="-0.308477252721786"/>
    <n v="8589.9345703125"/>
    <n v="0"/>
    <n v="45375.4453125"/>
    <n v="45370.12109375"/>
    <n v="9.7041740417480504"/>
    <x v="25"/>
    <x v="24"/>
    <x v="0"/>
  </r>
  <r>
    <x v="2"/>
    <x v="2"/>
    <x v="24"/>
    <n v="27840243712"/>
    <n v="237774.40625"/>
    <n v="8.5406727521330999E-6"/>
    <n v="1.61799168586731"/>
    <n v="4294.96728515625"/>
    <n v="0"/>
    <n v="45370.08203125"/>
    <n v="45342.98828125"/>
    <n v="26.683444976806602"/>
    <x v="26"/>
    <x v="25"/>
    <x v="0"/>
  </r>
  <r>
    <x v="2"/>
    <x v="2"/>
    <x v="25"/>
    <n v="35145113600"/>
    <n v="-71539.9765625"/>
    <n v="-2.0355596461740801E-6"/>
    <n v="0.191391572356224"/>
    <n v="2147.48364257813"/>
    <n v="0"/>
    <n v="45343.0234375"/>
    <n v="45339.0859375"/>
    <n v="54.077663421630902"/>
    <x v="27"/>
    <x v="26"/>
    <x v="0"/>
  </r>
  <r>
    <x v="2"/>
    <x v="2"/>
    <x v="26"/>
    <n v="878193024"/>
    <n v="112023.5859375"/>
    <n v="1.27561463159509E-4"/>
    <n v="0.191391572356224"/>
    <n v="8589.9345703125"/>
    <n v="2147.48364257813"/>
    <n v="45339.06640625"/>
    <n v="53230.90625"/>
    <n v="-1104.53454589844"/>
    <x v="27"/>
    <x v="26"/>
    <x v="0"/>
  </r>
  <r>
    <x v="2"/>
    <x v="2"/>
    <x v="27"/>
    <n v="3512772096"/>
    <n v="112023.5859375"/>
    <n v="3.1890365789877298E-5"/>
    <n v="0.191391572356224"/>
    <n v="34359.73828125"/>
    <n v="8589.9345703125"/>
    <n v="45339.48046875"/>
    <n v="45775.140625"/>
    <n v="-243.898361206055"/>
    <x v="27"/>
    <x v="26"/>
    <x v="0"/>
  </r>
  <r>
    <x v="2"/>
    <x v="2"/>
    <x v="28"/>
    <n v="14051088384"/>
    <n v="112023.5859375"/>
    <n v="7.9725914474693093E-6"/>
    <n v="0.191391572356224"/>
    <n v="137438.953125"/>
    <n v="34359.73828125"/>
    <n v="45339.15625"/>
    <n v="45358.98828125"/>
    <n v="-44.410762786865199"/>
    <x v="27"/>
    <x v="26"/>
    <x v="0"/>
  </r>
  <r>
    <x v="2"/>
    <x v="2"/>
    <x v="29"/>
    <n v="56204353536"/>
    <n v="112023.5859375"/>
    <n v="1.9931478618673299E-6"/>
    <n v="-0.159139409661293"/>
    <n v="68719.4765625"/>
    <n v="0"/>
    <n v="45339.08984375"/>
    <n v="45338.55078125"/>
    <n v="4.8285880088806197"/>
    <x v="28"/>
    <x v="27"/>
    <x v="0"/>
  </r>
  <r>
    <x v="2"/>
    <x v="2"/>
    <x v="30"/>
    <n v="777918656"/>
    <n v="4950.05078125"/>
    <n v="6.3631982811784804E-6"/>
    <n v="-0.179835245013237"/>
    <n v="34359.73828125"/>
    <n v="0"/>
    <n v="45338.56640625"/>
    <n v="45336.1328125"/>
    <n v="154.52294921875"/>
    <x v="29"/>
    <x v="28"/>
    <x v="0"/>
  </r>
</pivotCacheRecords>
</file>

<file path=xl/pivotCache/pivotCacheRecords3.xml><?xml version="1.0" encoding="utf-8"?>
<pivotCacheRecords xmlns="http://schemas.openxmlformats.org/spreadsheetml/2006/main" xmlns:r="http://schemas.openxmlformats.org/officeDocument/2006/relationships" count="720">
  <r>
    <x v="0"/>
    <x v="0"/>
    <n v="-1"/>
    <x v="0"/>
    <x v="0"/>
    <m/>
    <n v="1.16445"/>
    <m/>
    <m/>
    <n v="1.16554"/>
    <m/>
    <m/>
    <n v="1.1641999999999999"/>
    <m/>
    <m/>
    <n v="1.1653800000000001"/>
    <m/>
    <m/>
    <x v="0"/>
    <x v="0"/>
    <x v="0"/>
    <n v="1.34E-3"/>
  </r>
  <r>
    <x v="0"/>
    <x v="0"/>
    <n v="-1"/>
    <x v="0"/>
    <x v="1"/>
    <d v="1970-01-01T00:00:00"/>
    <n v="1.16642"/>
    <n v="1.1695759999999999"/>
    <n v="3.156E-3"/>
    <n v="1.1672899999999999"/>
    <n v="1.1711210000000001"/>
    <n v="3.8310000000000002E-3"/>
    <n v="1.16449"/>
    <n v="1.1687799999999999"/>
    <n v="4.2900000000000004E-3"/>
    <n v="1.1654199999999999"/>
    <n v="1.170812"/>
    <n v="5.3920000000000001E-3"/>
    <x v="0"/>
    <x v="1"/>
    <x v="1"/>
    <n v="2.8E-3"/>
  </r>
  <r>
    <x v="0"/>
    <x v="0"/>
    <n v="-1"/>
    <x v="0"/>
    <x v="2"/>
    <d v="1970-01-01T00:00:00"/>
    <n v="1.1717599999999999"/>
    <n v="1.1694690000000001"/>
    <n v="2.2910000000000001E-3"/>
    <n v="1.1718299999999999"/>
    <n v="1.1699170000000001"/>
    <n v="1.913E-3"/>
    <n v="1.17123"/>
    <n v="1.1681159999999999"/>
    <n v="3.114E-3"/>
    <n v="1.17123"/>
    <n v="1.16838"/>
    <n v="2.8500000000000001E-3"/>
    <x v="0"/>
    <x v="1"/>
    <x v="1"/>
    <n v="5.9999999999999995E-4"/>
  </r>
  <r>
    <x v="0"/>
    <x v="0"/>
    <n v="-1"/>
    <x v="0"/>
    <x v="3"/>
    <d v="1970-01-01T00:00:00"/>
    <n v="1.1662600000000001"/>
    <n v="1.170528"/>
    <n v="4.2680000000000001E-3"/>
    <n v="1.16639"/>
    <n v="1.1713"/>
    <n v="4.9100000000000003E-3"/>
    <n v="1.1659200000000001"/>
    <n v="1.1703699999999999"/>
    <n v="4.45E-3"/>
    <n v="1.1663399999999999"/>
    <n v="1.17117"/>
    <n v="4.8300000000000001E-3"/>
    <x v="0"/>
    <x v="1"/>
    <x v="1"/>
    <n v="4.6999999999999999E-4"/>
  </r>
  <r>
    <x v="0"/>
    <x v="0"/>
    <n v="-1"/>
    <x v="0"/>
    <x v="4"/>
    <d v="1970-01-01T00:00:00"/>
    <n v="1.16587"/>
    <n v="1.1663380000000001"/>
    <n v="4.6799999999999999E-4"/>
    <n v="1.1660900000000001"/>
    <n v="1.1663319999999999"/>
    <n v="2.42E-4"/>
    <n v="1.1655800000000001"/>
    <n v="1.165624"/>
    <n v="4.3999999999999999E-5"/>
    <n v="1.1657999999999999"/>
    <n v="1.166139"/>
    <n v="3.39E-4"/>
    <x v="0"/>
    <x v="1"/>
    <x v="1"/>
    <n v="5.1000000000000004E-4"/>
  </r>
  <r>
    <x v="0"/>
    <x v="0"/>
    <n v="-1"/>
    <x v="0"/>
    <x v="5"/>
    <d v="1970-01-01T00:00:00"/>
    <n v="1.1651"/>
    <n v="1.16604"/>
    <n v="9.3999999999999997E-4"/>
    <n v="1.1652899999999999"/>
    <n v="1.166337"/>
    <n v="1.047E-3"/>
    <n v="1.1645799999999999"/>
    <n v="1.1657930000000001"/>
    <n v="1.2130000000000001E-3"/>
    <n v="1.16469"/>
    <n v="1.1659900000000001"/>
    <n v="1.2999999999999999E-3"/>
    <x v="0"/>
    <x v="1"/>
    <x v="1"/>
    <n v="7.1000000000000002E-4"/>
  </r>
  <r>
    <x v="0"/>
    <x v="0"/>
    <n v="-1"/>
    <x v="0"/>
    <x v="6"/>
    <d v="1970-01-01T00:00:00"/>
    <n v="1.1612100000000001"/>
    <n v="1.163929"/>
    <n v="2.7190000000000001E-3"/>
    <n v="1.1614899999999999"/>
    <n v="1.164777"/>
    <n v="3.287E-3"/>
    <n v="1.15943"/>
    <n v="1.1635690000000001"/>
    <n v="4.1390000000000003E-3"/>
    <n v="1.16055"/>
    <n v="1.164515"/>
    <n v="3.9649999999999998E-3"/>
    <x v="0"/>
    <x v="1"/>
    <x v="1"/>
    <n v="2.0600000000000002E-3"/>
  </r>
  <r>
    <x v="0"/>
    <x v="0"/>
    <n v="-1"/>
    <x v="0"/>
    <x v="7"/>
    <d v="1970-01-01T00:00:00"/>
    <n v="1.1605300000000001"/>
    <n v="1.159821"/>
    <n v="7.0899999999999999E-4"/>
    <n v="1.16134"/>
    <n v="1.1606160000000001"/>
    <n v="7.2400000000000003E-4"/>
    <n v="1.15944"/>
    <n v="1.1587940000000001"/>
    <n v="6.4599999999999998E-4"/>
    <n v="1.15947"/>
    <n v="1.1604779999999999"/>
    <n v="1.008E-3"/>
    <x v="0"/>
    <x v="1"/>
    <x v="1"/>
    <n v="1.9E-3"/>
  </r>
  <r>
    <x v="0"/>
    <x v="0"/>
    <n v="-1"/>
    <x v="0"/>
    <x v="8"/>
    <d v="1970-01-01T00:00:00"/>
    <n v="1.16693"/>
    <n v="1.157529"/>
    <n v="9.4009999999999996E-3"/>
    <n v="1.16713"/>
    <n v="1.1595120000000001"/>
    <n v="7.6179999999999998E-3"/>
    <n v="1.16652"/>
    <n v="1.1575299999999999"/>
    <n v="8.9899999999999997E-3"/>
    <n v="1.1668000000000001"/>
    <n v="1.159262"/>
    <n v="7.5380000000000004E-3"/>
    <x v="0"/>
    <x v="1"/>
    <x v="1"/>
    <n v="6.0999999999999997E-4"/>
  </r>
  <r>
    <x v="0"/>
    <x v="0"/>
    <n v="-1"/>
    <x v="0"/>
    <x v="9"/>
    <d v="1970-01-01T00:00:00"/>
    <n v="1.1666000000000001"/>
    <n v="1.1668829999999999"/>
    <n v="2.8299999999999999E-4"/>
    <n v="1.1672100000000001"/>
    <n v="1.166968"/>
    <n v="2.42E-4"/>
    <n v="1.1658299999999999"/>
    <n v="1.1666909999999999"/>
    <n v="8.61E-4"/>
    <n v="1.16658"/>
    <n v="1.1668959999999999"/>
    <n v="3.1599999999999998E-4"/>
    <x v="0"/>
    <x v="1"/>
    <x v="1"/>
    <n v="1.3799999999999999E-3"/>
  </r>
  <r>
    <x v="0"/>
    <x v="0"/>
    <n v="-1"/>
    <x v="0"/>
    <x v="10"/>
    <d v="1970-01-01T00:00:00"/>
    <n v="1.16804"/>
    <n v="1.165602"/>
    <n v="2.4380000000000001E-3"/>
    <n v="1.1686000000000001"/>
    <n v="1.1666890000000001"/>
    <n v="1.9109999999999999E-3"/>
    <n v="1.1680299999999999"/>
    <n v="1.164979"/>
    <n v="3.0509999999999999E-3"/>
    <n v="1.1684300000000001"/>
    <n v="1.1664749999999999"/>
    <n v="1.9550000000000001E-3"/>
    <x v="0"/>
    <x v="1"/>
    <x v="1"/>
    <n v="5.6999999999999998E-4"/>
  </r>
  <r>
    <x v="0"/>
    <x v="0"/>
    <n v="-1"/>
    <x v="0"/>
    <x v="11"/>
    <d v="1970-01-01T00:00:00"/>
    <n v="1.1689099999999999"/>
    <n v="1.168793"/>
    <n v="1.17E-4"/>
    <n v="1.16903"/>
    <n v="1.1690069999999999"/>
    <n v="2.3E-5"/>
    <n v="1.1679900000000001"/>
    <n v="1.16835"/>
    <n v="3.6000000000000002E-4"/>
    <n v="1.1684399999999999"/>
    <n v="1.168334"/>
    <n v="1.06E-4"/>
    <x v="0"/>
    <x v="1"/>
    <x v="1"/>
    <n v="1.0399999999999999E-3"/>
  </r>
  <r>
    <x v="0"/>
    <x v="0"/>
    <n v="-1"/>
    <x v="0"/>
    <x v="12"/>
    <d v="1970-01-01T00:00:00"/>
    <n v="1.1682699999999999"/>
    <n v="1.1680699999999999"/>
    <n v="2.0000000000000001E-4"/>
    <n v="1.1682999999999999"/>
    <n v="1.16849"/>
    <n v="1.9000000000000001E-4"/>
    <n v="1.1676200000000001"/>
    <n v="1.167648"/>
    <n v="2.8E-5"/>
    <n v="1.16777"/>
    <n v="1.1684209999999999"/>
    <n v="6.5099999999999999E-4"/>
    <x v="0"/>
    <x v="1"/>
    <x v="1"/>
    <n v="6.8000000000000005E-4"/>
  </r>
  <r>
    <x v="0"/>
    <x v="0"/>
    <n v="-1"/>
    <x v="0"/>
    <x v="13"/>
    <d v="1970-01-01T00:00:00"/>
    <n v="1.1683399999999999"/>
    <n v="1.167314"/>
    <n v="1.026E-3"/>
    <n v="1.16882"/>
    <n v="1.1678850000000001"/>
    <n v="9.3499999999999996E-4"/>
    <n v="1.1679200000000001"/>
    <n v="1.1669339999999999"/>
    <n v="9.859999999999999E-4"/>
    <n v="1.1684000000000001"/>
    <n v="1.1677489999999999"/>
    <n v="6.5099999999999999E-4"/>
    <x v="0"/>
    <x v="1"/>
    <x v="1"/>
    <n v="8.9999999999999998E-4"/>
  </r>
  <r>
    <x v="0"/>
    <x v="0"/>
    <n v="-1"/>
    <x v="0"/>
    <x v="14"/>
    <d v="1970-01-01T00:00:00"/>
    <n v="1.17174"/>
    <n v="1.167853"/>
    <n v="3.8869999999999998E-3"/>
    <n v="1.17232"/>
    <n v="1.1685380000000001"/>
    <n v="3.7820000000000002E-3"/>
    <n v="1.1703600000000001"/>
    <n v="1.1674690000000001"/>
    <n v="2.8909999999999999E-3"/>
    <n v="1.1707799999999999"/>
    <n v="1.1682129999999999"/>
    <n v="2.5669999999999998E-3"/>
    <x v="0"/>
    <x v="1"/>
    <x v="1"/>
    <n v="1.9599999999999999E-3"/>
  </r>
  <r>
    <x v="0"/>
    <x v="0"/>
    <n v="-1"/>
    <x v="0"/>
    <x v="15"/>
    <d v="1970-01-01T00:00:00"/>
    <n v="1.17099"/>
    <n v="1.16933"/>
    <n v="1.66E-3"/>
    <n v="1.17154"/>
    <n v="1.170809"/>
    <n v="7.3099999999999999E-4"/>
    <n v="1.17089"/>
    <n v="1.168947"/>
    <n v="1.9430000000000001E-3"/>
    <n v="1.1710100000000001"/>
    <n v="1.170587"/>
    <n v="4.2299999999999998E-4"/>
    <x v="0"/>
    <x v="1"/>
    <x v="1"/>
    <n v="6.4999999999999997E-4"/>
  </r>
  <r>
    <x v="0"/>
    <x v="0"/>
    <n v="-1"/>
    <x v="0"/>
    <x v="16"/>
    <d v="1970-01-01T00:00:00"/>
    <n v="1.1709400000000001"/>
    <n v="1.169719"/>
    <n v="1.2210000000000001E-3"/>
    <n v="1.1714500000000001"/>
    <n v="1.1709849999999999"/>
    <n v="4.6500000000000003E-4"/>
    <n v="1.1708700000000001"/>
    <n v="1.1701999999999999"/>
    <n v="6.7000000000000002E-4"/>
    <n v="1.1709000000000001"/>
    <n v="1.1710480000000001"/>
    <n v="1.4799999999999999E-4"/>
    <x v="0"/>
    <x v="1"/>
    <x v="1"/>
    <n v="5.8E-4"/>
  </r>
  <r>
    <x v="0"/>
    <x v="0"/>
    <n v="-1"/>
    <x v="0"/>
    <x v="17"/>
    <d v="1970-01-01T00:00:00"/>
    <n v="1.1747099999999999"/>
    <n v="1.17011"/>
    <n v="4.5999999999999999E-3"/>
    <n v="1.17513"/>
    <n v="1.170973"/>
    <n v="4.1570000000000001E-3"/>
    <n v="1.17452"/>
    <n v="1.1702650000000001"/>
    <n v="4.2550000000000001E-3"/>
    <n v="1.17479"/>
    <n v="1.1706669999999999"/>
    <n v="4.1229999999999999E-3"/>
    <x v="0"/>
    <x v="1"/>
    <x v="1"/>
    <n v="6.0999999999999997E-4"/>
  </r>
  <r>
    <x v="0"/>
    <x v="0"/>
    <n v="-1"/>
    <x v="0"/>
    <x v="18"/>
    <d v="1970-01-01T00:00:00"/>
    <n v="1.1746799999999999"/>
    <n v="1.1738440000000001"/>
    <n v="8.3600000000000005E-4"/>
    <n v="1.1747399999999999"/>
    <n v="1.1748289999999999"/>
    <n v="8.8999999999999995E-5"/>
    <n v="1.17395"/>
    <n v="1.1737150000000001"/>
    <n v="2.3499999999999999E-4"/>
    <n v="1.1740200000000001"/>
    <n v="1.1747000000000001"/>
    <n v="6.8000000000000005E-4"/>
    <x v="0"/>
    <x v="1"/>
    <x v="1"/>
    <n v="7.9000000000000001E-4"/>
  </r>
  <r>
    <x v="0"/>
    <x v="0"/>
    <n v="-1"/>
    <x v="0"/>
    <x v="19"/>
    <d v="1970-01-01T00:00:00"/>
    <n v="1.1738900000000001"/>
    <n v="1.1730050000000001"/>
    <n v="8.8500000000000004E-4"/>
    <n v="1.1748400000000001"/>
    <n v="1.1740349999999999"/>
    <n v="8.0500000000000005E-4"/>
    <n v="1.1731"/>
    <n v="1.1729620000000001"/>
    <n v="1.3799999999999999E-4"/>
    <n v="1.17476"/>
    <n v="1.1739520000000001"/>
    <n v="8.0800000000000002E-4"/>
    <x v="0"/>
    <x v="1"/>
    <x v="1"/>
    <n v="1.74E-3"/>
  </r>
  <r>
    <x v="0"/>
    <x v="0"/>
    <n v="-1"/>
    <x v="0"/>
    <x v="20"/>
    <d v="1970-01-01T00:00:00"/>
    <n v="1.17479"/>
    <n v="1.1742600000000001"/>
    <n v="5.2999999999999998E-4"/>
    <n v="1.1754100000000001"/>
    <n v="1.1748689999999999"/>
    <n v="5.4100000000000003E-4"/>
    <n v="1.17387"/>
    <n v="1.173287"/>
    <n v="5.8299999999999997E-4"/>
    <n v="1.17445"/>
    <n v="1.17458"/>
    <n v="1.2999999999999999E-4"/>
    <x v="0"/>
    <x v="1"/>
    <x v="1"/>
    <n v="1.5399999999999999E-3"/>
  </r>
  <r>
    <x v="0"/>
    <x v="0"/>
    <n v="-1"/>
    <x v="0"/>
    <x v="21"/>
    <d v="1970-01-01T00:00:00"/>
    <n v="1.1745399999999999"/>
    <n v="1.1735850000000001"/>
    <n v="9.5500000000000001E-4"/>
    <n v="1.1747700000000001"/>
    <n v="1.174506"/>
    <n v="2.6400000000000002E-4"/>
    <n v="1.17428"/>
    <n v="1.173146"/>
    <n v="1.134E-3"/>
    <n v="1.1745699999999999"/>
    <n v="1.174269"/>
    <n v="3.01E-4"/>
    <x v="0"/>
    <x v="1"/>
    <x v="1"/>
    <n v="4.8999999999999998E-4"/>
  </r>
  <r>
    <x v="0"/>
    <x v="0"/>
    <n v="-1"/>
    <x v="0"/>
    <x v="22"/>
    <d v="1970-01-01T00:00:00"/>
    <n v="1.17455"/>
    <n v="1.1742239999999999"/>
    <n v="3.2600000000000001E-4"/>
    <n v="1.17489"/>
    <n v="1.174582"/>
    <n v="3.0800000000000001E-4"/>
    <n v="1.17425"/>
    <n v="1.1738059999999999"/>
    <n v="4.44E-4"/>
    <n v="1.17425"/>
    <n v="1.174445"/>
    <n v="1.95E-4"/>
    <x v="0"/>
    <x v="1"/>
    <x v="1"/>
    <n v="6.4000000000000005E-4"/>
  </r>
  <r>
    <x v="0"/>
    <x v="0"/>
    <n v="-1"/>
    <x v="0"/>
    <x v="23"/>
    <d v="1970-01-01T00:00:00"/>
    <n v="1.16743"/>
    <n v="1.174661"/>
    <n v="7.2309999999999996E-3"/>
    <n v="1.16777"/>
    <n v="1.1749289999999999"/>
    <n v="7.1590000000000004E-3"/>
    <n v="1.1669400000000001"/>
    <n v="1.1742109999999999"/>
    <n v="7.2709999999999997E-3"/>
    <n v="1.1672"/>
    <n v="1.174139"/>
    <n v="6.9389999999999999E-3"/>
    <x v="0"/>
    <x v="1"/>
    <x v="1"/>
    <n v="8.3000000000000001E-4"/>
  </r>
  <r>
    <x v="0"/>
    <x v="0"/>
    <n v="-1"/>
    <x v="0"/>
    <x v="24"/>
    <d v="1970-01-01T00:00:00"/>
    <n v="1.16953"/>
    <n v="1.168323"/>
    <n v="1.207E-3"/>
    <n v="1.17045"/>
    <n v="1.1682440000000001"/>
    <n v="2.2060000000000001E-3"/>
    <n v="1.1694100000000001"/>
    <n v="1.1672169999999999"/>
    <n v="2.1930000000000001E-3"/>
    <n v="1.17031"/>
    <n v="1.1671100000000001"/>
    <n v="3.2000000000000002E-3"/>
    <x v="0"/>
    <x v="1"/>
    <x v="1"/>
    <n v="1.0399999999999999E-3"/>
  </r>
  <r>
    <x v="0"/>
    <x v="0"/>
    <n v="-1"/>
    <x v="0"/>
    <x v="25"/>
    <d v="1970-01-01T00:00:00"/>
    <n v="1.1727000000000001"/>
    <n v="1.1699539999999999"/>
    <n v="2.7460000000000002E-3"/>
    <n v="1.17333"/>
    <n v="1.170401"/>
    <n v="2.9290000000000002E-3"/>
    <n v="1.1719999999999999"/>
    <n v="1.1692549999999999"/>
    <n v="2.745E-3"/>
    <n v="1.17221"/>
    <n v="1.1700889999999999"/>
    <n v="2.1210000000000001E-3"/>
    <x v="0"/>
    <x v="1"/>
    <x v="1"/>
    <n v="1.33E-3"/>
  </r>
  <r>
    <x v="0"/>
    <x v="0"/>
    <n v="-1"/>
    <x v="0"/>
    <x v="26"/>
    <d v="1970-01-01T00:00:00"/>
    <n v="1.1733499999999999"/>
    <n v="1.1708590000000001"/>
    <n v="2.4910000000000002E-3"/>
    <n v="1.1737299999999999"/>
    <n v="1.1723239999999999"/>
    <n v="1.4059999999999999E-3"/>
    <n v="1.17289"/>
    <n v="1.1707719999999999"/>
    <n v="2.1180000000000001E-3"/>
    <n v="1.17347"/>
    <n v="1.1720930000000001"/>
    <n v="1.377E-3"/>
    <x v="0"/>
    <x v="1"/>
    <x v="1"/>
    <n v="8.4000000000000003E-4"/>
  </r>
  <r>
    <x v="0"/>
    <x v="0"/>
    <n v="-1"/>
    <x v="0"/>
    <x v="27"/>
    <d v="1970-01-01T00:00:00"/>
    <n v="1.1741900000000001"/>
    <n v="1.1727669999999999"/>
    <n v="1.423E-3"/>
    <n v="1.1747399999999999"/>
    <n v="1.1735819999999999"/>
    <n v="1.158E-3"/>
    <n v="1.17391"/>
    <n v="1.172817"/>
    <n v="1.093E-3"/>
    <n v="1.1741299999999999"/>
    <n v="1.17363"/>
    <n v="5.0000000000000001E-4"/>
    <x v="0"/>
    <x v="1"/>
    <x v="1"/>
    <n v="8.3000000000000001E-4"/>
  </r>
  <r>
    <x v="0"/>
    <x v="0"/>
    <n v="-1"/>
    <x v="0"/>
    <x v="28"/>
    <d v="1970-01-01T00:00:00"/>
    <n v="1.17683"/>
    <n v="1.1736470000000001"/>
    <n v="3.1830000000000001E-3"/>
    <n v="1.1773400000000001"/>
    <n v="1.174296"/>
    <n v="3.0439999999999998E-3"/>
    <n v="1.1761699999999999"/>
    <n v="1.1737310000000001"/>
    <n v="2.4390000000000002E-3"/>
    <n v="1.1772899999999999"/>
    <n v="1.17415"/>
    <n v="3.14E-3"/>
    <x v="0"/>
    <x v="1"/>
    <x v="1"/>
    <n v="1.17E-3"/>
  </r>
  <r>
    <x v="0"/>
    <x v="0"/>
    <n v="-1"/>
    <x v="0"/>
    <x v="29"/>
    <d v="1970-01-01T00:00:00"/>
    <n v="1.1777"/>
    <n v="1.1763220000000001"/>
    <n v="1.3780000000000001E-3"/>
    <n v="1.17832"/>
    <n v="1.17737"/>
    <n v="9.5E-4"/>
    <n v="1.17561"/>
    <n v="1.175529"/>
    <n v="8.1000000000000004E-5"/>
    <n v="1.1758200000000001"/>
    <n v="1.1772879999999999"/>
    <n v="1.4679999999999999E-3"/>
    <x v="0"/>
    <x v="1"/>
    <x v="1"/>
    <n v="2.7100000000000002E-3"/>
  </r>
  <r>
    <x v="0"/>
    <x v="0"/>
    <n v="-1"/>
    <x v="0"/>
    <x v="30"/>
    <d v="1970-01-01T00:00:00"/>
    <n v="1.1655"/>
    <n v="1.1739280000000001"/>
    <n v="8.4279999999999997E-3"/>
    <n v="1.1656500000000001"/>
    <n v="1.175956"/>
    <n v="1.0305999999999999E-2"/>
    <n v="1.16405"/>
    <n v="1.173907"/>
    <n v="9.8569999999999994E-3"/>
    <n v="1.16496"/>
    <n v="1.1756070000000001"/>
    <n v="1.0647E-2"/>
    <x v="0"/>
    <x v="1"/>
    <x v="1"/>
    <n v="1.6000000000000001E-3"/>
  </r>
  <r>
    <x v="0"/>
    <x v="0"/>
    <n v="-1"/>
    <x v="0"/>
    <x v="31"/>
    <d v="1970-01-01T00:00:00"/>
    <n v="1.16951"/>
    <n v="1.164194"/>
    <n v="5.3160000000000004E-3"/>
    <n v="1.1696200000000001"/>
    <n v="1.1650590000000001"/>
    <n v="4.561E-3"/>
    <n v="1.16774"/>
    <n v="1.1634370000000001"/>
    <n v="4.3030000000000004E-3"/>
    <n v="1.16838"/>
    <n v="1.1649130000000001"/>
    <n v="3.467E-3"/>
    <x v="0"/>
    <x v="1"/>
    <x v="1"/>
    <n v="1.8799999999999999E-3"/>
  </r>
  <r>
    <x v="0"/>
    <x v="0"/>
    <n v="-1"/>
    <x v="0"/>
    <x v="32"/>
    <d v="1970-01-01T00:00:00"/>
    <n v="1.1712199999999999"/>
    <n v="1.1666110000000001"/>
    <n v="4.6090000000000002E-3"/>
    <n v="1.1716"/>
    <n v="1.168534"/>
    <n v="3.0660000000000001E-3"/>
    <n v="1.17014"/>
    <n v="1.165457"/>
    <n v="4.6829999999999997E-3"/>
    <n v="1.1710100000000001"/>
    <n v="1.168158"/>
    <n v="2.8519999999999999E-3"/>
    <x v="0"/>
    <x v="1"/>
    <x v="1"/>
    <n v="1.4599999999999999E-3"/>
  </r>
  <r>
    <x v="0"/>
    <x v="0"/>
    <n v="-1"/>
    <x v="0"/>
    <x v="33"/>
    <d v="1970-01-01T00:00:00"/>
    <n v="1.1682399999999999"/>
    <n v="1.1645160000000001"/>
    <n v="3.7239999999999999E-3"/>
    <n v="1.16865"/>
    <n v="1.1654180000000001"/>
    <n v="3.2320000000000001E-3"/>
    <n v="1.1673800000000001"/>
    <n v="1.1645620000000001"/>
    <n v="2.8180000000000002E-3"/>
    <n v="1.16811"/>
    <n v="1.165384"/>
    <n v="2.7260000000000001E-3"/>
    <x v="0"/>
    <x v="1"/>
    <x v="1"/>
    <n v="1.2700000000000001E-3"/>
  </r>
  <r>
    <x v="0"/>
    <x v="0"/>
    <n v="2"/>
    <x v="0"/>
    <x v="34"/>
    <d v="1970-01-01T00:00:00"/>
    <n v="1.1738900000000001"/>
    <n v="1.1635629999999999"/>
    <n v="1.0326999999999999E-2"/>
    <n v="1.1752"/>
    <n v="1.1654519999999999"/>
    <n v="9.7479999999999997E-3"/>
    <n v="1.17388"/>
    <n v="1.163106"/>
    <n v="1.0774000000000001E-2"/>
    <n v="1.1746099999999999"/>
    <n v="1.1652880000000001"/>
    <n v="9.3220000000000004E-3"/>
    <x v="0"/>
    <x v="1"/>
    <x v="1"/>
    <n v="1.32E-3"/>
  </r>
  <r>
    <x v="0"/>
    <x v="0"/>
    <n v="4"/>
    <x v="0"/>
    <x v="35"/>
    <d v="2018-07-09T01:00:00"/>
    <n v="1.1746099999999999"/>
    <n v="1.1736120000000001"/>
    <n v="9.9799999999999997E-4"/>
    <n v="1.1753199999999999"/>
    <n v="1.175273"/>
    <n v="4.6999999999999997E-5"/>
    <n v="1.1744000000000001"/>
    <n v="1.174013"/>
    <n v="3.8699999999999997E-4"/>
    <n v="1.1749400000000001"/>
    <n v="1.1748670000000001"/>
    <n v="7.2999999999999999E-5"/>
    <x v="0"/>
    <x v="1"/>
    <x v="1"/>
    <n v="9.2000000000000003E-4"/>
  </r>
  <r>
    <x v="0"/>
    <x v="0"/>
    <n v="6"/>
    <x v="0"/>
    <x v="36"/>
    <d v="2018-07-09T02:00:00"/>
    <n v="1.17493"/>
    <n v="1.1719550000000001"/>
    <n v="2.9750000000000002E-3"/>
    <n v="1.1751799999999999"/>
    <n v="1.1739250000000001"/>
    <n v="1.255E-3"/>
    <n v="1.17428"/>
    <n v="1.1726669999999999"/>
    <n v="1.6130000000000001E-3"/>
    <n v="1.1751"/>
    <n v="1.174722"/>
    <n v="3.7800000000000003E-4"/>
    <x v="0"/>
    <x v="1"/>
    <x v="1"/>
    <n v="8.9999999999999998E-4"/>
  </r>
  <r>
    <x v="0"/>
    <x v="0"/>
    <n v="8"/>
    <x v="0"/>
    <x v="37"/>
    <d v="2018-07-09T03:00:00"/>
    <n v="1.1750799999999999"/>
    <n v="1.1736409999999999"/>
    <n v="1.439E-3"/>
    <n v="1.17584"/>
    <n v="1.174598"/>
    <n v="1.242E-3"/>
    <n v="1.1749000000000001"/>
    <n v="1.173508"/>
    <n v="1.392E-3"/>
    <n v="1.1755"/>
    <n v="1.175054"/>
    <n v="4.46E-4"/>
    <x v="0"/>
    <x v="1"/>
    <x v="1"/>
    <n v="9.3999999999999997E-4"/>
  </r>
  <r>
    <x v="0"/>
    <x v="0"/>
    <n v="10"/>
    <x v="0"/>
    <x v="38"/>
    <d v="2018-07-09T04:00:00"/>
    <n v="1.1755100000000001"/>
    <n v="1.175136"/>
    <n v="3.7399999999999998E-4"/>
    <n v="1.17666"/>
    <n v="1.1759010000000001"/>
    <n v="7.5900000000000002E-4"/>
    <n v="1.17496"/>
    <n v="1.1748609999999999"/>
    <n v="9.8999999999999994E-5"/>
    <n v="1.17639"/>
    <n v="1.175421"/>
    <n v="9.6900000000000003E-4"/>
    <x v="0"/>
    <x v="1"/>
    <x v="1"/>
    <n v="1.6999999999999999E-3"/>
  </r>
  <r>
    <x v="0"/>
    <x v="0"/>
    <n v="12"/>
    <x v="0"/>
    <x v="39"/>
    <d v="2018-07-09T05:00:00"/>
    <n v="1.17639"/>
    <n v="1.17717"/>
    <n v="7.7999999999999999E-4"/>
    <n v="1.17641"/>
    <n v="1.177408"/>
    <n v="9.9799999999999997E-4"/>
    <n v="1.1756200000000001"/>
    <n v="1.176018"/>
    <n v="3.9800000000000002E-4"/>
    <n v="1.1758999999999999"/>
    <n v="1.1764289999999999"/>
    <n v="5.2899999999999996E-4"/>
    <x v="0"/>
    <x v="1"/>
    <x v="1"/>
    <n v="7.9000000000000001E-4"/>
  </r>
  <r>
    <x v="0"/>
    <x v="0"/>
    <n v="14"/>
    <x v="0"/>
    <x v="40"/>
    <d v="2018-07-09T06:00:00"/>
    <n v="1.17587"/>
    <n v="1.1742189999999999"/>
    <n v="1.6509999999999999E-3"/>
    <n v="1.17652"/>
    <n v="1.1753260000000001"/>
    <n v="1.194E-3"/>
    <n v="1.17564"/>
    <n v="1.174274"/>
    <n v="1.366E-3"/>
    <n v="1.1762600000000001"/>
    <n v="1.1758630000000001"/>
    <n v="3.97E-4"/>
    <x v="0"/>
    <x v="1"/>
    <x v="1"/>
    <n v="8.8000000000000003E-4"/>
  </r>
  <r>
    <x v="0"/>
    <x v="0"/>
    <n v="16"/>
    <x v="0"/>
    <x v="41"/>
    <d v="2018-07-09T07:00:00"/>
    <n v="1.17625"/>
    <n v="1.1761809999999999"/>
    <n v="6.8999999999999997E-5"/>
    <n v="1.17642"/>
    <n v="1.176971"/>
    <n v="5.5099999999999995E-4"/>
    <n v="1.1759200000000001"/>
    <n v="1.1755770000000001"/>
    <n v="3.4299999999999999E-4"/>
    <n v="1.1760600000000001"/>
    <n v="1.1762330000000001"/>
    <n v="1.73E-4"/>
    <x v="0"/>
    <x v="1"/>
    <x v="1"/>
    <n v="5.0000000000000001E-4"/>
  </r>
  <r>
    <x v="0"/>
    <x v="0"/>
    <n v="18"/>
    <x v="0"/>
    <x v="42"/>
    <d v="2018-07-09T08:00:00"/>
    <n v="1.17604"/>
    <n v="1.1745639999999999"/>
    <n v="1.4760000000000001E-3"/>
    <n v="1.1769099999999999"/>
    <n v="1.175667"/>
    <n v="1.243E-3"/>
    <n v="1.17557"/>
    <n v="1.1745099999999999"/>
    <n v="1.06E-3"/>
    <n v="1.1768799999999999"/>
    <n v="1.175813"/>
    <n v="1.067E-3"/>
    <x v="0"/>
    <x v="1"/>
    <x v="1"/>
    <n v="1.34E-3"/>
  </r>
  <r>
    <x v="0"/>
    <x v="0"/>
    <n v="20"/>
    <x v="0"/>
    <x v="43"/>
    <d v="2018-07-09T09:00:00"/>
    <n v="1.1768700000000001"/>
    <n v="1.1768689999999999"/>
    <n v="9.9999999999999995E-7"/>
    <n v="1.1778599999999999"/>
    <n v="1.1774100000000001"/>
    <n v="4.4999999999999999E-4"/>
    <n v="1.17611"/>
    <n v="1.176323"/>
    <n v="2.13E-4"/>
    <n v="1.17638"/>
    <n v="1.177074"/>
    <n v="6.9399999999999996E-4"/>
    <x v="0"/>
    <x v="1"/>
    <x v="1"/>
    <n v="1.75E-3"/>
  </r>
  <r>
    <x v="0"/>
    <x v="0"/>
    <n v="22"/>
    <x v="0"/>
    <x v="44"/>
    <d v="2018-07-09T10:00:00"/>
    <n v="1.1763600000000001"/>
    <n v="1.175416"/>
    <n v="9.4399999999999996E-4"/>
    <n v="1.1771499999999999"/>
    <n v="1.17706"/>
    <n v="9.0000000000000006E-5"/>
    <n v="1.1749400000000001"/>
    <n v="1.1752590000000001"/>
    <n v="3.19E-4"/>
    <n v="1.17686"/>
    <n v="1.1762729999999999"/>
    <n v="5.8699999999999996E-4"/>
    <x v="0"/>
    <x v="1"/>
    <x v="1"/>
    <n v="2.2100000000000002E-3"/>
  </r>
  <r>
    <x v="0"/>
    <x v="0"/>
    <n v="24"/>
    <x v="0"/>
    <x v="45"/>
    <d v="2018-07-09T11:00:00"/>
    <n v="1.1768700000000001"/>
    <n v="1.1758630000000001"/>
    <n v="1.0070000000000001E-3"/>
    <n v="1.17805"/>
    <n v="1.1768130000000001"/>
    <n v="1.237E-3"/>
    <n v="1.17648"/>
    <n v="1.1750499999999999"/>
    <n v="1.4300000000000001E-3"/>
    <n v="1.1771499999999999"/>
    <n v="1.1768289999999999"/>
    <n v="3.21E-4"/>
    <x v="0"/>
    <x v="1"/>
    <x v="1"/>
    <n v="1.57E-3"/>
  </r>
  <r>
    <x v="0"/>
    <x v="0"/>
    <n v="26"/>
    <x v="0"/>
    <x v="46"/>
    <d v="2018-07-09T12:00:00"/>
    <n v="1.1771499999999999"/>
    <n v="1.1762619999999999"/>
    <n v="8.8800000000000001E-4"/>
    <n v="1.17746"/>
    <n v="1.1773739999999999"/>
    <n v="8.6000000000000003E-5"/>
    <n v="1.17621"/>
    <n v="1.175737"/>
    <n v="4.73E-4"/>
    <n v="1.1768400000000001"/>
    <n v="1.1768449999999999"/>
    <n v="5.0000000000000004E-6"/>
    <x v="0"/>
    <x v="1"/>
    <x v="1"/>
    <n v="1.25E-3"/>
  </r>
  <r>
    <x v="0"/>
    <x v="0"/>
    <n v="28"/>
    <x v="0"/>
    <x v="47"/>
    <d v="2018-07-09T13:00:00"/>
    <n v="1.1772899999999999"/>
    <n v="1.1756439999999999"/>
    <n v="1.6459999999999999E-3"/>
    <n v="1.1788099999999999"/>
    <n v="1.17675"/>
    <n v="2.0600000000000002E-3"/>
    <n v="1.17692"/>
    <n v="1.175273"/>
    <n v="1.647E-3"/>
    <n v="1.1782300000000001"/>
    <n v="1.176682"/>
    <n v="1.5479999999999999E-3"/>
    <x v="0"/>
    <x v="1"/>
    <x v="1"/>
    <n v="1.89E-3"/>
  </r>
  <r>
    <x v="0"/>
    <x v="0"/>
    <n v="30"/>
    <x v="0"/>
    <x v="48"/>
    <d v="2018-07-09T15:00:00"/>
    <n v="1.17818"/>
    <n v="1.177319"/>
    <n v="8.61E-4"/>
    <n v="1.179"/>
    <n v="1.1788909999999999"/>
    <n v="1.0900000000000001E-4"/>
    <n v="1.1775500000000001"/>
    <n v="1.176769"/>
    <n v="7.8100000000000001E-4"/>
    <n v="1.1776800000000001"/>
    <n v="1.178213"/>
    <n v="5.3300000000000005E-4"/>
    <x v="0"/>
    <x v="1"/>
    <x v="1"/>
    <n v="1.4499999999999999E-3"/>
  </r>
  <r>
    <x v="0"/>
    <x v="0"/>
    <n v="32"/>
    <x v="0"/>
    <x v="49"/>
    <d v="2018-07-09T16:00:00"/>
    <n v="1.17584"/>
    <n v="1.176933"/>
    <n v="1.093E-3"/>
    <n v="1.1763999999999999"/>
    <n v="1.178337"/>
    <n v="1.9369999999999999E-3"/>
    <n v="1.1745300000000001"/>
    <n v="1.1766129999999999"/>
    <n v="2.0830000000000002E-3"/>
    <n v="1.1757899999999999"/>
    <n v="1.177549"/>
    <n v="1.7589999999999999E-3"/>
    <x v="0"/>
    <x v="1"/>
    <x v="1"/>
    <n v="1.8699999999999999E-3"/>
  </r>
  <r>
    <x v="0"/>
    <x v="0"/>
    <n v="34"/>
    <x v="0"/>
    <x v="50"/>
    <d v="2018-07-09T18:00:00"/>
    <n v="1.17578"/>
    <n v="1.175594"/>
    <n v="1.8599999999999999E-4"/>
    <n v="1.17611"/>
    <n v="1.176396"/>
    <n v="2.8600000000000001E-4"/>
    <n v="1.1739999999999999"/>
    <n v="1.1745300000000001"/>
    <n v="5.2999999999999998E-4"/>
    <n v="1.1743699999999999"/>
    <n v="1.175726"/>
    <n v="1.356E-3"/>
    <x v="0"/>
    <x v="1"/>
    <x v="1"/>
    <n v="2.1099999999999999E-3"/>
  </r>
  <r>
    <x v="0"/>
    <x v="0"/>
    <n v="36"/>
    <x v="0"/>
    <x v="51"/>
    <d v="2018-07-09T19:00:00"/>
    <n v="1.17438"/>
    <n v="1.1721189999999999"/>
    <n v="2.261E-3"/>
    <n v="1.1750100000000001"/>
    <n v="1.1740950000000001"/>
    <n v="9.1500000000000001E-4"/>
    <n v="1.17411"/>
    <n v="1.1720839999999999"/>
    <n v="2.026E-3"/>
    <n v="1.1745699999999999"/>
    <n v="1.174409"/>
    <n v="1.6100000000000001E-4"/>
    <x v="0"/>
    <x v="1"/>
    <x v="1"/>
    <n v="8.9999999999999998E-4"/>
  </r>
  <r>
    <x v="0"/>
    <x v="0"/>
    <n v="38"/>
    <x v="0"/>
    <x v="52"/>
    <d v="2018-07-09T20:00:00"/>
    <n v="1.17462"/>
    <n v="1.1744779999999999"/>
    <n v="1.4200000000000001E-4"/>
    <n v="1.17499"/>
    <n v="1.1754359999999999"/>
    <n v="4.46E-4"/>
    <n v="1.17319"/>
    <n v="1.1737390000000001"/>
    <n v="5.4900000000000001E-4"/>
    <n v="1.17469"/>
    <n v="1.174471"/>
    <n v="2.1900000000000001E-4"/>
    <x v="0"/>
    <x v="1"/>
    <x v="1"/>
    <n v="1.8E-3"/>
  </r>
  <r>
    <x v="0"/>
    <x v="0"/>
    <n v="40"/>
    <x v="0"/>
    <x v="53"/>
    <d v="2018-07-09T21:00:00"/>
    <n v="1.1747399999999999"/>
    <n v="1.17371"/>
    <n v="1.0300000000000001E-3"/>
    <n v="1.1753899999999999"/>
    <n v="1.1743920000000001"/>
    <n v="9.9799999999999997E-4"/>
    <n v="1.17401"/>
    <n v="1.1726270000000001"/>
    <n v="1.3829999999999999E-3"/>
    <n v="1.17452"/>
    <n v="1.1745129999999999"/>
    <n v="6.9999999999999999E-6"/>
    <x v="0"/>
    <x v="1"/>
    <x v="1"/>
    <n v="1.3799999999999999E-3"/>
  </r>
  <r>
    <x v="0"/>
    <x v="0"/>
    <n v="42"/>
    <x v="0"/>
    <x v="54"/>
    <d v="2018-07-09T23:00:00"/>
    <n v="1.1745399999999999"/>
    <n v="1.1738900000000001"/>
    <n v="6.4999999999999997E-4"/>
    <n v="1.1751400000000001"/>
    <n v="1.17492"/>
    <n v="2.2000000000000001E-4"/>
    <n v="1.1744600000000001"/>
    <n v="1.1738660000000001"/>
    <n v="5.9400000000000002E-4"/>
    <n v="1.17489"/>
    <n v="1.174596"/>
    <n v="2.9399999999999999E-4"/>
    <x v="0"/>
    <x v="1"/>
    <x v="1"/>
    <n v="6.8000000000000005E-4"/>
  </r>
  <r>
    <x v="0"/>
    <x v="0"/>
    <n v="44"/>
    <x v="0"/>
    <x v="55"/>
    <d v="2018-07-10T00:00:00"/>
    <n v="1.1748400000000001"/>
    <n v="1.1740280000000001"/>
    <n v="8.12E-4"/>
    <n v="1.17547"/>
    <n v="1.174822"/>
    <n v="6.4800000000000003E-4"/>
    <n v="1.1746099999999999"/>
    <n v="1.1740330000000001"/>
    <n v="5.7700000000000004E-4"/>
    <n v="1.1746799999999999"/>
    <n v="1.1747669999999999"/>
    <n v="8.7000000000000001E-5"/>
    <x v="0"/>
    <x v="1"/>
    <x v="1"/>
    <n v="8.5999999999999998E-4"/>
  </r>
  <r>
    <x v="0"/>
    <x v="0"/>
    <n v="46"/>
    <x v="0"/>
    <x v="56"/>
    <d v="2018-07-10T01:00:00"/>
    <n v="1.1747099999999999"/>
    <n v="1.173089"/>
    <n v="1.621E-3"/>
    <n v="1.17519"/>
    <n v="1.174482"/>
    <n v="7.0799999999999997E-4"/>
    <n v="1.17469"/>
    <n v="1.173651"/>
    <n v="1.039E-3"/>
    <n v="1.1749400000000001"/>
    <n v="1.1746049999999999"/>
    <n v="3.3500000000000001E-4"/>
    <x v="0"/>
    <x v="1"/>
    <x v="1"/>
    <n v="5.0000000000000001E-4"/>
  </r>
  <r>
    <x v="0"/>
    <x v="0"/>
    <n v="48"/>
    <x v="0"/>
    <x v="57"/>
    <d v="2018-07-10T02:00:00"/>
    <n v="1.1749400000000001"/>
    <n v="1.17499"/>
    <n v="5.0000000000000002E-5"/>
    <n v="1.17563"/>
    <n v="1.175486"/>
    <n v="1.44E-4"/>
    <n v="1.17479"/>
    <n v="1.1745939999999999"/>
    <n v="1.9599999999999999E-4"/>
    <n v="1.1755199999999999"/>
    <n v="1.174879"/>
    <n v="6.4099999999999997E-4"/>
    <x v="0"/>
    <x v="1"/>
    <x v="1"/>
    <n v="8.4000000000000003E-4"/>
  </r>
  <r>
    <x v="0"/>
    <x v="0"/>
    <n v="50"/>
    <x v="0"/>
    <x v="58"/>
    <d v="2018-07-10T03:00:00"/>
    <n v="1.1755100000000001"/>
    <n v="1.1764619999999999"/>
    <n v="9.5200000000000005E-4"/>
    <n v="1.1761900000000001"/>
    <n v="1.176636"/>
    <n v="4.46E-4"/>
    <n v="1.17547"/>
    <n v="1.1758029999999999"/>
    <n v="3.3300000000000002E-4"/>
    <n v="1.17587"/>
    <n v="1.1757869999999999"/>
    <n v="8.2999999999999998E-5"/>
    <x v="0"/>
    <x v="1"/>
    <x v="1"/>
    <n v="7.2000000000000005E-4"/>
  </r>
  <r>
    <x v="0"/>
    <x v="0"/>
    <n v="52"/>
    <x v="0"/>
    <x v="59"/>
    <d v="2018-07-10T04:00:00"/>
    <n v="1.1758900000000001"/>
    <n v="1.1751780000000001"/>
    <n v="7.1199999999999996E-4"/>
    <n v="1.1761200000000001"/>
    <n v="1.1760409999999999"/>
    <n v="7.8999999999999996E-5"/>
    <n v="1.1746799999999999"/>
    <n v="1.17502"/>
    <n v="3.4000000000000002E-4"/>
    <n v="1.17472"/>
    <n v="1.175719"/>
    <n v="9.990000000000001E-4"/>
    <x v="0"/>
    <x v="1"/>
    <x v="1"/>
    <n v="1.4400000000000001E-3"/>
  </r>
  <r>
    <x v="0"/>
    <x v="0"/>
    <n v="54"/>
    <x v="0"/>
    <x v="60"/>
    <d v="2018-07-10T05:00:00"/>
    <n v="1.17472"/>
    <n v="1.1745749999999999"/>
    <n v="1.45E-4"/>
    <n v="1.1754199999999999"/>
    <n v="1.1753020000000001"/>
    <n v="1.18E-4"/>
    <n v="1.1745300000000001"/>
    <n v="1.174261"/>
    <n v="2.6899999999999998E-4"/>
    <n v="1.1753"/>
    <n v="1.1746509999999999"/>
    <n v="6.4899999999999995E-4"/>
    <x v="0"/>
    <x v="1"/>
    <x v="1"/>
    <n v="8.8999999999999995E-4"/>
  </r>
  <r>
    <x v="0"/>
    <x v="0"/>
    <n v="56"/>
    <x v="0"/>
    <x v="61"/>
    <d v="2018-07-10T06:00:00"/>
    <n v="1.17533"/>
    <n v="1.17465"/>
    <n v="6.8000000000000005E-4"/>
    <n v="1.1755500000000001"/>
    <n v="1.175594"/>
    <n v="4.3999999999999999E-5"/>
    <n v="1.1746099999999999"/>
    <n v="1.174423"/>
    <n v="1.8699999999999999E-4"/>
    <n v="1.17466"/>
    <n v="1.1753150000000001"/>
    <n v="6.5499999999999998E-4"/>
    <x v="0"/>
    <x v="1"/>
    <x v="1"/>
    <n v="9.3999999999999997E-4"/>
  </r>
  <r>
    <x v="0"/>
    <x v="0"/>
    <n v="58"/>
    <x v="0"/>
    <x v="62"/>
    <d v="2018-07-10T07:00:00"/>
    <n v="1.1740299999999999"/>
    <n v="1.1734469999999999"/>
    <n v="5.8299999999999997E-4"/>
    <n v="1.1743600000000001"/>
    <n v="1.174525"/>
    <n v="1.65E-4"/>
    <n v="1.1736599999999999"/>
    <n v="1.1733260000000001"/>
    <n v="3.3399999999999999E-4"/>
    <n v="1.1738900000000001"/>
    <n v="1.1744429999999999"/>
    <n v="5.53E-4"/>
    <x v="0"/>
    <x v="1"/>
    <x v="1"/>
    <n v="6.9999999999999999E-4"/>
  </r>
  <r>
    <x v="0"/>
    <x v="0"/>
    <n v="60"/>
    <x v="0"/>
    <x v="63"/>
    <d v="2018-07-10T09:00:00"/>
    <n v="1.1744399999999999"/>
    <n v="1.1732210000000001"/>
    <n v="1.219E-3"/>
    <n v="1.1747799999999999"/>
    <n v="1.174231"/>
    <n v="5.4900000000000001E-4"/>
    <n v="1.1720600000000001"/>
    <n v="1.172987"/>
    <n v="9.2699999999999998E-4"/>
    <n v="1.1725399999999999"/>
    <n v="1.1738919999999999"/>
    <n v="1.3519999999999999E-3"/>
    <x v="0"/>
    <x v="1"/>
    <x v="1"/>
    <n v="2.7200000000000002E-3"/>
  </r>
  <r>
    <x v="0"/>
    <x v="0"/>
    <n v="62"/>
    <x v="0"/>
    <x v="64"/>
    <d v="2018-07-10T12:00:00"/>
    <n v="1.17255"/>
    <n v="1.1706730000000001"/>
    <n v="1.877E-3"/>
    <n v="1.17258"/>
    <n v="1.1724870000000001"/>
    <n v="9.2999999999999997E-5"/>
    <n v="1.17137"/>
    <n v="1.1701980000000001"/>
    <n v="1.1720000000000001E-3"/>
    <n v="1.1720999999999999"/>
    <n v="1.172328"/>
    <n v="2.2800000000000001E-4"/>
    <x v="0"/>
    <x v="1"/>
    <x v="1"/>
    <n v="1.2099999999999999E-3"/>
  </r>
  <r>
    <x v="0"/>
    <x v="0"/>
    <n v="64"/>
    <x v="0"/>
    <x v="65"/>
    <d v="2018-07-10T13:00:00"/>
    <n v="1.1720999999999999"/>
    <n v="1.1707810000000001"/>
    <n v="1.3190000000000001E-3"/>
    <n v="1.1725699999999999"/>
    <n v="1.171996"/>
    <n v="5.7399999999999997E-4"/>
    <n v="1.17025"/>
    <n v="1.1701569999999999"/>
    <n v="9.2999999999999997E-5"/>
    <n v="1.1702999999999999"/>
    <n v="1.172015"/>
    <n v="1.7149999999999999E-3"/>
    <x v="0"/>
    <x v="1"/>
    <x v="1"/>
    <n v="2.32E-3"/>
  </r>
  <r>
    <x v="0"/>
    <x v="0"/>
    <n v="66"/>
    <x v="0"/>
    <x v="66"/>
    <d v="2018-07-10T14:00:00"/>
    <n v="1.1702900000000001"/>
    <n v="1.1683159999999999"/>
    <n v="1.9740000000000001E-3"/>
    <n v="1.1709400000000001"/>
    <n v="1.1702509999999999"/>
    <n v="6.8900000000000005E-4"/>
    <n v="1.1689499999999999"/>
    <n v="1.1678949999999999"/>
    <n v="1.0549999999999999E-3"/>
    <n v="1.1704399999999999"/>
    <n v="1.1699489999999999"/>
    <n v="4.9100000000000001E-4"/>
    <x v="0"/>
    <x v="1"/>
    <x v="1"/>
    <n v="1.99E-3"/>
  </r>
  <r>
    <x v="0"/>
    <x v="0"/>
    <n v="68"/>
    <x v="0"/>
    <x v="67"/>
    <d v="2018-07-10T15:00:00"/>
    <n v="1.1704300000000001"/>
    <n v="1.1708099999999999"/>
    <n v="3.8000000000000002E-4"/>
    <n v="1.1719299999999999"/>
    <n v="1.1715230000000001"/>
    <n v="4.0700000000000003E-4"/>
    <n v="1.1696299999999999"/>
    <n v="1.1689689999999999"/>
    <n v="6.6100000000000002E-4"/>
    <n v="1.17157"/>
    <n v="1.1703300000000001"/>
    <n v="1.24E-3"/>
    <x v="0"/>
    <x v="1"/>
    <x v="1"/>
    <n v="2.3E-3"/>
  </r>
  <r>
    <x v="0"/>
    <x v="0"/>
    <n v="70"/>
    <x v="0"/>
    <x v="68"/>
    <d v="2018-07-10T16:00:00"/>
    <n v="1.17157"/>
    <n v="1.170957"/>
    <n v="6.1300000000000005E-4"/>
    <n v="1.1721299999999999"/>
    <n v="1.17188"/>
    <n v="2.5000000000000001E-4"/>
    <n v="1.17069"/>
    <n v="1.1697500000000001"/>
    <n v="9.3999999999999997E-4"/>
    <n v="1.1707700000000001"/>
    <n v="1.1712229999999999"/>
    <n v="4.5300000000000001E-4"/>
    <x v="0"/>
    <x v="1"/>
    <x v="1"/>
    <n v="1.4400000000000001E-3"/>
  </r>
  <r>
    <x v="0"/>
    <x v="0"/>
    <n v="72"/>
    <x v="0"/>
    <x v="69"/>
    <d v="2018-07-10T17:00:00"/>
    <n v="1.17075"/>
    <n v="1.1701999999999999"/>
    <n v="5.5000000000000003E-4"/>
    <n v="1.17232"/>
    <n v="1.1715880000000001"/>
    <n v="7.3200000000000001E-4"/>
    <n v="1.1703300000000001"/>
    <n v="1.1698539999999999"/>
    <n v="4.7600000000000002E-4"/>
    <n v="1.1719200000000001"/>
    <n v="1.17082"/>
    <n v="1.1000000000000001E-3"/>
    <x v="0"/>
    <x v="1"/>
    <x v="1"/>
    <n v="1.99E-3"/>
  </r>
  <r>
    <x v="0"/>
    <x v="0"/>
    <n v="74"/>
    <x v="0"/>
    <x v="70"/>
    <d v="2018-07-10T18:00:00"/>
    <n v="1.17191"/>
    <n v="1.1723140000000001"/>
    <n v="4.0400000000000001E-4"/>
    <n v="1.1738599999999999"/>
    <n v="1.172871"/>
    <n v="9.8900000000000008E-4"/>
    <n v="1.1718500000000001"/>
    <n v="1.171295"/>
    <n v="5.5500000000000005E-4"/>
    <n v="1.1728400000000001"/>
    <n v="1.171894"/>
    <n v="9.4600000000000001E-4"/>
    <x v="0"/>
    <x v="1"/>
    <x v="1"/>
    <n v="2.0100000000000001E-3"/>
  </r>
  <r>
    <x v="0"/>
    <x v="0"/>
    <n v="76"/>
    <x v="0"/>
    <x v="71"/>
    <d v="2018-07-10T19:00:00"/>
    <n v="1.17283"/>
    <n v="1.172828"/>
    <n v="1.9999999999999999E-6"/>
    <n v="1.1736899999999999"/>
    <n v="1.1742090000000001"/>
    <n v="5.1900000000000004E-4"/>
    <n v="1.1720999999999999"/>
    <n v="1.17232"/>
    <n v="2.2000000000000001E-4"/>
    <n v="1.17323"/>
    <n v="1.172855"/>
    <n v="3.7500000000000001E-4"/>
    <x v="0"/>
    <x v="1"/>
    <x v="1"/>
    <n v="1.5900000000000001E-3"/>
  </r>
  <r>
    <x v="0"/>
    <x v="0"/>
    <n v="78"/>
    <x v="0"/>
    <x v="72"/>
    <d v="2018-07-10T20:00:00"/>
    <n v="1.1732400000000001"/>
    <n v="1.172277"/>
    <n v="9.6299999999999999E-4"/>
    <n v="1.17462"/>
    <n v="1.173421"/>
    <n v="1.199E-3"/>
    <n v="1.1731199999999999"/>
    <n v="1.1717770000000001"/>
    <n v="1.343E-3"/>
    <n v="1.1745399999999999"/>
    <n v="1.1732389999999999"/>
    <n v="1.3010000000000001E-3"/>
    <x v="0"/>
    <x v="1"/>
    <x v="1"/>
    <n v="1.5E-3"/>
  </r>
  <r>
    <x v="0"/>
    <x v="0"/>
    <n v="80"/>
    <x v="0"/>
    <x v="73"/>
    <d v="2018-07-10T21:00:00"/>
    <n v="1.17448"/>
    <n v="1.1747449999999999"/>
    <n v="2.6499999999999999E-4"/>
    <n v="1.1748400000000001"/>
    <n v="1.1754100000000001"/>
    <n v="5.6999999999999998E-4"/>
    <n v="1.1740200000000001"/>
    <n v="1.173773"/>
    <n v="2.4699999999999999E-4"/>
    <n v="1.1745300000000001"/>
    <n v="1.174534"/>
    <n v="3.9999999999999998E-6"/>
    <x v="0"/>
    <x v="1"/>
    <x v="1"/>
    <n v="8.1999999999999998E-4"/>
  </r>
  <r>
    <x v="0"/>
    <x v="0"/>
    <n v="82"/>
    <x v="0"/>
    <x v="74"/>
    <d v="2018-07-10T22:00:00"/>
    <n v="1.1741699999999999"/>
    <n v="1.175128"/>
    <n v="9.5799999999999998E-4"/>
    <n v="1.17455"/>
    <n v="1.1754450000000001"/>
    <n v="8.9499999999999996E-4"/>
    <n v="1.17317"/>
    <n v="1.1742170000000001"/>
    <n v="1.047E-3"/>
    <n v="1.1738200000000001"/>
    <n v="1.1745159999999999"/>
    <n v="6.96E-4"/>
    <x v="0"/>
    <x v="1"/>
    <x v="1"/>
    <n v="1.3799999999999999E-3"/>
  </r>
  <r>
    <x v="0"/>
    <x v="0"/>
    <n v="84"/>
    <x v="0"/>
    <x v="75"/>
    <d v="2018-07-11T01:00:00"/>
    <n v="1.17384"/>
    <n v="1.1729639999999999"/>
    <n v="8.7600000000000004E-4"/>
    <n v="1.1738999999999999"/>
    <n v="1.174126"/>
    <n v="2.2599999999999999E-4"/>
    <n v="1.1732"/>
    <n v="1.172957"/>
    <n v="2.43E-4"/>
    <n v="1.1735100000000001"/>
    <n v="1.174056"/>
    <n v="5.4600000000000004E-4"/>
    <x v="0"/>
    <x v="1"/>
    <x v="1"/>
    <n v="6.9999999999999999E-4"/>
  </r>
  <r>
    <x v="0"/>
    <x v="0"/>
    <n v="86"/>
    <x v="0"/>
    <x v="76"/>
    <d v="2018-07-11T02:00:00"/>
    <n v="1.1735"/>
    <n v="1.171916"/>
    <n v="1.5839999999999999E-3"/>
    <n v="1.1736500000000001"/>
    <n v="1.172928"/>
    <n v="7.2199999999999999E-4"/>
    <n v="1.1724399999999999"/>
    <n v="1.1718710000000001"/>
    <n v="5.6899999999999995E-4"/>
    <n v="1.17272"/>
    <n v="1.173338"/>
    <n v="6.1799999999999995E-4"/>
    <x v="0"/>
    <x v="1"/>
    <x v="1"/>
    <n v="1.2099999999999999E-3"/>
  </r>
  <r>
    <x v="0"/>
    <x v="0"/>
    <n v="88"/>
    <x v="0"/>
    <x v="77"/>
    <d v="2018-07-11T03:00:00"/>
    <n v="1.1727099999999999"/>
    <n v="1.1723030000000001"/>
    <n v="4.0700000000000003E-4"/>
    <n v="1.1731499999999999"/>
    <n v="1.173063"/>
    <n v="8.7000000000000001E-5"/>
    <n v="1.1723399999999999"/>
    <n v="1.1718440000000001"/>
    <n v="4.9600000000000002E-4"/>
    <n v="1.17258"/>
    <n v="1.172641"/>
    <n v="6.0999999999999999E-5"/>
    <x v="0"/>
    <x v="1"/>
    <x v="1"/>
    <n v="8.0999999999999996E-4"/>
  </r>
  <r>
    <x v="0"/>
    <x v="0"/>
    <n v="90"/>
    <x v="0"/>
    <x v="78"/>
    <d v="2018-07-11T04:00:00"/>
    <n v="1.1725699999999999"/>
    <n v="1.171022"/>
    <n v="1.5479999999999999E-3"/>
    <n v="1.1731199999999999"/>
    <n v="1.1723479999999999"/>
    <n v="7.7200000000000001E-4"/>
    <n v="1.17231"/>
    <n v="1.17109"/>
    <n v="1.2199999999999999E-3"/>
    <n v="1.1730499999999999"/>
    <n v="1.172383"/>
    <n v="6.6699999999999995E-4"/>
    <x v="0"/>
    <x v="1"/>
    <x v="1"/>
    <n v="8.0999999999999996E-4"/>
  </r>
  <r>
    <x v="0"/>
    <x v="0"/>
    <n v="92"/>
    <x v="0"/>
    <x v="79"/>
    <d v="2018-07-11T05:00:00"/>
    <n v="1.1730499999999999"/>
    <n v="1.1719269999999999"/>
    <n v="1.1230000000000001E-3"/>
    <n v="1.17357"/>
    <n v="1.1727300000000001"/>
    <n v="8.4000000000000003E-4"/>
    <n v="1.1727099999999999"/>
    <n v="1.171896"/>
    <n v="8.1400000000000005E-4"/>
    <n v="1.1729000000000001"/>
    <n v="1.172928"/>
    <n v="2.8E-5"/>
    <x v="0"/>
    <x v="1"/>
    <x v="1"/>
    <n v="8.5999999999999998E-4"/>
  </r>
  <r>
    <x v="0"/>
    <x v="0"/>
    <n v="94"/>
    <x v="0"/>
    <x v="80"/>
    <d v="2018-07-11T06:00:00"/>
    <n v="1.1729099999999999"/>
    <n v="1.1719200000000001"/>
    <n v="9.8999999999999999E-4"/>
    <n v="1.1731199999999999"/>
    <n v="1.172768"/>
    <n v="3.5199999999999999E-4"/>
    <n v="1.1723699999999999"/>
    <n v="1.171889"/>
    <n v="4.8099999999999998E-4"/>
    <n v="1.17286"/>
    <n v="1.172712"/>
    <n v="1.4799999999999999E-4"/>
    <x v="0"/>
    <x v="1"/>
    <x v="1"/>
    <n v="7.5000000000000002E-4"/>
  </r>
  <r>
    <x v="0"/>
    <x v="0"/>
    <n v="96"/>
    <x v="0"/>
    <x v="81"/>
    <d v="2018-07-11T07:00:00"/>
    <n v="1.1728799999999999"/>
    <n v="1.1714629999999999"/>
    <n v="1.4170000000000001E-3"/>
    <n v="1.1729799999999999"/>
    <n v="1.172334"/>
    <n v="6.4599999999999998E-4"/>
    <n v="1.1721999999999999"/>
    <n v="1.171495"/>
    <n v="7.0500000000000001E-4"/>
    <n v="1.1726300000000001"/>
    <n v="1.172712"/>
    <n v="8.2000000000000001E-5"/>
    <x v="0"/>
    <x v="1"/>
    <x v="1"/>
    <n v="7.7999999999999999E-4"/>
  </r>
  <r>
    <x v="0"/>
    <x v="0"/>
    <n v="98"/>
    <x v="0"/>
    <x v="82"/>
    <d v="2018-07-11T08:00:00"/>
    <n v="1.1726300000000001"/>
    <n v="1.17178"/>
    <n v="8.4999999999999995E-4"/>
    <n v="1.1731400000000001"/>
    <n v="1.1724749999999999"/>
    <n v="6.6500000000000001E-4"/>
    <n v="1.1724600000000001"/>
    <n v="1.1714340000000001"/>
    <n v="1.026E-3"/>
    <n v="1.17282"/>
    <n v="1.1725429999999999"/>
    <n v="2.7700000000000001E-4"/>
    <x v="0"/>
    <x v="1"/>
    <x v="1"/>
    <n v="6.8000000000000005E-4"/>
  </r>
  <r>
    <x v="0"/>
    <x v="0"/>
    <n v="100"/>
    <x v="0"/>
    <x v="83"/>
    <d v="2018-07-11T09:00:00"/>
    <n v="1.17282"/>
    <n v="1.1724220000000001"/>
    <n v="3.9800000000000002E-4"/>
    <n v="1.17395"/>
    <n v="1.173084"/>
    <n v="8.6600000000000002E-4"/>
    <n v="1.1723699999999999"/>
    <n v="1.172069"/>
    <n v="3.01E-4"/>
    <n v="1.17296"/>
    <n v="1.1727259999999999"/>
    <n v="2.34E-4"/>
    <x v="0"/>
    <x v="1"/>
    <x v="1"/>
    <n v="1.58E-3"/>
  </r>
  <r>
    <x v="0"/>
    <x v="0"/>
    <n v="102"/>
    <x v="0"/>
    <x v="84"/>
    <d v="2018-07-11T10:00:00"/>
    <n v="1.17296"/>
    <n v="1.172723"/>
    <n v="2.3699999999999999E-4"/>
    <n v="1.1736899999999999"/>
    <n v="1.1739059999999999"/>
    <n v="2.1599999999999999E-4"/>
    <n v="1.1721299999999999"/>
    <n v="1.172309"/>
    <n v="1.7899999999999999E-4"/>
    <n v="1.1732400000000001"/>
    <n v="1.1729560000000001"/>
    <n v="2.8400000000000002E-4"/>
    <x v="0"/>
    <x v="1"/>
    <x v="1"/>
    <n v="1.56E-3"/>
  </r>
  <r>
    <x v="0"/>
    <x v="0"/>
    <n v="104"/>
    <x v="0"/>
    <x v="85"/>
    <d v="2018-07-11T11:00:00"/>
    <n v="1.1732400000000001"/>
    <n v="1.173052"/>
    <n v="1.8799999999999999E-4"/>
    <n v="1.1739900000000001"/>
    <n v="1.1736850000000001"/>
    <n v="3.0499999999999999E-4"/>
    <n v="1.17073"/>
    <n v="1.172096"/>
    <n v="1.366E-3"/>
    <n v="1.1707700000000001"/>
    <n v="1.172995"/>
    <n v="2.225E-3"/>
    <x v="0"/>
    <x v="1"/>
    <x v="1"/>
    <n v="3.2599999999999999E-3"/>
  </r>
  <r>
    <x v="0"/>
    <x v="0"/>
    <n v="106"/>
    <x v="0"/>
    <x v="86"/>
    <d v="2018-07-11T12:00:00"/>
    <n v="1.17075"/>
    <n v="1.1692229999999999"/>
    <n v="1.5269999999999999E-3"/>
    <n v="1.1710700000000001"/>
    <n v="1.1714580000000001"/>
    <n v="3.88E-4"/>
    <n v="1.16943"/>
    <n v="1.1686529999999999"/>
    <n v="7.7700000000000002E-4"/>
    <n v="1.1702699999999999"/>
    <n v="1.1706589999999999"/>
    <n v="3.8900000000000002E-4"/>
    <x v="0"/>
    <x v="1"/>
    <x v="1"/>
    <n v="1.64E-3"/>
  </r>
  <r>
    <x v="0"/>
    <x v="0"/>
    <n v="108"/>
    <x v="0"/>
    <x v="87"/>
    <d v="2018-07-11T13:00:00"/>
    <n v="1.17028"/>
    <n v="1.1700090000000001"/>
    <n v="2.7099999999999997E-4"/>
    <n v="1.1716800000000001"/>
    <n v="1.1711009999999999"/>
    <n v="5.7899999999999998E-4"/>
    <n v="1.1701299999999999"/>
    <n v="1.169117"/>
    <n v="1.013E-3"/>
    <n v="1.1711199999999999"/>
    <n v="1.170353"/>
    <n v="7.67E-4"/>
    <x v="0"/>
    <x v="1"/>
    <x v="1"/>
    <n v="1.5499999999999999E-3"/>
  </r>
  <r>
    <x v="0"/>
    <x v="0"/>
    <n v="110"/>
    <x v="0"/>
    <x v="88"/>
    <d v="2018-07-11T14:00:00"/>
    <n v="1.1711199999999999"/>
    <n v="1.170893"/>
    <n v="2.2699999999999999E-4"/>
    <n v="1.1719599999999999"/>
    <n v="1.1718390000000001"/>
    <n v="1.21E-4"/>
    <n v="1.16991"/>
    <n v="1.1702349999999999"/>
    <n v="3.2499999999999999E-4"/>
    <n v="1.17059"/>
    <n v="1.1710529999999999"/>
    <n v="4.6299999999999998E-4"/>
    <x v="0"/>
    <x v="1"/>
    <x v="1"/>
    <n v="2.0500000000000002E-3"/>
  </r>
  <r>
    <x v="0"/>
    <x v="0"/>
    <n v="112"/>
    <x v="0"/>
    <x v="89"/>
    <d v="2018-07-11T15:00:00"/>
    <n v="1.17058"/>
    <n v="1.1694690000000001"/>
    <n v="1.111E-3"/>
    <n v="1.1754"/>
    <n v="1.1711259999999999"/>
    <n v="4.274E-3"/>
    <n v="1.17004"/>
    <n v="1.1691210000000001"/>
    <n v="9.19E-4"/>
    <n v="1.1751"/>
    <n v="1.1706799999999999"/>
    <n v="4.4200000000000003E-3"/>
    <x v="0"/>
    <x v="1"/>
    <x v="1"/>
    <n v="5.3600000000000002E-3"/>
  </r>
  <r>
    <x v="0"/>
    <x v="0"/>
    <n v="114"/>
    <x v="0"/>
    <x v="90"/>
    <d v="2018-07-11T16:00:00"/>
    <n v="1.1751100000000001"/>
    <n v="1.175886"/>
    <n v="7.76E-4"/>
    <n v="1.1757500000000001"/>
    <n v="1.177986"/>
    <n v="2.2360000000000001E-3"/>
    <n v="1.17431"/>
    <n v="1.1732819999999999"/>
    <n v="1.0280000000000001E-3"/>
    <n v="1.17458"/>
    <n v="1.1752100000000001"/>
    <n v="6.3000000000000003E-4"/>
    <x v="0"/>
    <x v="1"/>
    <x v="1"/>
    <n v="1.4400000000000001E-3"/>
  </r>
  <r>
    <x v="0"/>
    <x v="0"/>
    <n v="116"/>
    <x v="0"/>
    <x v="91"/>
    <d v="2018-07-11T17:00:00"/>
    <n v="1.17459"/>
    <n v="1.173508"/>
    <n v="1.0820000000000001E-3"/>
    <n v="1.1749099999999999"/>
    <n v="1.1752149999999999"/>
    <n v="3.0499999999999999E-4"/>
    <n v="1.1717299999999999"/>
    <n v="1.1723600000000001"/>
    <n v="6.3000000000000003E-4"/>
    <n v="1.17211"/>
    <n v="1.1742919999999999"/>
    <n v="2.1819999999999999E-3"/>
    <x v="0"/>
    <x v="1"/>
    <x v="1"/>
    <n v="3.1800000000000001E-3"/>
  </r>
  <r>
    <x v="0"/>
    <x v="0"/>
    <n v="118"/>
    <x v="0"/>
    <x v="92"/>
    <d v="2018-07-11T18:00:00"/>
    <n v="1.1720999999999999"/>
    <n v="1.17059"/>
    <n v="1.5100000000000001E-3"/>
    <n v="1.1727300000000001"/>
    <n v="1.172409"/>
    <n v="3.21E-4"/>
    <n v="1.1709400000000001"/>
    <n v="1.170083"/>
    <n v="8.5700000000000001E-4"/>
    <n v="1.1721600000000001"/>
    <n v="1.1721790000000001"/>
    <n v="1.9000000000000001E-5"/>
    <x v="0"/>
    <x v="1"/>
    <x v="1"/>
    <n v="1.7899999999999999E-3"/>
  </r>
  <r>
    <x v="0"/>
    <x v="0"/>
    <n v="120"/>
    <x v="0"/>
    <x v="93"/>
    <d v="2018-07-11T19:00:00"/>
    <n v="1.1721699999999999"/>
    <n v="1.1715070000000001"/>
    <n v="6.6299999999999996E-4"/>
    <n v="1.17262"/>
    <n v="1.1728879999999999"/>
    <n v="2.6800000000000001E-4"/>
    <n v="1.1696200000000001"/>
    <n v="1.1704429999999999"/>
    <n v="8.2299999999999995E-4"/>
    <n v="1.1698900000000001"/>
    <n v="1.1722140000000001"/>
    <n v="2.3240000000000001E-3"/>
    <x v="0"/>
    <x v="1"/>
    <x v="1"/>
    <n v="3.0000000000000001E-3"/>
  </r>
  <r>
    <x v="0"/>
    <x v="0"/>
    <n v="122"/>
    <x v="0"/>
    <x v="94"/>
    <d v="2018-07-11T20:00:00"/>
    <n v="1.1698900000000001"/>
    <n v="1.167997"/>
    <n v="1.8929999999999999E-3"/>
    <n v="1.1698900000000001"/>
    <n v="1.17031"/>
    <n v="4.2000000000000002E-4"/>
    <n v="1.1666799999999999"/>
    <n v="1.1672480000000001"/>
    <n v="5.6800000000000004E-4"/>
    <n v="1.1672899999999999"/>
    <n v="1.169778"/>
    <n v="2.4880000000000002E-3"/>
    <x v="0"/>
    <x v="1"/>
    <x v="1"/>
    <n v="3.2100000000000002E-3"/>
  </r>
  <r>
    <x v="0"/>
    <x v="0"/>
    <n v="124"/>
    <x v="0"/>
    <x v="95"/>
    <d v="2018-07-11T21:00:00"/>
    <n v="1.1672800000000001"/>
    <n v="1.165429"/>
    <n v="1.851E-3"/>
    <n v="1.1681999999999999"/>
    <n v="1.167643"/>
    <n v="5.5699999999999999E-4"/>
    <n v="1.1664600000000001"/>
    <n v="1.1644140000000001"/>
    <n v="2.0460000000000001E-3"/>
    <n v="1.16733"/>
    <n v="1.1672480000000001"/>
    <n v="8.2000000000000001E-5"/>
    <x v="0"/>
    <x v="1"/>
    <x v="1"/>
    <n v="1.74E-3"/>
  </r>
  <r>
    <x v="0"/>
    <x v="0"/>
    <n v="126"/>
    <x v="0"/>
    <x v="96"/>
    <d v="2018-07-11T22:00:00"/>
    <n v="1.1673199999999999"/>
    <n v="1.1684779999999999"/>
    <n v="1.158E-3"/>
    <n v="1.16771"/>
    <n v="1.1688909999999999"/>
    <n v="1.181E-3"/>
    <n v="1.1667400000000001"/>
    <n v="1.1667320000000001"/>
    <n v="7.9999999999999996E-6"/>
    <n v="1.16686"/>
    <n v="1.1670529999999999"/>
    <n v="1.93E-4"/>
    <x v="0"/>
    <x v="1"/>
    <x v="1"/>
    <n v="9.7000000000000005E-4"/>
  </r>
  <r>
    <x v="0"/>
    <x v="0"/>
    <n v="128"/>
    <x v="0"/>
    <x v="97"/>
    <d v="2018-07-11T23:00:00"/>
    <n v="1.167"/>
    <n v="1.1663049999999999"/>
    <n v="6.9499999999999998E-4"/>
    <n v="1.1675899999999999"/>
    <n v="1.1674089999999999"/>
    <n v="1.8100000000000001E-4"/>
    <n v="1.167"/>
    <n v="1.1659809999999999"/>
    <n v="1.0189999999999999E-3"/>
    <n v="1.1670700000000001"/>
    <n v="1.1668400000000001"/>
    <n v="2.3000000000000001E-4"/>
    <x v="0"/>
    <x v="1"/>
    <x v="1"/>
    <n v="5.9000000000000003E-4"/>
  </r>
  <r>
    <x v="0"/>
    <x v="0"/>
    <n v="130"/>
    <x v="0"/>
    <x v="98"/>
    <d v="2018-07-12T00:00:00"/>
    <n v="1.1670700000000001"/>
    <n v="1.166077"/>
    <n v="9.9299999999999996E-4"/>
    <n v="1.1676800000000001"/>
    <n v="1.166811"/>
    <n v="8.6899999999999998E-4"/>
    <n v="1.1668499999999999"/>
    <n v="1.166193"/>
    <n v="6.5700000000000003E-4"/>
    <n v="1.16726"/>
    <n v="1.166779"/>
    <n v="4.8099999999999998E-4"/>
    <x v="0"/>
    <x v="1"/>
    <x v="1"/>
    <n v="8.3000000000000001E-4"/>
  </r>
  <r>
    <x v="0"/>
    <x v="0"/>
    <n v="132"/>
    <x v="0"/>
    <x v="99"/>
    <d v="2018-07-12T01:00:00"/>
    <n v="1.16727"/>
    <n v="1.1673279999999999"/>
    <n v="5.8E-5"/>
    <n v="1.1675800000000001"/>
    <n v="1.167943"/>
    <n v="3.6299999999999999E-4"/>
    <n v="1.1671899999999999"/>
    <n v="1.167114"/>
    <n v="7.6000000000000004E-5"/>
    <n v="1.16751"/>
    <n v="1.167308"/>
    <n v="2.02E-4"/>
    <x v="0"/>
    <x v="1"/>
    <x v="1"/>
    <n v="3.8999999999999999E-4"/>
  </r>
  <r>
    <x v="0"/>
    <x v="0"/>
    <n v="134"/>
    <x v="0"/>
    <x v="100"/>
    <d v="2018-07-12T02:00:00"/>
    <n v="1.1675"/>
    <n v="1.163729"/>
    <n v="3.771E-3"/>
    <n v="1.1677"/>
    <n v="1.165608"/>
    <n v="2.0920000000000001E-3"/>
    <n v="1.1671499999999999"/>
    <n v="1.1648719999999999"/>
    <n v="2.2780000000000001E-3"/>
    <n v="1.1674199999999999"/>
    <n v="1.167303"/>
    <n v="1.17E-4"/>
    <x v="0"/>
    <x v="1"/>
    <x v="1"/>
    <n v="5.5000000000000003E-4"/>
  </r>
  <r>
    <x v="0"/>
    <x v="0"/>
    <n v="136"/>
    <x v="0"/>
    <x v="101"/>
    <d v="2018-07-12T03:00:00"/>
    <n v="1.1671899999999999"/>
    <n v="1.167597"/>
    <n v="4.0700000000000003E-4"/>
    <n v="1.16795"/>
    <n v="1.167743"/>
    <n v="2.0699999999999999E-4"/>
    <n v="1.1671400000000001"/>
    <n v="1.167262"/>
    <n v="1.22E-4"/>
    <n v="1.1674"/>
    <n v="1.167441"/>
    <n v="4.1E-5"/>
    <x v="0"/>
    <x v="1"/>
    <x v="1"/>
    <n v="8.0999999999999996E-4"/>
  </r>
  <r>
    <x v="0"/>
    <x v="0"/>
    <n v="138"/>
    <x v="0"/>
    <x v="102"/>
    <d v="2018-07-12T05:00:00"/>
    <n v="1.1674199999999999"/>
    <n v="1.166774"/>
    <n v="6.4599999999999998E-4"/>
    <n v="1.1678999999999999"/>
    <n v="1.167667"/>
    <n v="2.33E-4"/>
    <n v="1.1671400000000001"/>
    <n v="1.1669320000000001"/>
    <n v="2.0799999999999999E-4"/>
    <n v="1.16717"/>
    <n v="1.1673770000000001"/>
    <n v="2.0699999999999999E-4"/>
    <x v="0"/>
    <x v="1"/>
    <x v="1"/>
    <n v="7.6000000000000004E-4"/>
  </r>
  <r>
    <x v="0"/>
    <x v="0"/>
    <n v="140"/>
    <x v="0"/>
    <x v="103"/>
    <d v="2018-07-12T06:00:00"/>
    <n v="1.16716"/>
    <n v="1.1682459999999999"/>
    <n v="1.0859999999999999E-3"/>
    <n v="1.16764"/>
    <n v="1.168223"/>
    <n v="5.8299999999999997E-4"/>
    <n v="1.1670199999999999"/>
    <n v="1.1673709999999999"/>
    <n v="3.5100000000000002E-4"/>
    <n v="1.1675500000000001"/>
    <n v="1.1670240000000001"/>
    <n v="5.2599999999999999E-4"/>
    <x v="0"/>
    <x v="1"/>
    <x v="1"/>
    <n v="6.2E-4"/>
  </r>
  <r>
    <x v="0"/>
    <x v="0"/>
    <n v="142"/>
    <x v="0"/>
    <x v="104"/>
    <d v="2018-07-12T07:00:00"/>
    <n v="1.16754"/>
    <n v="1.1689419999999999"/>
    <n v="1.402E-3"/>
    <n v="1.1682900000000001"/>
    <n v="1.168939"/>
    <n v="6.4899999999999995E-4"/>
    <n v="1.1674899999999999"/>
    <n v="1.1679330000000001"/>
    <n v="4.4299999999999998E-4"/>
    <n v="1.16818"/>
    <n v="1.1677249999999999"/>
    <n v="4.55E-4"/>
    <x v="0"/>
    <x v="1"/>
    <x v="1"/>
    <n v="8.0000000000000004E-4"/>
  </r>
  <r>
    <x v="0"/>
    <x v="0"/>
    <n v="144"/>
    <x v="0"/>
    <x v="105"/>
    <d v="2018-07-12T08:00:00"/>
    <n v="1.1681900000000001"/>
    <n v="1.167929"/>
    <n v="2.61E-4"/>
    <n v="1.1685399999999999"/>
    <n v="1.1685460000000001"/>
    <n v="6.0000000000000002E-6"/>
    <n v="1.1677200000000001"/>
    <n v="1.167448"/>
    <n v="2.72E-4"/>
    <n v="1.1677599999999999"/>
    <n v="1.1680950000000001"/>
    <n v="3.3500000000000001E-4"/>
    <x v="0"/>
    <x v="1"/>
    <x v="1"/>
    <n v="8.1999999999999998E-4"/>
  </r>
  <r>
    <x v="0"/>
    <x v="0"/>
    <n v="146"/>
    <x v="0"/>
    <x v="106"/>
    <d v="2018-07-12T09:00:00"/>
    <n v="1.1677599999999999"/>
    <n v="1.167206"/>
    <n v="5.5400000000000002E-4"/>
    <n v="1.16859"/>
    <n v="1.1680109999999999"/>
    <n v="5.7899999999999998E-4"/>
    <n v="1.16706"/>
    <n v="1.167127"/>
    <n v="6.7000000000000002E-5"/>
    <n v="1.1684099999999999"/>
    <n v="1.167691"/>
    <n v="7.1900000000000002E-4"/>
    <x v="0"/>
    <x v="1"/>
    <x v="1"/>
    <n v="1.5299999999999999E-3"/>
  </r>
  <r>
    <x v="0"/>
    <x v="0"/>
    <n v="148"/>
    <x v="0"/>
    <x v="107"/>
    <d v="2018-07-12T10:00:00"/>
    <n v="1.1683699999999999"/>
    <n v="1.168323"/>
    <n v="4.6999999999999997E-5"/>
    <n v="1.1692199999999999"/>
    <n v="1.168965"/>
    <n v="2.5500000000000002E-4"/>
    <n v="1.1673"/>
    <n v="1.1675960000000001"/>
    <n v="2.9599999999999998E-4"/>
    <n v="1.1684000000000001"/>
    <n v="1.168668"/>
    <n v="2.6800000000000001E-4"/>
    <x v="0"/>
    <x v="1"/>
    <x v="1"/>
    <n v="1.92E-3"/>
  </r>
  <r>
    <x v="0"/>
    <x v="0"/>
    <n v="150"/>
    <x v="0"/>
    <x v="108"/>
    <d v="2018-07-12T11:00:00"/>
    <n v="1.1684000000000001"/>
    <n v="1.1675739999999999"/>
    <n v="8.2600000000000002E-4"/>
    <n v="1.16917"/>
    <n v="1.168731"/>
    <n v="4.3899999999999999E-4"/>
    <n v="1.1671899999999999"/>
    <n v="1.166671"/>
    <n v="5.1900000000000004E-4"/>
    <n v="1.16737"/>
    <n v="1.1681600000000001"/>
    <n v="7.9000000000000001E-4"/>
    <x v="0"/>
    <x v="1"/>
    <x v="1"/>
    <n v="1.98E-3"/>
  </r>
  <r>
    <x v="0"/>
    <x v="0"/>
    <n v="152"/>
    <x v="0"/>
    <x v="109"/>
    <d v="2018-07-12T12:00:00"/>
    <n v="1.1673800000000001"/>
    <n v="1.1660569999999999"/>
    <n v="1.323E-3"/>
    <n v="1.1682600000000001"/>
    <n v="1.1677109999999999"/>
    <n v="5.4900000000000001E-4"/>
    <n v="1.16683"/>
    <n v="1.1657409999999999"/>
    <n v="1.0889999999999999E-3"/>
    <n v="1.16764"/>
    <n v="1.167184"/>
    <n v="4.5600000000000003E-4"/>
    <x v="0"/>
    <x v="1"/>
    <x v="1"/>
    <n v="1.4300000000000001E-3"/>
  </r>
  <r>
    <x v="0"/>
    <x v="0"/>
    <n v="154"/>
    <x v="0"/>
    <x v="110"/>
    <d v="2018-07-12T13:00:00"/>
    <n v="1.1676299999999999"/>
    <n v="1.1672959999999999"/>
    <n v="3.3399999999999999E-4"/>
    <n v="1.16801"/>
    <n v="1.168293"/>
    <n v="2.8299999999999999E-4"/>
    <n v="1.16598"/>
    <n v="1.1663060000000001"/>
    <n v="3.2600000000000001E-4"/>
    <n v="1.16604"/>
    <n v="1.1675230000000001"/>
    <n v="1.4829999999999999E-3"/>
    <x v="0"/>
    <x v="1"/>
    <x v="1"/>
    <n v="2.0300000000000001E-3"/>
  </r>
  <r>
    <x v="0"/>
    <x v="0"/>
    <n v="156"/>
    <x v="0"/>
    <x v="111"/>
    <d v="2018-07-12T14:00:00"/>
    <n v="1.16605"/>
    <n v="1.1647069999999999"/>
    <n v="1.343E-3"/>
    <n v="1.1663399999999999"/>
    <n v="1.1666240000000001"/>
    <n v="2.8400000000000002E-4"/>
    <n v="1.1649"/>
    <n v="1.164479"/>
    <n v="4.2099999999999999E-4"/>
    <n v="1.1652199999999999"/>
    <n v="1.166037"/>
    <n v="8.1700000000000002E-4"/>
    <x v="0"/>
    <x v="1"/>
    <x v="1"/>
    <n v="1.4400000000000001E-3"/>
  </r>
  <r>
    <x v="0"/>
    <x v="0"/>
    <n v="158"/>
    <x v="0"/>
    <x v="112"/>
    <d v="2018-07-12T15:00:00"/>
    <n v="1.1652199999999999"/>
    <n v="1.1640870000000001"/>
    <n v="1.1329999999999999E-3"/>
    <n v="1.1687000000000001"/>
    <n v="1.165502"/>
    <n v="3.1979999999999999E-3"/>
    <n v="1.1652199999999999"/>
    <n v="1.1636660000000001"/>
    <n v="1.554E-3"/>
    <n v="1.1670700000000001"/>
    <n v="1.1652009999999999"/>
    <n v="1.869E-3"/>
    <x v="0"/>
    <x v="1"/>
    <x v="1"/>
    <n v="3.48E-3"/>
  </r>
  <r>
    <x v="0"/>
    <x v="0"/>
    <n v="160"/>
    <x v="0"/>
    <x v="113"/>
    <d v="2018-07-12T16:00:00"/>
    <n v="1.1670799999999999"/>
    <n v="1.167562"/>
    <n v="4.8200000000000001E-4"/>
    <n v="1.1680299999999999"/>
    <n v="1.169368"/>
    <n v="1.338E-3"/>
    <n v="1.1666000000000001"/>
    <n v="1.166345"/>
    <n v="2.5500000000000002E-4"/>
    <n v="1.1672100000000001"/>
    <n v="1.1668179999999999"/>
    <n v="3.9199999999999999E-4"/>
    <x v="0"/>
    <x v="1"/>
    <x v="1"/>
    <n v="1.4300000000000001E-3"/>
  </r>
  <r>
    <x v="0"/>
    <x v="0"/>
    <n v="162"/>
    <x v="0"/>
    <x v="114"/>
    <d v="2018-07-12T17:00:00"/>
    <n v="1.1672199999999999"/>
    <n v="1.166399"/>
    <n v="8.2100000000000001E-4"/>
    <n v="1.1685000000000001"/>
    <n v="1.1680219999999999"/>
    <n v="4.7800000000000002E-4"/>
    <n v="1.16682"/>
    <n v="1.1659390000000001"/>
    <n v="8.8099999999999995E-4"/>
    <n v="1.16831"/>
    <n v="1.166922"/>
    <n v="1.3879999999999999E-3"/>
    <x v="0"/>
    <x v="1"/>
    <x v="1"/>
    <n v="1.6800000000000001E-3"/>
  </r>
  <r>
    <x v="0"/>
    <x v="0"/>
    <n v="164"/>
    <x v="0"/>
    <x v="115"/>
    <d v="2018-07-12T18:00:00"/>
    <n v="1.1683300000000001"/>
    <n v="1.167942"/>
    <n v="3.88E-4"/>
    <n v="1.1694899999999999"/>
    <n v="1.1686540000000001"/>
    <n v="8.3600000000000005E-4"/>
    <n v="1.16774"/>
    <n v="1.167114"/>
    <n v="6.2600000000000004E-4"/>
    <n v="1.16899"/>
    <n v="1.16815"/>
    <n v="8.4000000000000003E-4"/>
    <x v="0"/>
    <x v="1"/>
    <x v="1"/>
    <n v="1.75E-3"/>
  </r>
  <r>
    <x v="0"/>
    <x v="0"/>
    <n v="166"/>
    <x v="0"/>
    <x v="116"/>
    <d v="2018-07-12T19:00:00"/>
    <n v="1.169"/>
    <n v="1.1690160000000001"/>
    <n v="1.5999999999999999E-5"/>
    <n v="1.16919"/>
    <n v="1.169724"/>
    <n v="5.3399999999999997E-4"/>
    <n v="1.1680299999999999"/>
    <n v="1.1679809999999999"/>
    <n v="4.8999999999999998E-5"/>
    <n v="1.16814"/>
    <n v="1.1688559999999999"/>
    <n v="7.1599999999999995E-4"/>
    <x v="0"/>
    <x v="1"/>
    <x v="1"/>
    <n v="1.16E-3"/>
  </r>
  <r>
    <x v="0"/>
    <x v="0"/>
    <n v="168"/>
    <x v="0"/>
    <x v="117"/>
    <d v="2018-07-12T20:00:00"/>
    <n v="1.16815"/>
    <n v="1.1665190000000001"/>
    <n v="1.6310000000000001E-3"/>
    <n v="1.16862"/>
    <n v="1.168059"/>
    <n v="5.6099999999999998E-4"/>
    <n v="1.1669"/>
    <n v="1.1665030000000001"/>
    <n v="3.97E-4"/>
    <n v="1.1675500000000001"/>
    <n v="1.168153"/>
    <n v="6.0300000000000002E-4"/>
    <x v="0"/>
    <x v="1"/>
    <x v="1"/>
    <n v="1.72E-3"/>
  </r>
  <r>
    <x v="0"/>
    <x v="0"/>
    <n v="170"/>
    <x v="0"/>
    <x v="118"/>
    <d v="2018-07-12T21:00:00"/>
    <n v="1.1675599999999999"/>
    <n v="1.1666300000000001"/>
    <n v="9.3000000000000005E-4"/>
    <n v="1.16771"/>
    <n v="1.167821"/>
    <n v="1.11E-4"/>
    <n v="1.16686"/>
    <n v="1.1660159999999999"/>
    <n v="8.4400000000000002E-4"/>
    <n v="1.1669700000000001"/>
    <n v="1.1674720000000001"/>
    <n v="5.0199999999999995E-4"/>
    <x v="0"/>
    <x v="1"/>
    <x v="1"/>
    <n v="8.4999999999999995E-4"/>
  </r>
  <r>
    <x v="0"/>
    <x v="0"/>
    <n v="172"/>
    <x v="0"/>
    <x v="119"/>
    <d v="2018-07-12T22:00:00"/>
    <n v="1.1669700000000001"/>
    <n v="1.1669449999999999"/>
    <n v="2.5000000000000001E-5"/>
    <n v="1.1674899999999999"/>
    <n v="1.167524"/>
    <n v="3.4E-5"/>
    <n v="1.1665700000000001"/>
    <n v="1.1666620000000001"/>
    <n v="9.2E-5"/>
    <n v="1.1673500000000001"/>
    <n v="1.1670579999999999"/>
    <n v="2.92E-4"/>
    <x v="0"/>
    <x v="1"/>
    <x v="1"/>
    <n v="9.2000000000000003E-4"/>
  </r>
  <r>
    <x v="0"/>
    <x v="0"/>
    <n v="174"/>
    <x v="0"/>
    <x v="120"/>
    <d v="2018-07-12T23:00:00"/>
    <n v="1.1673500000000001"/>
    <n v="1.166814"/>
    <n v="5.3600000000000002E-4"/>
    <n v="1.1673899999999999"/>
    <n v="1.167316"/>
    <n v="7.3999999999999996E-5"/>
    <n v="1.1668400000000001"/>
    <n v="1.1666890000000001"/>
    <n v="1.5100000000000001E-4"/>
    <n v="1.1669799999999999"/>
    <n v="1.1673990000000001"/>
    <n v="4.1899999999999999E-4"/>
    <x v="0"/>
    <x v="1"/>
    <x v="1"/>
    <n v="5.5000000000000003E-4"/>
  </r>
  <r>
    <x v="0"/>
    <x v="0"/>
    <n v="176"/>
    <x v="0"/>
    <x v="121"/>
    <d v="2018-07-13T00:00:00"/>
    <n v="1.1668000000000001"/>
    <n v="1.167338"/>
    <n v="5.3799999999999996E-4"/>
    <n v="1.16682"/>
    <n v="1.167454"/>
    <n v="6.3400000000000001E-4"/>
    <n v="1.1654500000000001"/>
    <n v="1.166488"/>
    <n v="1.0380000000000001E-3"/>
    <n v="1.16631"/>
    <n v="1.1667920000000001"/>
    <n v="4.8200000000000001E-4"/>
    <x v="0"/>
    <x v="1"/>
    <x v="1"/>
    <n v="1.3699999999999999E-3"/>
  </r>
  <r>
    <x v="0"/>
    <x v="0"/>
    <n v="178"/>
    <x v="0"/>
    <x v="122"/>
    <d v="2018-07-13T02:00:00"/>
    <n v="1.1662999999999999"/>
    <n v="1.164282"/>
    <n v="2.0179999999999998E-3"/>
    <n v="1.16638"/>
    <n v="1.165559"/>
    <n v="8.2100000000000001E-4"/>
    <n v="1.1657999999999999"/>
    <n v="1.1641010000000001"/>
    <n v="1.699E-3"/>
    <n v="1.1663300000000001"/>
    <n v="1.1662809999999999"/>
    <n v="4.8999999999999998E-5"/>
    <x v="0"/>
    <x v="1"/>
    <x v="1"/>
    <n v="5.8E-4"/>
  </r>
  <r>
    <x v="0"/>
    <x v="0"/>
    <n v="180"/>
    <x v="0"/>
    <x v="123"/>
    <d v="2018-07-13T03:00:00"/>
    <n v="1.16632"/>
    <n v="1.1657569999999999"/>
    <n v="5.6300000000000002E-4"/>
    <n v="1.1669"/>
    <n v="1.166229"/>
    <n v="6.7100000000000005E-4"/>
    <n v="1.1660200000000001"/>
    <n v="1.1653340000000001"/>
    <n v="6.8599999999999998E-4"/>
    <n v="1.1666099999999999"/>
    <n v="1.166282"/>
    <n v="3.28E-4"/>
    <x v="0"/>
    <x v="1"/>
    <x v="1"/>
    <n v="8.8000000000000003E-4"/>
  </r>
  <r>
    <x v="0"/>
    <x v="0"/>
    <n v="182"/>
    <x v="0"/>
    <x v="124"/>
    <d v="2018-07-13T04:00:00"/>
    <n v="1.16662"/>
    <n v="1.1655340000000001"/>
    <n v="1.0859999999999999E-3"/>
    <n v="1.16743"/>
    <n v="1.1663749999999999"/>
    <n v="1.0549999999999999E-3"/>
    <n v="1.16635"/>
    <n v="1.165402"/>
    <n v="9.4799999999999995E-4"/>
    <n v="1.1668099999999999"/>
    <n v="1.166493"/>
    <n v="3.1700000000000001E-4"/>
    <x v="0"/>
    <x v="1"/>
    <x v="1"/>
    <n v="1.08E-3"/>
  </r>
  <r>
    <x v="0"/>
    <x v="0"/>
    <n v="184"/>
    <x v="0"/>
    <x v="125"/>
    <d v="2018-07-13T05:00:00"/>
    <n v="1.16679"/>
    <n v="1.165808"/>
    <n v="9.8200000000000002E-4"/>
    <n v="1.16734"/>
    <n v="1.167184"/>
    <n v="1.56E-4"/>
    <n v="1.1665099999999999"/>
    <n v="1.1662520000000001"/>
    <n v="2.5799999999999998E-4"/>
    <n v="1.1668700000000001"/>
    <n v="1.16699"/>
    <n v="1.2E-4"/>
    <x v="0"/>
    <x v="1"/>
    <x v="1"/>
    <n v="8.3000000000000001E-4"/>
  </r>
  <r>
    <x v="0"/>
    <x v="0"/>
    <n v="186"/>
    <x v="0"/>
    <x v="126"/>
    <d v="2018-07-13T06:00:00"/>
    <n v="1.1668700000000001"/>
    <n v="1.1669620000000001"/>
    <n v="9.2E-5"/>
    <n v="1.1668700000000001"/>
    <n v="1.1673530000000001"/>
    <n v="4.8299999999999998E-4"/>
    <n v="1.16598"/>
    <n v="1.1661969999999999"/>
    <n v="2.1699999999999999E-4"/>
    <n v="1.1660900000000001"/>
    <n v="1.1667019999999999"/>
    <n v="6.1200000000000002E-4"/>
    <x v="0"/>
    <x v="1"/>
    <x v="1"/>
    <n v="8.8999999999999995E-4"/>
  </r>
  <r>
    <x v="0"/>
    <x v="0"/>
    <n v="188"/>
    <x v="0"/>
    <x v="127"/>
    <d v="2018-07-13T07:00:00"/>
    <n v="1.1660999999999999"/>
    <n v="1.1656759999999999"/>
    <n v="4.2400000000000001E-4"/>
    <n v="1.1665099999999999"/>
    <n v="1.166364"/>
    <n v="1.46E-4"/>
    <n v="1.1656299999999999"/>
    <n v="1.1654169999999999"/>
    <n v="2.13E-4"/>
    <n v="1.1656299999999999"/>
    <n v="1.1661520000000001"/>
    <n v="5.22E-4"/>
    <x v="0"/>
    <x v="1"/>
    <x v="1"/>
    <n v="8.8000000000000003E-4"/>
  </r>
  <r>
    <x v="0"/>
    <x v="0"/>
    <n v="190"/>
    <x v="0"/>
    <x v="128"/>
    <d v="2018-07-13T08:00:00"/>
    <n v="1.16564"/>
    <n v="1.165097"/>
    <n v="5.4299999999999997E-4"/>
    <n v="1.16629"/>
    <n v="1.1659740000000001"/>
    <n v="3.1599999999999998E-4"/>
    <n v="1.1653899999999999"/>
    <n v="1.164669"/>
    <n v="7.2099999999999996E-4"/>
    <n v="1.16629"/>
    <n v="1.165432"/>
    <n v="8.5800000000000004E-4"/>
    <x v="0"/>
    <x v="1"/>
    <x v="1"/>
    <n v="8.9999999999999998E-4"/>
  </r>
  <r>
    <x v="0"/>
    <x v="0"/>
    <n v="192"/>
    <x v="0"/>
    <x v="129"/>
    <d v="2018-07-13T09:00:00"/>
    <n v="1.16629"/>
    <n v="1.1658930000000001"/>
    <n v="3.97E-4"/>
    <n v="1.16629"/>
    <n v="1.166528"/>
    <n v="2.3800000000000001E-4"/>
    <n v="1.1641600000000001"/>
    <n v="1.165432"/>
    <n v="1.2719999999999999E-3"/>
    <n v="1.16449"/>
    <n v="1.1662509999999999"/>
    <n v="1.761E-3"/>
    <x v="0"/>
    <x v="1"/>
    <x v="1"/>
    <n v="2.1299999999999999E-3"/>
  </r>
  <r>
    <x v="0"/>
    <x v="0"/>
    <n v="194"/>
    <x v="0"/>
    <x v="130"/>
    <d v="2018-07-13T10:00:00"/>
    <n v="1.16448"/>
    <n v="1.163375"/>
    <n v="1.1050000000000001E-3"/>
    <n v="1.16493"/>
    <n v="1.1646259999999999"/>
    <n v="3.0400000000000002E-4"/>
    <n v="1.1624000000000001"/>
    <n v="1.1629510000000001"/>
    <n v="5.5099999999999995E-4"/>
    <n v="1.163"/>
    <n v="1.164571"/>
    <n v="1.5709999999999999E-3"/>
    <x v="0"/>
    <x v="1"/>
    <x v="1"/>
    <n v="2.5300000000000001E-3"/>
  </r>
  <r>
    <x v="0"/>
    <x v="0"/>
    <n v="196"/>
    <x v="0"/>
    <x v="131"/>
    <d v="2018-07-13T11:00:00"/>
    <n v="1.16299"/>
    <n v="1.161896"/>
    <n v="1.0939999999999999E-3"/>
    <n v="1.1635599999999999"/>
    <n v="1.163476"/>
    <n v="8.3999999999999995E-5"/>
    <n v="1.1612100000000001"/>
    <n v="1.16106"/>
    <n v="1.4999999999999999E-4"/>
    <n v="1.1626399999999999"/>
    <n v="1.1628069999999999"/>
    <n v="1.6699999999999999E-4"/>
    <x v="0"/>
    <x v="1"/>
    <x v="1"/>
    <n v="2.3500000000000001E-3"/>
  </r>
  <r>
    <x v="0"/>
    <x v="0"/>
    <n v="198"/>
    <x v="0"/>
    <x v="132"/>
    <d v="2018-07-13T12:00:00"/>
    <n v="1.1626300000000001"/>
    <n v="1.162309"/>
    <n v="3.21E-4"/>
    <n v="1.1637"/>
    <n v="1.1632229999999999"/>
    <n v="4.7699999999999999E-4"/>
    <n v="1.16153"/>
    <n v="1.1607689999999999"/>
    <n v="7.6099999999999996E-4"/>
    <n v="1.16343"/>
    <n v="1.162515"/>
    <n v="9.1500000000000001E-4"/>
    <x v="0"/>
    <x v="1"/>
    <x v="1"/>
    <n v="2.1700000000000001E-3"/>
  </r>
  <r>
    <x v="0"/>
    <x v="0"/>
    <n v="200"/>
    <x v="0"/>
    <x v="133"/>
    <d v="2018-07-13T13:00:00"/>
    <n v="1.16343"/>
    <n v="1.1630689999999999"/>
    <n v="3.6099999999999999E-4"/>
    <n v="1.16367"/>
    <n v="1.1638999999999999"/>
    <n v="2.3000000000000001E-4"/>
    <n v="1.16205"/>
    <n v="1.1613260000000001"/>
    <n v="7.2400000000000003E-4"/>
    <n v="1.1623399999999999"/>
    <n v="1.1631929999999999"/>
    <n v="8.5300000000000003E-4"/>
    <x v="0"/>
    <x v="1"/>
    <x v="1"/>
    <n v="1.6199999999999999E-3"/>
  </r>
  <r>
    <x v="0"/>
    <x v="0"/>
    <n v="202"/>
    <x v="0"/>
    <x v="134"/>
    <d v="2018-07-13T14:00:00"/>
    <n v="1.16235"/>
    <n v="1.160658"/>
    <n v="1.6919999999999999E-3"/>
    <n v="1.16337"/>
    <n v="1.162277"/>
    <n v="1.093E-3"/>
    <n v="1.16181"/>
    <n v="1.159815"/>
    <n v="1.9949999999999998E-3"/>
    <n v="1.1625399999999999"/>
    <n v="1.161972"/>
    <n v="5.6800000000000004E-4"/>
    <x v="0"/>
    <x v="1"/>
    <x v="1"/>
    <n v="1.56E-3"/>
  </r>
  <r>
    <x v="0"/>
    <x v="0"/>
    <n v="204"/>
    <x v="0"/>
    <x v="135"/>
    <d v="2018-07-13T15:00:00"/>
    <n v="1.16255"/>
    <n v="1.1618040000000001"/>
    <n v="7.4600000000000003E-4"/>
    <n v="1.1646099999999999"/>
    <n v="1.1631769999999999"/>
    <n v="1.433E-3"/>
    <n v="1.16245"/>
    <n v="1.1613290000000001"/>
    <n v="1.121E-3"/>
    <n v="1.1644099999999999"/>
    <n v="1.162477"/>
    <n v="1.933E-3"/>
    <x v="0"/>
    <x v="1"/>
    <x v="1"/>
    <n v="2.16E-3"/>
  </r>
  <r>
    <x v="0"/>
    <x v="0"/>
    <n v="206"/>
    <x v="0"/>
    <x v="136"/>
    <d v="2018-07-13T16:00:00"/>
    <n v="1.1644399999999999"/>
    <n v="1.164814"/>
    <n v="3.7399999999999998E-4"/>
    <n v="1.16475"/>
    <n v="1.165446"/>
    <n v="6.96E-4"/>
    <n v="1.16368"/>
    <n v="1.163697"/>
    <n v="1.7E-5"/>
    <n v="1.16405"/>
    <n v="1.1644639999999999"/>
    <n v="4.1399999999999998E-4"/>
    <x v="0"/>
    <x v="1"/>
    <x v="1"/>
    <n v="1.07E-3"/>
  </r>
  <r>
    <x v="0"/>
    <x v="0"/>
    <n v="208"/>
    <x v="0"/>
    <x v="137"/>
    <d v="2018-07-13T17:00:00"/>
    <n v="1.16404"/>
    <n v="1.1639280000000001"/>
    <n v="1.12E-4"/>
    <n v="1.1668499999999999"/>
    <n v="1.1647700000000001"/>
    <n v="2.0799999999999998E-3"/>
    <n v="1.16388"/>
    <n v="1.163351"/>
    <n v="5.2899999999999996E-4"/>
    <n v="1.1666000000000001"/>
    <n v="1.164175"/>
    <n v="2.4250000000000001E-3"/>
    <x v="0"/>
    <x v="1"/>
    <x v="1"/>
    <n v="2.97E-3"/>
  </r>
  <r>
    <x v="0"/>
    <x v="0"/>
    <n v="210"/>
    <x v="0"/>
    <x v="138"/>
    <d v="2018-07-13T18:00:00"/>
    <n v="1.1665700000000001"/>
    <n v="1.1675500000000001"/>
    <n v="9.7999999999999997E-4"/>
    <n v="1.1676899999999999"/>
    <n v="1.1682980000000001"/>
    <n v="6.0800000000000003E-4"/>
    <n v="1.1664600000000001"/>
    <n v="1.1658630000000001"/>
    <n v="5.9699999999999998E-4"/>
    <n v="1.1672800000000001"/>
    <n v="1.166534"/>
    <n v="7.4600000000000003E-4"/>
    <x v="0"/>
    <x v="1"/>
    <x v="1"/>
    <n v="1.23E-3"/>
  </r>
  <r>
    <x v="0"/>
    <x v="0"/>
    <n v="212"/>
    <x v="0"/>
    <x v="139"/>
    <d v="2018-07-13T20:00:00"/>
    <n v="1.1672800000000001"/>
    <n v="1.168445"/>
    <n v="1.165E-3"/>
    <n v="1.16751"/>
    <n v="1.1689620000000001"/>
    <n v="1.4519999999999999E-3"/>
    <n v="1.1665399999999999"/>
    <n v="1.1672769999999999"/>
    <n v="7.3700000000000002E-4"/>
    <n v="1.1674899999999999"/>
    <n v="1.1673830000000001"/>
    <n v="1.07E-4"/>
    <x v="0"/>
    <x v="1"/>
    <x v="1"/>
    <n v="9.7000000000000005E-4"/>
  </r>
  <r>
    <x v="0"/>
    <x v="0"/>
    <n v="214"/>
    <x v="0"/>
    <x v="140"/>
    <d v="2018-07-13T21:00:00"/>
    <n v="1.1675"/>
    <n v="1.168218"/>
    <n v="7.18E-4"/>
    <n v="1.16821"/>
    <n v="1.168107"/>
    <n v="1.03E-4"/>
    <n v="1.16734"/>
    <n v="1.166879"/>
    <n v="4.6099999999999998E-4"/>
    <n v="1.16761"/>
    <n v="1.167478"/>
    <n v="1.3200000000000001E-4"/>
    <x v="0"/>
    <x v="1"/>
    <x v="1"/>
    <n v="8.7000000000000001E-4"/>
  </r>
  <r>
    <x v="0"/>
    <x v="0"/>
    <n v="216"/>
    <x v="0"/>
    <x v="141"/>
    <d v="2018-07-13T22:00:00"/>
    <n v="1.16761"/>
    <n v="1.167286"/>
    <n v="3.2400000000000001E-4"/>
    <n v="1.1683399999999999"/>
    <n v="1.168194"/>
    <n v="1.46E-4"/>
    <n v="1.16751"/>
    <n v="1.16727"/>
    <n v="2.4000000000000001E-4"/>
    <n v="1.16804"/>
    <n v="1.167761"/>
    <n v="2.7900000000000001E-4"/>
    <x v="0"/>
    <x v="1"/>
    <x v="1"/>
    <n v="8.3000000000000001E-4"/>
  </r>
  <r>
    <x v="0"/>
    <x v="0"/>
    <n v="218"/>
    <x v="0"/>
    <x v="142"/>
    <d v="2018-07-13T23:00:00"/>
    <n v="1.1684399999999999"/>
    <n v="1.1670750000000001"/>
    <n v="1.3649999999999999E-3"/>
    <n v="1.1684600000000001"/>
    <n v="1.1682319999999999"/>
    <n v="2.2800000000000001E-4"/>
    <n v="1.16778"/>
    <n v="1.1671210000000001"/>
    <n v="6.5899999999999997E-4"/>
    <n v="1.16822"/>
    <n v="1.168039"/>
    <n v="1.8100000000000001E-4"/>
    <x v="0"/>
    <x v="1"/>
    <x v="1"/>
    <n v="6.8000000000000005E-4"/>
  </r>
  <r>
    <x v="0"/>
    <x v="0"/>
    <n v="220"/>
    <x v="0"/>
    <x v="143"/>
    <d v="2018-07-16T02:00:00"/>
    <n v="1.1677599999999999"/>
    <n v="1.166131"/>
    <n v="1.629E-3"/>
    <n v="1.1684300000000001"/>
    <n v="1.16733"/>
    <n v="1.1000000000000001E-3"/>
    <n v="1.1674800000000001"/>
    <n v="1.1662090000000001"/>
    <n v="1.271E-3"/>
    <n v="1.1683300000000001"/>
    <n v="1.168021"/>
    <n v="3.0899999999999998E-4"/>
    <x v="0"/>
    <x v="1"/>
    <x v="1"/>
    <n v="9.5E-4"/>
  </r>
  <r>
    <x v="0"/>
    <x v="0"/>
    <n v="222"/>
    <x v="0"/>
    <x v="144"/>
    <d v="2018-07-16T04:00:00"/>
    <n v="1.1684099999999999"/>
    <n v="1.166113"/>
    <n v="2.297E-3"/>
    <n v="1.16865"/>
    <n v="1.167519"/>
    <n v="1.1310000000000001E-3"/>
    <n v="1.16791"/>
    <n v="1.166461"/>
    <n v="1.449E-3"/>
    <n v="1.16815"/>
    <n v="1.168188"/>
    <n v="3.8000000000000002E-5"/>
    <x v="0"/>
    <x v="1"/>
    <x v="1"/>
    <n v="7.3999999999999999E-4"/>
  </r>
  <r>
    <x v="0"/>
    <x v="0"/>
    <n v="224"/>
    <x v="0"/>
    <x v="145"/>
    <d v="2018-07-16T06:00:00"/>
    <n v="1.16814"/>
    <n v="1.16682"/>
    <n v="1.32E-3"/>
    <n v="1.1687099999999999"/>
    <n v="1.167745"/>
    <n v="9.6500000000000004E-4"/>
    <n v="1.1679200000000001"/>
    <n v="1.166852"/>
    <n v="1.0679999999999999E-3"/>
    <n v="1.1682699999999999"/>
    <n v="1.167975"/>
    <n v="2.9500000000000001E-4"/>
    <x v="0"/>
    <x v="1"/>
    <x v="1"/>
    <n v="7.9000000000000001E-4"/>
  </r>
  <r>
    <x v="0"/>
    <x v="0"/>
    <n v="226"/>
    <x v="0"/>
    <x v="146"/>
    <d v="2018-07-16T07:00:00"/>
    <n v="1.16828"/>
    <n v="1.167559"/>
    <n v="7.2099999999999996E-4"/>
    <n v="1.1686700000000001"/>
    <n v="1.1685989999999999"/>
    <n v="7.1000000000000005E-5"/>
    <n v="1.16818"/>
    <n v="1.1676489999999999"/>
    <n v="5.31E-4"/>
    <n v="1.1685300000000001"/>
    <n v="1.168337"/>
    <n v="1.93E-4"/>
    <x v="0"/>
    <x v="1"/>
    <x v="1"/>
    <n v="4.8999999999999998E-4"/>
  </r>
  <r>
    <x v="0"/>
    <x v="0"/>
    <n v="228"/>
    <x v="0"/>
    <x v="147"/>
    <d v="2018-07-16T08:00:00"/>
    <n v="1.1685399999999999"/>
    <n v="1.1679170000000001"/>
    <n v="6.2299999999999996E-4"/>
    <n v="1.1706399999999999"/>
    <n v="1.1684870000000001"/>
    <n v="2.153E-3"/>
    <n v="1.1685399999999999"/>
    <n v="1.167611"/>
    <n v="9.2900000000000003E-4"/>
    <n v="1.1701600000000001"/>
    <n v="1.168345"/>
    <n v="1.815E-3"/>
    <x v="0"/>
    <x v="1"/>
    <x v="1"/>
    <n v="2.0999999999999999E-3"/>
  </r>
  <r>
    <x v="0"/>
    <x v="0"/>
    <n v="230"/>
    <x v="0"/>
    <x v="148"/>
    <d v="2018-07-16T09:00:00"/>
    <n v="1.1701600000000001"/>
    <n v="1.1700170000000001"/>
    <n v="1.4300000000000001E-4"/>
    <n v="1.17058"/>
    <n v="1.171224"/>
    <n v="6.4400000000000004E-4"/>
    <n v="1.1694199999999999"/>
    <n v="1.169319"/>
    <n v="1.01E-4"/>
    <n v="1.1697"/>
    <n v="1.1701349999999999"/>
    <n v="4.35E-4"/>
    <x v="0"/>
    <x v="1"/>
    <x v="1"/>
    <n v="1.16E-3"/>
  </r>
  <r>
    <x v="0"/>
    <x v="0"/>
    <n v="232"/>
    <x v="0"/>
    <x v="149"/>
    <d v="2018-07-16T10:00:00"/>
    <n v="1.1696800000000001"/>
    <n v="1.1684760000000001"/>
    <n v="1.204E-3"/>
    <n v="1.17049"/>
    <n v="1.16987"/>
    <n v="6.2E-4"/>
    <n v="1.1684399999999999"/>
    <n v="1.16828"/>
    <n v="1.6000000000000001E-4"/>
    <n v="1.16906"/>
    <n v="1.16961"/>
    <n v="5.5000000000000003E-4"/>
    <x v="0"/>
    <x v="1"/>
    <x v="1"/>
    <n v="2.0500000000000002E-3"/>
  </r>
  <r>
    <x v="0"/>
    <x v="0"/>
    <n v="234"/>
    <x v="0"/>
    <x v="150"/>
    <d v="2018-07-16T11:00:00"/>
    <n v="1.1690499999999999"/>
    <n v="1.1682589999999999"/>
    <n v="7.9100000000000004E-4"/>
    <n v="1.17014"/>
    <n v="1.169619"/>
    <n v="5.2099999999999998E-4"/>
    <n v="1.16869"/>
    <n v="1.1680029999999999"/>
    <n v="6.87E-4"/>
    <n v="1.1695800000000001"/>
    <n v="1.169125"/>
    <n v="4.55E-4"/>
    <x v="0"/>
    <x v="1"/>
    <x v="1"/>
    <n v="1.4499999999999999E-3"/>
  </r>
  <r>
    <x v="0"/>
    <x v="0"/>
    <n v="236"/>
    <x v="0"/>
    <x v="151"/>
    <d v="2018-07-16T12:00:00"/>
    <n v="1.1695500000000001"/>
    <n v="1.1693990000000001"/>
    <n v="1.5100000000000001E-4"/>
    <n v="1.1709099999999999"/>
    <n v="1.1704749999999999"/>
    <n v="4.35E-4"/>
    <n v="1.1692899999999999"/>
    <n v="1.1690290000000001"/>
    <n v="2.61E-4"/>
    <n v="1.1704699999999999"/>
    <n v="1.169815"/>
    <n v="6.5499999999999998E-4"/>
    <x v="0"/>
    <x v="1"/>
    <x v="1"/>
    <n v="1.6199999999999999E-3"/>
  </r>
  <r>
    <x v="0"/>
    <x v="0"/>
    <n v="238"/>
    <x v="0"/>
    <x v="152"/>
    <d v="2018-07-16T13:00:00"/>
    <n v="1.1704600000000001"/>
    <n v="1.170555"/>
    <n v="9.5000000000000005E-5"/>
    <n v="1.17167"/>
    <n v="1.171392"/>
    <n v="2.7799999999999998E-4"/>
    <n v="1.17032"/>
    <n v="1.1696839999999999"/>
    <n v="6.3599999999999996E-4"/>
    <n v="1.1715199999999999"/>
    <n v="1.170407"/>
    <n v="1.1130000000000001E-3"/>
    <x v="0"/>
    <x v="1"/>
    <x v="1"/>
    <n v="1.3500000000000001E-3"/>
  </r>
  <r>
    <x v="0"/>
    <x v="0"/>
    <n v="240"/>
    <x v="0"/>
    <x v="153"/>
    <d v="2018-07-16T14:00:00"/>
    <n v="1.1715"/>
    <n v="1.1707419999999999"/>
    <n v="7.5799999999999999E-4"/>
    <n v="1.1724600000000001"/>
    <n v="1.171878"/>
    <n v="5.8200000000000005E-4"/>
    <n v="1.17136"/>
    <n v="1.170107"/>
    <n v="1.253E-3"/>
    <n v="1.1715100000000001"/>
    <n v="1.171341"/>
    <n v="1.6899999999999999E-4"/>
    <x v="0"/>
    <x v="1"/>
    <x v="1"/>
    <n v="1.1000000000000001E-3"/>
  </r>
  <r>
    <x v="0"/>
    <x v="0"/>
    <n v="242"/>
    <x v="0"/>
    <x v="154"/>
    <d v="2018-07-16T15:00:00"/>
    <n v="1.17157"/>
    <n v="1.1706160000000001"/>
    <n v="9.5399999999999999E-4"/>
    <n v="1.1721699999999999"/>
    <n v="1.171978"/>
    <n v="1.92E-4"/>
    <n v="1.17073"/>
    <n v="1.1706730000000001"/>
    <n v="5.7000000000000003E-5"/>
    <n v="1.17093"/>
    <n v="1.1714469999999999"/>
    <n v="5.1699999999999999E-4"/>
    <x v="0"/>
    <x v="1"/>
    <x v="1"/>
    <n v="1.4400000000000001E-3"/>
  </r>
  <r>
    <x v="0"/>
    <x v="0"/>
    <n v="244"/>
    <x v="0"/>
    <x v="155"/>
    <d v="2018-07-16T16:00:00"/>
    <n v="1.17096"/>
    <n v="1.1702619999999999"/>
    <n v="6.9800000000000005E-4"/>
    <n v="1.1717500000000001"/>
    <n v="1.1715679999999999"/>
    <n v="1.8200000000000001E-4"/>
    <n v="1.17028"/>
    <n v="1.1701429999999999"/>
    <n v="1.37E-4"/>
    <n v="1.1717299999999999"/>
    <n v="1.1709529999999999"/>
    <n v="7.7700000000000002E-4"/>
    <x v="0"/>
    <x v="1"/>
    <x v="1"/>
    <n v="1.47E-3"/>
  </r>
  <r>
    <x v="0"/>
    <x v="0"/>
    <n v="246"/>
    <x v="0"/>
    <x v="156"/>
    <d v="2018-07-16T17:00:00"/>
    <n v="1.1707700000000001"/>
    <n v="1.171386"/>
    <n v="6.1600000000000001E-4"/>
    <n v="1.1713199999999999"/>
    <n v="1.172191"/>
    <n v="8.7100000000000003E-4"/>
    <n v="1.17014"/>
    <n v="1.1706049999999999"/>
    <n v="4.6500000000000003E-4"/>
    <n v="1.17106"/>
    <n v="1.171869"/>
    <n v="8.0900000000000004E-4"/>
    <x v="0"/>
    <x v="1"/>
    <x v="1"/>
    <n v="1.1800000000000001E-3"/>
  </r>
  <r>
    <x v="0"/>
    <x v="0"/>
    <n v="248"/>
    <x v="0"/>
    <x v="157"/>
    <d v="2018-07-16T19:00:00"/>
    <n v="1.17106"/>
    <n v="1.169319"/>
    <n v="1.7409999999999999E-3"/>
    <n v="1.17123"/>
    <n v="1.170812"/>
    <n v="4.1800000000000002E-4"/>
    <n v="1.16937"/>
    <n v="1.16944"/>
    <n v="6.9999999999999994E-5"/>
    <n v="1.17049"/>
    <n v="1.1711020000000001"/>
    <n v="6.1200000000000002E-4"/>
    <x v="0"/>
    <x v="1"/>
    <x v="1"/>
    <n v="1.8600000000000001E-3"/>
  </r>
  <r>
    <x v="0"/>
    <x v="0"/>
    <n v="250"/>
    <x v="0"/>
    <x v="158"/>
    <d v="2018-07-16T20:00:00"/>
    <n v="1.1705099999999999"/>
    <n v="1.1699729999999999"/>
    <n v="5.3700000000000004E-4"/>
    <n v="1.1715800000000001"/>
    <n v="1.1704939999999999"/>
    <n v="1.0859999999999999E-3"/>
    <n v="1.17049"/>
    <n v="1.1688970000000001"/>
    <n v="1.593E-3"/>
    <n v="1.17096"/>
    <n v="1.170383"/>
    <n v="5.7700000000000004E-4"/>
    <x v="0"/>
    <x v="1"/>
    <x v="1"/>
    <n v="1.09E-3"/>
  </r>
  <r>
    <x v="0"/>
    <x v="0"/>
    <n v="252"/>
    <x v="0"/>
    <x v="159"/>
    <d v="2018-07-16T21:00:00"/>
    <n v="1.1709499999999999"/>
    <n v="1.1709830000000001"/>
    <n v="3.3000000000000003E-5"/>
    <n v="1.1717500000000001"/>
    <n v="1.1717660000000001"/>
    <n v="1.5999999999999999E-5"/>
    <n v="1.1709499999999999"/>
    <n v="1.1703790000000001"/>
    <n v="5.71E-4"/>
    <n v="1.1713100000000001"/>
    <n v="1.170817"/>
    <n v="4.9299999999999995E-4"/>
    <x v="0"/>
    <x v="1"/>
    <x v="1"/>
    <n v="8.0000000000000004E-4"/>
  </r>
  <r>
    <x v="0"/>
    <x v="0"/>
    <n v="254"/>
    <x v="0"/>
    <x v="160"/>
    <d v="2018-07-16T22:00:00"/>
    <n v="1.1713199999999999"/>
    <n v="1.170293"/>
    <n v="1.0269999999999999E-3"/>
    <n v="1.17157"/>
    <n v="1.171503"/>
    <n v="6.7000000000000002E-5"/>
    <n v="1.17089"/>
    <n v="1.170339"/>
    <n v="5.5099999999999995E-4"/>
    <n v="1.17099"/>
    <n v="1.171254"/>
    <n v="2.6400000000000002E-4"/>
    <x v="0"/>
    <x v="1"/>
    <x v="1"/>
    <n v="6.8000000000000005E-4"/>
  </r>
  <r>
    <x v="0"/>
    <x v="0"/>
    <n v="256"/>
    <x v="0"/>
    <x v="161"/>
    <d v="2018-07-16T23:00:00"/>
    <n v="1.17092"/>
    <n v="1.1695040000000001"/>
    <n v="1.4159999999999999E-3"/>
    <n v="1.1711199999999999"/>
    <n v="1.170628"/>
    <n v="4.9200000000000003E-4"/>
    <n v="1.17075"/>
    <n v="1.1698109999999999"/>
    <n v="9.3899999999999995E-4"/>
    <n v="1.17096"/>
    <n v="1.17086"/>
    <n v="1E-4"/>
    <x v="0"/>
    <x v="1"/>
    <x v="1"/>
    <n v="3.6999999999999999E-4"/>
  </r>
  <r>
    <x v="0"/>
    <x v="0"/>
    <n v="258"/>
    <x v="0"/>
    <x v="162"/>
    <d v="2018-07-17T02:00:00"/>
    <n v="1.17096"/>
    <n v="1.1709309999999999"/>
    <n v="2.9E-5"/>
    <n v="1.1710199999999999"/>
    <n v="1.1713549999999999"/>
    <n v="3.3500000000000001E-4"/>
    <n v="1.1704699999999999"/>
    <n v="1.1706449999999999"/>
    <n v="1.75E-4"/>
    <n v="1.1708400000000001"/>
    <n v="1.170966"/>
    <n v="1.26E-4"/>
    <x v="0"/>
    <x v="1"/>
    <x v="1"/>
    <n v="5.5000000000000003E-4"/>
  </r>
  <r>
    <x v="0"/>
    <x v="0"/>
    <n v="260"/>
    <x v="0"/>
    <x v="163"/>
    <d v="2018-07-17T03:00:00"/>
    <n v="1.1708499999999999"/>
    <n v="1.1694979999999999"/>
    <n v="1.3519999999999999E-3"/>
    <n v="1.17134"/>
    <n v="1.1702889999999999"/>
    <n v="1.0510000000000001E-3"/>
    <n v="1.1704699999999999"/>
    <n v="1.1697059999999999"/>
    <n v="7.6400000000000003E-4"/>
    <n v="1.17066"/>
    <n v="1.1708369999999999"/>
    <n v="1.7699999999999999E-4"/>
    <x v="0"/>
    <x v="1"/>
    <x v="1"/>
    <n v="8.7000000000000001E-4"/>
  </r>
  <r>
    <x v="0"/>
    <x v="0"/>
    <n v="262"/>
    <x v="0"/>
    <x v="164"/>
    <d v="2018-07-17T04:00:00"/>
    <n v="1.1706700000000001"/>
    <n v="1.1705589999999999"/>
    <n v="1.11E-4"/>
    <n v="1.17079"/>
    <n v="1.1712720000000001"/>
    <n v="4.8200000000000001E-4"/>
    <n v="1.1700600000000001"/>
    <n v="1.1700919999999999"/>
    <n v="3.1999999999999999E-5"/>
    <n v="1.17048"/>
    <n v="1.1705570000000001"/>
    <n v="7.7000000000000001E-5"/>
    <x v="0"/>
    <x v="1"/>
    <x v="1"/>
    <n v="7.2999999999999996E-4"/>
  </r>
  <r>
    <x v="0"/>
    <x v="0"/>
    <n v="264"/>
    <x v="0"/>
    <x v="165"/>
    <d v="2018-07-17T05:00:00"/>
    <n v="1.17048"/>
    <n v="1.1694880000000001"/>
    <n v="9.9200000000000004E-4"/>
    <n v="1.1708799999999999"/>
    <n v="1.1701280000000001"/>
    <n v="7.5199999999999996E-4"/>
    <n v="1.17022"/>
    <n v="1.169451"/>
    <n v="7.6900000000000004E-4"/>
    <n v="1.17058"/>
    <n v="1.1704159999999999"/>
    <n v="1.64E-4"/>
    <x v="0"/>
    <x v="1"/>
    <x v="1"/>
    <n v="6.6E-4"/>
  </r>
  <r>
    <x v="0"/>
    <x v="0"/>
    <n v="266"/>
    <x v="0"/>
    <x v="166"/>
    <d v="2018-07-17T06:00:00"/>
    <n v="1.17058"/>
    <n v="1.1702349999999999"/>
    <n v="3.4499999999999998E-4"/>
    <n v="1.1720299999999999"/>
    <n v="1.170811"/>
    <n v="1.219E-3"/>
    <n v="1.17052"/>
    <n v="1.1700159999999999"/>
    <n v="5.04E-4"/>
    <n v="1.17188"/>
    <n v="1.1705570000000001"/>
    <n v="1.323E-3"/>
    <x v="0"/>
    <x v="1"/>
    <x v="1"/>
    <n v="1.5100000000000001E-3"/>
  </r>
  <r>
    <x v="0"/>
    <x v="0"/>
    <n v="268"/>
    <x v="0"/>
    <x v="167"/>
    <d v="2018-07-17T07:00:00"/>
    <n v="1.17187"/>
    <n v="1.1714560000000001"/>
    <n v="4.1399999999999998E-4"/>
    <n v="1.1720299999999999"/>
    <n v="1.1723809999999999"/>
    <n v="3.5100000000000002E-4"/>
    <n v="1.17143"/>
    <n v="1.1711020000000001"/>
    <n v="3.28E-4"/>
    <n v="1.1717599999999999"/>
    <n v="1.1719280000000001"/>
    <n v="1.6799999999999999E-4"/>
    <x v="0"/>
    <x v="1"/>
    <x v="1"/>
    <n v="5.9999999999999995E-4"/>
  </r>
  <r>
    <x v="0"/>
    <x v="0"/>
    <n v="270"/>
    <x v="0"/>
    <x v="168"/>
    <d v="2018-07-17T08:00:00"/>
    <n v="1.17123"/>
    <n v="1.1707890000000001"/>
    <n v="4.4099999999999999E-4"/>
    <n v="1.1734599999999999"/>
    <n v="1.171672"/>
    <n v="1.7880000000000001E-3"/>
    <n v="1.1709700000000001"/>
    <n v="1.1706350000000001"/>
    <n v="3.3500000000000001E-4"/>
    <n v="1.1733100000000001"/>
    <n v="1.171786"/>
    <n v="1.524E-3"/>
    <x v="0"/>
    <x v="1"/>
    <x v="1"/>
    <n v="2.49E-3"/>
  </r>
  <r>
    <x v="0"/>
    <x v="0"/>
    <n v="272"/>
    <x v="0"/>
    <x v="169"/>
    <d v="2018-07-17T10:00:00"/>
    <n v="1.1733"/>
    <n v="1.1735469999999999"/>
    <n v="2.4699999999999999E-4"/>
    <n v="1.1736800000000001"/>
    <n v="1.1744950000000001"/>
    <n v="8.1499999999999997E-4"/>
    <n v="1.17245"/>
    <n v="1.1722170000000001"/>
    <n v="2.33E-4"/>
    <n v="1.1727300000000001"/>
    <n v="1.173265"/>
    <n v="5.3499999999999999E-4"/>
    <x v="0"/>
    <x v="1"/>
    <x v="1"/>
    <n v="1.23E-3"/>
  </r>
  <r>
    <x v="0"/>
    <x v="0"/>
    <n v="274"/>
    <x v="0"/>
    <x v="170"/>
    <d v="2018-07-17T11:00:00"/>
    <n v="1.17276"/>
    <n v="1.171886"/>
    <n v="8.7399999999999999E-4"/>
    <n v="1.17421"/>
    <n v="1.1731910000000001"/>
    <n v="1.0189999999999999E-3"/>
    <n v="1.1725300000000001"/>
    <n v="1.171449"/>
    <n v="1.0809999999999999E-3"/>
    <n v="1.1740600000000001"/>
    <n v="1.172701"/>
    <n v="1.359E-3"/>
    <x v="0"/>
    <x v="1"/>
    <x v="1"/>
    <n v="1.6800000000000001E-3"/>
  </r>
  <r>
    <x v="0"/>
    <x v="0"/>
    <n v="276"/>
    <x v="0"/>
    <x v="171"/>
    <d v="2018-07-17T12:00:00"/>
    <n v="1.1740900000000001"/>
    <n v="1.173875"/>
    <n v="2.1499999999999999E-4"/>
    <n v="1.17439"/>
    <n v="1.1747129999999999"/>
    <n v="3.2299999999999999E-4"/>
    <n v="1.1728400000000001"/>
    <n v="1.173144"/>
    <n v="3.0400000000000002E-4"/>
    <n v="1.1729000000000001"/>
    <n v="1.1741079999999999"/>
    <n v="1.2080000000000001E-3"/>
    <x v="0"/>
    <x v="1"/>
    <x v="1"/>
    <n v="1.5499999999999999E-3"/>
  </r>
  <r>
    <x v="0"/>
    <x v="0"/>
    <n v="278"/>
    <x v="0"/>
    <x v="172"/>
    <d v="2018-07-17T13:00:00"/>
    <n v="1.17292"/>
    <n v="1.1716070000000001"/>
    <n v="1.3129999999999999E-3"/>
    <n v="1.1730799999999999"/>
    <n v="1.1730910000000001"/>
    <n v="1.1E-5"/>
    <n v="1.17161"/>
    <n v="1.1715"/>
    <n v="1.1E-4"/>
    <n v="1.1716599999999999"/>
    <n v="1.1728099999999999"/>
    <n v="1.15E-3"/>
    <x v="0"/>
    <x v="1"/>
    <x v="1"/>
    <n v="1.47E-3"/>
  </r>
  <r>
    <x v="0"/>
    <x v="0"/>
    <n v="280"/>
    <x v="0"/>
    <x v="173"/>
    <d v="2018-07-17T14:00:00"/>
    <n v="1.1716599999999999"/>
    <n v="1.170417"/>
    <n v="1.243E-3"/>
    <n v="1.17214"/>
    <n v="1.171923"/>
    <n v="2.1699999999999999E-4"/>
    <n v="1.17018"/>
    <n v="1.1702330000000001"/>
    <n v="5.3000000000000001E-5"/>
    <n v="1.17045"/>
    <n v="1.1715949999999999"/>
    <n v="1.145E-3"/>
    <x v="0"/>
    <x v="1"/>
    <x v="1"/>
    <n v="1.9599999999999999E-3"/>
  </r>
  <r>
    <x v="0"/>
    <x v="0"/>
    <n v="282"/>
    <x v="0"/>
    <x v="174"/>
    <d v="2018-07-17T15:00:00"/>
    <n v="1.17045"/>
    <n v="1.169138"/>
    <n v="1.312E-3"/>
    <n v="1.17086"/>
    <n v="1.1708209999999999"/>
    <n v="3.8999999999999999E-5"/>
    <n v="1.16903"/>
    <n v="1.168593"/>
    <n v="4.37E-4"/>
    <n v="1.1696599999999999"/>
    <n v="1.1701950000000001"/>
    <n v="5.3499999999999999E-4"/>
    <x v="0"/>
    <x v="1"/>
    <x v="1"/>
    <n v="1.83E-3"/>
  </r>
  <r>
    <x v="0"/>
    <x v="0"/>
    <n v="284"/>
    <x v="0"/>
    <x v="175"/>
    <d v="2018-07-17T16:00:00"/>
    <n v="1.1696800000000001"/>
    <n v="1.1684870000000001"/>
    <n v="1.193E-3"/>
    <n v="1.1700600000000001"/>
    <n v="1.1699930000000001"/>
    <n v="6.7000000000000002E-5"/>
    <n v="1.1683600000000001"/>
    <n v="1.1681159999999999"/>
    <n v="2.4399999999999999E-4"/>
    <n v="1.16852"/>
    <n v="1.169548"/>
    <n v="1.0280000000000001E-3"/>
    <x v="0"/>
    <x v="1"/>
    <x v="1"/>
    <n v="1.6999999999999999E-3"/>
  </r>
  <r>
    <x v="0"/>
    <x v="0"/>
    <n v="286"/>
    <x v="0"/>
    <x v="176"/>
    <d v="2018-07-17T17:00:00"/>
    <n v="1.1685099999999999"/>
    <n v="1.166212"/>
    <n v="2.2980000000000001E-3"/>
    <n v="1.17032"/>
    <n v="1.1682079999999999"/>
    <n v="2.1120000000000002E-3"/>
    <n v="1.1679600000000001"/>
    <n v="1.1660950000000001"/>
    <n v="1.8649999999999999E-3"/>
    <n v="1.16815"/>
    <n v="1.1682490000000001"/>
    <n v="9.8999999999999994E-5"/>
    <x v="0"/>
    <x v="1"/>
    <x v="1"/>
    <n v="2.3600000000000001E-3"/>
  </r>
  <r>
    <x v="0"/>
    <x v="0"/>
    <n v="288"/>
    <x v="0"/>
    <x v="177"/>
    <d v="2018-07-17T18:00:00"/>
    <n v="1.1681999999999999"/>
    <n v="1.167259"/>
    <n v="9.41E-4"/>
    <n v="1.1692100000000001"/>
    <n v="1.169211"/>
    <n v="9.9999999999999995E-7"/>
    <n v="1.16612"/>
    <n v="1.1673199999999999"/>
    <n v="1.1999999999999999E-3"/>
    <n v="1.16612"/>
    <n v="1.1678729999999999"/>
    <n v="1.753E-3"/>
    <x v="0"/>
    <x v="1"/>
    <x v="1"/>
    <n v="3.0899999999999999E-3"/>
  </r>
  <r>
    <x v="0"/>
    <x v="0"/>
    <n v="290"/>
    <x v="0"/>
    <x v="178"/>
    <d v="2018-07-17T19:00:00"/>
    <n v="1.16611"/>
    <n v="1.165033"/>
    <n v="1.077E-3"/>
    <n v="1.1666399999999999"/>
    <n v="1.167678"/>
    <n v="1.0380000000000001E-3"/>
    <n v="1.1652499999999999"/>
    <n v="1.164814"/>
    <n v="4.3600000000000003E-4"/>
    <n v="1.1653100000000001"/>
    <n v="1.166239"/>
    <n v="9.2900000000000003E-4"/>
    <x v="0"/>
    <x v="1"/>
    <x v="1"/>
    <n v="1.39E-3"/>
  </r>
  <r>
    <x v="0"/>
    <x v="0"/>
    <n v="292"/>
    <x v="0"/>
    <x v="179"/>
    <d v="2018-07-17T20:00:00"/>
    <n v="1.1653100000000001"/>
    <n v="1.1625719999999999"/>
    <n v="2.738E-3"/>
    <n v="1.16683"/>
    <n v="1.164846"/>
    <n v="1.9840000000000001E-3"/>
    <n v="1.1648400000000001"/>
    <n v="1.163122"/>
    <n v="1.7179999999999999E-3"/>
    <n v="1.1664000000000001"/>
    <n v="1.165143"/>
    <n v="1.2570000000000001E-3"/>
    <x v="0"/>
    <x v="1"/>
    <x v="1"/>
    <n v="1.99E-3"/>
  </r>
  <r>
    <x v="0"/>
    <x v="0"/>
    <n v="294"/>
    <x v="0"/>
    <x v="180"/>
    <d v="2018-07-17T21:00:00"/>
    <n v="1.16639"/>
    <n v="1.16675"/>
    <n v="3.6000000000000002E-4"/>
    <n v="1.16639"/>
    <n v="1.167502"/>
    <n v="1.1119999999999999E-3"/>
    <n v="1.16526"/>
    <n v="1.165611"/>
    <n v="3.5100000000000002E-4"/>
    <n v="1.1662699999999999"/>
    <n v="1.1663330000000001"/>
    <n v="6.3E-5"/>
    <x v="0"/>
    <x v="1"/>
    <x v="1"/>
    <n v="1.1299999999999999E-3"/>
  </r>
  <r>
    <x v="0"/>
    <x v="0"/>
    <n v="296"/>
    <x v="0"/>
    <x v="181"/>
    <d v="2018-07-17T22:00:00"/>
    <n v="1.1663300000000001"/>
    <n v="1.1645490000000001"/>
    <n v="1.781E-3"/>
    <n v="1.16649"/>
    <n v="1.1655850000000001"/>
    <n v="9.0499999999999999E-4"/>
    <n v="1.1659200000000001"/>
    <n v="1.1640539999999999"/>
    <n v="1.866E-3"/>
    <n v="1.16595"/>
    <n v="1.166096"/>
    <n v="1.46E-4"/>
    <x v="0"/>
    <x v="1"/>
    <x v="1"/>
    <n v="5.6999999999999998E-4"/>
  </r>
  <r>
    <x v="0"/>
    <x v="0"/>
    <n v="298"/>
    <x v="0"/>
    <x v="182"/>
    <d v="2018-07-18T00:00:00"/>
    <n v="1.1657900000000001"/>
    <n v="1.1660729999999999"/>
    <n v="2.8299999999999999E-4"/>
    <n v="1.1660200000000001"/>
    <n v="1.166364"/>
    <n v="3.4400000000000001E-4"/>
    <n v="1.1655899999999999"/>
    <n v="1.1658139999999999"/>
    <n v="2.24E-4"/>
    <n v="1.1657200000000001"/>
    <n v="1.165978"/>
    <n v="2.5799999999999998E-4"/>
    <x v="0"/>
    <x v="1"/>
    <x v="1"/>
    <n v="4.2999999999999999E-4"/>
  </r>
  <r>
    <x v="0"/>
    <x v="0"/>
    <n v="300"/>
    <x v="0"/>
    <x v="183"/>
    <d v="2018-07-18T02:00:00"/>
    <n v="1.1657299999999999"/>
    <n v="1.165519"/>
    <n v="2.1100000000000001E-4"/>
    <n v="1.1657299999999999"/>
    <n v="1.165913"/>
    <n v="1.83E-4"/>
    <n v="1.1647799999999999"/>
    <n v="1.1652400000000001"/>
    <n v="4.6000000000000001E-4"/>
    <n v="1.1652499999999999"/>
    <n v="1.165567"/>
    <n v="3.1700000000000001E-4"/>
    <x v="0"/>
    <x v="1"/>
    <x v="1"/>
    <n v="9.5E-4"/>
  </r>
  <r>
    <x v="0"/>
    <x v="0"/>
    <n v="302"/>
    <x v="0"/>
    <x v="184"/>
    <d v="2018-07-18T03:00:00"/>
    <n v="1.1652800000000001"/>
    <n v="1.1653480000000001"/>
    <n v="6.7999999999999999E-5"/>
    <n v="1.1658999999999999"/>
    <n v="1.165594"/>
    <n v="3.0600000000000001E-4"/>
    <n v="1.1651899999999999"/>
    <n v="1.164777"/>
    <n v="4.1300000000000001E-4"/>
    <n v="1.1657299999999999"/>
    <n v="1.1652750000000001"/>
    <n v="4.55E-4"/>
    <x v="0"/>
    <x v="1"/>
    <x v="1"/>
    <n v="7.1000000000000002E-4"/>
  </r>
  <r>
    <x v="0"/>
    <x v="0"/>
    <n v="304"/>
    <x v="0"/>
    <x v="185"/>
    <d v="2018-07-18T04:00:00"/>
    <n v="1.16574"/>
    <n v="1.1655770000000001"/>
    <n v="1.63E-4"/>
    <n v="1.16642"/>
    <n v="1.1661060000000001"/>
    <n v="3.1399999999999999E-4"/>
    <n v="1.1653899999999999"/>
    <n v="1.1653549999999999"/>
    <n v="3.4999999999999997E-5"/>
    <n v="1.1655800000000001"/>
    <n v="1.1657930000000001"/>
    <n v="2.13E-4"/>
    <x v="0"/>
    <x v="1"/>
    <x v="1"/>
    <n v="1.0300000000000001E-3"/>
  </r>
  <r>
    <x v="0"/>
    <x v="0"/>
    <n v="306"/>
    <x v="0"/>
    <x v="186"/>
    <d v="2018-07-18T05:00:00"/>
    <n v="1.1655899999999999"/>
    <n v="1.166291"/>
    <n v="7.0100000000000002E-4"/>
    <n v="1.16615"/>
    <n v="1.166687"/>
    <n v="5.3700000000000004E-4"/>
    <n v="1.16537"/>
    <n v="1.165556"/>
    <n v="1.8599999999999999E-4"/>
    <n v="1.16544"/>
    <n v="1.165511"/>
    <n v="7.1000000000000005E-5"/>
    <x v="0"/>
    <x v="1"/>
    <x v="1"/>
    <n v="7.7999999999999999E-4"/>
  </r>
  <r>
    <x v="0"/>
    <x v="0"/>
    <n v="308"/>
    <x v="0"/>
    <x v="187"/>
    <d v="2018-07-18T06:00:00"/>
    <n v="1.16544"/>
    <n v="1.1655260000000001"/>
    <n v="8.6000000000000003E-5"/>
    <n v="1.1655899999999999"/>
    <n v="1.1661619999999999"/>
    <n v="5.7200000000000003E-4"/>
    <n v="1.1650799999999999"/>
    <n v="1.1652659999999999"/>
    <n v="1.8599999999999999E-4"/>
    <n v="1.16509"/>
    <n v="1.1654180000000001"/>
    <n v="3.28E-4"/>
    <x v="0"/>
    <x v="1"/>
    <x v="1"/>
    <n v="5.1000000000000004E-4"/>
  </r>
  <r>
    <x v="0"/>
    <x v="0"/>
    <n v="310"/>
    <x v="0"/>
    <x v="188"/>
    <d v="2018-07-18T07:00:00"/>
    <n v="1.1651"/>
    <n v="1.1634340000000001"/>
    <n v="1.6659999999999999E-3"/>
    <n v="1.1651100000000001"/>
    <n v="1.1644159999999999"/>
    <n v="6.9399999999999996E-4"/>
    <n v="1.1640299999999999"/>
    <n v="1.163759"/>
    <n v="2.7099999999999997E-4"/>
    <n v="1.1640600000000001"/>
    <n v="1.164857"/>
    <n v="7.9699999999999997E-4"/>
    <x v="0"/>
    <x v="1"/>
    <x v="1"/>
    <n v="1.08E-3"/>
  </r>
  <r>
    <x v="0"/>
    <x v="0"/>
    <n v="312"/>
    <x v="0"/>
    <x v="189"/>
    <d v="2018-07-18T08:00:00"/>
    <n v="1.1640900000000001"/>
    <n v="1.1629890000000001"/>
    <n v="1.101E-3"/>
    <n v="1.16445"/>
    <n v="1.164059"/>
    <n v="3.9100000000000002E-4"/>
    <n v="1.1631"/>
    <n v="1.162839"/>
    <n v="2.61E-4"/>
    <n v="1.1634199999999999"/>
    <n v="1.163921"/>
    <n v="5.0100000000000003E-4"/>
    <x v="0"/>
    <x v="1"/>
    <x v="1"/>
    <n v="1.3500000000000001E-3"/>
  </r>
  <r>
    <x v="0"/>
    <x v="0"/>
    <n v="314"/>
    <x v="0"/>
    <x v="190"/>
    <d v="2018-07-18T09:00:00"/>
    <n v="1.1634500000000001"/>
    <n v="1.1626559999999999"/>
    <n v="7.94E-4"/>
    <n v="1.16374"/>
    <n v="1.163851"/>
    <n v="1.11E-4"/>
    <n v="1.1624300000000001"/>
    <n v="1.1622570000000001"/>
    <n v="1.73E-4"/>
    <n v="1.16313"/>
    <n v="1.1633899999999999"/>
    <n v="2.5999999999999998E-4"/>
    <x v="0"/>
    <x v="1"/>
    <x v="1"/>
    <n v="1.31E-3"/>
  </r>
  <r>
    <x v="0"/>
    <x v="0"/>
    <n v="316"/>
    <x v="0"/>
    <x v="191"/>
    <d v="2018-07-18T10:00:00"/>
    <n v="1.16313"/>
    <n v="1.162633"/>
    <n v="4.9700000000000005E-4"/>
    <n v="1.1640900000000001"/>
    <n v="1.163333"/>
    <n v="7.5699999999999997E-4"/>
    <n v="1.16184"/>
    <n v="1.1617919999999999"/>
    <n v="4.8000000000000001E-5"/>
    <n v="1.16231"/>
    <n v="1.162922"/>
    <n v="6.1200000000000002E-4"/>
    <x v="0"/>
    <x v="1"/>
    <x v="1"/>
    <n v="2.2499999999999998E-3"/>
  </r>
  <r>
    <x v="0"/>
    <x v="0"/>
    <n v="318"/>
    <x v="0"/>
    <x v="192"/>
    <d v="2018-07-18T11:00:00"/>
    <n v="1.1622699999999999"/>
    <n v="1.161281"/>
    <n v="9.8900000000000008E-4"/>
    <n v="1.1625000000000001"/>
    <n v="1.1628579999999999"/>
    <n v="3.5799999999999997E-4"/>
    <n v="1.1606399999999999"/>
    <n v="1.160617"/>
    <n v="2.3E-5"/>
    <n v="1.16212"/>
    <n v="1.1620280000000001"/>
    <n v="9.2E-5"/>
    <x v="0"/>
    <x v="1"/>
    <x v="1"/>
    <n v="1.8600000000000001E-3"/>
  </r>
  <r>
    <x v="0"/>
    <x v="0"/>
    <n v="320"/>
    <x v="0"/>
    <x v="193"/>
    <d v="2018-07-18T12:00:00"/>
    <n v="1.16212"/>
    <n v="1.1616869999999999"/>
    <n v="4.3300000000000001E-4"/>
    <n v="1.1629100000000001"/>
    <n v="1.162323"/>
    <n v="5.8699999999999996E-4"/>
    <n v="1.16147"/>
    <n v="1.1603060000000001"/>
    <n v="1.1640000000000001E-3"/>
    <n v="1.1624300000000001"/>
    <n v="1.1620159999999999"/>
    <n v="4.1399999999999998E-4"/>
    <x v="0"/>
    <x v="1"/>
    <x v="1"/>
    <n v="1.4400000000000001E-3"/>
  </r>
  <r>
    <x v="0"/>
    <x v="0"/>
    <n v="322"/>
    <x v="0"/>
    <x v="194"/>
    <d v="2018-07-18T13:00:00"/>
    <n v="1.16242"/>
    <n v="1.162031"/>
    <n v="3.8900000000000002E-4"/>
    <n v="1.1632199999999999"/>
    <n v="1.162655"/>
    <n v="5.6499999999999996E-4"/>
    <n v="1.1614599999999999"/>
    <n v="1.1610309999999999"/>
    <n v="4.2900000000000002E-4"/>
    <n v="1.16211"/>
    <n v="1.162139"/>
    <n v="2.9E-5"/>
    <x v="0"/>
    <x v="1"/>
    <x v="1"/>
    <n v="1.7600000000000001E-3"/>
  </r>
  <r>
    <x v="0"/>
    <x v="0"/>
    <n v="324"/>
    <x v="0"/>
    <x v="195"/>
    <d v="2018-07-18T14:00:00"/>
    <n v="1.16214"/>
    <n v="1.161043"/>
    <n v="1.0970000000000001E-3"/>
    <n v="1.16238"/>
    <n v="1.1622870000000001"/>
    <n v="9.2999999999999997E-5"/>
    <n v="1.1604000000000001"/>
    <n v="1.1606270000000001"/>
    <n v="2.2699999999999999E-4"/>
    <n v="1.1607000000000001"/>
    <n v="1.161913"/>
    <n v="1.2130000000000001E-3"/>
    <x v="0"/>
    <x v="1"/>
    <x v="1"/>
    <n v="1.98E-3"/>
  </r>
  <r>
    <x v="0"/>
    <x v="0"/>
    <n v="326"/>
    <x v="0"/>
    <x v="196"/>
    <d v="2018-07-18T15:00:00"/>
    <n v="1.1607000000000001"/>
    <n v="1.1595530000000001"/>
    <n v="1.147E-3"/>
    <n v="1.1627000000000001"/>
    <n v="1.161027"/>
    <n v="1.673E-3"/>
    <n v="1.16012"/>
    <n v="1.158908"/>
    <n v="1.212E-3"/>
    <n v="1.16222"/>
    <n v="1.160566"/>
    <n v="1.6540000000000001E-3"/>
    <x v="0"/>
    <x v="1"/>
    <x v="1"/>
    <n v="2.5799999999999998E-3"/>
  </r>
  <r>
    <x v="0"/>
    <x v="0"/>
    <n v="328"/>
    <x v="0"/>
    <x v="197"/>
    <d v="2018-07-18T16:00:00"/>
    <n v="1.16222"/>
    <n v="1.1624669999999999"/>
    <n v="2.4699999999999999E-4"/>
    <n v="1.16388"/>
    <n v="1.163473"/>
    <n v="4.0700000000000003E-4"/>
    <n v="1.1620999999999999"/>
    <n v="1.1609989999999999"/>
    <n v="1.101E-3"/>
    <n v="1.1634800000000001"/>
    <n v="1.1621969999999999"/>
    <n v="1.2830000000000001E-3"/>
    <x v="0"/>
    <x v="1"/>
    <x v="1"/>
    <n v="1.7799999999999999E-3"/>
  </r>
  <r>
    <x v="0"/>
    <x v="0"/>
    <n v="330"/>
    <x v="0"/>
    <x v="198"/>
    <d v="2018-07-18T17:00:00"/>
    <n v="1.1634599999999999"/>
    <n v="1.163934"/>
    <n v="4.7399999999999997E-4"/>
    <n v="1.1649099999999999"/>
    <n v="1.164755"/>
    <n v="1.55E-4"/>
    <n v="1.1632800000000001"/>
    <n v="1.162703"/>
    <n v="5.7700000000000004E-4"/>
    <n v="1.1641999999999999"/>
    <n v="1.163354"/>
    <n v="8.4599999999999996E-4"/>
    <x v="0"/>
    <x v="1"/>
    <x v="1"/>
    <n v="1.6299999999999999E-3"/>
  </r>
  <r>
    <x v="0"/>
    <x v="0"/>
    <n v="332"/>
    <x v="0"/>
    <x v="199"/>
    <d v="2018-07-18T18:00:00"/>
    <n v="1.16421"/>
    <n v="1.1646110000000001"/>
    <n v="4.0099999999999999E-4"/>
    <n v="1.1649400000000001"/>
    <n v="1.1653690000000001"/>
    <n v="4.2900000000000002E-4"/>
    <n v="1.1635599999999999"/>
    <n v="1.163594"/>
    <n v="3.4E-5"/>
    <n v="1.1644099999999999"/>
    <n v="1.164032"/>
    <n v="3.7800000000000003E-4"/>
    <x v="0"/>
    <x v="1"/>
    <x v="1"/>
    <n v="1.3799999999999999E-3"/>
  </r>
  <r>
    <x v="0"/>
    <x v="0"/>
    <n v="334"/>
    <x v="0"/>
    <x v="200"/>
    <d v="2018-07-18T19:00:00"/>
    <n v="1.1644000000000001"/>
    <n v="1.164488"/>
    <n v="8.7999999999999998E-5"/>
    <n v="1.16615"/>
    <n v="1.1651400000000001"/>
    <n v="1.01E-3"/>
    <n v="1.16439"/>
    <n v="1.163734"/>
    <n v="6.5600000000000001E-4"/>
    <n v="1.1651899999999999"/>
    <n v="1.1643870000000001"/>
    <n v="8.03E-4"/>
    <x v="0"/>
    <x v="1"/>
    <x v="1"/>
    <n v="1.7600000000000001E-3"/>
  </r>
  <r>
    <x v="0"/>
    <x v="0"/>
    <n v="336"/>
    <x v="0"/>
    <x v="201"/>
    <d v="2018-07-18T20:00:00"/>
    <n v="1.1652"/>
    <n v="1.1654469999999999"/>
    <n v="2.4699999999999999E-4"/>
    <n v="1.16564"/>
    <n v="1.166839"/>
    <n v="1.199E-3"/>
    <n v="1.1648400000000001"/>
    <n v="1.1650210000000001"/>
    <n v="1.8100000000000001E-4"/>
    <n v="1.1648799999999999"/>
    <n v="1.165429"/>
    <n v="5.4900000000000001E-4"/>
    <x v="0"/>
    <x v="1"/>
    <x v="1"/>
    <n v="8.0000000000000004E-4"/>
  </r>
  <r>
    <x v="0"/>
    <x v="0"/>
    <n v="338"/>
    <x v="0"/>
    <x v="202"/>
    <d v="2018-07-18T21:00:00"/>
    <n v="1.16492"/>
    <n v="1.1647449999999999"/>
    <n v="1.75E-4"/>
    <n v="1.16499"/>
    <n v="1.1653789999999999"/>
    <n v="3.8900000000000002E-4"/>
    <n v="1.1643399999999999"/>
    <n v="1.1643380000000001"/>
    <n v="1.9999999999999999E-6"/>
    <n v="1.16465"/>
    <n v="1.1648130000000001"/>
    <n v="1.63E-4"/>
    <x v="0"/>
    <x v="1"/>
    <x v="1"/>
    <n v="6.4999999999999997E-4"/>
  </r>
  <r>
    <x v="0"/>
    <x v="0"/>
    <n v="340"/>
    <x v="0"/>
    <x v="203"/>
    <d v="2018-07-18T22:00:00"/>
    <n v="1.16466"/>
    <n v="1.1641889999999999"/>
    <n v="4.7100000000000001E-4"/>
    <n v="1.1647400000000001"/>
    <n v="1.164863"/>
    <n v="1.2300000000000001E-4"/>
    <n v="1.1636899999999999"/>
    <n v="1.1641490000000001"/>
    <n v="4.5899999999999999E-4"/>
    <n v="1.1641699999999999"/>
    <n v="1.16475"/>
    <n v="5.8E-4"/>
    <x v="0"/>
    <x v="1"/>
    <x v="1"/>
    <n v="1.0499999999999999E-3"/>
  </r>
  <r>
    <x v="0"/>
    <x v="0"/>
    <n v="342"/>
    <x v="0"/>
    <x v="204"/>
    <d v="2018-07-18T23:00:00"/>
    <n v="1.16415"/>
    <n v="1.1633150000000001"/>
    <n v="8.3500000000000002E-4"/>
    <n v="1.1643399999999999"/>
    <n v="1.1640900000000001"/>
    <n v="2.5000000000000001E-4"/>
    <n v="1.1637"/>
    <n v="1.1630149999999999"/>
    <n v="6.8499999999999995E-4"/>
    <n v="1.1637299999999999"/>
    <n v="1.1641250000000001"/>
    <n v="3.9500000000000001E-4"/>
    <x v="0"/>
    <x v="1"/>
    <x v="1"/>
    <n v="6.4000000000000005E-4"/>
  </r>
  <r>
    <x v="0"/>
    <x v="0"/>
    <n v="344"/>
    <x v="0"/>
    <x v="205"/>
    <d v="2018-07-19T00:00:00"/>
    <n v="1.1637200000000001"/>
    <n v="1.1629480000000001"/>
    <n v="7.7200000000000001E-4"/>
    <n v="1.16439"/>
    <n v="1.1636"/>
    <n v="7.9000000000000001E-4"/>
    <n v="1.16353"/>
    <n v="1.1629069999999999"/>
    <n v="6.2299999999999996E-4"/>
    <n v="1.1642999999999999"/>
    <n v="1.1636219999999999"/>
    <n v="6.78E-4"/>
    <x v="0"/>
    <x v="1"/>
    <x v="1"/>
    <n v="8.5999999999999998E-4"/>
  </r>
  <r>
    <x v="0"/>
    <x v="0"/>
    <n v="346"/>
    <x v="0"/>
    <x v="206"/>
    <d v="2018-07-19T01:00:00"/>
    <n v="1.16431"/>
    <n v="1.1652070000000001"/>
    <n v="8.9700000000000001E-4"/>
    <n v="1.1644300000000001"/>
    <n v="1.1652720000000001"/>
    <n v="8.4199999999999998E-4"/>
    <n v="1.16401"/>
    <n v="1.164301"/>
    <n v="2.9100000000000003E-4"/>
    <n v="1.16428"/>
    <n v="1.16432"/>
    <n v="4.0000000000000003E-5"/>
    <x v="0"/>
    <x v="1"/>
    <x v="1"/>
    <n v="4.2000000000000002E-4"/>
  </r>
  <r>
    <x v="0"/>
    <x v="0"/>
    <n v="348"/>
    <x v="0"/>
    <x v="207"/>
    <d v="2018-07-19T02:00:00"/>
    <n v="1.16431"/>
    <n v="1.162568"/>
    <n v="1.7420000000000001E-3"/>
    <n v="1.16448"/>
    <n v="1.1635770000000001"/>
    <n v="9.0300000000000005E-4"/>
    <n v="1.16405"/>
    <n v="1.1627860000000001"/>
    <n v="1.2639999999999999E-3"/>
    <n v="1.16442"/>
    <n v="1.164175"/>
    <n v="2.4499999999999999E-4"/>
    <x v="0"/>
    <x v="1"/>
    <x v="1"/>
    <n v="4.2999999999999999E-4"/>
  </r>
  <r>
    <x v="0"/>
    <x v="0"/>
    <n v="350"/>
    <x v="0"/>
    <x v="208"/>
    <d v="2018-07-19T03:00:00"/>
    <n v="1.1644099999999999"/>
    <n v="1.1629780000000001"/>
    <n v="1.4319999999999999E-3"/>
    <n v="1.16536"/>
    <n v="1.1637740000000001"/>
    <n v="1.586E-3"/>
    <n v="1.1643300000000001"/>
    <n v="1.163249"/>
    <n v="1.0809999999999999E-3"/>
    <n v="1.1652499999999999"/>
    <n v="1.164418"/>
    <n v="8.3199999999999995E-4"/>
    <x v="0"/>
    <x v="1"/>
    <x v="1"/>
    <n v="1.0300000000000001E-3"/>
  </r>
  <r>
    <x v="0"/>
    <x v="0"/>
    <n v="352"/>
    <x v="0"/>
    <x v="209"/>
    <d v="2018-07-19T04:00:00"/>
    <n v="1.1652499999999999"/>
    <n v="1.164809"/>
    <n v="4.4099999999999999E-4"/>
    <n v="1.1655899999999999"/>
    <n v="1.165511"/>
    <n v="7.8999999999999996E-5"/>
    <n v="1.1640299999999999"/>
    <n v="1.1645270000000001"/>
    <n v="4.9700000000000005E-4"/>
    <n v="1.16483"/>
    <n v="1.1652199999999999"/>
    <n v="3.8999999999999999E-4"/>
    <x v="0"/>
    <x v="1"/>
    <x v="1"/>
    <n v="1.56E-3"/>
  </r>
  <r>
    <x v="0"/>
    <x v="0"/>
    <n v="354"/>
    <x v="0"/>
    <x v="210"/>
    <d v="2018-07-19T05:00:00"/>
    <n v="1.16483"/>
    <n v="1.163937"/>
    <n v="8.9300000000000002E-4"/>
    <n v="1.1649799999999999"/>
    <n v="1.1647019999999999"/>
    <n v="2.7799999999999998E-4"/>
    <n v="1.1639299999999999"/>
    <n v="1.163424"/>
    <n v="5.0600000000000005E-4"/>
    <n v="1.1645799999999999"/>
    <n v="1.1646860000000001"/>
    <n v="1.06E-4"/>
    <x v="0"/>
    <x v="1"/>
    <x v="1"/>
    <n v="1.0499999999999999E-3"/>
  </r>
  <r>
    <x v="0"/>
    <x v="0"/>
    <n v="356"/>
    <x v="0"/>
    <x v="211"/>
    <d v="2018-07-19T06:00:00"/>
    <n v="1.1645700000000001"/>
    <n v="1.163108"/>
    <n v="1.462E-3"/>
    <n v="1.1654100000000001"/>
    <n v="1.163996"/>
    <n v="1.4139999999999999E-3"/>
    <n v="1.16418"/>
    <n v="1.162704"/>
    <n v="1.4760000000000001E-3"/>
    <n v="1.1651"/>
    <n v="1.164353"/>
    <n v="7.4700000000000005E-4"/>
    <x v="0"/>
    <x v="1"/>
    <x v="1"/>
    <n v="1.23E-3"/>
  </r>
  <r>
    <x v="0"/>
    <x v="0"/>
    <n v="358"/>
    <x v="0"/>
    <x v="212"/>
    <d v="2018-07-19T07:00:00"/>
    <n v="1.16469"/>
    <n v="1.165195"/>
    <n v="5.0500000000000002E-4"/>
    <n v="1.1649099999999999"/>
    <n v="1.1657770000000001"/>
    <n v="8.6700000000000004E-4"/>
    <n v="1.1639299999999999"/>
    <n v="1.16428"/>
    <n v="3.5E-4"/>
    <n v="1.1640299999999999"/>
    <n v="1.1649830000000001"/>
    <n v="9.5299999999999996E-4"/>
    <x v="0"/>
    <x v="1"/>
    <x v="1"/>
    <n v="9.7999999999999997E-4"/>
  </r>
  <r>
    <x v="0"/>
    <x v="0"/>
    <n v="360"/>
    <x v="0"/>
    <x v="213"/>
    <d v="2018-07-19T09:00:00"/>
    <n v="1.1640200000000001"/>
    <n v="1.1633659999999999"/>
    <n v="6.5399999999999996E-4"/>
    <n v="1.1643699999999999"/>
    <n v="1.1642110000000001"/>
    <n v="1.5899999999999999E-4"/>
    <n v="1.16187"/>
    <n v="1.1629430000000001"/>
    <n v="1.073E-3"/>
    <n v="1.1623399999999999"/>
    <n v="1.16384"/>
    <n v="1.5E-3"/>
    <x v="0"/>
    <x v="1"/>
    <x v="1"/>
    <n v="2.5000000000000001E-3"/>
  </r>
  <r>
    <x v="0"/>
    <x v="0"/>
    <n v="362"/>
    <x v="0"/>
    <x v="214"/>
    <d v="2018-07-19T10:00:00"/>
    <n v="1.16235"/>
    <n v="1.16154"/>
    <n v="8.0999999999999996E-4"/>
    <n v="1.16265"/>
    <n v="1.162974"/>
    <n v="3.2400000000000001E-4"/>
    <n v="1.1605300000000001"/>
    <n v="1.1608830000000001"/>
    <n v="3.5300000000000002E-4"/>
    <n v="1.16072"/>
    <n v="1.162328"/>
    <n v="1.6080000000000001E-3"/>
    <x v="0"/>
    <x v="1"/>
    <x v="1"/>
    <n v="2.1199999999999999E-3"/>
  </r>
  <r>
    <x v="0"/>
    <x v="0"/>
    <n v="364"/>
    <x v="0"/>
    <x v="215"/>
    <d v="2018-07-19T11:00:00"/>
    <n v="1.1607000000000001"/>
    <n v="1.1588400000000001"/>
    <n v="1.8600000000000001E-3"/>
    <n v="1.1617599999999999"/>
    <n v="1.1610780000000001"/>
    <n v="6.8199999999999999E-4"/>
    <n v="1.16029"/>
    <n v="1.1587179999999999"/>
    <n v="1.572E-3"/>
    <n v="1.1611899999999999"/>
    <n v="1.1608719999999999"/>
    <n v="3.1799999999999998E-4"/>
    <x v="0"/>
    <x v="1"/>
    <x v="1"/>
    <n v="1.47E-3"/>
  </r>
  <r>
    <x v="0"/>
    <x v="0"/>
    <n v="366"/>
    <x v="0"/>
    <x v="216"/>
    <d v="2018-07-19T12:00:00"/>
    <n v="1.1595"/>
    <n v="1.1609339999999999"/>
    <n v="1.4339999999999999E-3"/>
    <n v="1.1599999999999999"/>
    <n v="1.161808"/>
    <n v="1.8079999999999999E-3"/>
    <n v="1.15852"/>
    <n v="1.1602170000000001"/>
    <n v="1.6969999999999999E-3"/>
    <n v="1.1599900000000001"/>
    <n v="1.1610419999999999"/>
    <n v="1.052E-3"/>
    <x v="0"/>
    <x v="1"/>
    <x v="1"/>
    <n v="1.48E-3"/>
  </r>
  <r>
    <x v="0"/>
    <x v="0"/>
    <n v="368"/>
    <x v="0"/>
    <x v="217"/>
    <d v="2018-07-19T15:00:00"/>
    <n v="1.15998"/>
    <n v="1.160236"/>
    <n v="2.5599999999999999E-4"/>
    <n v="1.1599900000000001"/>
    <n v="1.1607540000000001"/>
    <n v="7.6400000000000003E-4"/>
    <n v="1.15741"/>
    <n v="1.15873"/>
    <n v="1.32E-3"/>
    <n v="1.1585399999999999"/>
    <n v="1.160093"/>
    <n v="1.5529999999999999E-3"/>
    <x v="0"/>
    <x v="1"/>
    <x v="1"/>
    <n v="2.5799999999999998E-3"/>
  </r>
  <r>
    <x v="0"/>
    <x v="0"/>
    <n v="370"/>
    <x v="0"/>
    <x v="218"/>
    <d v="2018-07-19T16:00:00"/>
    <n v="1.1585399999999999"/>
    <n v="1.1575800000000001"/>
    <n v="9.6000000000000002E-4"/>
    <n v="1.1608400000000001"/>
    <n v="1.1584460000000001"/>
    <n v="2.3939999999999999E-3"/>
    <n v="1.1583699999999999"/>
    <n v="1.156463"/>
    <n v="1.9070000000000001E-3"/>
    <n v="1.1595899999999999"/>
    <n v="1.1586559999999999"/>
    <n v="9.3400000000000004E-4"/>
    <x v="0"/>
    <x v="1"/>
    <x v="1"/>
    <n v="2.47E-3"/>
  </r>
  <r>
    <x v="0"/>
    <x v="0"/>
    <n v="372"/>
    <x v="0"/>
    <x v="219"/>
    <d v="2018-07-19T17:00:00"/>
    <n v="1.1595800000000001"/>
    <n v="1.159108"/>
    <n v="4.7199999999999998E-4"/>
    <n v="1.16212"/>
    <n v="1.161108"/>
    <n v="1.0120000000000001E-3"/>
    <n v="1.1595299999999999"/>
    <n v="1.1584110000000001"/>
    <n v="1.119E-3"/>
    <n v="1.1612899999999999"/>
    <n v="1.1595880000000001"/>
    <n v="1.702E-3"/>
    <x v="0"/>
    <x v="1"/>
    <x v="1"/>
    <n v="2.5899999999999999E-3"/>
  </r>
  <r>
    <x v="0"/>
    <x v="0"/>
    <n v="374"/>
    <x v="0"/>
    <x v="220"/>
    <d v="2018-07-19T18:00:00"/>
    <n v="1.1612899999999999"/>
    <n v="1.161878"/>
    <n v="5.8799999999999998E-4"/>
    <n v="1.1613"/>
    <n v="1.163154"/>
    <n v="1.854E-3"/>
    <n v="1.15954"/>
    <n v="1.1605019999999999"/>
    <n v="9.6199999999999996E-4"/>
    <n v="1.1602600000000001"/>
    <n v="1.161076"/>
    <n v="8.1599999999999999E-4"/>
    <x v="0"/>
    <x v="1"/>
    <x v="1"/>
    <n v="1.7600000000000001E-3"/>
  </r>
  <r>
    <x v="0"/>
    <x v="0"/>
    <n v="376"/>
    <x v="0"/>
    <x v="221"/>
    <d v="2018-07-19T19:00:00"/>
    <n v="1.1602699999999999"/>
    <n v="1.1598919999999999"/>
    <n v="3.7800000000000003E-4"/>
    <n v="1.1609499999999999"/>
    <n v="1.1608270000000001"/>
    <n v="1.2300000000000001E-4"/>
    <n v="1.1601399999999999"/>
    <n v="1.159103"/>
    <n v="1.0369999999999999E-3"/>
    <n v="1.16065"/>
    <n v="1.160455"/>
    <n v="1.95E-4"/>
    <x v="0"/>
    <x v="1"/>
    <x v="1"/>
    <n v="8.0999999999999996E-4"/>
  </r>
  <r>
    <x v="0"/>
    <x v="0"/>
    <n v="378"/>
    <x v="0"/>
    <x v="222"/>
    <d v="2018-07-19T20:00:00"/>
    <n v="1.1606399999999999"/>
    <n v="1.1613960000000001"/>
    <n v="7.5600000000000005E-4"/>
    <n v="1.16778"/>
    <n v="1.1616310000000001"/>
    <n v="6.149E-3"/>
    <n v="1.16049"/>
    <n v="1.1603939999999999"/>
    <n v="9.6000000000000002E-5"/>
    <n v="1.16536"/>
    <n v="1.1606449999999999"/>
    <n v="4.7149999999999996E-3"/>
    <x v="0"/>
    <x v="1"/>
    <x v="1"/>
    <n v="7.2899999999999996E-3"/>
  </r>
  <r>
    <x v="0"/>
    <x v="0"/>
    <n v="380"/>
    <x v="0"/>
    <x v="223"/>
    <d v="2018-07-19T21:00:00"/>
    <n v="1.16536"/>
    <n v="1.166655"/>
    <n v="1.2949999999999999E-3"/>
    <n v="1.16639"/>
    <n v="1.170356"/>
    <n v="3.9659999999999999E-3"/>
    <n v="1.16435"/>
    <n v="1.164145"/>
    <n v="2.05E-4"/>
    <n v="1.16448"/>
    <n v="1.1652659999999999"/>
    <n v="7.8600000000000002E-4"/>
    <x v="0"/>
    <x v="1"/>
    <x v="1"/>
    <n v="2.0400000000000001E-3"/>
  </r>
  <r>
    <x v="0"/>
    <x v="0"/>
    <n v="382"/>
    <x v="0"/>
    <x v="224"/>
    <d v="2018-07-19T22:00:00"/>
    <n v="1.1645000000000001"/>
    <n v="1.163103"/>
    <n v="1.397E-3"/>
    <n v="1.1646399999999999"/>
    <n v="1.165943"/>
    <n v="1.3029999999999999E-3"/>
    <n v="1.16354"/>
    <n v="1.162282"/>
    <n v="1.258E-3"/>
    <n v="1.16357"/>
    <n v="1.164377"/>
    <n v="8.0699999999999999E-4"/>
    <x v="0"/>
    <x v="1"/>
    <x v="1"/>
    <n v="1.1000000000000001E-3"/>
  </r>
  <r>
    <x v="0"/>
    <x v="0"/>
    <n v="384"/>
    <x v="0"/>
    <x v="225"/>
    <d v="2018-07-19T23:00:00"/>
    <n v="1.1635500000000001"/>
    <n v="1.162763"/>
    <n v="7.8700000000000005E-4"/>
    <n v="1.16475"/>
    <n v="1.16381"/>
    <n v="9.3999999999999997E-4"/>
    <n v="1.1631199999999999"/>
    <n v="1.1626639999999999"/>
    <n v="4.5600000000000003E-4"/>
    <n v="1.1640200000000001"/>
    <n v="1.163538"/>
    <n v="4.8200000000000001E-4"/>
    <x v="0"/>
    <x v="1"/>
    <x v="1"/>
    <n v="1.6299999999999999E-3"/>
  </r>
  <r>
    <x v="0"/>
    <x v="0"/>
    <n v="386"/>
    <x v="0"/>
    <x v="226"/>
    <d v="2018-07-20T00:00:00"/>
    <n v="1.1639900000000001"/>
    <n v="1.164568"/>
    <n v="5.7799999999999995E-4"/>
    <n v="1.1646700000000001"/>
    <n v="1.165462"/>
    <n v="7.9199999999999995E-4"/>
    <n v="1.1639600000000001"/>
    <n v="1.1637789999999999"/>
    <n v="1.8100000000000001E-4"/>
    <n v="1.16438"/>
    <n v="1.164156"/>
    <n v="2.24E-4"/>
    <x v="0"/>
    <x v="1"/>
    <x v="1"/>
    <n v="7.1000000000000002E-4"/>
  </r>
  <r>
    <x v="0"/>
    <x v="0"/>
    <n v="388"/>
    <x v="0"/>
    <x v="227"/>
    <d v="2018-07-20T01:00:00"/>
    <n v="1.16439"/>
    <n v="1.1635089999999999"/>
    <n v="8.8099999999999995E-4"/>
    <n v="1.16476"/>
    <n v="1.164663"/>
    <n v="9.7E-5"/>
    <n v="1.16428"/>
    <n v="1.163335"/>
    <n v="9.4499999999999998E-4"/>
    <n v="1.1644600000000001"/>
    <n v="1.1643749999999999"/>
    <n v="8.5000000000000006E-5"/>
    <x v="0"/>
    <x v="1"/>
    <x v="1"/>
    <n v="4.8000000000000001E-4"/>
  </r>
  <r>
    <x v="0"/>
    <x v="0"/>
    <n v="390"/>
    <x v="0"/>
    <x v="228"/>
    <d v="2018-07-20T02:00:00"/>
    <n v="1.1653899999999999"/>
    <n v="1.164828"/>
    <n v="5.62E-4"/>
    <n v="1.1655899999999999"/>
    <n v="1.1652530000000001"/>
    <n v="3.3700000000000001E-4"/>
    <n v="1.16473"/>
    <n v="1.1635869999999999"/>
    <n v="1.1429999999999999E-3"/>
    <n v="1.16536"/>
    <n v="1.1640219999999999"/>
    <n v="1.338E-3"/>
    <x v="0"/>
    <x v="1"/>
    <x v="1"/>
    <n v="8.5999999999999998E-4"/>
  </r>
  <r>
    <x v="0"/>
    <x v="0"/>
    <n v="392"/>
    <x v="0"/>
    <x v="229"/>
    <d v="2018-07-20T04:00:00"/>
    <n v="1.16536"/>
    <n v="1.1634979999999999"/>
    <n v="1.8619999999999999E-3"/>
    <n v="1.16591"/>
    <n v="1.164647"/>
    <n v="1.263E-3"/>
    <n v="1.16255"/>
    <n v="1.1633370000000001"/>
    <n v="7.8700000000000005E-4"/>
    <n v="1.1634599999999999"/>
    <n v="1.1652709999999999"/>
    <n v="1.8109999999999999E-3"/>
    <x v="0"/>
    <x v="1"/>
    <x v="1"/>
    <n v="3.3600000000000001E-3"/>
  </r>
  <r>
    <x v="0"/>
    <x v="0"/>
    <n v="394"/>
    <x v="0"/>
    <x v="230"/>
    <d v="2018-07-20T05:00:00"/>
    <n v="1.16344"/>
    <n v="1.16255"/>
    <n v="8.8999999999999995E-4"/>
    <n v="1.1651899999999999"/>
    <n v="1.1638850000000001"/>
    <n v="1.305E-3"/>
    <n v="1.1631400000000001"/>
    <n v="1.1613059999999999"/>
    <n v="1.8339999999999999E-3"/>
    <n v="1.16472"/>
    <n v="1.163246"/>
    <n v="1.474E-3"/>
    <x v="0"/>
    <x v="1"/>
    <x v="1"/>
    <n v="2.0500000000000002E-3"/>
  </r>
  <r>
    <x v="0"/>
    <x v="0"/>
    <n v="396"/>
    <x v="0"/>
    <x v="231"/>
    <d v="2018-07-20T06:00:00"/>
    <n v="1.1647099999999999"/>
    <n v="1.1646730000000001"/>
    <n v="3.6999999999999998E-5"/>
    <n v="1.1654199999999999"/>
    <n v="1.1661539999999999"/>
    <n v="7.3399999999999995E-4"/>
    <n v="1.1644300000000001"/>
    <n v="1.1639219999999999"/>
    <n v="5.0799999999999999E-4"/>
    <n v="1.1649499999999999"/>
    <n v="1.16496"/>
    <n v="1.0000000000000001E-5"/>
    <x v="0"/>
    <x v="1"/>
    <x v="1"/>
    <n v="9.8999999999999999E-4"/>
  </r>
  <r>
    <x v="0"/>
    <x v="0"/>
    <n v="398"/>
    <x v="0"/>
    <x v="232"/>
    <d v="2018-07-20T07:00:00"/>
    <n v="1.1649400000000001"/>
    <n v="1.160703"/>
    <n v="4.2370000000000003E-3"/>
    <n v="1.1664300000000001"/>
    <n v="1.1631499999999999"/>
    <n v="3.2799999999999999E-3"/>
    <n v="1.1647700000000001"/>
    <n v="1.161554"/>
    <n v="3.2160000000000001E-3"/>
    <n v="1.1663300000000001"/>
    <n v="1.1646369999999999"/>
    <n v="1.6930000000000001E-3"/>
    <x v="0"/>
    <x v="1"/>
    <x v="1"/>
    <n v="1.66E-3"/>
  </r>
  <r>
    <x v="0"/>
    <x v="0"/>
    <n v="400"/>
    <x v="0"/>
    <x v="233"/>
    <d v="2018-07-20T08:00:00"/>
    <n v="1.16632"/>
    <n v="1.1672400000000001"/>
    <n v="9.2000000000000003E-4"/>
    <n v="1.1670499999999999"/>
    <n v="1.1677299999999999"/>
    <n v="6.8000000000000005E-4"/>
    <n v="1.16587"/>
    <n v="1.165786"/>
    <n v="8.3999999999999995E-5"/>
    <n v="1.1664300000000001"/>
    <n v="1.1662330000000001"/>
    <n v="1.9699999999999999E-4"/>
    <x v="0"/>
    <x v="1"/>
    <x v="1"/>
    <n v="1.1800000000000001E-3"/>
  </r>
  <r>
    <x v="0"/>
    <x v="0"/>
    <n v="402"/>
    <x v="0"/>
    <x v="234"/>
    <d v="2018-07-20T09:00:00"/>
    <n v="1.1654199999999999"/>
    <n v="1.1667890000000001"/>
    <n v="1.369E-3"/>
    <n v="1.1656599999999999"/>
    <n v="1.167557"/>
    <n v="1.897E-3"/>
    <n v="1.16323"/>
    <n v="1.165645"/>
    <n v="2.415E-3"/>
    <n v="1.16401"/>
    <n v="1.1663380000000001"/>
    <n v="2.3280000000000002E-3"/>
    <x v="0"/>
    <x v="1"/>
    <x v="1"/>
    <n v="2.4299999999999999E-3"/>
  </r>
  <r>
    <x v="0"/>
    <x v="0"/>
    <n v="404"/>
    <x v="0"/>
    <x v="235"/>
    <d v="2018-07-20T11:00:00"/>
    <n v="1.16404"/>
    <n v="1.162531"/>
    <n v="1.5089999999999999E-3"/>
    <n v="1.1653100000000001"/>
    <n v="1.1642570000000001"/>
    <n v="1.0529999999999999E-3"/>
    <n v="1.1637200000000001"/>
    <n v="1.1618269999999999"/>
    <n v="1.8929999999999999E-3"/>
    <n v="1.1640200000000001"/>
    <n v="1.1641170000000001"/>
    <n v="9.7E-5"/>
    <x v="0"/>
    <x v="1"/>
    <x v="1"/>
    <n v="1.5900000000000001E-3"/>
  </r>
  <r>
    <x v="0"/>
    <x v="0"/>
    <n v="406"/>
    <x v="0"/>
    <x v="236"/>
    <d v="2018-07-20T12:00:00"/>
    <n v="1.1640299999999999"/>
    <n v="1.163637"/>
    <n v="3.9300000000000001E-4"/>
    <n v="1.16591"/>
    <n v="1.1653880000000001"/>
    <n v="5.22E-4"/>
    <n v="1.16395"/>
    <n v="1.1635359999999999"/>
    <n v="4.1399999999999998E-4"/>
    <n v="1.1654899999999999"/>
    <n v="1.1642330000000001"/>
    <n v="1.2570000000000001E-3"/>
    <x v="0"/>
    <x v="1"/>
    <x v="1"/>
    <n v="1.9599999999999999E-3"/>
  </r>
  <r>
    <x v="0"/>
    <x v="0"/>
    <n v="408"/>
    <x v="0"/>
    <x v="237"/>
    <d v="2018-07-20T13:00:00"/>
    <n v="1.1649499999999999"/>
    <n v="1.164785"/>
    <n v="1.65E-4"/>
    <n v="1.1664399999999999"/>
    <n v="1.1661440000000001"/>
    <n v="2.9599999999999998E-4"/>
    <n v="1.1646399999999999"/>
    <n v="1.1641159999999999"/>
    <n v="5.2400000000000005E-4"/>
    <n v="1.16621"/>
    <n v="1.165216"/>
    <n v="9.9400000000000009E-4"/>
    <x v="0"/>
    <x v="1"/>
    <x v="1"/>
    <n v="1.8E-3"/>
  </r>
  <r>
    <x v="0"/>
    <x v="0"/>
    <n v="410"/>
    <x v="0"/>
    <x v="238"/>
    <d v="2018-07-20T15:00:00"/>
    <n v="1.16622"/>
    <n v="1.1673389999999999"/>
    <n v="1.119E-3"/>
    <n v="1.1714199999999999"/>
    <n v="1.1680200000000001"/>
    <n v="3.3999999999999998E-3"/>
    <n v="1.16604"/>
    <n v="1.165794"/>
    <n v="2.4600000000000002E-4"/>
    <n v="1.1711800000000001"/>
    <n v="1.166445"/>
    <n v="4.7349999999999996E-3"/>
    <x v="0"/>
    <x v="1"/>
    <x v="1"/>
    <n v="5.3800000000000002E-3"/>
  </r>
  <r>
    <x v="0"/>
    <x v="0"/>
    <n v="412"/>
    <x v="0"/>
    <x v="239"/>
    <d v="2018-07-20T16:00:00"/>
    <n v="1.1711800000000001"/>
    <n v="1.170998"/>
    <n v="1.8200000000000001E-4"/>
    <n v="1.1722300000000001"/>
    <n v="1.1733089999999999"/>
    <n v="1.0790000000000001E-3"/>
    <n v="1.17014"/>
    <n v="1.168828"/>
    <n v="1.312E-3"/>
    <n v="1.1715"/>
    <n v="1.1710739999999999"/>
    <n v="4.26E-4"/>
    <x v="0"/>
    <x v="1"/>
    <x v="1"/>
    <n v="2.0899999999999998E-3"/>
  </r>
  <r>
    <x v="0"/>
    <x v="0"/>
    <n v="414"/>
    <x v="0"/>
    <x v="240"/>
    <d v="2018-07-20T17:00:00"/>
    <n v="1.1714800000000001"/>
    <n v="1.1708270000000001"/>
    <n v="6.5300000000000004E-4"/>
    <n v="1.1720999999999999"/>
    <n v="1.1722090000000001"/>
    <n v="1.0900000000000001E-4"/>
    <n v="1.1702999999999999"/>
    <n v="1.16947"/>
    <n v="8.3000000000000001E-4"/>
    <n v="1.1706300000000001"/>
    <n v="1.1713750000000001"/>
    <n v="7.45E-4"/>
    <x v="0"/>
    <x v="1"/>
    <x v="1"/>
    <n v="1.8E-3"/>
  </r>
  <r>
    <x v="0"/>
    <x v="0"/>
    <n v="416"/>
    <x v="0"/>
    <x v="241"/>
    <d v="2018-07-20T18:00:00"/>
    <n v="1.17066"/>
    <n v="1.168013"/>
    <n v="2.647E-3"/>
    <n v="1.1712800000000001"/>
    <n v="1.1700140000000001"/>
    <n v="1.266E-3"/>
    <n v="1.17022"/>
    <n v="1.1682159999999999"/>
    <n v="2.0040000000000001E-3"/>
    <n v="1.1707700000000001"/>
    <n v="1.170453"/>
    <n v="3.1700000000000001E-4"/>
    <x v="0"/>
    <x v="1"/>
    <x v="1"/>
    <n v="1.06E-3"/>
  </r>
  <r>
    <x v="0"/>
    <x v="0"/>
    <n v="418"/>
    <x v="0"/>
    <x v="242"/>
    <d v="2018-07-20T19:00:00"/>
    <n v="1.1707799999999999"/>
    <n v="1.1701509999999999"/>
    <n v="6.29E-4"/>
    <n v="1.1710799999999999"/>
    <n v="1.1715720000000001"/>
    <n v="4.9200000000000003E-4"/>
    <n v="1.17005"/>
    <n v="1.170193"/>
    <n v="1.4300000000000001E-4"/>
    <n v="1.17086"/>
    <n v="1.1710940000000001"/>
    <n v="2.34E-4"/>
    <x v="0"/>
    <x v="1"/>
    <x v="1"/>
    <n v="1.0300000000000001E-3"/>
  </r>
  <r>
    <x v="0"/>
    <x v="0"/>
    <n v="420"/>
    <x v="0"/>
    <x v="243"/>
    <d v="2018-07-20T20:00:00"/>
    <n v="1.1708799999999999"/>
    <n v="1.1713370000000001"/>
    <n v="4.57E-4"/>
    <n v="1.17232"/>
    <n v="1.1718850000000001"/>
    <n v="4.35E-4"/>
    <n v="1.17065"/>
    <n v="1.170207"/>
    <n v="4.4299999999999998E-4"/>
    <n v="1.1718599999999999"/>
    <n v="1.1710769999999999"/>
    <n v="7.8299999999999995E-4"/>
    <x v="0"/>
    <x v="1"/>
    <x v="1"/>
    <n v="1.67E-3"/>
  </r>
  <r>
    <x v="0"/>
    <x v="0"/>
    <n v="422"/>
    <x v="0"/>
    <x v="244"/>
    <d v="2018-07-20T21:00:00"/>
    <n v="1.17187"/>
    <n v="1.172255"/>
    <n v="3.8499999999999998E-4"/>
    <n v="1.1738"/>
    <n v="1.172777"/>
    <n v="1.023E-3"/>
    <n v="1.1718299999999999"/>
    <n v="1.170733"/>
    <n v="1.0970000000000001E-3"/>
    <n v="1.1724399999999999"/>
    <n v="1.1714659999999999"/>
    <n v="9.7400000000000004E-4"/>
    <x v="0"/>
    <x v="1"/>
    <x v="1"/>
    <n v="1.97E-3"/>
  </r>
  <r>
    <x v="0"/>
    <x v="0"/>
    <n v="424"/>
    <x v="0"/>
    <x v="245"/>
    <d v="2018-07-20T22:00:00"/>
    <n v="1.17245"/>
    <n v="1.1719219999999999"/>
    <n v="5.2800000000000004E-4"/>
    <n v="1.1729499999999999"/>
    <n v="1.1738150000000001"/>
    <n v="8.6499999999999999E-4"/>
    <n v="1.17195"/>
    <n v="1.1718059999999999"/>
    <n v="1.44E-4"/>
    <n v="1.17255"/>
    <n v="1.172207"/>
    <n v="3.4299999999999999E-4"/>
    <x v="0"/>
    <x v="1"/>
    <x v="1"/>
    <n v="1E-3"/>
  </r>
  <r>
    <x v="0"/>
    <x v="0"/>
    <n v="426"/>
    <x v="0"/>
    <x v="246"/>
    <d v="2018-07-20T23:00:00"/>
    <n v="1.1725699999999999"/>
    <n v="1.1711659999999999"/>
    <n v="1.4040000000000001E-3"/>
    <n v="1.17279"/>
    <n v="1.17225"/>
    <n v="5.4000000000000001E-4"/>
    <n v="1.17167"/>
    <n v="1.1714199999999999"/>
    <n v="2.5000000000000001E-4"/>
    <n v="1.17201"/>
    <n v="1.1725989999999999"/>
    <n v="5.8900000000000001E-4"/>
    <x v="0"/>
    <x v="1"/>
    <x v="1"/>
    <n v="1.1199999999999999E-3"/>
  </r>
  <r>
    <x v="0"/>
    <x v="0"/>
    <n v="428"/>
    <x v="0"/>
    <x v="247"/>
    <d v="2018-07-23T00:00:00"/>
    <n v="1.1726000000000001"/>
    <n v="1.1712039999999999"/>
    <n v="1.3960000000000001E-3"/>
    <n v="1.1727300000000001"/>
    <n v="1.17171"/>
    <n v="1.0200000000000001E-3"/>
    <n v="1.1721600000000001"/>
    <n v="1.1713990000000001"/>
    <n v="7.6099999999999996E-4"/>
    <n v="1.1723300000000001"/>
    <n v="1.1720950000000001"/>
    <n v="2.3499999999999999E-4"/>
    <x v="0"/>
    <x v="1"/>
    <x v="1"/>
    <n v="5.6999999999999998E-4"/>
  </r>
  <r>
    <x v="0"/>
    <x v="0"/>
    <n v="430"/>
    <x v="0"/>
    <x v="248"/>
    <d v="2018-07-23T01:00:00"/>
    <n v="1.1723300000000001"/>
    <n v="1.171627"/>
    <n v="7.0299999999999996E-4"/>
    <n v="1.1733899999999999"/>
    <n v="1.17282"/>
    <n v="5.6999999999999998E-4"/>
    <n v="1.1722699999999999"/>
    <n v="1.171503"/>
    <n v="7.67E-4"/>
    <n v="1.1733"/>
    <n v="1.172464"/>
    <n v="8.3600000000000005E-4"/>
    <x v="0"/>
    <x v="1"/>
    <x v="1"/>
    <n v="1.1199999999999999E-3"/>
  </r>
  <r>
    <x v="0"/>
    <x v="0"/>
    <n v="432"/>
    <x v="0"/>
    <x v="249"/>
    <d v="2018-07-23T02:00:00"/>
    <n v="1.1732899999999999"/>
    <n v="1.169295"/>
    <n v="3.9950000000000003E-3"/>
    <n v="1.1744699999999999"/>
    <n v="1.1714720000000001"/>
    <n v="2.9979999999999998E-3"/>
    <n v="1.1732400000000001"/>
    <n v="1.169629"/>
    <n v="3.6110000000000001E-3"/>
    <n v="1.1739599999999999"/>
    <n v="1.1726799999999999"/>
    <n v="1.2800000000000001E-3"/>
    <x v="0"/>
    <x v="1"/>
    <x v="1"/>
    <n v="1.23E-3"/>
  </r>
  <r>
    <x v="0"/>
    <x v="0"/>
    <n v="434"/>
    <x v="0"/>
    <x v="250"/>
    <d v="2018-07-23T03:00:00"/>
    <n v="1.1739900000000001"/>
    <n v="1.173373"/>
    <n v="6.1700000000000004E-4"/>
    <n v="1.17459"/>
    <n v="1.174585"/>
    <n v="5.0000000000000004E-6"/>
    <n v="1.1733899999999999"/>
    <n v="1.1730670000000001"/>
    <n v="3.2299999999999999E-4"/>
    <n v="1.17432"/>
    <n v="1.173848"/>
    <n v="4.7199999999999998E-4"/>
    <x v="0"/>
    <x v="1"/>
    <x v="1"/>
    <n v="1.1999999999999999E-3"/>
  </r>
  <r>
    <x v="0"/>
    <x v="0"/>
    <n v="436"/>
    <x v="0"/>
    <x v="251"/>
    <d v="2018-07-23T04:00:00"/>
    <n v="1.1743300000000001"/>
    <n v="1.1746909999999999"/>
    <n v="3.6099999999999999E-4"/>
    <n v="1.17499"/>
    <n v="1.1752290000000001"/>
    <n v="2.3900000000000001E-4"/>
    <n v="1.1733499999999999"/>
    <n v="1.1737740000000001"/>
    <n v="4.2400000000000001E-4"/>
    <n v="1.1739999999999999"/>
    <n v="1.174261"/>
    <n v="2.61E-4"/>
    <x v="0"/>
    <x v="1"/>
    <x v="1"/>
    <n v="1.64E-3"/>
  </r>
  <r>
    <x v="0"/>
    <x v="0"/>
    <n v="438"/>
    <x v="0"/>
    <x v="252"/>
    <d v="2018-07-23T05:00:00"/>
    <n v="1.1739999999999999"/>
    <n v="1.172669"/>
    <n v="1.3309999999999999E-3"/>
    <n v="1.1742600000000001"/>
    <n v="1.1738109999999999"/>
    <n v="4.4900000000000002E-4"/>
    <n v="1.1732400000000001"/>
    <n v="1.1723110000000001"/>
    <n v="9.2900000000000003E-4"/>
    <n v="1.17334"/>
    <n v="1.173864"/>
    <n v="5.2400000000000005E-4"/>
    <x v="0"/>
    <x v="1"/>
    <x v="1"/>
    <n v="1.0200000000000001E-3"/>
  </r>
  <r>
    <x v="0"/>
    <x v="0"/>
    <n v="440"/>
    <x v="0"/>
    <x v="253"/>
    <d v="2018-07-23T06:00:00"/>
    <n v="1.17333"/>
    <n v="1.1720680000000001"/>
    <n v="1.2620000000000001E-3"/>
    <n v="1.17415"/>
    <n v="1.1731529999999999"/>
    <n v="9.9700000000000006E-4"/>
    <n v="1.1732100000000001"/>
    <n v="1.172328"/>
    <n v="8.8199999999999997E-4"/>
    <n v="1.1739999999999999"/>
    <n v="1.173408"/>
    <n v="5.9199999999999997E-4"/>
    <x v="0"/>
    <x v="1"/>
    <x v="1"/>
    <n v="9.3999999999999997E-4"/>
  </r>
  <r>
    <x v="0"/>
    <x v="0"/>
    <n v="442"/>
    <x v="0"/>
    <x v="254"/>
    <d v="2018-07-23T07:00:00"/>
    <n v="1.1739999999999999"/>
    <n v="1.1732990000000001"/>
    <n v="7.0100000000000002E-4"/>
    <n v="1.17415"/>
    <n v="1.174715"/>
    <n v="5.6499999999999996E-4"/>
    <n v="1.1731499999999999"/>
    <n v="1.173354"/>
    <n v="2.04E-4"/>
    <n v="1.17326"/>
    <n v="1.174328"/>
    <n v="1.0679999999999999E-3"/>
    <x v="0"/>
    <x v="1"/>
    <x v="1"/>
    <n v="1E-3"/>
  </r>
  <r>
    <x v="0"/>
    <x v="0"/>
    <n v="444"/>
    <x v="0"/>
    <x v="255"/>
    <d v="2018-07-23T08:00:00"/>
    <n v="1.1732400000000001"/>
    <n v="1.1715580000000001"/>
    <n v="1.6819999999999999E-3"/>
    <n v="1.1737599999999999"/>
    <n v="1.172696"/>
    <n v="1.0640000000000001E-3"/>
    <n v="1.17214"/>
    <n v="1.1714869999999999"/>
    <n v="6.5300000000000004E-4"/>
    <n v="1.17225"/>
    <n v="1.1729860000000001"/>
    <n v="7.36E-4"/>
    <x v="0"/>
    <x v="1"/>
    <x v="1"/>
    <n v="1.6199999999999999E-3"/>
  </r>
  <r>
    <x v="0"/>
    <x v="0"/>
    <n v="446"/>
    <x v="0"/>
    <x v="256"/>
    <d v="2018-07-23T09:00:00"/>
    <n v="1.1722699999999999"/>
    <n v="1.1709769999999999"/>
    <n v="1.2930000000000001E-3"/>
    <n v="1.1731499999999999"/>
    <n v="1.1727479999999999"/>
    <n v="4.0200000000000001E-4"/>
    <n v="1.1715899999999999"/>
    <n v="1.170825"/>
    <n v="7.6499999999999995E-4"/>
    <n v="1.1717299999999999"/>
    <n v="1.1721220000000001"/>
    <n v="3.9199999999999999E-4"/>
    <x v="0"/>
    <x v="1"/>
    <x v="1"/>
    <n v="1.56E-3"/>
  </r>
  <r>
    <x v="0"/>
    <x v="0"/>
    <n v="448"/>
    <x v="0"/>
    <x v="257"/>
    <d v="2018-07-23T10:00:00"/>
    <n v="1.1717"/>
    <n v="1.171109"/>
    <n v="5.9100000000000005E-4"/>
    <n v="1.1741999999999999"/>
    <n v="1.1728430000000001"/>
    <n v="1.3569999999999999E-3"/>
    <n v="1.1713499999999999"/>
    <n v="1.1709700000000001"/>
    <n v="3.8000000000000002E-4"/>
    <n v="1.1731400000000001"/>
    <n v="1.1717979999999999"/>
    <n v="1.3420000000000001E-3"/>
    <x v="0"/>
    <x v="1"/>
    <x v="1"/>
    <n v="2.8500000000000001E-3"/>
  </r>
  <r>
    <x v="0"/>
    <x v="0"/>
    <n v="450"/>
    <x v="0"/>
    <x v="258"/>
    <d v="2018-07-23T11:00:00"/>
    <n v="1.1731400000000001"/>
    <n v="1.172817"/>
    <n v="3.2299999999999999E-4"/>
    <n v="1.17336"/>
    <n v="1.1744129999999999"/>
    <n v="1.0529999999999999E-3"/>
    <n v="1.1703600000000001"/>
    <n v="1.1722649999999999"/>
    <n v="1.905E-3"/>
    <n v="1.1705399999999999"/>
    <n v="1.173225"/>
    <n v="2.6849999999999999E-3"/>
    <x v="0"/>
    <x v="1"/>
    <x v="1"/>
    <n v="3.0000000000000001E-3"/>
  </r>
  <r>
    <x v="0"/>
    <x v="0"/>
    <n v="452"/>
    <x v="0"/>
    <x v="259"/>
    <d v="2018-07-23T12:00:00"/>
    <n v="1.1705399999999999"/>
    <n v="1.1681280000000001"/>
    <n v="2.4120000000000001E-3"/>
    <n v="1.1706799999999999"/>
    <n v="1.17049"/>
    <n v="1.9000000000000001E-4"/>
    <n v="1.1686000000000001"/>
    <n v="1.1678839999999999"/>
    <n v="7.1599999999999995E-4"/>
    <n v="1.1695500000000001"/>
    <n v="1.1705829999999999"/>
    <n v="1.0330000000000001E-3"/>
    <x v="0"/>
    <x v="1"/>
    <x v="1"/>
    <n v="2.0799999999999998E-3"/>
  </r>
  <r>
    <x v="0"/>
    <x v="0"/>
    <n v="454"/>
    <x v="0"/>
    <x v="260"/>
    <d v="2018-07-23T13:00:00"/>
    <n v="1.16954"/>
    <n v="1.1677150000000001"/>
    <n v="1.825E-3"/>
    <n v="1.1713899999999999"/>
    <n v="1.1695059999999999"/>
    <n v="1.884E-3"/>
    <n v="1.16944"/>
    <n v="1.1670389999999999"/>
    <n v="2.4009999999999999E-3"/>
    <n v="1.1713"/>
    <n v="1.169548"/>
    <n v="1.7520000000000001E-3"/>
    <x v="0"/>
    <x v="1"/>
    <x v="1"/>
    <n v="1.9499999999999999E-3"/>
  </r>
  <r>
    <x v="0"/>
    <x v="0"/>
    <n v="456"/>
    <x v="0"/>
    <x v="261"/>
    <d v="2018-07-23T14:00:00"/>
    <n v="1.1712899999999999"/>
    <n v="1.170947"/>
    <n v="3.4299999999999999E-4"/>
    <n v="1.1719299999999999"/>
    <n v="1.1725680000000001"/>
    <n v="6.38E-4"/>
    <n v="1.17123"/>
    <n v="1.1699299999999999"/>
    <n v="1.2999999999999999E-3"/>
    <n v="1.1714500000000001"/>
    <n v="1.1715070000000001"/>
    <n v="5.7000000000000003E-5"/>
    <x v="0"/>
    <x v="1"/>
    <x v="1"/>
    <n v="6.9999999999999999E-4"/>
  </r>
  <r>
    <x v="0"/>
    <x v="0"/>
    <n v="458"/>
    <x v="0"/>
    <x v="262"/>
    <d v="2018-07-23T15:00:00"/>
    <n v="1.1713899999999999"/>
    <n v="1.171022"/>
    <n v="3.68E-4"/>
    <n v="1.1726700000000001"/>
    <n v="1.1719349999999999"/>
    <n v="7.3499999999999998E-4"/>
    <n v="1.1711400000000001"/>
    <n v="1.170507"/>
    <n v="6.3299999999999999E-4"/>
    <n v="1.1717299999999999"/>
    <n v="1.171257"/>
    <n v="4.73E-4"/>
    <x v="0"/>
    <x v="1"/>
    <x v="1"/>
    <n v="1.5299999999999999E-3"/>
  </r>
  <r>
    <x v="0"/>
    <x v="0"/>
    <n v="460"/>
    <x v="0"/>
    <x v="263"/>
    <d v="2018-07-23T16:00:00"/>
    <n v="1.1717299999999999"/>
    <n v="1.1712849999999999"/>
    <n v="4.4499999999999997E-4"/>
    <n v="1.1721900000000001"/>
    <n v="1.1722870000000001"/>
    <n v="9.7E-5"/>
    <n v="1.1698999999999999"/>
    <n v="1.170968"/>
    <n v="1.0679999999999999E-3"/>
    <n v="1.17011"/>
    <n v="1.1714249999999999"/>
    <n v="1.315E-3"/>
    <x v="0"/>
    <x v="1"/>
    <x v="1"/>
    <n v="2.2899999999999999E-3"/>
  </r>
  <r>
    <x v="0"/>
    <x v="0"/>
    <n v="462"/>
    <x v="0"/>
    <x v="264"/>
    <d v="2018-07-23T17:00:00"/>
    <n v="1.17011"/>
    <n v="1.167899"/>
    <n v="2.2109999999999999E-3"/>
    <n v="1.1712400000000001"/>
    <n v="1.170023"/>
    <n v="1.217E-3"/>
    <n v="1.1700600000000001"/>
    <n v="1.1680699999999999"/>
    <n v="1.99E-3"/>
    <n v="1.17031"/>
    <n v="1.1699280000000001"/>
    <n v="3.8200000000000002E-4"/>
    <x v="0"/>
    <x v="1"/>
    <x v="1"/>
    <n v="1.1800000000000001E-3"/>
  </r>
  <r>
    <x v="0"/>
    <x v="0"/>
    <n v="464"/>
    <x v="0"/>
    <x v="265"/>
    <d v="2018-07-23T18:00:00"/>
    <n v="1.17032"/>
    <n v="1.1704909999999999"/>
    <n v="1.7100000000000001E-4"/>
    <n v="1.1708499999999999"/>
    <n v="1.1716200000000001"/>
    <n v="7.6999999999999996E-4"/>
    <n v="1.1692899999999999"/>
    <n v="1.1702889999999999"/>
    <n v="9.990000000000001E-4"/>
    <n v="1.1701299999999999"/>
    <n v="1.1704220000000001"/>
    <n v="2.92E-4"/>
    <x v="0"/>
    <x v="1"/>
    <x v="1"/>
    <n v="1.56E-3"/>
  </r>
  <r>
    <x v="0"/>
    <x v="0"/>
    <n v="466"/>
    <x v="0"/>
    <x v="266"/>
    <d v="2018-07-23T19:00:00"/>
    <n v="1.17011"/>
    <n v="1.169667"/>
    <n v="4.4299999999999998E-4"/>
    <n v="1.1703600000000001"/>
    <n v="1.170358"/>
    <n v="1.9999999999999999E-6"/>
    <n v="1.1690499999999999"/>
    <n v="1.169006"/>
    <n v="4.3999999999999999E-5"/>
    <n v="1.16987"/>
    <n v="1.169983"/>
    <n v="1.13E-4"/>
    <x v="0"/>
    <x v="1"/>
    <x v="1"/>
    <n v="1.31E-3"/>
  </r>
  <r>
    <x v="0"/>
    <x v="0"/>
    <n v="468"/>
    <x v="0"/>
    <x v="267"/>
    <d v="2018-07-23T20:00:00"/>
    <n v="1.1698599999999999"/>
    <n v="1.169384"/>
    <n v="4.7600000000000002E-4"/>
    <n v="1.1706700000000001"/>
    <n v="1.170555"/>
    <n v="1.15E-4"/>
    <n v="1.1682900000000001"/>
    <n v="1.168531"/>
    <n v="2.41E-4"/>
    <n v="1.1690100000000001"/>
    <n v="1.169907"/>
    <n v="8.9700000000000001E-4"/>
    <x v="0"/>
    <x v="1"/>
    <x v="1"/>
    <n v="2.3800000000000002E-3"/>
  </r>
  <r>
    <x v="0"/>
    <x v="0"/>
    <n v="470"/>
    <x v="0"/>
    <x v="268"/>
    <d v="2018-07-23T21:00:00"/>
    <n v="1.1690100000000001"/>
    <n v="1.166885"/>
    <n v="2.1250000000000002E-3"/>
    <n v="1.16933"/>
    <n v="1.1687609999999999"/>
    <n v="5.6899999999999995E-4"/>
    <n v="1.16835"/>
    <n v="1.166501"/>
    <n v="1.8489999999999999E-3"/>
    <n v="1.16886"/>
    <n v="1.1687339999999999"/>
    <n v="1.26E-4"/>
    <x v="0"/>
    <x v="1"/>
    <x v="1"/>
    <n v="9.7999999999999997E-4"/>
  </r>
  <r>
    <x v="0"/>
    <x v="0"/>
    <n v="472"/>
    <x v="0"/>
    <x v="269"/>
    <d v="2018-07-23T22:00:00"/>
    <n v="1.1688799999999999"/>
    <n v="1.1697519999999999"/>
    <n v="8.7200000000000005E-4"/>
    <n v="1.1696"/>
    <n v="1.170007"/>
    <n v="4.0700000000000003E-4"/>
    <n v="1.1685300000000001"/>
    <n v="1.168741"/>
    <n v="2.1100000000000001E-4"/>
    <n v="1.1693"/>
    <n v="1.1689320000000001"/>
    <n v="3.68E-4"/>
    <x v="0"/>
    <x v="1"/>
    <x v="1"/>
    <n v="1.07E-3"/>
  </r>
  <r>
    <x v="0"/>
    <x v="0"/>
    <n v="474"/>
    <x v="0"/>
    <x v="270"/>
    <d v="2018-07-23T23:00:00"/>
    <n v="1.1692899999999999"/>
    <n v="1.169556"/>
    <n v="2.6600000000000001E-4"/>
    <n v="1.1696"/>
    <n v="1.1697550000000001"/>
    <n v="1.55E-4"/>
    <n v="1.1689400000000001"/>
    <n v="1.1689229999999999"/>
    <n v="1.7E-5"/>
    <n v="1.169"/>
    <n v="1.1691180000000001"/>
    <n v="1.18E-4"/>
    <x v="0"/>
    <x v="1"/>
    <x v="1"/>
    <n v="6.6E-4"/>
  </r>
  <r>
    <x v="0"/>
    <x v="0"/>
    <n v="476"/>
    <x v="0"/>
    <x v="271"/>
    <d v="2018-07-24T00:00:00"/>
    <n v="1.169"/>
    <n v="1.166649"/>
    <n v="2.3509999999999998E-3"/>
    <n v="1.16919"/>
    <n v="1.1678999999999999"/>
    <n v="1.2899999999999999E-3"/>
    <n v="1.1682300000000001"/>
    <n v="1.1672279999999999"/>
    <n v="1.0020000000000001E-3"/>
    <n v="1.1687799999999999"/>
    <n v="1.168668"/>
    <n v="1.12E-4"/>
    <x v="0"/>
    <x v="1"/>
    <x v="1"/>
    <n v="9.6000000000000002E-4"/>
  </r>
  <r>
    <x v="0"/>
    <x v="0"/>
    <n v="478"/>
    <x v="0"/>
    <x v="272"/>
    <d v="2018-07-24T01:00:00"/>
    <n v="1.1687700000000001"/>
    <n v="1.167867"/>
    <n v="9.0300000000000005E-4"/>
    <n v="1.1694500000000001"/>
    <n v="1.168547"/>
    <n v="9.0300000000000005E-4"/>
    <n v="1.1687700000000001"/>
    <n v="1.1677839999999999"/>
    <n v="9.859999999999999E-4"/>
    <n v="1.1690799999999999"/>
    <n v="1.168801"/>
    <n v="2.7900000000000001E-4"/>
    <x v="0"/>
    <x v="1"/>
    <x v="1"/>
    <n v="6.8000000000000005E-4"/>
  </r>
  <r>
    <x v="0"/>
    <x v="0"/>
    <n v="480"/>
    <x v="0"/>
    <x v="273"/>
    <d v="2018-07-24T02:00:00"/>
    <n v="1.1690700000000001"/>
    <n v="1.168431"/>
    <n v="6.3900000000000003E-4"/>
    <n v="1.1693"/>
    <n v="1.169548"/>
    <n v="2.4800000000000001E-4"/>
    <n v="1.1685700000000001"/>
    <n v="1.1681280000000001"/>
    <n v="4.4200000000000001E-4"/>
    <n v="1.1692800000000001"/>
    <n v="1.168965"/>
    <n v="3.1500000000000001E-4"/>
    <x v="0"/>
    <x v="1"/>
    <x v="1"/>
    <n v="7.2999999999999996E-4"/>
  </r>
  <r>
    <x v="0"/>
    <x v="0"/>
    <n v="482"/>
    <x v="0"/>
    <x v="274"/>
    <d v="2018-07-24T03:00:00"/>
    <n v="1.16926"/>
    <n v="1.169754"/>
    <n v="4.9399999999999997E-4"/>
    <n v="1.16944"/>
    <n v="1.1698109999999999"/>
    <n v="3.7100000000000002E-4"/>
    <n v="1.16883"/>
    <n v="1.1688069999999999"/>
    <n v="2.3E-5"/>
    <n v="1.16917"/>
    <n v="1.169273"/>
    <n v="1.03E-4"/>
    <x v="0"/>
    <x v="1"/>
    <x v="1"/>
    <n v="6.0999999999999997E-4"/>
  </r>
  <r>
    <x v="0"/>
    <x v="0"/>
    <n v="484"/>
    <x v="0"/>
    <x v="275"/>
    <d v="2018-07-24T04:00:00"/>
    <n v="1.1691800000000001"/>
    <n v="1.1682319999999999"/>
    <n v="9.4799999999999995E-4"/>
    <n v="1.1698999999999999"/>
    <n v="1.168936"/>
    <n v="9.6400000000000001E-4"/>
    <n v="1.16873"/>
    <n v="1.167727"/>
    <n v="1.003E-3"/>
    <n v="1.1696800000000001"/>
    <n v="1.168806"/>
    <n v="8.7399999999999999E-4"/>
    <x v="0"/>
    <x v="1"/>
    <x v="1"/>
    <n v="1.17E-3"/>
  </r>
  <r>
    <x v="0"/>
    <x v="0"/>
    <n v="486"/>
    <x v="0"/>
    <x v="276"/>
    <d v="2018-07-24T05:00:00"/>
    <n v="1.1696800000000001"/>
    <n v="1.1696089999999999"/>
    <n v="7.1000000000000005E-5"/>
    <n v="1.17011"/>
    <n v="1.1702950000000001"/>
    <n v="1.85E-4"/>
    <n v="1.1685099999999999"/>
    <n v="1.1691860000000001"/>
    <n v="6.7599999999999995E-4"/>
    <n v="1.1687399999999999"/>
    <n v="1.169753"/>
    <n v="1.013E-3"/>
    <x v="0"/>
    <x v="1"/>
    <x v="1"/>
    <n v="1.6000000000000001E-3"/>
  </r>
  <r>
    <x v="0"/>
    <x v="0"/>
    <n v="488"/>
    <x v="0"/>
    <x v="277"/>
    <d v="2018-07-24T06:00:00"/>
    <n v="1.1687399999999999"/>
    <n v="1.167575"/>
    <n v="1.165E-3"/>
    <n v="1.1689799999999999"/>
    <n v="1.168609"/>
    <n v="3.7100000000000002E-4"/>
    <n v="1.16835"/>
    <n v="1.1674040000000001"/>
    <n v="9.4600000000000001E-4"/>
    <n v="1.16859"/>
    <n v="1.1685669999999999"/>
    <n v="2.3E-5"/>
    <x v="0"/>
    <x v="1"/>
    <x v="1"/>
    <n v="6.3000000000000003E-4"/>
  </r>
  <r>
    <x v="0"/>
    <x v="0"/>
    <n v="490"/>
    <x v="0"/>
    <x v="278"/>
    <d v="2018-07-24T07:00:00"/>
    <n v="1.1686300000000001"/>
    <n v="1.1685430000000001"/>
    <n v="8.7000000000000001E-5"/>
    <n v="1.1688000000000001"/>
    <n v="1.1690039999999999"/>
    <n v="2.04E-4"/>
    <n v="1.16744"/>
    <n v="1.1681619999999999"/>
    <n v="7.2199999999999999E-4"/>
    <n v="1.1675899999999999"/>
    <n v="1.1685719999999999"/>
    <n v="9.8200000000000002E-4"/>
    <x v="0"/>
    <x v="1"/>
    <x v="1"/>
    <n v="1.3600000000000001E-3"/>
  </r>
  <r>
    <x v="0"/>
    <x v="0"/>
    <n v="492"/>
    <x v="0"/>
    <x v="279"/>
    <d v="2018-07-24T08:00:00"/>
    <n v="1.1676"/>
    <n v="1.166596"/>
    <n v="1.0039999999999999E-3"/>
    <n v="1.1685000000000001"/>
    <n v="1.1677850000000001"/>
    <n v="7.1500000000000003E-4"/>
    <n v="1.1675899999999999"/>
    <n v="1.1663730000000001"/>
    <n v="1.217E-3"/>
    <n v="1.1683600000000001"/>
    <n v="1.1675850000000001"/>
    <n v="7.7499999999999997E-4"/>
    <x v="0"/>
    <x v="1"/>
    <x v="1"/>
    <n v="9.1E-4"/>
  </r>
  <r>
    <x v="0"/>
    <x v="0"/>
    <n v="494"/>
    <x v="0"/>
    <x v="280"/>
    <d v="2018-07-24T09:00:00"/>
    <n v="1.16835"/>
    <n v="1.1676489999999999"/>
    <n v="7.0100000000000002E-4"/>
    <n v="1.1683600000000001"/>
    <n v="1.1688829999999999"/>
    <n v="5.2300000000000003E-4"/>
    <n v="1.16571"/>
    <n v="1.1673579999999999"/>
    <n v="1.6479999999999999E-3"/>
    <n v="1.16588"/>
    <n v="1.1683539999999999"/>
    <n v="2.4740000000000001E-3"/>
    <x v="0"/>
    <x v="1"/>
    <x v="1"/>
    <n v="2.65E-3"/>
  </r>
  <r>
    <x v="0"/>
    <x v="0"/>
    <n v="496"/>
    <x v="0"/>
    <x v="281"/>
    <d v="2018-07-24T10:00:00"/>
    <n v="1.1658900000000001"/>
    <n v="1.164317"/>
    <n v="1.573E-3"/>
    <n v="1.1703699999999999"/>
    <n v="1.1658120000000001"/>
    <n v="4.5580000000000004E-3"/>
    <n v="1.1653800000000001"/>
    <n v="1.1636930000000001"/>
    <n v="1.6869999999999999E-3"/>
    <n v="1.16951"/>
    <n v="1.165659"/>
    <n v="3.8509999999999998E-3"/>
    <x v="0"/>
    <x v="1"/>
    <x v="1"/>
    <n v="4.9899999999999996E-3"/>
  </r>
  <r>
    <x v="0"/>
    <x v="0"/>
    <n v="498"/>
    <x v="0"/>
    <x v="282"/>
    <d v="2018-07-24T11:00:00"/>
    <n v="1.16839"/>
    <n v="1.1703079999999999"/>
    <n v="1.918E-3"/>
    <n v="1.1691800000000001"/>
    <n v="1.1722589999999999"/>
    <n v="3.0790000000000001E-3"/>
    <n v="1.1679900000000001"/>
    <n v="1.168013"/>
    <n v="2.3E-5"/>
    <n v="1.1690799999999999"/>
    <n v="1.169381"/>
    <n v="3.01E-4"/>
    <x v="0"/>
    <x v="1"/>
    <x v="1"/>
    <n v="1.1900000000000001E-3"/>
  </r>
  <r>
    <x v="0"/>
    <x v="0"/>
    <n v="500"/>
    <x v="0"/>
    <x v="283"/>
    <d v="2018-07-24T13:00:00"/>
    <n v="1.16906"/>
    <n v="1.168622"/>
    <n v="4.3800000000000002E-4"/>
    <n v="1.17147"/>
    <n v="1.169441"/>
    <n v="2.029E-3"/>
    <n v="1.1690499999999999"/>
    <n v="1.168029"/>
    <n v="1.021E-3"/>
    <n v="1.1712100000000001"/>
    <n v="1.1691640000000001"/>
    <n v="2.0460000000000001E-3"/>
    <x v="0"/>
    <x v="1"/>
    <x v="1"/>
    <n v="2.4199999999999998E-3"/>
  </r>
  <r>
    <x v="0"/>
    <x v="0"/>
    <n v="502"/>
    <x v="0"/>
    <x v="284"/>
    <d v="2018-07-24T14:00:00"/>
    <n v="1.171"/>
    <n v="1.1714819999999999"/>
    <n v="4.8200000000000001E-4"/>
    <n v="1.1710499999999999"/>
    <n v="1.1724349999999999"/>
    <n v="1.3849999999999999E-3"/>
    <n v="1.1689499999999999"/>
    <n v="1.170223"/>
    <n v="1.273E-3"/>
    <n v="1.16934"/>
    <n v="1.1710719999999999"/>
    <n v="1.732E-3"/>
    <x v="0"/>
    <x v="1"/>
    <x v="1"/>
    <n v="2.0999999999999999E-3"/>
  </r>
  <r>
    <x v="0"/>
    <x v="0"/>
    <n v="504"/>
    <x v="0"/>
    <x v="285"/>
    <d v="2018-07-24T16:00:00"/>
    <n v="1.16933"/>
    <n v="1.168498"/>
    <n v="8.3199999999999995E-4"/>
    <n v="1.1712"/>
    <n v="1.1694850000000001"/>
    <n v="1.7149999999999999E-3"/>
    <n v="1.16893"/>
    <n v="1.1673800000000001"/>
    <n v="1.5499999999999999E-3"/>
    <n v="1.17065"/>
    <n v="1.1690210000000001"/>
    <n v="1.629E-3"/>
    <x v="0"/>
    <x v="1"/>
    <x v="1"/>
    <n v="2.2699999999999999E-3"/>
  </r>
  <r>
    <x v="0"/>
    <x v="0"/>
    <n v="506"/>
    <x v="0"/>
    <x v="286"/>
    <d v="2018-07-24T17:00:00"/>
    <n v="1.17066"/>
    <n v="1.17072"/>
    <n v="6.0000000000000002E-5"/>
    <n v="1.17161"/>
    <n v="1.172015"/>
    <n v="4.0499999999999998E-4"/>
    <n v="1.1700999999999999"/>
    <n v="1.1701170000000001"/>
    <n v="1.7E-5"/>
    <n v="1.1705099999999999"/>
    <n v="1.170865"/>
    <n v="3.5500000000000001E-4"/>
    <x v="0"/>
    <x v="1"/>
    <x v="1"/>
    <n v="1.5100000000000001E-3"/>
  </r>
  <r>
    <x v="0"/>
    <x v="0"/>
    <n v="508"/>
    <x v="0"/>
    <x v="287"/>
    <d v="2018-07-24T18:00:00"/>
    <n v="1.1705399999999999"/>
    <n v="1.170393"/>
    <n v="1.47E-4"/>
    <n v="1.1708000000000001"/>
    <n v="1.1713530000000001"/>
    <n v="5.53E-4"/>
    <n v="1.1681699999999999"/>
    <n v="1.16961"/>
    <n v="1.4400000000000001E-3"/>
    <n v="1.1681999999999999"/>
    <n v="1.1702920000000001"/>
    <n v="2.0920000000000001E-3"/>
    <x v="0"/>
    <x v="1"/>
    <x v="1"/>
    <n v="2.63E-3"/>
  </r>
  <r>
    <x v="0"/>
    <x v="0"/>
    <n v="510"/>
    <x v="0"/>
    <x v="288"/>
    <d v="2018-07-24T19:00:00"/>
    <n v="1.1680999999999999"/>
    <n v="1.1660440000000001"/>
    <n v="2.0560000000000001E-3"/>
    <n v="1.1685399999999999"/>
    <n v="1.1679999999999999"/>
    <n v="5.4000000000000001E-4"/>
    <n v="1.16723"/>
    <n v="1.1658999999999999"/>
    <n v="1.33E-3"/>
    <n v="1.1679999999999999"/>
    <n v="1.1680060000000001"/>
    <n v="6.0000000000000002E-6"/>
    <x v="0"/>
    <x v="1"/>
    <x v="1"/>
    <n v="1.31E-3"/>
  </r>
  <r>
    <x v="0"/>
    <x v="0"/>
    <n v="512"/>
    <x v="0"/>
    <x v="289"/>
    <d v="2018-07-24T21:00:00"/>
    <n v="1.1680299999999999"/>
    <n v="1.164463"/>
    <n v="3.5669999999999999E-3"/>
    <n v="1.1684099999999999"/>
    <n v="1.166558"/>
    <n v="1.8519999999999999E-3"/>
    <n v="1.1672800000000001"/>
    <n v="1.16499"/>
    <n v="2.2899999999999999E-3"/>
    <n v="1.16825"/>
    <n v="1.1678569999999999"/>
    <n v="3.9300000000000001E-4"/>
    <x v="0"/>
    <x v="1"/>
    <x v="1"/>
    <n v="1.1299999999999999E-3"/>
  </r>
  <r>
    <x v="0"/>
    <x v="0"/>
    <n v="514"/>
    <x v="0"/>
    <x v="290"/>
    <d v="2018-07-24T22:00:00"/>
    <n v="1.1682300000000001"/>
    <n v="1.1688339999999999"/>
    <n v="6.0400000000000004E-4"/>
    <n v="1.1688499999999999"/>
    <n v="1.1688000000000001"/>
    <n v="5.0000000000000002E-5"/>
    <n v="1.1680299999999999"/>
    <n v="1.1676089999999999"/>
    <n v="4.2099999999999999E-4"/>
    <n v="1.1686399999999999"/>
    <n v="1.1681349999999999"/>
    <n v="5.0500000000000002E-4"/>
    <x v="0"/>
    <x v="1"/>
    <x v="1"/>
    <n v="8.1999999999999998E-4"/>
  </r>
  <r>
    <x v="0"/>
    <x v="0"/>
    <n v="516"/>
    <x v="0"/>
    <x v="291"/>
    <d v="2018-07-24T23:00:00"/>
    <n v="1.1686399999999999"/>
    <n v="1.167727"/>
    <n v="9.1299999999999997E-4"/>
    <n v="1.16869"/>
    <n v="1.168398"/>
    <n v="2.92E-4"/>
    <n v="1.1679900000000001"/>
    <n v="1.1676150000000001"/>
    <n v="3.7500000000000001E-4"/>
    <n v="1.16845"/>
    <n v="1.168401"/>
    <n v="4.8999999999999998E-5"/>
    <x v="0"/>
    <x v="1"/>
    <x v="1"/>
    <n v="6.9999999999999999E-4"/>
  </r>
  <r>
    <x v="0"/>
    <x v="0"/>
    <n v="518"/>
    <x v="0"/>
    <x v="292"/>
    <d v="2018-07-25T00:00:00"/>
    <n v="1.1683699999999999"/>
    <n v="1.165913"/>
    <n v="2.457E-3"/>
    <n v="1.1685700000000001"/>
    <n v="1.167154"/>
    <n v="1.4159999999999999E-3"/>
    <n v="1.1677"/>
    <n v="1.166285"/>
    <n v="1.415E-3"/>
    <n v="1.16821"/>
    <n v="1.1682189999999999"/>
    <n v="9.0000000000000002E-6"/>
    <x v="0"/>
    <x v="1"/>
    <x v="1"/>
    <n v="8.7000000000000001E-4"/>
  </r>
  <r>
    <x v="0"/>
    <x v="0"/>
    <n v="520"/>
    <x v="0"/>
    <x v="293"/>
    <d v="2018-07-25T01:00:00"/>
    <n v="1.16821"/>
    <n v="1.1676420000000001"/>
    <n v="5.6800000000000004E-4"/>
    <n v="1.16825"/>
    <n v="1.1680600000000001"/>
    <n v="1.9000000000000001E-4"/>
    <n v="1.16791"/>
    <n v="1.167376"/>
    <n v="5.3399999999999997E-4"/>
    <n v="1.1680900000000001"/>
    <n v="1.168275"/>
    <n v="1.85E-4"/>
    <x v="0"/>
    <x v="1"/>
    <x v="1"/>
    <n v="3.4000000000000002E-4"/>
  </r>
  <r>
    <x v="0"/>
    <x v="0"/>
    <n v="522"/>
    <x v="0"/>
    <x v="294"/>
    <d v="2018-07-25T02:00:00"/>
    <n v="1.1680999999999999"/>
    <n v="1.1689400000000001"/>
    <n v="8.4000000000000003E-4"/>
    <n v="1.1685099999999999"/>
    <n v="1.1690609999999999"/>
    <n v="5.5099999999999995E-4"/>
    <n v="1.1680999999999999"/>
    <n v="1.168051"/>
    <n v="4.8999999999999998E-5"/>
    <n v="1.1684000000000001"/>
    <n v="1.16815"/>
    <n v="2.5000000000000001E-4"/>
    <x v="0"/>
    <x v="1"/>
    <x v="1"/>
    <n v="4.0999999999999999E-4"/>
  </r>
  <r>
    <x v="0"/>
    <x v="0"/>
    <n v="524"/>
    <x v="0"/>
    <x v="295"/>
    <d v="2018-07-25T03:00:00"/>
    <n v="1.1684300000000001"/>
    <n v="1.1667099999999999"/>
    <n v="1.72E-3"/>
    <n v="1.1692499999999999"/>
    <n v="1.1677109999999999"/>
    <n v="1.539E-3"/>
    <n v="1.16821"/>
    <n v="1.1669959999999999"/>
    <n v="1.214E-3"/>
    <n v="1.16876"/>
    <n v="1.1681539999999999"/>
    <n v="6.0599999999999998E-4"/>
    <x v="0"/>
    <x v="1"/>
    <x v="1"/>
    <n v="1.0399999999999999E-3"/>
  </r>
  <r>
    <x v="0"/>
    <x v="0"/>
    <n v="526"/>
    <x v="0"/>
    <x v="296"/>
    <d v="2018-07-25T04:00:00"/>
    <n v="1.16875"/>
    <n v="1.1686799999999999"/>
    <n v="6.9999999999999994E-5"/>
    <n v="1.1697599999999999"/>
    <n v="1.1693089999999999"/>
    <n v="4.5100000000000001E-4"/>
    <n v="1.16842"/>
    <n v="1.168428"/>
    <n v="7.9999999999999996E-6"/>
    <n v="1.1684699999999999"/>
    <n v="1.168736"/>
    <n v="2.6600000000000001E-4"/>
    <x v="0"/>
    <x v="1"/>
    <x v="1"/>
    <n v="1.34E-3"/>
  </r>
  <r>
    <x v="0"/>
    <x v="0"/>
    <n v="528"/>
    <x v="0"/>
    <x v="297"/>
    <d v="2018-07-25T05:00:00"/>
    <n v="1.16848"/>
    <n v="1.1694869999999999"/>
    <n v="1.0070000000000001E-3"/>
    <n v="1.1685300000000001"/>
    <n v="1.1702459999999999"/>
    <n v="1.7160000000000001E-3"/>
    <n v="1.1676500000000001"/>
    <n v="1.168833"/>
    <n v="1.183E-3"/>
    <n v="1.1682300000000001"/>
    <n v="1.1685939999999999"/>
    <n v="3.6400000000000001E-4"/>
    <x v="0"/>
    <x v="1"/>
    <x v="1"/>
    <n v="8.8000000000000003E-4"/>
  </r>
  <r>
    <x v="0"/>
    <x v="0"/>
    <n v="530"/>
    <x v="0"/>
    <x v="298"/>
    <d v="2018-07-25T06:00:00"/>
    <n v="1.1682300000000001"/>
    <n v="1.16751"/>
    <n v="7.2000000000000005E-4"/>
    <n v="1.1682399999999999"/>
    <n v="1.1680140000000001"/>
    <n v="2.2599999999999999E-4"/>
    <n v="1.16747"/>
    <n v="1.1672309999999999"/>
    <n v="2.3900000000000001E-4"/>
    <n v="1.16812"/>
    <n v="1.168191"/>
    <n v="7.1000000000000005E-5"/>
    <x v="0"/>
    <x v="1"/>
    <x v="1"/>
    <n v="7.6999999999999996E-4"/>
  </r>
  <r>
    <x v="0"/>
    <x v="0"/>
    <n v="532"/>
    <x v="0"/>
    <x v="299"/>
    <d v="2018-07-25T07:00:00"/>
    <n v="1.16808"/>
    <n v="1.1676789999999999"/>
    <n v="4.0099999999999999E-4"/>
    <n v="1.16808"/>
    <n v="1.16778"/>
    <n v="2.9999999999999997E-4"/>
    <n v="1.16753"/>
    <n v="1.1671659999999999"/>
    <n v="3.6400000000000001E-4"/>
    <n v="1.1677500000000001"/>
    <n v="1.167994"/>
    <n v="2.4399999999999999E-4"/>
    <x v="0"/>
    <x v="1"/>
    <x v="1"/>
    <n v="5.5000000000000003E-4"/>
  </r>
  <r>
    <x v="0"/>
    <x v="0"/>
    <n v="534"/>
    <x v="0"/>
    <x v="300"/>
    <d v="2018-07-25T08:00:00"/>
    <n v="1.16774"/>
    <n v="1.1667019999999999"/>
    <n v="1.0380000000000001E-3"/>
    <n v="1.16893"/>
    <n v="1.1676059999999999"/>
    <n v="1.3240000000000001E-3"/>
    <n v="1.1677"/>
    <n v="1.1664479999999999"/>
    <n v="1.2520000000000001E-3"/>
    <n v="1.16866"/>
    <n v="1.1677900000000001"/>
    <n v="8.7000000000000001E-4"/>
    <x v="0"/>
    <x v="1"/>
    <x v="1"/>
    <n v="1.23E-3"/>
  </r>
  <r>
    <x v="0"/>
    <x v="0"/>
    <n v="536"/>
    <x v="0"/>
    <x v="301"/>
    <d v="2018-07-25T09:00:00"/>
    <n v="1.16866"/>
    <n v="1.1680950000000001"/>
    <n v="5.6499999999999996E-4"/>
    <n v="1.16988"/>
    <n v="1.169006"/>
    <n v="8.7399999999999999E-4"/>
    <n v="1.16801"/>
    <n v="1.167643"/>
    <n v="3.6699999999999998E-4"/>
    <n v="1.16977"/>
    <n v="1.168423"/>
    <n v="1.3470000000000001E-3"/>
    <x v="0"/>
    <x v="1"/>
    <x v="1"/>
    <n v="1.8699999999999999E-3"/>
  </r>
  <r>
    <x v="0"/>
    <x v="0"/>
    <n v="538"/>
    <x v="0"/>
    <x v="302"/>
    <d v="2018-07-25T10:00:00"/>
    <n v="1.16977"/>
    <n v="1.170148"/>
    <n v="3.7800000000000003E-4"/>
    <n v="1.16981"/>
    <n v="1.1709210000000001"/>
    <n v="1.111E-3"/>
    <n v="1.16838"/>
    <n v="1.1688000000000001"/>
    <n v="4.2000000000000002E-4"/>
    <n v="1.1689099999999999"/>
    <n v="1.169961"/>
    <n v="1.0510000000000001E-3"/>
    <x v="0"/>
    <x v="1"/>
    <x v="1"/>
    <n v="1.4300000000000001E-3"/>
  </r>
  <r>
    <x v="0"/>
    <x v="0"/>
    <n v="540"/>
    <x v="0"/>
    <x v="303"/>
    <d v="2018-07-25T11:00:00"/>
    <n v="1.1689099999999999"/>
    <n v="1.16787"/>
    <n v="1.0399999999999999E-3"/>
    <n v="1.16964"/>
    <n v="1.1685939999999999"/>
    <n v="1.0460000000000001E-3"/>
    <n v="1.1679999999999999"/>
    <n v="1.167017"/>
    <n v="9.8299999999999993E-4"/>
    <n v="1.1695500000000001"/>
    <n v="1.1687289999999999"/>
    <n v="8.2100000000000001E-4"/>
    <x v="0"/>
    <x v="1"/>
    <x v="1"/>
    <n v="1.64E-3"/>
  </r>
  <r>
    <x v="0"/>
    <x v="0"/>
    <n v="542"/>
    <x v="0"/>
    <x v="304"/>
    <d v="2018-07-25T12:00:00"/>
    <n v="1.17031"/>
    <n v="1.169295"/>
    <n v="1.0150000000000001E-3"/>
    <n v="1.1704399999999999"/>
    <n v="1.1700079999999999"/>
    <n v="4.3199999999999998E-4"/>
    <n v="1.1688799999999999"/>
    <n v="1.1684140000000001"/>
    <n v="4.66E-4"/>
    <n v="1.16919"/>
    <n v="1.1696409999999999"/>
    <n v="4.5100000000000001E-4"/>
    <x v="0"/>
    <x v="1"/>
    <x v="1"/>
    <n v="1.56E-3"/>
  </r>
  <r>
    <x v="0"/>
    <x v="0"/>
    <n v="544"/>
    <x v="0"/>
    <x v="305"/>
    <d v="2018-07-25T14:00:00"/>
    <n v="1.16919"/>
    <n v="1.1674469999999999"/>
    <n v="1.743E-3"/>
    <n v="1.1698999999999999"/>
    <n v="1.168757"/>
    <n v="1.1429999999999999E-3"/>
    <n v="1.1689799999999999"/>
    <n v="1.167319"/>
    <n v="1.6609999999999999E-3"/>
    <n v="1.1694599999999999"/>
    <n v="1.1690469999999999"/>
    <n v="4.1300000000000001E-4"/>
    <x v="0"/>
    <x v="1"/>
    <x v="1"/>
    <n v="9.2000000000000003E-4"/>
  </r>
  <r>
    <x v="0"/>
    <x v="0"/>
    <n v="546"/>
    <x v="0"/>
    <x v="306"/>
    <d v="2018-07-25T15:00:00"/>
    <n v="1.1694800000000001"/>
    <n v="1.169224"/>
    <n v="2.5599999999999999E-4"/>
    <n v="1.1699299999999999"/>
    <n v="1.1703250000000001"/>
    <n v="3.9500000000000001E-4"/>
    <n v="1.1685099999999999"/>
    <n v="1.168582"/>
    <n v="7.2000000000000002E-5"/>
    <n v="1.1698500000000001"/>
    <n v="1.1693990000000001"/>
    <n v="4.5100000000000001E-4"/>
    <x v="0"/>
    <x v="1"/>
    <x v="1"/>
    <n v="1.42E-3"/>
  </r>
  <r>
    <x v="0"/>
    <x v="0"/>
    <n v="548"/>
    <x v="0"/>
    <x v="307"/>
    <d v="2018-07-25T16:00:00"/>
    <n v="1.1698500000000001"/>
    <n v="1.1697649999999999"/>
    <n v="8.5000000000000006E-5"/>
    <n v="1.1711199999999999"/>
    <n v="1.1701090000000001"/>
    <n v="1.011E-3"/>
    <n v="1.1694100000000001"/>
    <n v="1.168525"/>
    <n v="8.8500000000000004E-4"/>
    <n v="1.1695599999999999"/>
    <n v="1.1697090000000001"/>
    <n v="1.4899999999999999E-4"/>
    <x v="0"/>
    <x v="1"/>
    <x v="1"/>
    <n v="1.7099999999999999E-3"/>
  </r>
  <r>
    <x v="0"/>
    <x v="0"/>
    <n v="550"/>
    <x v="0"/>
    <x v="308"/>
    <d v="2018-07-25T17:00:00"/>
    <n v="1.1695599999999999"/>
    <n v="1.1687730000000001"/>
    <n v="7.8700000000000005E-4"/>
    <n v="1.1698"/>
    <n v="1.1701520000000001"/>
    <n v="3.5199999999999999E-4"/>
    <n v="1.1671"/>
    <n v="1.168704"/>
    <n v="1.604E-3"/>
    <n v="1.1673899999999999"/>
    <n v="1.1694990000000001"/>
    <n v="2.1090000000000002E-3"/>
    <x v="0"/>
    <x v="1"/>
    <x v="1"/>
    <n v="2.7000000000000001E-3"/>
  </r>
  <r>
    <x v="0"/>
    <x v="0"/>
    <n v="552"/>
    <x v="0"/>
    <x v="309"/>
    <d v="2018-07-25T18:00:00"/>
    <n v="1.1673899999999999"/>
    <n v="1.1661410000000001"/>
    <n v="1.2489999999999999E-3"/>
    <n v="1.1680699999999999"/>
    <n v="1.1679390000000001"/>
    <n v="1.3100000000000001E-4"/>
    <n v="1.16631"/>
    <n v="1.1657409999999999"/>
    <n v="5.6899999999999995E-4"/>
    <n v="1.16753"/>
    <n v="1.167251"/>
    <n v="2.7900000000000001E-4"/>
    <x v="0"/>
    <x v="1"/>
    <x v="1"/>
    <n v="1.7600000000000001E-3"/>
  </r>
  <r>
    <x v="0"/>
    <x v="0"/>
    <n v="554"/>
    <x v="0"/>
    <x v="310"/>
    <d v="2018-07-25T19:00:00"/>
    <n v="1.16754"/>
    <n v="1.166552"/>
    <n v="9.8799999999999995E-4"/>
    <n v="1.16839"/>
    <n v="1.1680379999999999"/>
    <n v="3.5199999999999999E-4"/>
    <n v="1.1667000000000001"/>
    <n v="1.165807"/>
    <n v="8.9300000000000002E-4"/>
    <n v="1.16778"/>
    <n v="1.167713"/>
    <n v="6.7000000000000002E-5"/>
    <x v="0"/>
    <x v="1"/>
    <x v="1"/>
    <n v="1.6900000000000001E-3"/>
  </r>
  <r>
    <x v="0"/>
    <x v="0"/>
    <n v="556"/>
    <x v="0"/>
    <x v="311"/>
    <d v="2018-07-25T20:00:00"/>
    <n v="1.16781"/>
    <n v="1.1662870000000001"/>
    <n v="1.523E-3"/>
    <n v="1.16988"/>
    <n v="1.1674020000000001"/>
    <n v="2.4780000000000002E-3"/>
    <n v="1.16761"/>
    <n v="1.165781"/>
    <n v="1.8289999999999999E-3"/>
    <n v="1.16978"/>
    <n v="1.1675679999999999"/>
    <n v="2.212E-3"/>
    <x v="0"/>
    <x v="1"/>
    <x v="1"/>
    <n v="2.2699999999999999E-3"/>
  </r>
  <r>
    <x v="0"/>
    <x v="0"/>
    <n v="558"/>
    <x v="0"/>
    <x v="312"/>
    <d v="2018-07-25T21:00:00"/>
    <n v="1.1698"/>
    <n v="1.1709430000000001"/>
    <n v="1.1429999999999999E-3"/>
    <n v="1.17113"/>
    <n v="1.1715770000000001"/>
    <n v="4.4700000000000002E-4"/>
    <n v="1.1693499999999999"/>
    <n v="1.169368"/>
    <n v="1.8E-5"/>
    <n v="1.17001"/>
    <n v="1.1698360000000001"/>
    <n v="1.74E-4"/>
    <x v="0"/>
    <x v="1"/>
    <x v="1"/>
    <n v="1.7799999999999999E-3"/>
  </r>
  <r>
    <x v="0"/>
    <x v="0"/>
    <n v="560"/>
    <x v="0"/>
    <x v="313"/>
    <d v="2018-07-25T22:00:00"/>
    <n v="1.17"/>
    <n v="1.168779"/>
    <n v="1.2210000000000001E-3"/>
    <n v="1.1737899999999999"/>
    <n v="1.1703749999999999"/>
    <n v="3.4150000000000001E-3"/>
    <n v="1.16981"/>
    <n v="1.1682049999999999"/>
    <n v="1.6050000000000001E-3"/>
    <n v="1.17303"/>
    <n v="1.169721"/>
    <n v="3.3089999999999999E-3"/>
    <x v="0"/>
    <x v="1"/>
    <x v="1"/>
    <n v="3.98E-3"/>
  </r>
  <r>
    <x v="0"/>
    <x v="0"/>
    <n v="562"/>
    <x v="0"/>
    <x v="314"/>
    <d v="2018-07-25T23:00:00"/>
    <n v="1.1730400000000001"/>
    <n v="1.173082"/>
    <n v="4.1999999999999998E-5"/>
    <n v="1.17364"/>
    <n v="1.1750259999999999"/>
    <n v="1.3860000000000001E-3"/>
    <n v="1.1716800000000001"/>
    <n v="1.1717690000000001"/>
    <n v="8.8999999999999995E-5"/>
    <n v="1.1727399999999999"/>
    <n v="1.1730940000000001"/>
    <n v="3.5399999999999999E-4"/>
    <x v="0"/>
    <x v="1"/>
    <x v="1"/>
    <n v="1.9599999999999999E-3"/>
  </r>
  <r>
    <x v="0"/>
    <x v="0"/>
    <n v="564"/>
    <x v="0"/>
    <x v="315"/>
    <d v="2018-07-26T00:00:00"/>
    <n v="1.1722399999999999"/>
    <n v="1.1728479999999999"/>
    <n v="6.0800000000000003E-4"/>
    <n v="1.1731199999999999"/>
    <n v="1.173945"/>
    <n v="8.25E-4"/>
    <n v="1.1720999999999999"/>
    <n v="1.171389"/>
    <n v="7.1100000000000004E-4"/>
    <n v="1.1730700000000001"/>
    <n v="1.172817"/>
    <n v="2.5300000000000002E-4"/>
    <x v="0"/>
    <x v="1"/>
    <x v="1"/>
    <n v="1.0200000000000001E-3"/>
  </r>
  <r>
    <x v="0"/>
    <x v="0"/>
    <n v="566"/>
    <x v="0"/>
    <x v="316"/>
    <d v="2018-07-26T02:00:00"/>
    <n v="1.1730700000000001"/>
    <n v="1.1726209999999999"/>
    <n v="4.4900000000000002E-4"/>
    <n v="1.17381"/>
    <n v="1.173638"/>
    <n v="1.7200000000000001E-4"/>
    <n v="1.17306"/>
    <n v="1.1720889999999999"/>
    <n v="9.7099999999999997E-4"/>
    <n v="1.1737200000000001"/>
    <n v="1.173062"/>
    <n v="6.5799999999999995E-4"/>
    <x v="0"/>
    <x v="1"/>
    <x v="1"/>
    <n v="7.5000000000000002E-4"/>
  </r>
  <r>
    <x v="0"/>
    <x v="0"/>
    <n v="568"/>
    <x v="0"/>
    <x v="317"/>
    <d v="2018-07-26T03:00:00"/>
    <n v="1.1737299999999999"/>
    <n v="1.1736789999999999"/>
    <n v="5.1E-5"/>
    <n v="1.1738"/>
    <n v="1.1744600000000001"/>
    <n v="6.6E-4"/>
    <n v="1.17299"/>
    <n v="1.1731560000000001"/>
    <n v="1.66E-4"/>
    <n v="1.17343"/>
    <n v="1.1737919999999999"/>
    <n v="3.6200000000000002E-4"/>
    <x v="0"/>
    <x v="1"/>
    <x v="1"/>
    <n v="8.0999999999999996E-4"/>
  </r>
  <r>
    <x v="0"/>
    <x v="0"/>
    <n v="570"/>
    <x v="0"/>
    <x v="318"/>
    <d v="2018-07-26T04:00:00"/>
    <n v="1.17344"/>
    <n v="1.174104"/>
    <n v="6.6399999999999999E-4"/>
    <n v="1.1742900000000001"/>
    <n v="1.1743870000000001"/>
    <n v="9.7E-5"/>
    <n v="1.1729799999999999"/>
    <n v="1.1730210000000001"/>
    <n v="4.1E-5"/>
    <n v="1.1733800000000001"/>
    <n v="1.173556"/>
    <n v="1.76E-4"/>
    <x v="0"/>
    <x v="1"/>
    <x v="1"/>
    <n v="1.31E-3"/>
  </r>
  <r>
    <x v="0"/>
    <x v="0"/>
    <n v="572"/>
    <x v="0"/>
    <x v="319"/>
    <d v="2018-07-26T05:00:00"/>
    <n v="1.1734800000000001"/>
    <n v="1.1725179999999999"/>
    <n v="9.6199999999999996E-4"/>
    <n v="1.1737899999999999"/>
    <n v="1.1733070000000001"/>
    <n v="4.8299999999999998E-4"/>
    <n v="1.1729400000000001"/>
    <n v="1.172466"/>
    <n v="4.7399999999999997E-4"/>
    <n v="1.17316"/>
    <n v="1.1730659999999999"/>
    <n v="9.3999999999999994E-5"/>
    <x v="0"/>
    <x v="1"/>
    <x v="1"/>
    <n v="8.4999999999999995E-4"/>
  </r>
  <r>
    <x v="0"/>
    <x v="0"/>
    <n v="574"/>
    <x v="0"/>
    <x v="320"/>
    <d v="2018-07-26T07:00:00"/>
    <n v="1.17317"/>
    <n v="1.170633"/>
    <n v="2.5370000000000002E-3"/>
    <n v="1.1734199999999999"/>
    <n v="1.1721520000000001"/>
    <n v="1.268E-3"/>
    <n v="1.17293"/>
    <n v="1.1713009999999999"/>
    <n v="1.629E-3"/>
    <n v="1.17306"/>
    <n v="1.1730609999999999"/>
    <n v="9.9999999999999995E-7"/>
    <x v="0"/>
    <x v="1"/>
    <x v="1"/>
    <n v="4.8999999999999998E-4"/>
  </r>
  <r>
    <x v="0"/>
    <x v="0"/>
    <n v="576"/>
    <x v="0"/>
    <x v="321"/>
    <d v="2018-07-26T08:00:00"/>
    <n v="1.1730700000000001"/>
    <n v="1.1724920000000001"/>
    <n v="5.7799999999999995E-4"/>
    <n v="1.1737"/>
    <n v="1.173427"/>
    <n v="2.7300000000000002E-4"/>
    <n v="1.1726000000000001"/>
    <n v="1.1725449999999999"/>
    <n v="5.5000000000000002E-5"/>
    <n v="1.17336"/>
    <n v="1.173149"/>
    <n v="2.1100000000000001E-4"/>
    <x v="0"/>
    <x v="1"/>
    <x v="1"/>
    <n v="1.1000000000000001E-3"/>
  </r>
  <r>
    <x v="0"/>
    <x v="0"/>
    <n v="578"/>
    <x v="0"/>
    <x v="322"/>
    <d v="2018-07-26T09:00:00"/>
    <n v="1.1733499999999999"/>
    <n v="1.1705449999999999"/>
    <n v="2.8050000000000002E-3"/>
    <n v="1.17422"/>
    <n v="1.172242"/>
    <n v="1.9780000000000002E-3"/>
    <n v="1.17228"/>
    <n v="1.1706559999999999"/>
    <n v="1.624E-3"/>
    <n v="1.1724300000000001"/>
    <n v="1.1729970000000001"/>
    <n v="5.6700000000000001E-4"/>
    <x v="0"/>
    <x v="1"/>
    <x v="1"/>
    <n v="1.9400000000000001E-3"/>
  </r>
  <r>
    <x v="0"/>
    <x v="0"/>
    <n v="580"/>
    <x v="0"/>
    <x v="323"/>
    <d v="2018-07-26T10:00:00"/>
    <n v="1.17241"/>
    <n v="1.171459"/>
    <n v="9.5100000000000002E-4"/>
    <n v="1.1737599999999999"/>
    <n v="1.173276"/>
    <n v="4.84E-4"/>
    <n v="1.1721699999999999"/>
    <n v="1.1711339999999999"/>
    <n v="1.036E-3"/>
    <n v="1.17269"/>
    <n v="1.1722999999999999"/>
    <n v="3.8999999999999999E-4"/>
    <x v="0"/>
    <x v="1"/>
    <x v="1"/>
    <n v="1.5900000000000001E-3"/>
  </r>
  <r>
    <x v="0"/>
    <x v="0"/>
    <n v="582"/>
    <x v="0"/>
    <x v="324"/>
    <d v="2018-07-26T11:00:00"/>
    <n v="1.1727000000000001"/>
    <n v="1.1727829999999999"/>
    <n v="8.2999999999999998E-5"/>
    <n v="1.1727300000000001"/>
    <n v="1.1740299999999999"/>
    <n v="1.2999999999999999E-3"/>
    <n v="1.17099"/>
    <n v="1.172331"/>
    <n v="1.341E-3"/>
    <n v="1.17127"/>
    <n v="1.17262"/>
    <n v="1.3500000000000001E-3"/>
    <x v="0"/>
    <x v="1"/>
    <x v="1"/>
    <n v="1.74E-3"/>
  </r>
  <r>
    <x v="0"/>
    <x v="0"/>
    <n v="584"/>
    <x v="0"/>
    <x v="325"/>
    <d v="2018-07-26T12:00:00"/>
    <n v="1.1712800000000001"/>
    <n v="1.16899"/>
    <n v="2.2899999999999999E-3"/>
    <n v="1.1716500000000001"/>
    <n v="1.1706890000000001"/>
    <n v="9.6100000000000005E-4"/>
    <n v="1.17049"/>
    <n v="1.169125"/>
    <n v="1.3649999999999999E-3"/>
    <n v="1.1714"/>
    <n v="1.1711990000000001"/>
    <n v="2.0100000000000001E-4"/>
    <x v="0"/>
    <x v="1"/>
    <x v="1"/>
    <n v="1.16E-3"/>
  </r>
  <r>
    <x v="0"/>
    <x v="0"/>
    <n v="586"/>
    <x v="0"/>
    <x v="326"/>
    <d v="2018-07-26T13:00:00"/>
    <n v="1.1713899999999999"/>
    <n v="1.1702300000000001"/>
    <n v="1.16E-3"/>
    <n v="1.1716500000000001"/>
    <n v="1.1710370000000001"/>
    <n v="6.1300000000000005E-4"/>
    <n v="1.1706399999999999"/>
    <n v="1.16978"/>
    <n v="8.5999999999999998E-4"/>
    <n v="1.1710400000000001"/>
    <n v="1.171192"/>
    <n v="1.5200000000000001E-4"/>
    <x v="0"/>
    <x v="1"/>
    <x v="1"/>
    <n v="1.01E-3"/>
  </r>
  <r>
    <x v="0"/>
    <x v="0"/>
    <n v="588"/>
    <x v="0"/>
    <x v="327"/>
    <d v="2018-07-26T14:00:00"/>
    <n v="1.17103"/>
    <n v="1.17041"/>
    <n v="6.2E-4"/>
    <n v="1.17164"/>
    <n v="1.17143"/>
    <n v="2.1000000000000001E-4"/>
    <n v="1.1705399999999999"/>
    <n v="1.170023"/>
    <n v="5.1699999999999999E-4"/>
    <n v="1.1709499999999999"/>
    <n v="1.1711240000000001"/>
    <n v="1.74E-4"/>
    <x v="0"/>
    <x v="1"/>
    <x v="1"/>
    <n v="1.1000000000000001E-3"/>
  </r>
  <r>
    <x v="0"/>
    <x v="0"/>
    <n v="590"/>
    <x v="0"/>
    <x v="328"/>
    <d v="2018-07-26T15:00:00"/>
    <n v="1.1709499999999999"/>
    <n v="1.1702220000000001"/>
    <n v="7.2800000000000002E-4"/>
    <n v="1.1729799999999999"/>
    <n v="1.1712130000000001"/>
    <n v="1.7669999999999999E-3"/>
    <n v="1.1691100000000001"/>
    <n v="1.169923"/>
    <n v="8.1300000000000003E-4"/>
    <n v="1.1693499999999999"/>
    <n v="1.1708289999999999"/>
    <n v="1.4790000000000001E-3"/>
    <x v="0"/>
    <x v="1"/>
    <x v="1"/>
    <n v="3.8700000000000002E-3"/>
  </r>
  <r>
    <x v="0"/>
    <x v="0"/>
    <n v="592"/>
    <x v="0"/>
    <x v="329"/>
    <d v="2018-07-26T16:00:00"/>
    <n v="1.1693199999999999"/>
    <n v="1.167832"/>
    <n v="1.488E-3"/>
    <n v="1.16991"/>
    <n v="1.170641"/>
    <n v="7.3099999999999999E-4"/>
    <n v="1.1672100000000001"/>
    <n v="1.167743"/>
    <n v="5.3300000000000005E-4"/>
    <n v="1.16812"/>
    <n v="1.1691659999999999"/>
    <n v="1.0460000000000001E-3"/>
    <x v="0"/>
    <x v="1"/>
    <x v="1"/>
    <n v="2.7000000000000001E-3"/>
  </r>
  <r>
    <x v="0"/>
    <x v="0"/>
    <n v="594"/>
    <x v="0"/>
    <x v="330"/>
    <d v="2018-07-26T17:00:00"/>
    <n v="1.1681299999999999"/>
    <n v="1.1673359999999999"/>
    <n v="7.94E-4"/>
    <n v="1.1681299999999999"/>
    <n v="1.1693560000000001"/>
    <n v="1.2260000000000001E-3"/>
    <n v="1.16513"/>
    <n v="1.1663110000000001"/>
    <n v="1.181E-3"/>
    <n v="1.1657999999999999"/>
    <n v="1.1681820000000001"/>
    <n v="2.382E-3"/>
    <x v="0"/>
    <x v="1"/>
    <x v="1"/>
    <n v="3.0000000000000001E-3"/>
  </r>
  <r>
    <x v="0"/>
    <x v="0"/>
    <n v="596"/>
    <x v="0"/>
    <x v="331"/>
    <d v="2018-07-26T18:00:00"/>
    <n v="1.1657999999999999"/>
    <n v="1.163862"/>
    <n v="1.9380000000000001E-3"/>
    <n v="1.1667099999999999"/>
    <n v="1.165745"/>
    <n v="9.6500000000000004E-4"/>
    <n v="1.1649400000000001"/>
    <n v="1.162841"/>
    <n v="2.0990000000000002E-3"/>
    <n v="1.16533"/>
    <n v="1.1657580000000001"/>
    <n v="4.28E-4"/>
    <x v="0"/>
    <x v="1"/>
    <x v="1"/>
    <n v="1.7700000000000001E-3"/>
  </r>
  <r>
    <x v="0"/>
    <x v="0"/>
    <n v="598"/>
    <x v="0"/>
    <x v="332"/>
    <d v="2018-07-26T19:00:00"/>
    <n v="1.1653"/>
    <n v="1.164236"/>
    <n v="1.0640000000000001E-3"/>
    <n v="1.16659"/>
    <n v="1.1658759999999999"/>
    <n v="7.1400000000000001E-4"/>
    <n v="1.1648400000000001"/>
    <n v="1.164093"/>
    <n v="7.4700000000000005E-4"/>
    <n v="1.1662300000000001"/>
    <n v="1.1652579999999999"/>
    <n v="9.7199999999999999E-4"/>
    <x v="0"/>
    <x v="1"/>
    <x v="1"/>
    <n v="1.75E-3"/>
  </r>
  <r>
    <x v="0"/>
    <x v="0"/>
    <n v="600"/>
    <x v="0"/>
    <x v="333"/>
    <d v="2018-07-26T20:00:00"/>
    <n v="1.1662600000000001"/>
    <n v="1.1667559999999999"/>
    <n v="4.9600000000000002E-4"/>
    <n v="1.16635"/>
    <n v="1.16751"/>
    <n v="1.16E-3"/>
    <n v="1.1653199999999999"/>
    <n v="1.165557"/>
    <n v="2.3699999999999999E-4"/>
    <n v="1.1655599999999999"/>
    <n v="1.166344"/>
    <n v="7.8399999999999997E-4"/>
    <x v="0"/>
    <x v="1"/>
    <x v="1"/>
    <n v="1.0300000000000001E-3"/>
  </r>
  <r>
    <x v="0"/>
    <x v="0"/>
    <n v="602"/>
    <x v="0"/>
    <x v="334"/>
    <d v="2018-07-26T21:00:00"/>
    <n v="1.1655800000000001"/>
    <n v="1.164242"/>
    <n v="1.338E-3"/>
    <n v="1.1656299999999999"/>
    <n v="1.1654180000000001"/>
    <n v="2.12E-4"/>
    <n v="1.16395"/>
    <n v="1.163672"/>
    <n v="2.7799999999999998E-4"/>
    <n v="1.1644300000000001"/>
    <n v="1.1653309999999999"/>
    <n v="9.01E-4"/>
    <x v="0"/>
    <x v="1"/>
    <x v="1"/>
    <n v="1.6800000000000001E-3"/>
  </r>
  <r>
    <x v="0"/>
    <x v="0"/>
    <n v="604"/>
    <x v="0"/>
    <x v="335"/>
    <d v="2018-07-26T22:00:00"/>
    <n v="1.16442"/>
    <n v="1.1644639999999999"/>
    <n v="4.3999999999999999E-5"/>
    <n v="1.16475"/>
    <n v="1.1652720000000001"/>
    <n v="5.22E-4"/>
    <n v="1.1639999999999999"/>
    <n v="1.163653"/>
    <n v="3.4699999999999998E-4"/>
    <n v="1.16414"/>
    <n v="1.1645650000000001"/>
    <n v="4.2499999999999998E-4"/>
    <x v="0"/>
    <x v="1"/>
    <x v="1"/>
    <n v="7.5000000000000002E-4"/>
  </r>
  <r>
    <x v="1"/>
    <x v="1"/>
    <n v="-1"/>
    <x v="1"/>
    <x v="291"/>
    <m/>
    <n v="1.1686399999999999"/>
    <m/>
    <m/>
    <n v="1.16869"/>
    <m/>
    <m/>
    <n v="1.1679900000000001"/>
    <m/>
    <m/>
    <n v="1.16845"/>
    <m/>
    <m/>
    <x v="0"/>
    <x v="0"/>
    <x v="0"/>
    <n v="6.9999999999999999E-4"/>
  </r>
  <r>
    <x v="1"/>
    <x v="1"/>
    <n v="-1"/>
    <x v="1"/>
    <x v="27"/>
    <d v="1970-01-01T00:00:00"/>
    <n v="1.1741900000000001"/>
    <n v="1.1683699999999999"/>
    <n v="5.8199999999999997E-3"/>
    <n v="1.1747399999999999"/>
    <n v="1.16852"/>
    <n v="6.2199999999999998E-3"/>
    <n v="1.17391"/>
    <n v="1.1678519999999999"/>
    <n v="6.058E-3"/>
    <n v="1.1741299999999999"/>
    <n v="1.168355"/>
    <n v="5.7749999999999998E-3"/>
    <x v="0"/>
    <x v="1"/>
    <x v="1"/>
    <n v="8.3000000000000001E-4"/>
  </r>
  <r>
    <x v="1"/>
    <x v="1"/>
    <n v="-1"/>
    <x v="1"/>
    <x v="15"/>
    <d v="1970-01-01T00:00:00"/>
    <n v="1.17099"/>
    <n v="1.1741239999999999"/>
    <n v="3.1340000000000001E-3"/>
    <n v="1.17154"/>
    <n v="1.1745620000000001"/>
    <n v="3.0219999999999999E-3"/>
    <n v="1.17089"/>
    <n v="1.1739900000000001"/>
    <n v="3.0999999999999999E-3"/>
    <n v="1.1710100000000001"/>
    <n v="1.174183"/>
    <n v="3.173E-3"/>
    <x v="0"/>
    <x v="1"/>
    <x v="1"/>
    <n v="6.4999999999999997E-4"/>
  </r>
  <r>
    <x v="1"/>
    <x v="1"/>
    <n v="-1"/>
    <x v="1"/>
    <x v="120"/>
    <d v="1970-01-01T00:00:00"/>
    <n v="1.1673500000000001"/>
    <n v="1.1710689999999999"/>
    <n v="3.7190000000000001E-3"/>
    <n v="1.1673899999999999"/>
    <n v="1.171756"/>
    <n v="4.3660000000000001E-3"/>
    <n v="1.1668400000000001"/>
    <n v="1.1710400000000001"/>
    <n v="4.1999999999999997E-3"/>
    <n v="1.1669799999999999"/>
    <n v="1.1711510000000001"/>
    <n v="4.1710000000000002E-3"/>
    <x v="0"/>
    <x v="1"/>
    <x v="1"/>
    <n v="5.5000000000000003E-4"/>
  </r>
  <r>
    <x v="1"/>
    <x v="1"/>
    <n v="-1"/>
    <x v="1"/>
    <x v="204"/>
    <d v="1970-01-01T00:00:00"/>
    <n v="1.16415"/>
    <n v="1.167025"/>
    <n v="2.875E-3"/>
    <n v="1.1643399999999999"/>
    <n v="1.167216"/>
    <n v="2.8760000000000001E-3"/>
    <n v="1.1637"/>
    <n v="1.1664429999999999"/>
    <n v="2.7430000000000002E-3"/>
    <n v="1.1637299999999999"/>
    <n v="1.1668179999999999"/>
    <n v="3.088E-3"/>
    <x v="0"/>
    <x v="1"/>
    <x v="1"/>
    <n v="6.4000000000000005E-4"/>
  </r>
  <r>
    <x v="1"/>
    <x v="1"/>
    <n v="2"/>
    <x v="1"/>
    <x v="34"/>
    <d v="1970-01-01T00:00:00"/>
    <n v="1.1738900000000001"/>
    <n v="1.1637200000000001"/>
    <n v="1.017E-2"/>
    <n v="1.1752"/>
    <n v="1.1639969999999999"/>
    <n v="1.1202999999999999E-2"/>
    <n v="1.17388"/>
    <n v="1.1634389999999999"/>
    <n v="1.0441000000000001E-2"/>
    <n v="1.1746099999999999"/>
    <n v="1.1637010000000001"/>
    <n v="1.0909E-2"/>
    <x v="0"/>
    <x v="1"/>
    <x v="1"/>
    <n v="1.32E-3"/>
  </r>
  <r>
    <x v="1"/>
    <x v="1"/>
    <n v="4"/>
    <x v="1"/>
    <x v="35"/>
    <d v="2018-07-09T01:00:00"/>
    <n v="1.1746099999999999"/>
    <n v="1.17442"/>
    <n v="1.9000000000000001E-4"/>
    <n v="1.1753199999999999"/>
    <n v="1.1756089999999999"/>
    <n v="2.8899999999999998E-4"/>
    <n v="1.1744000000000001"/>
    <n v="1.1744429999999999"/>
    <n v="4.3000000000000002E-5"/>
    <n v="1.1749400000000001"/>
    <n v="1.1749039999999999"/>
    <n v="3.6000000000000001E-5"/>
    <x v="0"/>
    <x v="1"/>
    <x v="1"/>
    <n v="9.2000000000000003E-4"/>
  </r>
  <r>
    <x v="1"/>
    <x v="1"/>
    <n v="6"/>
    <x v="1"/>
    <x v="36"/>
    <d v="2018-07-09T02:00:00"/>
    <n v="1.17493"/>
    <n v="1.1748460000000001"/>
    <n v="8.3999999999999995E-5"/>
    <n v="1.1751799999999999"/>
    <n v="1.1755359999999999"/>
    <n v="3.5599999999999998E-4"/>
    <n v="1.17428"/>
    <n v="1.1745369999999999"/>
    <n v="2.5700000000000001E-4"/>
    <n v="1.1751"/>
    <n v="1.1749019999999999"/>
    <n v="1.9799999999999999E-4"/>
    <x v="0"/>
    <x v="1"/>
    <x v="1"/>
    <n v="8.9999999999999998E-4"/>
  </r>
  <r>
    <x v="1"/>
    <x v="1"/>
    <n v="8"/>
    <x v="1"/>
    <x v="37"/>
    <d v="2018-07-09T03:00:00"/>
    <n v="1.1750799999999999"/>
    <n v="1.175106"/>
    <n v="2.5999999999999998E-5"/>
    <n v="1.17584"/>
    <n v="1.1754720000000001"/>
    <n v="3.68E-4"/>
    <n v="1.1749000000000001"/>
    <n v="1.1744220000000001"/>
    <n v="4.7800000000000002E-4"/>
    <n v="1.1755"/>
    <n v="1.1751199999999999"/>
    <n v="3.8000000000000002E-4"/>
    <x v="0"/>
    <x v="1"/>
    <x v="1"/>
    <n v="9.3999999999999997E-4"/>
  </r>
  <r>
    <x v="1"/>
    <x v="1"/>
    <n v="10"/>
    <x v="1"/>
    <x v="38"/>
    <d v="2018-07-09T04:00:00"/>
    <n v="1.1755100000000001"/>
    <n v="1.1754249999999999"/>
    <n v="8.5000000000000006E-5"/>
    <n v="1.17666"/>
    <n v="1.175953"/>
    <n v="7.0699999999999995E-4"/>
    <n v="1.17496"/>
    <n v="1.1750959999999999"/>
    <n v="1.36E-4"/>
    <n v="1.17639"/>
    <n v="1.175457"/>
    <n v="9.3300000000000002E-4"/>
    <x v="0"/>
    <x v="1"/>
    <x v="1"/>
    <n v="1.6999999999999999E-3"/>
  </r>
  <r>
    <x v="1"/>
    <x v="1"/>
    <n v="12"/>
    <x v="1"/>
    <x v="39"/>
    <d v="2018-07-09T05:00:00"/>
    <n v="1.17639"/>
    <n v="1.1762570000000001"/>
    <n v="1.3300000000000001E-4"/>
    <n v="1.17641"/>
    <n v="1.1768460000000001"/>
    <n v="4.3600000000000003E-4"/>
    <n v="1.1756200000000001"/>
    <n v="1.1755580000000001"/>
    <n v="6.2000000000000003E-5"/>
    <n v="1.1758999999999999"/>
    <n v="1.176415"/>
    <n v="5.1500000000000005E-4"/>
    <x v="0"/>
    <x v="1"/>
    <x v="1"/>
    <n v="7.9000000000000001E-4"/>
  </r>
  <r>
    <x v="1"/>
    <x v="1"/>
    <n v="14"/>
    <x v="1"/>
    <x v="40"/>
    <d v="2018-07-09T06:00:00"/>
    <n v="1.17587"/>
    <n v="1.175824"/>
    <n v="4.6E-5"/>
    <n v="1.17652"/>
    <n v="1.1762170000000001"/>
    <n v="3.0299999999999999E-4"/>
    <n v="1.17564"/>
    <n v="1.1752629999999999"/>
    <n v="3.77E-4"/>
    <n v="1.1762600000000001"/>
    <n v="1.1759500000000001"/>
    <n v="3.1E-4"/>
    <x v="0"/>
    <x v="1"/>
    <x v="1"/>
    <n v="8.8000000000000003E-4"/>
  </r>
  <r>
    <x v="1"/>
    <x v="1"/>
    <n v="16"/>
    <x v="1"/>
    <x v="41"/>
    <d v="2018-07-09T07:00:00"/>
    <n v="1.17625"/>
    <n v="1.1761649999999999"/>
    <n v="8.5000000000000006E-5"/>
    <n v="1.17642"/>
    <n v="1.176884"/>
    <n v="4.64E-4"/>
    <n v="1.1759200000000001"/>
    <n v="1.1755930000000001"/>
    <n v="3.2699999999999998E-4"/>
    <n v="1.1760600000000001"/>
    <n v="1.1762440000000001"/>
    <n v="1.84E-4"/>
    <x v="0"/>
    <x v="1"/>
    <x v="1"/>
    <n v="5.0000000000000001E-4"/>
  </r>
  <r>
    <x v="1"/>
    <x v="1"/>
    <n v="18"/>
    <x v="1"/>
    <x v="42"/>
    <d v="2018-07-09T08:00:00"/>
    <n v="1.17604"/>
    <n v="1.17597"/>
    <n v="6.9999999999999994E-5"/>
    <n v="1.1769099999999999"/>
    <n v="1.176444"/>
    <n v="4.66E-4"/>
    <n v="1.17557"/>
    <n v="1.175484"/>
    <n v="8.6000000000000003E-5"/>
    <n v="1.1768799999999999"/>
    <n v="1.175916"/>
    <n v="9.6400000000000001E-4"/>
    <x v="0"/>
    <x v="1"/>
    <x v="1"/>
    <n v="1.34E-3"/>
  </r>
  <r>
    <x v="1"/>
    <x v="1"/>
    <n v="20"/>
    <x v="1"/>
    <x v="43"/>
    <d v="2018-07-09T09:00:00"/>
    <n v="1.1768700000000001"/>
    <n v="1.1768620000000001"/>
    <n v="7.9999999999999996E-6"/>
    <n v="1.1778599999999999"/>
    <n v="1.1773690000000001"/>
    <n v="4.9100000000000001E-4"/>
    <n v="1.17611"/>
    <n v="1.1762889999999999"/>
    <n v="1.7899999999999999E-4"/>
    <n v="1.17638"/>
    <n v="1.1770179999999999"/>
    <n v="6.38E-4"/>
    <x v="0"/>
    <x v="1"/>
    <x v="1"/>
    <n v="1.75E-3"/>
  </r>
  <r>
    <x v="1"/>
    <x v="1"/>
    <n v="22"/>
    <x v="1"/>
    <x v="44"/>
    <d v="2018-07-09T10:00:00"/>
    <n v="1.1763600000000001"/>
    <n v="1.1763429999999999"/>
    <n v="1.7E-5"/>
    <n v="1.1771499999999999"/>
    <n v="1.1775519999999999"/>
    <n v="4.0200000000000001E-4"/>
    <n v="1.1749400000000001"/>
    <n v="1.1759189999999999"/>
    <n v="9.7900000000000005E-4"/>
    <n v="1.17686"/>
    <n v="1.176409"/>
    <n v="4.5100000000000001E-4"/>
    <x v="0"/>
    <x v="1"/>
    <x v="1"/>
    <n v="2.2100000000000002E-3"/>
  </r>
  <r>
    <x v="1"/>
    <x v="1"/>
    <n v="24"/>
    <x v="1"/>
    <x v="45"/>
    <d v="2018-07-09T11:00:00"/>
    <n v="1.1768700000000001"/>
    <n v="1.1768080000000001"/>
    <n v="6.2000000000000003E-5"/>
    <n v="1.17805"/>
    <n v="1.177316"/>
    <n v="7.3399999999999995E-4"/>
    <n v="1.17648"/>
    <n v="1.1756819999999999"/>
    <n v="7.9799999999999999E-4"/>
    <n v="1.1771499999999999"/>
    <n v="1.1768989999999999"/>
    <n v="2.5099999999999998E-4"/>
    <x v="0"/>
    <x v="1"/>
    <x v="1"/>
    <n v="1.57E-3"/>
  </r>
  <r>
    <x v="1"/>
    <x v="1"/>
    <n v="26"/>
    <x v="1"/>
    <x v="46"/>
    <d v="2018-07-09T12:00:00"/>
    <n v="1.1771499999999999"/>
    <n v="1.177087"/>
    <n v="6.3E-5"/>
    <n v="1.17746"/>
    <n v="1.1777820000000001"/>
    <n v="3.2200000000000002E-4"/>
    <n v="1.17621"/>
    <n v="1.1763159999999999"/>
    <n v="1.06E-4"/>
    <n v="1.1768400000000001"/>
    <n v="1.176912"/>
    <n v="7.2000000000000002E-5"/>
    <x v="0"/>
    <x v="1"/>
    <x v="1"/>
    <n v="1.25E-3"/>
  </r>
  <r>
    <x v="1"/>
    <x v="1"/>
    <n v="28"/>
    <x v="1"/>
    <x v="28"/>
    <d v="2018-07-09T13:00:00"/>
    <n v="1.17683"/>
    <n v="1.176739"/>
    <n v="9.1000000000000003E-5"/>
    <n v="1.1773400000000001"/>
    <n v="1.1773549999999999"/>
    <n v="1.5E-5"/>
    <n v="1.1761699999999999"/>
    <n v="1.1759999999999999"/>
    <n v="1.7000000000000001E-4"/>
    <n v="1.1772899999999999"/>
    <n v="1.1767510000000001"/>
    <n v="5.3899999999999998E-4"/>
    <x v="0"/>
    <x v="1"/>
    <x v="1"/>
    <n v="1.17E-3"/>
  </r>
  <r>
    <x v="1"/>
    <x v="1"/>
    <n v="30"/>
    <x v="1"/>
    <x v="47"/>
    <d v="2018-07-09T14:00:00"/>
    <n v="1.1772899999999999"/>
    <n v="1.1772119999999999"/>
    <n v="7.7999999999999999E-5"/>
    <n v="1.1788099999999999"/>
    <n v="1.177783"/>
    <n v="1.0269999999999999E-3"/>
    <n v="1.17692"/>
    <n v="1.176158"/>
    <n v="7.6199999999999998E-4"/>
    <n v="1.1782300000000001"/>
    <n v="1.1773670000000001"/>
    <n v="8.6300000000000005E-4"/>
    <x v="0"/>
    <x v="1"/>
    <x v="1"/>
    <n v="1.89E-3"/>
  </r>
  <r>
    <x v="1"/>
    <x v="1"/>
    <n v="32"/>
    <x v="1"/>
    <x v="48"/>
    <d v="2018-07-09T15:00:00"/>
    <n v="1.17818"/>
    <n v="1.178183"/>
    <n v="3.0000000000000001E-6"/>
    <n v="1.179"/>
    <n v="1.1792990000000001"/>
    <n v="2.99E-4"/>
    <n v="1.1775500000000001"/>
    <n v="1.177324"/>
    <n v="2.2599999999999999E-4"/>
    <n v="1.1776800000000001"/>
    <n v="1.1782509999999999"/>
    <n v="5.71E-4"/>
    <x v="0"/>
    <x v="1"/>
    <x v="1"/>
    <n v="1.4499999999999999E-3"/>
  </r>
  <r>
    <x v="1"/>
    <x v="1"/>
    <n v="34"/>
    <x v="1"/>
    <x v="29"/>
    <d v="2018-07-09T16:00:00"/>
    <n v="1.1777"/>
    <n v="1.1775690000000001"/>
    <n v="1.3100000000000001E-4"/>
    <n v="1.17832"/>
    <n v="1.1787030000000001"/>
    <n v="3.8299999999999999E-4"/>
    <n v="1.17561"/>
    <n v="1.177082"/>
    <n v="1.472E-3"/>
    <n v="1.1758200000000001"/>
    <n v="1.177635"/>
    <n v="1.815E-3"/>
    <x v="0"/>
    <x v="1"/>
    <x v="1"/>
    <n v="2.7100000000000002E-3"/>
  </r>
  <r>
    <x v="1"/>
    <x v="1"/>
    <n v="36"/>
    <x v="1"/>
    <x v="49"/>
    <d v="2018-07-09T17:00:00"/>
    <n v="1.17584"/>
    <n v="1.1758040000000001"/>
    <n v="3.6000000000000001E-5"/>
    <n v="1.1763999999999999"/>
    <n v="1.1770849999999999"/>
    <n v="6.8499999999999995E-4"/>
    <n v="1.1745300000000001"/>
    <n v="1.175116"/>
    <n v="5.8600000000000004E-4"/>
    <n v="1.1757899999999999"/>
    <n v="1.175735"/>
    <n v="5.5000000000000002E-5"/>
    <x v="0"/>
    <x v="1"/>
    <x v="1"/>
    <n v="1.8699999999999999E-3"/>
  </r>
  <r>
    <x v="1"/>
    <x v="1"/>
    <n v="38"/>
    <x v="1"/>
    <x v="50"/>
    <d v="2018-07-09T18:00:00"/>
    <n v="1.17578"/>
    <n v="1.1759109999999999"/>
    <n v="1.3100000000000001E-4"/>
    <n v="1.17611"/>
    <n v="1.1765509999999999"/>
    <n v="4.4099999999999999E-4"/>
    <n v="1.1739999999999999"/>
    <n v="1.174811"/>
    <n v="8.1099999999999998E-4"/>
    <n v="1.1743699999999999"/>
    <n v="1.175753"/>
    <n v="1.3829999999999999E-3"/>
    <x v="0"/>
    <x v="1"/>
    <x v="1"/>
    <n v="2.1099999999999999E-3"/>
  </r>
  <r>
    <x v="1"/>
    <x v="1"/>
    <n v="40"/>
    <x v="1"/>
    <x v="51"/>
    <d v="2018-07-09T19:00:00"/>
    <n v="1.17438"/>
    <n v="1.174199"/>
    <n v="1.8100000000000001E-4"/>
    <n v="1.1750100000000001"/>
    <n v="1.1752229999999999"/>
    <n v="2.13E-4"/>
    <n v="1.17411"/>
    <n v="1.1734340000000001"/>
    <n v="6.7599999999999995E-4"/>
    <n v="1.1745699999999999"/>
    <n v="1.1745810000000001"/>
    <n v="1.1E-5"/>
    <x v="0"/>
    <x v="1"/>
    <x v="1"/>
    <n v="8.9999999999999998E-4"/>
  </r>
  <r>
    <x v="1"/>
    <x v="1"/>
    <n v="42"/>
    <x v="1"/>
    <x v="52"/>
    <d v="2018-07-09T20:00:00"/>
    <n v="1.17462"/>
    <n v="1.174607"/>
    <n v="1.2999999999999999E-5"/>
    <n v="1.17499"/>
    <n v="1.175459"/>
    <n v="4.6900000000000002E-4"/>
    <n v="1.17319"/>
    <n v="1.173894"/>
    <n v="7.0399999999999998E-4"/>
    <n v="1.17469"/>
    <n v="1.1744730000000001"/>
    <n v="2.1699999999999999E-4"/>
    <x v="0"/>
    <x v="1"/>
    <x v="1"/>
    <n v="1.8E-3"/>
  </r>
  <r>
    <x v="1"/>
    <x v="1"/>
    <n v="44"/>
    <x v="1"/>
    <x v="17"/>
    <d v="2018-07-09T21:00:00"/>
    <n v="1.1747099999999999"/>
    <n v="1.1747590000000001"/>
    <n v="4.8999999999999998E-5"/>
    <n v="1.17513"/>
    <n v="1.1750400000000001"/>
    <n v="9.0000000000000006E-5"/>
    <n v="1.17452"/>
    <n v="1.1734230000000001"/>
    <n v="1.0970000000000001E-3"/>
    <n v="1.17479"/>
    <n v="1.17459"/>
    <n v="2.0000000000000001E-4"/>
    <x v="0"/>
    <x v="1"/>
    <x v="1"/>
    <n v="6.0999999999999997E-4"/>
  </r>
  <r>
    <x v="1"/>
    <x v="1"/>
    <n v="46"/>
    <x v="1"/>
    <x v="53"/>
    <d v="2018-07-09T22:00:00"/>
    <n v="1.1747399999999999"/>
    <n v="1.174701"/>
    <n v="3.8999999999999999E-5"/>
    <n v="1.1753899999999999"/>
    <n v="1.1752359999999999"/>
    <n v="1.54E-4"/>
    <n v="1.17401"/>
    <n v="1.1742680000000001"/>
    <n v="2.5799999999999998E-4"/>
    <n v="1.17452"/>
    <n v="1.1747669999999999"/>
    <n v="2.4699999999999999E-4"/>
    <x v="0"/>
    <x v="1"/>
    <x v="1"/>
    <n v="1.3799999999999999E-3"/>
  </r>
  <r>
    <x v="1"/>
    <x v="1"/>
    <n v="48"/>
    <x v="1"/>
    <x v="54"/>
    <d v="2018-07-09T23:00:00"/>
    <n v="1.1745399999999999"/>
    <n v="1.1744410000000001"/>
    <n v="9.8999999999999994E-5"/>
    <n v="1.1751400000000001"/>
    <n v="1.175208"/>
    <n v="6.7999999999999999E-5"/>
    <n v="1.1744600000000001"/>
    <n v="1.1742010000000001"/>
    <n v="2.5900000000000001E-4"/>
    <n v="1.17489"/>
    <n v="1.1746369999999999"/>
    <n v="2.5300000000000002E-4"/>
    <x v="0"/>
    <x v="1"/>
    <x v="1"/>
    <n v="6.8000000000000005E-4"/>
  </r>
  <r>
    <x v="1"/>
    <x v="1"/>
    <n v="50"/>
    <x v="1"/>
    <x v="55"/>
    <d v="2018-07-10T00:00:00"/>
    <n v="1.1748400000000001"/>
    <n v="1.1748540000000001"/>
    <n v="1.4E-5"/>
    <n v="1.17547"/>
    <n v="1.175284"/>
    <n v="1.8599999999999999E-4"/>
    <n v="1.1746099999999999"/>
    <n v="1.174593"/>
    <n v="1.7E-5"/>
    <n v="1.1746799999999999"/>
    <n v="1.1748430000000001"/>
    <n v="1.63E-4"/>
    <x v="0"/>
    <x v="1"/>
    <x v="1"/>
    <n v="8.5999999999999998E-4"/>
  </r>
  <r>
    <x v="1"/>
    <x v="1"/>
    <n v="52"/>
    <x v="1"/>
    <x v="56"/>
    <d v="2018-07-10T01:00:00"/>
    <n v="1.1747099999999999"/>
    <n v="1.1746129999999999"/>
    <n v="9.7E-5"/>
    <n v="1.17519"/>
    <n v="1.1753309999999999"/>
    <n v="1.4100000000000001E-4"/>
    <n v="1.17469"/>
    <n v="1.1745779999999999"/>
    <n v="1.12E-4"/>
    <n v="1.1749400000000001"/>
    <n v="1.1747110000000001"/>
    <n v="2.2900000000000001E-4"/>
    <x v="0"/>
    <x v="1"/>
    <x v="1"/>
    <n v="5.0000000000000001E-4"/>
  </r>
  <r>
    <x v="1"/>
    <x v="1"/>
    <n v="54"/>
    <x v="1"/>
    <x v="57"/>
    <d v="2018-07-10T02:00:00"/>
    <n v="1.1749400000000001"/>
    <n v="1.175025"/>
    <n v="8.5000000000000006E-5"/>
    <n v="1.17563"/>
    <n v="1.1754549999999999"/>
    <n v="1.75E-4"/>
    <n v="1.17479"/>
    <n v="1.1747179999999999"/>
    <n v="7.2000000000000002E-5"/>
    <n v="1.1755199999999999"/>
    <n v="1.1749320000000001"/>
    <n v="5.8799999999999998E-4"/>
    <x v="0"/>
    <x v="1"/>
    <x v="1"/>
    <n v="8.4000000000000003E-4"/>
  </r>
  <r>
    <x v="1"/>
    <x v="1"/>
    <n v="56"/>
    <x v="1"/>
    <x v="58"/>
    <d v="2018-07-10T03:00:00"/>
    <n v="1.1755100000000001"/>
    <n v="1.1755"/>
    <n v="1.0000000000000001E-5"/>
    <n v="1.1761900000000001"/>
    <n v="1.176023"/>
    <n v="1.6699999999999999E-4"/>
    <n v="1.17547"/>
    <n v="1.175297"/>
    <n v="1.73E-4"/>
    <n v="1.17587"/>
    <n v="1.175699"/>
    <n v="1.7100000000000001E-4"/>
    <x v="0"/>
    <x v="1"/>
    <x v="1"/>
    <n v="7.2000000000000005E-4"/>
  </r>
  <r>
    <x v="1"/>
    <x v="1"/>
    <n v="58"/>
    <x v="1"/>
    <x v="59"/>
    <d v="2018-07-10T04:00:00"/>
    <n v="1.1758900000000001"/>
    <n v="1.1757960000000001"/>
    <n v="9.3999999999999994E-5"/>
    <n v="1.1761200000000001"/>
    <n v="1.176337"/>
    <n v="2.1699999999999999E-4"/>
    <n v="1.1746799999999999"/>
    <n v="1.1754720000000001"/>
    <n v="7.9199999999999995E-4"/>
    <n v="1.17472"/>
    <n v="1.1757880000000001"/>
    <n v="1.0679999999999999E-3"/>
    <x v="0"/>
    <x v="1"/>
    <x v="1"/>
    <n v="1.4400000000000001E-3"/>
  </r>
  <r>
    <x v="1"/>
    <x v="1"/>
    <n v="60"/>
    <x v="1"/>
    <x v="60"/>
    <d v="2018-07-10T05:00:00"/>
    <n v="1.17472"/>
    <n v="1.1747050000000001"/>
    <n v="1.5E-5"/>
    <n v="1.1754199999999999"/>
    <n v="1.175308"/>
    <n v="1.12E-4"/>
    <n v="1.1745300000000001"/>
    <n v="1.174412"/>
    <n v="1.18E-4"/>
    <n v="1.1753"/>
    <n v="1.174666"/>
    <n v="6.3400000000000001E-4"/>
    <x v="0"/>
    <x v="1"/>
    <x v="1"/>
    <n v="8.8999999999999995E-4"/>
  </r>
  <r>
    <x v="1"/>
    <x v="1"/>
    <n v="62"/>
    <x v="1"/>
    <x v="61"/>
    <d v="2018-07-10T06:00:00"/>
    <n v="1.17533"/>
    <n v="1.1752640000000001"/>
    <n v="6.6000000000000005E-5"/>
    <n v="1.1755500000000001"/>
    <n v="1.1758649999999999"/>
    <n v="3.1500000000000001E-4"/>
    <n v="1.1746099999999999"/>
    <n v="1.1748000000000001"/>
    <n v="1.9000000000000001E-4"/>
    <n v="1.17466"/>
    <n v="1.175352"/>
    <n v="6.9200000000000002E-4"/>
    <x v="0"/>
    <x v="1"/>
    <x v="1"/>
    <n v="9.3999999999999997E-4"/>
  </r>
  <r>
    <x v="1"/>
    <x v="1"/>
    <n v="64"/>
    <x v="1"/>
    <x v="18"/>
    <d v="2018-07-10T07:00:00"/>
    <n v="1.1746799999999999"/>
    <n v="1.1745859999999999"/>
    <n v="9.3999999999999994E-5"/>
    <n v="1.1747399999999999"/>
    <n v="1.175168"/>
    <n v="4.28E-4"/>
    <n v="1.17395"/>
    <n v="1.1741269999999999"/>
    <n v="1.7699999999999999E-4"/>
    <n v="1.1740200000000001"/>
    <n v="1.1744889999999999"/>
    <n v="4.6900000000000002E-4"/>
    <x v="0"/>
    <x v="1"/>
    <x v="1"/>
    <n v="7.9000000000000001E-4"/>
  </r>
  <r>
    <x v="1"/>
    <x v="1"/>
    <n v="66"/>
    <x v="1"/>
    <x v="62"/>
    <d v="2018-07-10T08:00:00"/>
    <n v="1.1740299999999999"/>
    <n v="1.1740159999999999"/>
    <n v="1.4E-5"/>
    <n v="1.1743600000000001"/>
    <n v="1.1745699999999999"/>
    <n v="2.1000000000000001E-4"/>
    <n v="1.1736599999999999"/>
    <n v="1.1735359999999999"/>
    <n v="1.2400000000000001E-4"/>
    <n v="1.1738900000000001"/>
    <n v="1.1740550000000001"/>
    <n v="1.65E-4"/>
    <x v="0"/>
    <x v="1"/>
    <x v="1"/>
    <n v="6.9999999999999999E-4"/>
  </r>
  <r>
    <x v="1"/>
    <x v="1"/>
    <n v="68"/>
    <x v="1"/>
    <x v="19"/>
    <d v="2018-07-10T09:00:00"/>
    <n v="1.1738900000000001"/>
    <n v="1.173926"/>
    <n v="3.6000000000000001E-5"/>
    <n v="1.1748400000000001"/>
    <n v="1.1745410000000001"/>
    <n v="2.99E-4"/>
    <n v="1.1731"/>
    <n v="1.17353"/>
    <n v="4.2999999999999999E-4"/>
    <n v="1.17476"/>
    <n v="1.1739280000000001"/>
    <n v="8.3199999999999995E-4"/>
    <x v="0"/>
    <x v="1"/>
    <x v="1"/>
    <n v="1.74E-3"/>
  </r>
  <r>
    <x v="1"/>
    <x v="1"/>
    <n v="70"/>
    <x v="1"/>
    <x v="20"/>
    <d v="2018-07-10T10:00:00"/>
    <n v="1.17479"/>
    <n v="1.1747460000000001"/>
    <n v="4.3999999999999999E-5"/>
    <n v="1.1754100000000001"/>
    <n v="1.17516"/>
    <n v="2.5000000000000001E-4"/>
    <n v="1.17387"/>
    <n v="1.1736949999999999"/>
    <n v="1.75E-4"/>
    <n v="1.17445"/>
    <n v="1.174636"/>
    <n v="1.8599999999999999E-4"/>
    <x v="0"/>
    <x v="1"/>
    <x v="1"/>
    <n v="1.5399999999999999E-3"/>
  </r>
  <r>
    <x v="1"/>
    <x v="1"/>
    <n v="72"/>
    <x v="1"/>
    <x v="63"/>
    <d v="2018-07-10T11:00:00"/>
    <n v="1.1744399999999999"/>
    <n v="1.174409"/>
    <n v="3.1000000000000001E-5"/>
    <n v="1.1747799999999999"/>
    <n v="1.174993"/>
    <n v="2.13E-4"/>
    <n v="1.1720600000000001"/>
    <n v="1.1737230000000001"/>
    <n v="1.663E-3"/>
    <n v="1.1725399999999999"/>
    <n v="1.1743870000000001"/>
    <n v="1.8469999999999999E-3"/>
    <x v="0"/>
    <x v="1"/>
    <x v="1"/>
    <n v="2.7200000000000002E-3"/>
  </r>
  <r>
    <x v="1"/>
    <x v="1"/>
    <n v="74"/>
    <x v="1"/>
    <x v="64"/>
    <d v="2018-07-10T12:00:00"/>
    <n v="1.17255"/>
    <n v="1.172442"/>
    <n v="1.08E-4"/>
    <n v="1.17258"/>
    <n v="1.173494"/>
    <n v="9.1399999999999999E-4"/>
    <n v="1.17137"/>
    <n v="1.171335"/>
    <n v="3.4999999999999997E-5"/>
    <n v="1.1720999999999999"/>
    <n v="1.172426"/>
    <n v="3.2600000000000001E-4"/>
    <x v="0"/>
    <x v="1"/>
    <x v="1"/>
    <n v="1.2099999999999999E-3"/>
  </r>
  <r>
    <x v="1"/>
    <x v="1"/>
    <n v="76"/>
    <x v="1"/>
    <x v="65"/>
    <d v="2018-07-10T13:00:00"/>
    <n v="1.1720999999999999"/>
    <n v="1.1721250000000001"/>
    <n v="2.5000000000000001E-5"/>
    <n v="1.1725699999999999"/>
    <n v="1.17269"/>
    <n v="1.2E-4"/>
    <n v="1.17025"/>
    <n v="1.171071"/>
    <n v="8.2100000000000001E-4"/>
    <n v="1.1702999999999999"/>
    <n v="1.1720950000000001"/>
    <n v="1.7949999999999999E-3"/>
    <x v="0"/>
    <x v="1"/>
    <x v="1"/>
    <n v="2.32E-3"/>
  </r>
  <r>
    <x v="1"/>
    <x v="1"/>
    <n v="78"/>
    <x v="1"/>
    <x v="66"/>
    <d v="2018-07-10T14:00:00"/>
    <n v="1.1702900000000001"/>
    <n v="1.1702170000000001"/>
    <n v="7.2999999999999999E-5"/>
    <n v="1.1709400000000001"/>
    <n v="1.171376"/>
    <n v="4.3600000000000003E-4"/>
    <n v="1.1689499999999999"/>
    <n v="1.169168"/>
    <n v="2.1800000000000001E-4"/>
    <n v="1.1704399999999999"/>
    <n v="1.170107"/>
    <n v="3.3300000000000002E-4"/>
    <x v="0"/>
    <x v="1"/>
    <x v="1"/>
    <n v="1.99E-3"/>
  </r>
  <r>
    <x v="1"/>
    <x v="1"/>
    <n v="80"/>
    <x v="1"/>
    <x v="67"/>
    <d v="2018-07-10T15:00:00"/>
    <n v="1.1704300000000001"/>
    <n v="1.170493"/>
    <n v="6.3E-5"/>
    <n v="1.1719299999999999"/>
    <n v="1.1713119999999999"/>
    <n v="6.1799999999999995E-4"/>
    <n v="1.1696299999999999"/>
    <n v="1.1689290000000001"/>
    <n v="7.0100000000000002E-4"/>
    <n v="1.17157"/>
    <n v="1.1703079999999999"/>
    <n v="1.2620000000000001E-3"/>
    <x v="0"/>
    <x v="1"/>
    <x v="1"/>
    <n v="2.3E-3"/>
  </r>
  <r>
    <x v="1"/>
    <x v="1"/>
    <n v="82"/>
    <x v="1"/>
    <x v="68"/>
    <d v="2018-07-10T16:00:00"/>
    <n v="1.17157"/>
    <n v="1.1715230000000001"/>
    <n v="4.6999999999999997E-5"/>
    <n v="1.1721299999999999"/>
    <n v="1.1722490000000001"/>
    <n v="1.1900000000000001E-4"/>
    <n v="1.17069"/>
    <n v="1.1701859999999999"/>
    <n v="5.04E-4"/>
    <n v="1.1707700000000001"/>
    <n v="1.1713260000000001"/>
    <n v="5.5599999999999996E-4"/>
    <x v="0"/>
    <x v="1"/>
    <x v="1"/>
    <n v="1.4400000000000001E-3"/>
  </r>
  <r>
    <x v="1"/>
    <x v="1"/>
    <n v="84"/>
    <x v="1"/>
    <x v="69"/>
    <d v="2018-07-10T17:00:00"/>
    <n v="1.17075"/>
    <n v="1.1707650000000001"/>
    <n v="1.5E-5"/>
    <n v="1.17232"/>
    <n v="1.1718420000000001"/>
    <n v="4.7800000000000002E-4"/>
    <n v="1.1703300000000001"/>
    <n v="1.1702379999999999"/>
    <n v="9.2E-5"/>
    <n v="1.1719200000000001"/>
    <n v="1.170893"/>
    <n v="1.0269999999999999E-3"/>
    <x v="0"/>
    <x v="1"/>
    <x v="1"/>
    <n v="1.99E-3"/>
  </r>
  <r>
    <x v="1"/>
    <x v="1"/>
    <n v="86"/>
    <x v="1"/>
    <x v="70"/>
    <d v="2018-07-10T18:00:00"/>
    <n v="1.17191"/>
    <n v="1.171894"/>
    <n v="1.5999999999999999E-5"/>
    <n v="1.1738599999999999"/>
    <n v="1.172582"/>
    <n v="1.2780000000000001E-3"/>
    <n v="1.1718500000000001"/>
    <n v="1.1711009999999999"/>
    <n v="7.4899999999999999E-4"/>
    <n v="1.1728400000000001"/>
    <n v="1.1718729999999999"/>
    <n v="9.6699999999999998E-4"/>
    <x v="0"/>
    <x v="1"/>
    <x v="1"/>
    <n v="2.0100000000000001E-3"/>
  </r>
  <r>
    <x v="1"/>
    <x v="1"/>
    <n v="88"/>
    <x v="1"/>
    <x v="71"/>
    <d v="2018-07-10T19:00:00"/>
    <n v="1.17283"/>
    <n v="1.172863"/>
    <n v="3.3000000000000003E-5"/>
    <n v="1.1736899999999999"/>
    <n v="1.1741950000000001"/>
    <n v="5.0500000000000002E-4"/>
    <n v="1.1720999999999999"/>
    <n v="1.1723779999999999"/>
    <n v="2.7799999999999998E-4"/>
    <n v="1.17323"/>
    <n v="1.1728639999999999"/>
    <n v="3.6600000000000001E-4"/>
    <x v="0"/>
    <x v="1"/>
    <x v="1"/>
    <n v="1.5900000000000001E-3"/>
  </r>
  <r>
    <x v="1"/>
    <x v="1"/>
    <n v="90"/>
    <x v="1"/>
    <x v="72"/>
    <d v="2018-07-10T20:00:00"/>
    <n v="1.1732400000000001"/>
    <n v="1.1733039999999999"/>
    <n v="6.3999999999999997E-5"/>
    <n v="1.17462"/>
    <n v="1.1739900000000001"/>
    <n v="6.3000000000000003E-4"/>
    <n v="1.1731199999999999"/>
    <n v="1.172442"/>
    <n v="6.78E-4"/>
    <n v="1.1745399999999999"/>
    <n v="1.173322"/>
    <n v="1.2179999999999999E-3"/>
    <x v="0"/>
    <x v="1"/>
    <x v="1"/>
    <n v="1.5E-3"/>
  </r>
  <r>
    <x v="1"/>
    <x v="1"/>
    <n v="92"/>
    <x v="1"/>
    <x v="73"/>
    <d v="2018-07-10T21:00:00"/>
    <n v="1.17448"/>
    <n v="1.174498"/>
    <n v="1.8E-5"/>
    <n v="1.1748400000000001"/>
    <n v="1.175189"/>
    <n v="3.4900000000000003E-4"/>
    <n v="1.1740200000000001"/>
    <n v="1.1736819999999999"/>
    <n v="3.3799999999999998E-4"/>
    <n v="1.1745300000000001"/>
    <n v="1.1745300000000001"/>
    <n v="0"/>
    <x v="0"/>
    <x v="1"/>
    <x v="1"/>
    <n v="8.1999999999999998E-4"/>
  </r>
  <r>
    <x v="1"/>
    <x v="1"/>
    <n v="94"/>
    <x v="1"/>
    <x v="21"/>
    <d v="2018-07-10T22:00:00"/>
    <n v="1.1745399999999999"/>
    <n v="1.174474"/>
    <n v="6.6000000000000005E-5"/>
    <n v="1.1747700000000001"/>
    <n v="1.1749970000000001"/>
    <n v="2.2699999999999999E-4"/>
    <n v="1.17428"/>
    <n v="1.1739200000000001"/>
    <n v="3.6000000000000002E-4"/>
    <n v="1.1745699999999999"/>
    <n v="1.1744749999999999"/>
    <n v="9.5000000000000005E-5"/>
    <x v="0"/>
    <x v="1"/>
    <x v="1"/>
    <n v="4.8999999999999998E-4"/>
  </r>
  <r>
    <x v="1"/>
    <x v="1"/>
    <n v="96"/>
    <x v="1"/>
    <x v="22"/>
    <d v="2018-07-10T23:00:00"/>
    <n v="1.17455"/>
    <n v="1.1746239999999999"/>
    <n v="7.3999999999999996E-5"/>
    <n v="1.17489"/>
    <n v="1.1747970000000001"/>
    <n v="9.2999999999999997E-5"/>
    <n v="1.17425"/>
    <n v="1.174121"/>
    <n v="1.2899999999999999E-4"/>
    <n v="1.17425"/>
    <n v="1.1745239999999999"/>
    <n v="2.7399999999999999E-4"/>
    <x v="0"/>
    <x v="1"/>
    <x v="1"/>
    <n v="6.4000000000000005E-4"/>
  </r>
  <r>
    <x v="1"/>
    <x v="1"/>
    <n v="98"/>
    <x v="1"/>
    <x v="74"/>
    <d v="2018-07-11T00:00:00"/>
    <n v="1.1741699999999999"/>
    <n v="1.174175"/>
    <n v="5.0000000000000004E-6"/>
    <n v="1.17455"/>
    <n v="1.174612"/>
    <n v="6.2000000000000003E-5"/>
    <n v="1.17317"/>
    <n v="1.1739949999999999"/>
    <n v="8.25E-4"/>
    <n v="1.1738200000000001"/>
    <n v="1.1741239999999999"/>
    <n v="3.0400000000000002E-4"/>
    <x v="0"/>
    <x v="1"/>
    <x v="1"/>
    <n v="1.3799999999999999E-3"/>
  </r>
  <r>
    <x v="1"/>
    <x v="1"/>
    <n v="100"/>
    <x v="1"/>
    <x v="75"/>
    <d v="2018-07-11T01:00:00"/>
    <n v="1.17384"/>
    <n v="1.173854"/>
    <n v="1.4E-5"/>
    <n v="1.1738999999999999"/>
    <n v="1.174547"/>
    <n v="6.4700000000000001E-4"/>
    <n v="1.1732"/>
    <n v="1.173489"/>
    <n v="2.8899999999999998E-4"/>
    <n v="1.1735100000000001"/>
    <n v="1.1741079999999999"/>
    <n v="5.9800000000000001E-4"/>
    <x v="0"/>
    <x v="1"/>
    <x v="1"/>
    <n v="6.9999999999999999E-4"/>
  </r>
  <r>
    <x v="1"/>
    <x v="1"/>
    <n v="102"/>
    <x v="1"/>
    <x v="76"/>
    <d v="2018-07-11T02:00:00"/>
    <n v="1.1735"/>
    <n v="1.173516"/>
    <n v="1.5999999999999999E-5"/>
    <n v="1.1736500000000001"/>
    <n v="1.1738249999999999"/>
    <n v="1.75E-4"/>
    <n v="1.1724399999999999"/>
    <n v="1.1729080000000001"/>
    <n v="4.6799999999999999E-4"/>
    <n v="1.17272"/>
    <n v="1.1734359999999999"/>
    <n v="7.1599999999999995E-4"/>
    <x v="0"/>
    <x v="1"/>
    <x v="1"/>
    <n v="1.2099999999999999E-3"/>
  </r>
  <r>
    <x v="1"/>
    <x v="1"/>
    <n v="104"/>
    <x v="1"/>
    <x v="77"/>
    <d v="2018-07-11T03:00:00"/>
    <n v="1.1727099999999999"/>
    <n v="1.1727529999999999"/>
    <n v="4.3000000000000002E-5"/>
    <n v="1.1731499999999999"/>
    <n v="1.1732720000000001"/>
    <n v="1.22E-4"/>
    <n v="1.1723399999999999"/>
    <n v="1.172118"/>
    <n v="2.22E-4"/>
    <n v="1.17258"/>
    <n v="1.1726799999999999"/>
    <n v="1E-4"/>
    <x v="0"/>
    <x v="1"/>
    <x v="1"/>
    <n v="8.0999999999999996E-4"/>
  </r>
  <r>
    <x v="1"/>
    <x v="1"/>
    <n v="106"/>
    <x v="1"/>
    <x v="78"/>
    <d v="2018-07-11T04:00:00"/>
    <n v="1.1725699999999999"/>
    <n v="1.1726479999999999"/>
    <n v="7.7999999999999999E-5"/>
    <n v="1.1731199999999999"/>
    <n v="1.173219"/>
    <n v="9.8999999999999994E-5"/>
    <n v="1.17231"/>
    <n v="1.1722220000000001"/>
    <n v="8.7999999999999998E-5"/>
    <n v="1.1730499999999999"/>
    <n v="1.172512"/>
    <n v="5.3799999999999996E-4"/>
    <x v="0"/>
    <x v="1"/>
    <x v="1"/>
    <n v="8.0999999999999996E-4"/>
  </r>
  <r>
    <x v="1"/>
    <x v="1"/>
    <n v="108"/>
    <x v="1"/>
    <x v="79"/>
    <d v="2018-07-11T05:00:00"/>
    <n v="1.1730499999999999"/>
    <n v="1.1730719999999999"/>
    <n v="2.1999999999999999E-5"/>
    <n v="1.17357"/>
    <n v="1.1733849999999999"/>
    <n v="1.85E-4"/>
    <n v="1.1727099999999999"/>
    <n v="1.172644"/>
    <n v="6.6000000000000005E-5"/>
    <n v="1.1729000000000001"/>
    <n v="1.1730240000000001"/>
    <n v="1.2400000000000001E-4"/>
    <x v="0"/>
    <x v="1"/>
    <x v="1"/>
    <n v="8.5999999999999998E-4"/>
  </r>
  <r>
    <x v="1"/>
    <x v="1"/>
    <n v="110"/>
    <x v="1"/>
    <x v="80"/>
    <d v="2018-07-11T06:00:00"/>
    <n v="1.1729099999999999"/>
    <n v="1.172936"/>
    <n v="2.5999999999999998E-5"/>
    <n v="1.1731199999999999"/>
    <n v="1.1733420000000001"/>
    <n v="2.22E-4"/>
    <n v="1.1723699999999999"/>
    <n v="1.17259"/>
    <n v="2.2000000000000001E-4"/>
    <n v="1.17286"/>
    <n v="1.1728270000000001"/>
    <n v="3.3000000000000003E-5"/>
    <x v="0"/>
    <x v="1"/>
    <x v="1"/>
    <n v="7.5000000000000002E-4"/>
  </r>
  <r>
    <x v="1"/>
    <x v="1"/>
    <n v="112"/>
    <x v="1"/>
    <x v="81"/>
    <d v="2018-07-11T07:00:00"/>
    <n v="1.1728799999999999"/>
    <n v="1.172938"/>
    <n v="5.8E-5"/>
    <n v="1.1729799999999999"/>
    <n v="1.173165"/>
    <n v="1.85E-4"/>
    <n v="1.1721999999999999"/>
    <n v="1.172437"/>
    <n v="2.3699999999999999E-4"/>
    <n v="1.1726300000000001"/>
    <n v="1.172785"/>
    <n v="1.55E-4"/>
    <x v="0"/>
    <x v="1"/>
    <x v="1"/>
    <n v="7.7999999999999999E-4"/>
  </r>
  <r>
    <x v="1"/>
    <x v="1"/>
    <n v="114"/>
    <x v="1"/>
    <x v="82"/>
    <d v="2018-07-11T08:00:00"/>
    <n v="1.1726300000000001"/>
    <n v="1.1726259999999999"/>
    <n v="3.9999999999999998E-6"/>
    <n v="1.1731400000000001"/>
    <n v="1.172952"/>
    <n v="1.8799999999999999E-4"/>
    <n v="1.1724600000000001"/>
    <n v="1.1719949999999999"/>
    <n v="4.6500000000000003E-4"/>
    <n v="1.17282"/>
    <n v="1.1726259999999999"/>
    <n v="1.94E-4"/>
    <x v="0"/>
    <x v="1"/>
    <x v="1"/>
    <n v="6.8000000000000005E-4"/>
  </r>
  <r>
    <x v="1"/>
    <x v="1"/>
    <n v="116"/>
    <x v="1"/>
    <x v="83"/>
    <d v="2018-07-11T09:00:00"/>
    <n v="1.17282"/>
    <n v="1.1729130000000001"/>
    <n v="9.2999999999999997E-5"/>
    <n v="1.17395"/>
    <n v="1.173346"/>
    <n v="6.0400000000000004E-4"/>
    <n v="1.1723699999999999"/>
    <n v="1.1724190000000001"/>
    <n v="4.8999999999999998E-5"/>
    <n v="1.17296"/>
    <n v="1.172766"/>
    <n v="1.94E-4"/>
    <x v="0"/>
    <x v="1"/>
    <x v="1"/>
    <n v="1.58E-3"/>
  </r>
  <r>
    <x v="1"/>
    <x v="1"/>
    <n v="118"/>
    <x v="1"/>
    <x v="84"/>
    <d v="2018-07-11T10:00:00"/>
    <n v="1.17296"/>
    <n v="1.173009"/>
    <n v="4.8999999999999998E-5"/>
    <n v="1.1736899999999999"/>
    <n v="1.1739930000000001"/>
    <n v="3.0299999999999999E-4"/>
    <n v="1.1721299999999999"/>
    <n v="1.172504"/>
    <n v="3.7399999999999998E-4"/>
    <n v="1.1732400000000001"/>
    <n v="1.172995"/>
    <n v="2.4499999999999999E-4"/>
    <x v="0"/>
    <x v="1"/>
    <x v="1"/>
    <n v="1.56E-3"/>
  </r>
  <r>
    <x v="1"/>
    <x v="1"/>
    <n v="120"/>
    <x v="1"/>
    <x v="85"/>
    <d v="2018-07-11T11:00:00"/>
    <n v="1.1732400000000001"/>
    <n v="1.1733709999999999"/>
    <n v="1.3100000000000001E-4"/>
    <n v="1.1739900000000001"/>
    <n v="1.1738770000000001"/>
    <n v="1.13E-4"/>
    <n v="1.17073"/>
    <n v="1.17242"/>
    <n v="1.6900000000000001E-3"/>
    <n v="1.1707700000000001"/>
    <n v="1.173047"/>
    <n v="2.2769999999999999E-3"/>
    <x v="0"/>
    <x v="1"/>
    <x v="1"/>
    <n v="3.2599999999999999E-3"/>
  </r>
  <r>
    <x v="1"/>
    <x v="1"/>
    <n v="122"/>
    <x v="1"/>
    <x v="86"/>
    <d v="2018-07-11T12:00:00"/>
    <n v="1.17075"/>
    <n v="1.1707590000000001"/>
    <n v="9.0000000000000002E-6"/>
    <n v="1.1710700000000001"/>
    <n v="1.172356"/>
    <n v="1.286E-3"/>
    <n v="1.16943"/>
    <n v="1.1696709999999999"/>
    <n v="2.41E-4"/>
    <n v="1.1702699999999999"/>
    <n v="1.170771"/>
    <n v="5.0100000000000003E-4"/>
    <x v="0"/>
    <x v="1"/>
    <x v="1"/>
    <n v="1.64E-3"/>
  </r>
  <r>
    <x v="1"/>
    <x v="1"/>
    <n v="124"/>
    <x v="1"/>
    <x v="87"/>
    <d v="2018-07-11T13:00:00"/>
    <n v="1.17028"/>
    <n v="1.1703190000000001"/>
    <n v="3.8999999999999999E-5"/>
    <n v="1.1716800000000001"/>
    <n v="1.1711819999999999"/>
    <n v="4.9799999999999996E-4"/>
    <n v="1.1701299999999999"/>
    <n v="1.1693659999999999"/>
    <n v="7.6400000000000003E-4"/>
    <n v="1.1711199999999999"/>
    <n v="1.1703589999999999"/>
    <n v="7.6099999999999996E-4"/>
    <x v="0"/>
    <x v="1"/>
    <x v="1"/>
    <n v="1.5499999999999999E-3"/>
  </r>
  <r>
    <x v="1"/>
    <x v="1"/>
    <n v="126"/>
    <x v="1"/>
    <x v="88"/>
    <d v="2018-07-11T14:00:00"/>
    <n v="1.1711199999999999"/>
    <n v="1.1711050000000001"/>
    <n v="1.5E-5"/>
    <n v="1.1719599999999999"/>
    <n v="1.171934"/>
    <n v="2.5999999999999998E-5"/>
    <n v="1.16991"/>
    <n v="1.1704289999999999"/>
    <n v="5.1900000000000004E-4"/>
    <n v="1.17059"/>
    <n v="1.1710929999999999"/>
    <n v="5.0299999999999997E-4"/>
    <x v="0"/>
    <x v="1"/>
    <x v="1"/>
    <n v="2.0500000000000002E-3"/>
  </r>
  <r>
    <x v="1"/>
    <x v="1"/>
    <n v="128"/>
    <x v="1"/>
    <x v="89"/>
    <d v="2018-07-11T15:00:00"/>
    <n v="1.17058"/>
    <n v="1.1706749999999999"/>
    <n v="9.5000000000000005E-5"/>
    <n v="1.1754"/>
    <n v="1.171786"/>
    <n v="3.614E-3"/>
    <n v="1.17004"/>
    <n v="1.169826"/>
    <n v="2.14E-4"/>
    <n v="1.1751"/>
    <n v="1.1707339999999999"/>
    <n v="4.3660000000000001E-3"/>
    <x v="0"/>
    <x v="1"/>
    <x v="1"/>
    <n v="5.3600000000000002E-3"/>
  </r>
  <r>
    <x v="1"/>
    <x v="1"/>
    <n v="130"/>
    <x v="1"/>
    <x v="90"/>
    <d v="2018-07-11T16:00:00"/>
    <n v="1.1751100000000001"/>
    <n v="1.174688"/>
    <n v="4.2200000000000001E-4"/>
    <n v="1.1757500000000001"/>
    <n v="1.177047"/>
    <n v="1.297E-3"/>
    <n v="1.17431"/>
    <n v="1.172604"/>
    <n v="1.7060000000000001E-3"/>
    <n v="1.17458"/>
    <n v="1.1750879999999999"/>
    <n v="5.0799999999999999E-4"/>
    <x v="0"/>
    <x v="1"/>
    <x v="1"/>
    <n v="1.4400000000000001E-3"/>
  </r>
  <r>
    <x v="1"/>
    <x v="1"/>
    <n v="132"/>
    <x v="1"/>
    <x v="91"/>
    <d v="2018-07-11T17:00:00"/>
    <n v="1.17459"/>
    <n v="1.174558"/>
    <n v="3.1999999999999999E-5"/>
    <n v="1.1749099999999999"/>
    <n v="1.175719"/>
    <n v="8.0900000000000004E-4"/>
    <n v="1.1717299999999999"/>
    <n v="1.1731640000000001"/>
    <n v="1.4339999999999999E-3"/>
    <n v="1.17211"/>
    <n v="1.1743980000000001"/>
    <n v="2.2880000000000001E-3"/>
    <x v="0"/>
    <x v="1"/>
    <x v="1"/>
    <n v="3.1800000000000001E-3"/>
  </r>
  <r>
    <x v="1"/>
    <x v="1"/>
    <n v="134"/>
    <x v="1"/>
    <x v="92"/>
    <d v="2018-07-11T18:00:00"/>
    <n v="1.1720999999999999"/>
    <n v="1.172161"/>
    <n v="6.0999999999999999E-5"/>
    <n v="1.1727300000000001"/>
    <n v="1.1733720000000001"/>
    <n v="6.4199999999999999E-4"/>
    <n v="1.1709400000000001"/>
    <n v="1.1710529999999999"/>
    <n v="1.13E-4"/>
    <n v="1.1721600000000001"/>
    <n v="1.172277"/>
    <n v="1.17E-4"/>
    <x v="0"/>
    <x v="1"/>
    <x v="1"/>
    <n v="1.7899999999999999E-3"/>
  </r>
  <r>
    <x v="1"/>
    <x v="1"/>
    <n v="136"/>
    <x v="1"/>
    <x v="93"/>
    <d v="2018-07-11T19:00:00"/>
    <n v="1.1721699999999999"/>
    <n v="1.172188"/>
    <n v="1.8E-5"/>
    <n v="1.17262"/>
    <n v="1.1732199999999999"/>
    <n v="5.9999999999999995E-4"/>
    <n v="1.1696200000000001"/>
    <n v="1.1709270000000001"/>
    <n v="1.307E-3"/>
    <n v="1.1698900000000001"/>
    <n v="1.1722809999999999"/>
    <n v="2.3909999999999999E-3"/>
    <x v="0"/>
    <x v="1"/>
    <x v="1"/>
    <n v="3.0000000000000001E-3"/>
  </r>
  <r>
    <x v="1"/>
    <x v="1"/>
    <n v="138"/>
    <x v="1"/>
    <x v="94"/>
    <d v="2018-07-11T20:00:00"/>
    <n v="1.1698900000000001"/>
    <n v="1.1699109999999999"/>
    <n v="2.0999999999999999E-5"/>
    <n v="1.1698900000000001"/>
    <n v="1.171373"/>
    <n v="1.4829999999999999E-3"/>
    <n v="1.1666799999999999"/>
    <n v="1.1685540000000001"/>
    <n v="1.874E-3"/>
    <n v="1.1672899999999999"/>
    <n v="1.169899"/>
    <n v="2.6090000000000002E-3"/>
    <x v="0"/>
    <x v="1"/>
    <x v="1"/>
    <n v="3.2100000000000002E-3"/>
  </r>
  <r>
    <x v="1"/>
    <x v="1"/>
    <n v="140"/>
    <x v="1"/>
    <x v="95"/>
    <d v="2018-07-11T21:00:00"/>
    <n v="1.1672800000000001"/>
    <n v="1.1673960000000001"/>
    <n v="1.16E-4"/>
    <n v="1.1681999999999999"/>
    <n v="1.168847"/>
    <n v="6.4700000000000001E-4"/>
    <n v="1.1664600000000001"/>
    <n v="1.165694"/>
    <n v="7.6599999999999997E-4"/>
    <n v="1.16733"/>
    <n v="1.1673560000000001"/>
    <n v="2.5999999999999998E-5"/>
    <x v="0"/>
    <x v="1"/>
    <x v="1"/>
    <n v="1.74E-3"/>
  </r>
  <r>
    <x v="1"/>
    <x v="1"/>
    <n v="142"/>
    <x v="1"/>
    <x v="96"/>
    <d v="2018-07-11T22:00:00"/>
    <n v="1.1673199999999999"/>
    <n v="1.1673009999999999"/>
    <n v="1.9000000000000001E-5"/>
    <n v="1.16771"/>
    <n v="1.1681859999999999"/>
    <n v="4.7600000000000002E-4"/>
    <n v="1.1667400000000001"/>
    <n v="1.1661570000000001"/>
    <n v="5.8299999999999997E-4"/>
    <n v="1.16686"/>
    <n v="1.167046"/>
    <n v="1.8599999999999999E-4"/>
    <x v="0"/>
    <x v="1"/>
    <x v="1"/>
    <n v="9.7000000000000005E-4"/>
  </r>
  <r>
    <x v="1"/>
    <x v="1"/>
    <n v="144"/>
    <x v="1"/>
    <x v="97"/>
    <d v="2018-07-11T23:00:00"/>
    <n v="1.167"/>
    <n v="1.166901"/>
    <n v="9.8999999999999994E-5"/>
    <n v="1.1675899999999999"/>
    <n v="1.167746"/>
    <n v="1.56E-4"/>
    <n v="1.167"/>
    <n v="1.1664429999999999"/>
    <n v="5.5699999999999999E-4"/>
    <n v="1.1670700000000001"/>
    <n v="1.166893"/>
    <n v="1.7699999999999999E-4"/>
    <x v="0"/>
    <x v="1"/>
    <x v="1"/>
    <n v="5.9000000000000003E-4"/>
  </r>
  <r>
    <x v="1"/>
    <x v="1"/>
    <n v="146"/>
    <x v="1"/>
    <x v="98"/>
    <d v="2018-07-12T00:00:00"/>
    <n v="1.1670700000000001"/>
    <n v="1.16726"/>
    <n v="1.9000000000000001E-4"/>
    <n v="1.1676800000000001"/>
    <n v="1.1675150000000001"/>
    <n v="1.65E-4"/>
    <n v="1.1668499999999999"/>
    <n v="1.166974"/>
    <n v="1.2400000000000001E-4"/>
    <n v="1.16726"/>
    <n v="1.166885"/>
    <n v="3.7500000000000001E-4"/>
    <x v="0"/>
    <x v="1"/>
    <x v="1"/>
    <n v="8.3000000000000001E-4"/>
  </r>
  <r>
    <x v="1"/>
    <x v="1"/>
    <n v="148"/>
    <x v="1"/>
    <x v="99"/>
    <d v="2018-07-12T01:00:00"/>
    <n v="1.16727"/>
    <n v="1.1673720000000001"/>
    <n v="1.02E-4"/>
    <n v="1.1675800000000001"/>
    <n v="1.1679660000000001"/>
    <n v="3.86E-4"/>
    <n v="1.1671899999999999"/>
    <n v="1.167178"/>
    <n v="1.2E-5"/>
    <n v="1.16751"/>
    <n v="1.167322"/>
    <n v="1.8799999999999999E-4"/>
    <x v="0"/>
    <x v="1"/>
    <x v="1"/>
    <n v="3.8999999999999999E-4"/>
  </r>
  <r>
    <x v="1"/>
    <x v="1"/>
    <n v="150"/>
    <x v="1"/>
    <x v="100"/>
    <d v="2018-07-12T02:00:00"/>
    <n v="1.1675"/>
    <n v="1.167646"/>
    <n v="1.46E-4"/>
    <n v="1.1677"/>
    <n v="1.1678679999999999"/>
    <n v="1.6799999999999999E-4"/>
    <n v="1.1671499999999999"/>
    <n v="1.1673610000000001"/>
    <n v="2.1100000000000001E-4"/>
    <n v="1.1674199999999999"/>
    <n v="1.167529"/>
    <n v="1.0900000000000001E-4"/>
    <x v="0"/>
    <x v="1"/>
    <x v="1"/>
    <n v="5.5000000000000003E-4"/>
  </r>
  <r>
    <x v="1"/>
    <x v="1"/>
    <n v="152"/>
    <x v="1"/>
    <x v="23"/>
    <d v="2018-07-12T03:00:00"/>
    <n v="1.16743"/>
    <n v="1.167535"/>
    <n v="1.05E-4"/>
    <n v="1.16777"/>
    <n v="1.1677120000000001"/>
    <n v="5.8E-5"/>
    <n v="1.1669400000000001"/>
    <n v="1.1672260000000001"/>
    <n v="2.8600000000000001E-4"/>
    <n v="1.1672"/>
    <n v="1.167451"/>
    <n v="2.5099999999999998E-4"/>
    <x v="0"/>
    <x v="1"/>
    <x v="1"/>
    <n v="8.3000000000000001E-4"/>
  </r>
  <r>
    <x v="1"/>
    <x v="1"/>
    <n v="154"/>
    <x v="1"/>
    <x v="101"/>
    <d v="2018-07-12T04:00:00"/>
    <n v="1.1671899999999999"/>
    <n v="1.1672959999999999"/>
    <n v="1.06E-4"/>
    <n v="1.16795"/>
    <n v="1.167594"/>
    <n v="3.5599999999999998E-4"/>
    <n v="1.1671400000000001"/>
    <n v="1.1667639999999999"/>
    <n v="3.7599999999999998E-4"/>
    <n v="1.1674"/>
    <n v="1.167117"/>
    <n v="2.8299999999999999E-4"/>
    <x v="0"/>
    <x v="1"/>
    <x v="1"/>
    <n v="8.0999999999999996E-4"/>
  </r>
  <r>
    <x v="1"/>
    <x v="1"/>
    <n v="156"/>
    <x v="1"/>
    <x v="102"/>
    <d v="2018-07-12T05:00:00"/>
    <n v="1.1674199999999999"/>
    <n v="1.16743"/>
    <n v="1.0000000000000001E-5"/>
    <n v="1.1678999999999999"/>
    <n v="1.168031"/>
    <n v="1.3100000000000001E-4"/>
    <n v="1.1671400000000001"/>
    <n v="1.1673530000000001"/>
    <n v="2.13E-4"/>
    <n v="1.16717"/>
    <n v="1.1674249999999999"/>
    <n v="2.5500000000000002E-4"/>
    <x v="0"/>
    <x v="1"/>
    <x v="1"/>
    <n v="7.6000000000000004E-4"/>
  </r>
  <r>
    <x v="1"/>
    <x v="1"/>
    <n v="158"/>
    <x v="1"/>
    <x v="103"/>
    <d v="2018-07-12T06:00:00"/>
    <n v="1.16716"/>
    <n v="1.1673420000000001"/>
    <n v="1.8200000000000001E-4"/>
    <n v="1.16764"/>
    <n v="1.167656"/>
    <n v="1.5999999999999999E-5"/>
    <n v="1.1670199999999999"/>
    <n v="1.1669719999999999"/>
    <n v="4.8000000000000001E-5"/>
    <n v="1.1675500000000001"/>
    <n v="1.1670579999999999"/>
    <n v="4.9200000000000003E-4"/>
    <x v="0"/>
    <x v="1"/>
    <x v="1"/>
    <n v="6.2E-4"/>
  </r>
  <r>
    <x v="1"/>
    <x v="1"/>
    <n v="160"/>
    <x v="1"/>
    <x v="104"/>
    <d v="2018-07-12T07:00:00"/>
    <n v="1.16754"/>
    <n v="1.1675979999999999"/>
    <n v="5.8E-5"/>
    <n v="1.1682900000000001"/>
    <n v="1.168126"/>
    <n v="1.64E-4"/>
    <n v="1.1674899999999999"/>
    <n v="1.167208"/>
    <n v="2.8200000000000002E-4"/>
    <n v="1.16818"/>
    <n v="1.1676420000000001"/>
    <n v="5.3799999999999996E-4"/>
    <x v="0"/>
    <x v="1"/>
    <x v="1"/>
    <n v="8.0000000000000004E-4"/>
  </r>
  <r>
    <x v="1"/>
    <x v="1"/>
    <n v="162"/>
    <x v="1"/>
    <x v="105"/>
    <d v="2018-07-12T08:00:00"/>
    <n v="1.1681900000000001"/>
    <n v="1.1682619999999999"/>
    <n v="7.2000000000000002E-5"/>
    <n v="1.1685399999999999"/>
    <n v="1.168698"/>
    <n v="1.5799999999999999E-4"/>
    <n v="1.1677200000000001"/>
    <n v="1.167673"/>
    <n v="4.6999999999999997E-5"/>
    <n v="1.1677599999999999"/>
    <n v="1.1681109999999999"/>
    <n v="3.5100000000000002E-4"/>
    <x v="0"/>
    <x v="1"/>
    <x v="1"/>
    <n v="8.1999999999999998E-4"/>
  </r>
  <r>
    <x v="1"/>
    <x v="1"/>
    <n v="164"/>
    <x v="1"/>
    <x v="106"/>
    <d v="2018-07-12T09:00:00"/>
    <n v="1.1677599999999999"/>
    <n v="1.1677729999999999"/>
    <n v="1.2999999999999999E-5"/>
    <n v="1.16859"/>
    <n v="1.1683460000000001"/>
    <n v="2.4399999999999999E-4"/>
    <n v="1.16706"/>
    <n v="1.1675420000000001"/>
    <n v="4.8200000000000001E-4"/>
    <n v="1.1684099999999999"/>
    <n v="1.167745"/>
    <n v="6.6500000000000001E-4"/>
    <x v="0"/>
    <x v="1"/>
    <x v="1"/>
    <n v="1.5299999999999999E-3"/>
  </r>
  <r>
    <x v="1"/>
    <x v="1"/>
    <n v="166"/>
    <x v="1"/>
    <x v="107"/>
    <d v="2018-07-12T10:00:00"/>
    <n v="1.1683699999999999"/>
    <n v="1.168515"/>
    <n v="1.45E-4"/>
    <n v="1.1692199999999999"/>
    <n v="1.1690020000000001"/>
    <n v="2.1800000000000001E-4"/>
    <n v="1.1673"/>
    <n v="1.1677329999999999"/>
    <n v="4.3300000000000001E-4"/>
    <n v="1.1684000000000001"/>
    <n v="1.1686650000000001"/>
    <n v="2.6499999999999999E-4"/>
    <x v="0"/>
    <x v="1"/>
    <x v="1"/>
    <n v="1.92E-3"/>
  </r>
  <r>
    <x v="1"/>
    <x v="1"/>
    <n v="168"/>
    <x v="1"/>
    <x v="108"/>
    <d v="2018-07-12T11:00:00"/>
    <n v="1.1684000000000001"/>
    <n v="1.168439"/>
    <n v="3.8999999999999999E-5"/>
    <n v="1.16917"/>
    <n v="1.169192"/>
    <n v="2.1999999999999999E-5"/>
    <n v="1.1671899999999999"/>
    <n v="1.167327"/>
    <n v="1.37E-4"/>
    <n v="1.16737"/>
    <n v="1.1682410000000001"/>
    <n v="8.7100000000000003E-4"/>
    <x v="0"/>
    <x v="1"/>
    <x v="1"/>
    <n v="1.98E-3"/>
  </r>
  <r>
    <x v="1"/>
    <x v="1"/>
    <n v="170"/>
    <x v="1"/>
    <x v="109"/>
    <d v="2018-07-12T12:00:00"/>
    <n v="1.1673800000000001"/>
    <n v="1.167438"/>
    <n v="5.8E-5"/>
    <n v="1.1682600000000001"/>
    <n v="1.1684380000000001"/>
    <n v="1.7799999999999999E-4"/>
    <n v="1.16683"/>
    <n v="1.166676"/>
    <n v="1.54E-4"/>
    <n v="1.16764"/>
    <n v="1.167295"/>
    <n v="3.4499999999999998E-4"/>
    <x v="0"/>
    <x v="1"/>
    <x v="1"/>
    <n v="1.4300000000000001E-3"/>
  </r>
  <r>
    <x v="1"/>
    <x v="1"/>
    <n v="172"/>
    <x v="1"/>
    <x v="110"/>
    <d v="2018-07-12T13:00:00"/>
    <n v="1.1676299999999999"/>
    <n v="1.1677550000000001"/>
    <n v="1.25E-4"/>
    <n v="1.16801"/>
    <n v="1.168558"/>
    <n v="5.4799999999999998E-4"/>
    <n v="1.16598"/>
    <n v="1.166741"/>
    <n v="7.6099999999999996E-4"/>
    <n v="1.16604"/>
    <n v="1.1675979999999999"/>
    <n v="1.5579999999999999E-3"/>
    <x v="0"/>
    <x v="1"/>
    <x v="1"/>
    <n v="2.0300000000000001E-3"/>
  </r>
  <r>
    <x v="1"/>
    <x v="1"/>
    <n v="174"/>
    <x v="1"/>
    <x v="111"/>
    <d v="2018-07-12T14:00:00"/>
    <n v="1.16605"/>
    <n v="1.1659820000000001"/>
    <n v="6.7999999999999999E-5"/>
    <n v="1.1663399999999999"/>
    <n v="1.1673340000000001"/>
    <n v="9.9400000000000009E-4"/>
    <n v="1.1649"/>
    <n v="1.1653290000000001"/>
    <n v="4.2900000000000002E-4"/>
    <n v="1.1652199999999999"/>
    <n v="1.166142"/>
    <n v="9.2199999999999997E-4"/>
    <x v="0"/>
    <x v="1"/>
    <x v="1"/>
    <n v="1.4400000000000001E-3"/>
  </r>
  <r>
    <x v="1"/>
    <x v="1"/>
    <n v="176"/>
    <x v="1"/>
    <x v="112"/>
    <d v="2018-07-12T15:00:00"/>
    <n v="1.1652199999999999"/>
    <n v="1.1653279999999999"/>
    <n v="1.08E-4"/>
    <n v="1.1687000000000001"/>
    <n v="1.1661539999999999"/>
    <n v="2.5460000000000001E-3"/>
    <n v="1.1652199999999999"/>
    <n v="1.1644950000000001"/>
    <n v="7.2499999999999995E-4"/>
    <n v="1.1670700000000001"/>
    <n v="1.1652750000000001"/>
    <n v="1.7949999999999999E-3"/>
    <x v="0"/>
    <x v="1"/>
    <x v="1"/>
    <n v="3.48E-3"/>
  </r>
  <r>
    <x v="1"/>
    <x v="1"/>
    <n v="178"/>
    <x v="1"/>
    <x v="113"/>
    <d v="2018-07-12T16:00:00"/>
    <n v="1.1670799999999999"/>
    <n v="1.167076"/>
    <n v="3.9999999999999998E-6"/>
    <n v="1.1680299999999999"/>
    <n v="1.169046"/>
    <n v="1.016E-3"/>
    <n v="1.1666000000000001"/>
    <n v="1.166067"/>
    <n v="5.3300000000000005E-4"/>
    <n v="1.1672100000000001"/>
    <n v="1.16682"/>
    <n v="3.8999999999999999E-4"/>
    <x v="0"/>
    <x v="1"/>
    <x v="1"/>
    <n v="1.4300000000000001E-3"/>
  </r>
  <r>
    <x v="1"/>
    <x v="1"/>
    <n v="180"/>
    <x v="1"/>
    <x v="114"/>
    <d v="2018-07-12T17:00:00"/>
    <n v="1.1672199999999999"/>
    <n v="1.1673119999999999"/>
    <n v="9.2E-5"/>
    <n v="1.1685000000000001"/>
    <n v="1.168528"/>
    <n v="2.8E-5"/>
    <n v="1.16682"/>
    <n v="1.1665730000000001"/>
    <n v="2.4699999999999999E-4"/>
    <n v="1.16831"/>
    <n v="1.1669750000000001"/>
    <n v="1.335E-3"/>
    <x v="0"/>
    <x v="1"/>
    <x v="1"/>
    <n v="1.6800000000000001E-3"/>
  </r>
  <r>
    <x v="1"/>
    <x v="1"/>
    <n v="182"/>
    <x v="1"/>
    <x v="115"/>
    <d v="2018-07-12T18:00:00"/>
    <n v="1.1683300000000001"/>
    <n v="1.1683669999999999"/>
    <n v="3.6999999999999998E-5"/>
    <n v="1.1694899999999999"/>
    <n v="1.168901"/>
    <n v="5.8900000000000001E-4"/>
    <n v="1.16774"/>
    <n v="1.167492"/>
    <n v="2.4800000000000001E-4"/>
    <n v="1.16899"/>
    <n v="1.168215"/>
    <n v="7.7499999999999997E-4"/>
    <x v="0"/>
    <x v="1"/>
    <x v="1"/>
    <n v="1.75E-3"/>
  </r>
  <r>
    <x v="1"/>
    <x v="1"/>
    <n v="184"/>
    <x v="1"/>
    <x v="116"/>
    <d v="2018-07-12T19:00:00"/>
    <n v="1.169"/>
    <n v="1.1689689999999999"/>
    <n v="3.1000000000000001E-5"/>
    <n v="1.16919"/>
    <n v="1.169672"/>
    <n v="4.8200000000000001E-4"/>
    <n v="1.1680299999999999"/>
    <n v="1.1680379999999999"/>
    <n v="7.9999999999999996E-6"/>
    <n v="1.16814"/>
    <n v="1.1689229999999999"/>
    <n v="7.8299999999999995E-4"/>
    <x v="0"/>
    <x v="1"/>
    <x v="1"/>
    <n v="1.16E-3"/>
  </r>
  <r>
    <x v="1"/>
    <x v="1"/>
    <n v="186"/>
    <x v="1"/>
    <x v="117"/>
    <d v="2018-07-12T20:00:00"/>
    <n v="1.16815"/>
    <n v="1.1681649999999999"/>
    <n v="1.5E-5"/>
    <n v="1.16862"/>
    <n v="1.1689400000000001"/>
    <n v="3.2000000000000003E-4"/>
    <n v="1.1669"/>
    <n v="1.167564"/>
    <n v="6.6399999999999999E-4"/>
    <n v="1.1675500000000001"/>
    <n v="1.168256"/>
    <n v="7.0600000000000003E-4"/>
    <x v="0"/>
    <x v="1"/>
    <x v="1"/>
    <n v="1.72E-3"/>
  </r>
  <r>
    <x v="1"/>
    <x v="1"/>
    <n v="188"/>
    <x v="1"/>
    <x v="118"/>
    <d v="2018-07-12T21:00:00"/>
    <n v="1.1675599999999999"/>
    <n v="1.167584"/>
    <n v="2.4000000000000001E-5"/>
    <n v="1.16771"/>
    <n v="1.168302"/>
    <n v="5.9199999999999997E-4"/>
    <n v="1.16686"/>
    <n v="1.166628"/>
    <n v="2.32E-4"/>
    <n v="1.1669700000000001"/>
    <n v="1.1675"/>
    <n v="5.2999999999999998E-4"/>
    <x v="0"/>
    <x v="1"/>
    <x v="1"/>
    <n v="8.4999999999999995E-4"/>
  </r>
  <r>
    <x v="1"/>
    <x v="1"/>
    <n v="190"/>
    <x v="1"/>
    <x v="119"/>
    <d v="2018-07-12T22:00:00"/>
    <n v="1.1669700000000001"/>
    <n v="1.1670750000000001"/>
    <n v="1.05E-4"/>
    <n v="1.1674899999999999"/>
    <n v="1.167565"/>
    <n v="7.4999999999999993E-5"/>
    <n v="1.1665700000000001"/>
    <n v="1.1667540000000001"/>
    <n v="1.84E-4"/>
    <n v="1.1673500000000001"/>
    <n v="1.1670860000000001"/>
    <n v="2.6400000000000002E-4"/>
    <x v="0"/>
    <x v="1"/>
    <x v="1"/>
    <n v="9.2000000000000003E-4"/>
  </r>
  <r>
    <x v="1"/>
    <x v="1"/>
    <n v="192"/>
    <x v="1"/>
    <x v="8"/>
    <d v="2018-07-12T23:00:00"/>
    <n v="1.16693"/>
    <n v="1.1674020000000001"/>
    <n v="4.7199999999999998E-4"/>
    <n v="1.16713"/>
    <n v="1.1676299999999999"/>
    <n v="5.0000000000000001E-4"/>
    <n v="1.16652"/>
    <n v="1.167028"/>
    <n v="5.0799999999999999E-4"/>
    <n v="1.1668000000000001"/>
    <n v="1.167421"/>
    <n v="6.2100000000000002E-4"/>
    <x v="0"/>
    <x v="1"/>
    <x v="1"/>
    <n v="6.0999999999999997E-4"/>
  </r>
  <r>
    <x v="1"/>
    <x v="1"/>
    <n v="194"/>
    <x v="1"/>
    <x v="121"/>
    <d v="2018-07-13T01:00:00"/>
    <n v="1.1668000000000001"/>
    <n v="1.166914"/>
    <n v="1.1400000000000001E-4"/>
    <n v="1.16682"/>
    <n v="1.167019"/>
    <n v="1.9900000000000001E-4"/>
    <n v="1.1654500000000001"/>
    <n v="1.166725"/>
    <n v="1.2750000000000001E-3"/>
    <n v="1.16631"/>
    <n v="1.1669579999999999"/>
    <n v="6.4800000000000003E-4"/>
    <x v="0"/>
    <x v="1"/>
    <x v="1"/>
    <n v="1.3699999999999999E-3"/>
  </r>
  <r>
    <x v="1"/>
    <x v="1"/>
    <n v="196"/>
    <x v="1"/>
    <x v="122"/>
    <d v="2018-07-13T02:00:00"/>
    <n v="1.1662999999999999"/>
    <n v="1.1664319999999999"/>
    <n v="1.3200000000000001E-4"/>
    <n v="1.16638"/>
    <n v="1.1667179999999999"/>
    <n v="3.3799999999999998E-4"/>
    <n v="1.1657999999999999"/>
    <n v="1.165451"/>
    <n v="3.4900000000000003E-4"/>
    <n v="1.1663300000000001"/>
    <n v="1.1663619999999999"/>
    <n v="3.1999999999999999E-5"/>
    <x v="0"/>
    <x v="1"/>
    <x v="1"/>
    <n v="5.8E-4"/>
  </r>
  <r>
    <x v="1"/>
    <x v="1"/>
    <n v="198"/>
    <x v="1"/>
    <x v="123"/>
    <d v="2018-07-13T03:00:00"/>
    <n v="1.16632"/>
    <n v="1.166388"/>
    <n v="6.7999999999999999E-5"/>
    <n v="1.1669"/>
    <n v="1.1665559999999999"/>
    <n v="3.4400000000000001E-4"/>
    <n v="1.1660200000000001"/>
    <n v="1.1657580000000001"/>
    <n v="2.6200000000000003E-4"/>
    <n v="1.1666099999999999"/>
    <n v="1.16632"/>
    <n v="2.9E-4"/>
    <x v="0"/>
    <x v="1"/>
    <x v="1"/>
    <n v="8.8000000000000003E-4"/>
  </r>
  <r>
    <x v="1"/>
    <x v="1"/>
    <n v="200"/>
    <x v="1"/>
    <x v="124"/>
    <d v="2018-07-13T04:00:00"/>
    <n v="1.16662"/>
    <n v="1.1667019999999999"/>
    <n v="8.2000000000000001E-5"/>
    <n v="1.16743"/>
    <n v="1.167009"/>
    <n v="4.2099999999999999E-4"/>
    <n v="1.16635"/>
    <n v="1.166169"/>
    <n v="1.8100000000000001E-4"/>
    <n v="1.1668099999999999"/>
    <n v="1.166617"/>
    <n v="1.93E-4"/>
    <x v="0"/>
    <x v="1"/>
    <x v="1"/>
    <n v="1.08E-3"/>
  </r>
  <r>
    <x v="1"/>
    <x v="1"/>
    <n v="202"/>
    <x v="1"/>
    <x v="125"/>
    <d v="2018-07-13T05:00:00"/>
    <n v="1.16679"/>
    <n v="1.166793"/>
    <n v="3.0000000000000001E-6"/>
    <n v="1.16734"/>
    <n v="1.167645"/>
    <n v="3.0499999999999999E-4"/>
    <n v="1.1665099999999999"/>
    <n v="1.1667879999999999"/>
    <n v="2.7799999999999998E-4"/>
    <n v="1.1668700000000001"/>
    <n v="1.1669909999999999"/>
    <n v="1.21E-4"/>
    <x v="0"/>
    <x v="1"/>
    <x v="1"/>
    <n v="8.3000000000000001E-4"/>
  </r>
  <r>
    <x v="1"/>
    <x v="1"/>
    <n v="204"/>
    <x v="1"/>
    <x v="126"/>
    <d v="2018-07-13T06:00:00"/>
    <n v="1.1668700000000001"/>
    <n v="1.1670160000000001"/>
    <n v="1.46E-4"/>
    <n v="1.1668700000000001"/>
    <n v="1.1673849999999999"/>
    <n v="5.1500000000000005E-4"/>
    <n v="1.16598"/>
    <n v="1.1663809999999999"/>
    <n v="4.0099999999999999E-4"/>
    <n v="1.1660900000000001"/>
    <n v="1.1667909999999999"/>
    <n v="7.0100000000000002E-4"/>
    <x v="0"/>
    <x v="1"/>
    <x v="1"/>
    <n v="8.8999999999999995E-4"/>
  </r>
  <r>
    <x v="1"/>
    <x v="1"/>
    <n v="206"/>
    <x v="1"/>
    <x v="127"/>
    <d v="2018-07-13T07:00:00"/>
    <n v="1.1660999999999999"/>
    <n v="1.166172"/>
    <n v="7.2000000000000002E-5"/>
    <n v="1.1665099999999999"/>
    <n v="1.166633"/>
    <n v="1.2300000000000001E-4"/>
    <n v="1.1656299999999999"/>
    <n v="1.1657550000000001"/>
    <n v="1.25E-4"/>
    <n v="1.1656299999999999"/>
    <n v="1.166174"/>
    <n v="5.44E-4"/>
    <x v="0"/>
    <x v="1"/>
    <x v="1"/>
    <n v="8.8000000000000003E-4"/>
  </r>
  <r>
    <x v="1"/>
    <x v="1"/>
    <n v="208"/>
    <x v="1"/>
    <x v="128"/>
    <d v="2018-07-13T08:00:00"/>
    <n v="1.16564"/>
    <n v="1.165678"/>
    <n v="3.8000000000000002E-5"/>
    <n v="1.16629"/>
    <n v="1.166255"/>
    <n v="3.4999999999999997E-5"/>
    <n v="1.1653899999999999"/>
    <n v="1.165054"/>
    <n v="3.3599999999999998E-4"/>
    <n v="1.16629"/>
    <n v="1.165497"/>
    <n v="7.9299999999999998E-4"/>
    <x v="0"/>
    <x v="1"/>
    <x v="1"/>
    <n v="8.9999999999999998E-4"/>
  </r>
  <r>
    <x v="1"/>
    <x v="1"/>
    <n v="210"/>
    <x v="1"/>
    <x v="129"/>
    <d v="2018-07-13T09:00:00"/>
    <n v="1.16629"/>
    <n v="1.1664209999999999"/>
    <n v="1.3100000000000001E-4"/>
    <n v="1.16629"/>
    <n v="1.166803"/>
    <n v="5.13E-4"/>
    <n v="1.1641600000000001"/>
    <n v="1.165832"/>
    <n v="1.6720000000000001E-3"/>
    <n v="1.16449"/>
    <n v="1.1662870000000001"/>
    <n v="1.797E-3"/>
    <x v="0"/>
    <x v="1"/>
    <x v="1"/>
    <n v="2.1299999999999999E-3"/>
  </r>
  <r>
    <x v="1"/>
    <x v="1"/>
    <n v="212"/>
    <x v="1"/>
    <x v="130"/>
    <d v="2018-07-13T10:00:00"/>
    <n v="1.16448"/>
    <n v="1.1645099999999999"/>
    <n v="3.0000000000000001E-5"/>
    <n v="1.16493"/>
    <n v="1.1653"/>
    <n v="3.6999999999999999E-4"/>
    <n v="1.1624000000000001"/>
    <n v="1.1636059999999999"/>
    <n v="1.206E-3"/>
    <n v="1.163"/>
    <n v="1.164615"/>
    <n v="1.6149999999999999E-3"/>
    <x v="0"/>
    <x v="1"/>
    <x v="1"/>
    <n v="2.5300000000000001E-3"/>
  </r>
  <r>
    <x v="1"/>
    <x v="1"/>
    <n v="214"/>
    <x v="1"/>
    <x v="131"/>
    <d v="2018-07-13T11:00:00"/>
    <n v="1.16299"/>
    <n v="1.1631320000000001"/>
    <n v="1.4200000000000001E-4"/>
    <n v="1.1635599999999999"/>
    <n v="1.164147"/>
    <n v="5.8699999999999996E-4"/>
    <n v="1.1612100000000001"/>
    <n v="1.1619330000000001"/>
    <n v="7.2300000000000001E-4"/>
    <n v="1.1626399999999999"/>
    <n v="1.1628860000000001"/>
    <n v="2.4600000000000002E-4"/>
    <x v="0"/>
    <x v="1"/>
    <x v="1"/>
    <n v="2.3500000000000001E-3"/>
  </r>
  <r>
    <x v="1"/>
    <x v="1"/>
    <n v="216"/>
    <x v="1"/>
    <x v="132"/>
    <d v="2018-07-13T12:00:00"/>
    <n v="1.1626300000000001"/>
    <n v="1.1627209999999999"/>
    <n v="9.1000000000000003E-5"/>
    <n v="1.1637"/>
    <n v="1.1634070000000001"/>
    <n v="2.9300000000000002E-4"/>
    <n v="1.16153"/>
    <n v="1.161073"/>
    <n v="4.57E-4"/>
    <n v="1.16343"/>
    <n v="1.1625639999999999"/>
    <n v="8.6600000000000002E-4"/>
    <x v="0"/>
    <x v="1"/>
    <x v="1"/>
    <n v="2.1700000000000001E-3"/>
  </r>
  <r>
    <x v="1"/>
    <x v="1"/>
    <n v="218"/>
    <x v="1"/>
    <x v="133"/>
    <d v="2018-07-13T13:00:00"/>
    <n v="1.16343"/>
    <n v="1.163478"/>
    <n v="4.8000000000000001E-5"/>
    <n v="1.16367"/>
    <n v="1.164121"/>
    <n v="4.5100000000000001E-4"/>
    <n v="1.16205"/>
    <n v="1.161681"/>
    <n v="3.6900000000000002E-4"/>
    <n v="1.1623399999999999"/>
    <n v="1.1632420000000001"/>
    <n v="9.0200000000000002E-4"/>
    <x v="0"/>
    <x v="1"/>
    <x v="1"/>
    <n v="1.6199999999999999E-3"/>
  </r>
  <r>
    <x v="1"/>
    <x v="1"/>
    <n v="220"/>
    <x v="1"/>
    <x v="134"/>
    <d v="2018-07-13T14:00:00"/>
    <n v="1.16235"/>
    <n v="1.162293"/>
    <n v="5.7000000000000003E-5"/>
    <n v="1.16337"/>
    <n v="1.163151"/>
    <n v="2.1900000000000001E-4"/>
    <n v="1.16181"/>
    <n v="1.160979"/>
    <n v="8.3100000000000003E-4"/>
    <n v="1.1625399999999999"/>
    <n v="1.162113"/>
    <n v="4.2700000000000002E-4"/>
    <x v="0"/>
    <x v="1"/>
    <x v="1"/>
    <n v="1.56E-3"/>
  </r>
  <r>
    <x v="1"/>
    <x v="1"/>
    <n v="222"/>
    <x v="1"/>
    <x v="135"/>
    <d v="2018-07-13T15:00:00"/>
    <n v="1.16255"/>
    <n v="1.162625"/>
    <n v="7.4999999999999993E-5"/>
    <n v="1.1646099999999999"/>
    <n v="1.1636139999999999"/>
    <n v="9.9599999999999992E-4"/>
    <n v="1.16245"/>
    <n v="1.1619189999999999"/>
    <n v="5.31E-4"/>
    <n v="1.1644099999999999"/>
    <n v="1.1625490000000001"/>
    <n v="1.861E-3"/>
    <x v="0"/>
    <x v="1"/>
    <x v="1"/>
    <n v="2.16E-3"/>
  </r>
  <r>
    <x v="1"/>
    <x v="1"/>
    <n v="224"/>
    <x v="1"/>
    <x v="136"/>
    <d v="2018-07-13T16:00:00"/>
    <n v="1.1644399999999999"/>
    <n v="1.164472"/>
    <n v="3.1999999999999999E-5"/>
    <n v="1.16475"/>
    <n v="1.1652709999999999"/>
    <n v="5.2099999999999998E-4"/>
    <n v="1.16368"/>
    <n v="1.163535"/>
    <n v="1.45E-4"/>
    <n v="1.16405"/>
    <n v="1.164461"/>
    <n v="4.1100000000000002E-4"/>
    <x v="0"/>
    <x v="1"/>
    <x v="1"/>
    <n v="1.07E-3"/>
  </r>
  <r>
    <x v="1"/>
    <x v="1"/>
    <n v="226"/>
    <x v="1"/>
    <x v="137"/>
    <d v="2018-07-13T17:00:00"/>
    <n v="1.16404"/>
    <n v="1.1641490000000001"/>
    <n v="1.0900000000000001E-4"/>
    <n v="1.1668499999999999"/>
    <n v="1.164844"/>
    <n v="2.006E-3"/>
    <n v="1.16388"/>
    <n v="1.1635500000000001"/>
    <n v="3.3E-4"/>
    <n v="1.1666000000000001"/>
    <n v="1.164221"/>
    <n v="2.379E-3"/>
    <x v="0"/>
    <x v="1"/>
    <x v="1"/>
    <n v="2.97E-3"/>
  </r>
  <r>
    <x v="1"/>
    <x v="1"/>
    <n v="228"/>
    <x v="1"/>
    <x v="9"/>
    <d v="2018-07-13T18:00:00"/>
    <n v="1.1666000000000001"/>
    <n v="1.166601"/>
    <n v="9.9999999999999995E-7"/>
    <n v="1.1672100000000001"/>
    <n v="1.1676489999999999"/>
    <n v="4.3899999999999999E-4"/>
    <n v="1.1658299999999999"/>
    <n v="1.16533"/>
    <n v="5.0000000000000001E-4"/>
    <n v="1.16658"/>
    <n v="1.1664870000000001"/>
    <n v="9.2999999999999997E-5"/>
    <x v="0"/>
    <x v="1"/>
    <x v="1"/>
    <n v="1.3799999999999999E-3"/>
  </r>
  <r>
    <x v="1"/>
    <x v="1"/>
    <n v="230"/>
    <x v="1"/>
    <x v="138"/>
    <d v="2018-07-13T19:00:00"/>
    <n v="1.1665700000000001"/>
    <n v="1.166674"/>
    <n v="1.0399999999999999E-4"/>
    <n v="1.1676899999999999"/>
    <n v="1.1672959999999999"/>
    <n v="3.9399999999999998E-4"/>
    <n v="1.1664600000000001"/>
    <n v="1.1657109999999999"/>
    <n v="7.4899999999999999E-4"/>
    <n v="1.1672800000000001"/>
    <n v="1.166569"/>
    <n v="7.1100000000000004E-4"/>
    <x v="0"/>
    <x v="1"/>
    <x v="1"/>
    <n v="1.23E-3"/>
  </r>
  <r>
    <x v="1"/>
    <x v="1"/>
    <n v="232"/>
    <x v="1"/>
    <x v="139"/>
    <d v="2018-07-13T20:00:00"/>
    <n v="1.1672800000000001"/>
    <n v="1.167357"/>
    <n v="7.7000000000000001E-5"/>
    <n v="1.16751"/>
    <n v="1.1682710000000001"/>
    <n v="7.6099999999999996E-4"/>
    <n v="1.1665399999999999"/>
    <n v="1.166733"/>
    <n v="1.93E-4"/>
    <n v="1.1674899999999999"/>
    <n v="1.167367"/>
    <n v="1.2300000000000001E-4"/>
    <x v="0"/>
    <x v="1"/>
    <x v="1"/>
    <n v="9.7000000000000005E-4"/>
  </r>
  <r>
    <x v="1"/>
    <x v="1"/>
    <n v="234"/>
    <x v="1"/>
    <x v="140"/>
    <d v="2018-07-13T21:00:00"/>
    <n v="1.1675"/>
    <n v="1.167608"/>
    <n v="1.08E-4"/>
    <n v="1.16821"/>
    <n v="1.1677470000000001"/>
    <n v="4.6299999999999998E-4"/>
    <n v="1.16734"/>
    <n v="1.1666620000000001"/>
    <n v="6.78E-4"/>
    <n v="1.16761"/>
    <n v="1.167475"/>
    <n v="1.35E-4"/>
    <x v="0"/>
    <x v="1"/>
    <x v="1"/>
    <n v="8.7000000000000001E-4"/>
  </r>
  <r>
    <x v="1"/>
    <x v="1"/>
    <n v="236"/>
    <x v="1"/>
    <x v="141"/>
    <d v="2018-07-13T22:00:00"/>
    <n v="1.16761"/>
    <n v="1.1676249999999999"/>
    <n v="1.5E-5"/>
    <n v="1.1683399999999999"/>
    <n v="1.1683060000000001"/>
    <n v="3.4E-5"/>
    <n v="1.16751"/>
    <n v="1.167486"/>
    <n v="2.4000000000000001E-5"/>
    <n v="1.16804"/>
    <n v="1.16781"/>
    <n v="2.3000000000000001E-4"/>
    <x v="0"/>
    <x v="1"/>
    <x v="1"/>
    <n v="8.3000000000000001E-4"/>
  </r>
  <r>
    <x v="1"/>
    <x v="1"/>
    <n v="238"/>
    <x v="1"/>
    <x v="10"/>
    <d v="2018-07-13T23:00:00"/>
    <n v="1.16804"/>
    <n v="1.1680729999999999"/>
    <n v="3.3000000000000003E-5"/>
    <n v="1.1686000000000001"/>
    <n v="1.1687559999999999"/>
    <n v="1.56E-4"/>
    <n v="1.1680299999999999"/>
    <n v="1.1677740000000001"/>
    <n v="2.5599999999999999E-4"/>
    <n v="1.1684300000000001"/>
    <n v="1.168075"/>
    <n v="3.5500000000000001E-4"/>
    <x v="0"/>
    <x v="1"/>
    <x v="1"/>
    <n v="5.6999999999999998E-4"/>
  </r>
  <r>
    <x v="1"/>
    <x v="1"/>
    <n v="240"/>
    <x v="1"/>
    <x v="11"/>
    <d v="2018-07-16T00:00:00"/>
    <n v="1.1689099999999999"/>
    <n v="1.1684349999999999"/>
    <n v="4.75E-4"/>
    <n v="1.16903"/>
    <n v="1.1687540000000001"/>
    <n v="2.7599999999999999E-4"/>
    <n v="1.1679900000000001"/>
    <n v="1.16825"/>
    <n v="2.5999999999999998E-4"/>
    <n v="1.1684399999999999"/>
    <n v="1.1683460000000001"/>
    <n v="9.3999999999999994E-5"/>
    <x v="0"/>
    <x v="1"/>
    <x v="1"/>
    <n v="1.0399999999999999E-3"/>
  </r>
  <r>
    <x v="1"/>
    <x v="1"/>
    <n v="242"/>
    <x v="1"/>
    <x v="142"/>
    <d v="2018-07-16T01:00:00"/>
    <n v="1.1684399999999999"/>
    <n v="1.1689510000000001"/>
    <n v="5.1099999999999995E-4"/>
    <n v="1.1684600000000001"/>
    <n v="1.1689670000000001"/>
    <n v="5.0699999999999996E-4"/>
    <n v="1.16778"/>
    <n v="1.1682300000000001"/>
    <n v="4.4999999999999999E-4"/>
    <n v="1.16822"/>
    <n v="1.1684909999999999"/>
    <n v="2.7099999999999997E-4"/>
    <x v="0"/>
    <x v="1"/>
    <x v="1"/>
    <n v="6.8000000000000005E-4"/>
  </r>
  <r>
    <x v="1"/>
    <x v="1"/>
    <n v="244"/>
    <x v="1"/>
    <x v="12"/>
    <d v="2018-07-16T02:00:00"/>
    <n v="1.1682699999999999"/>
    <n v="1.1682630000000001"/>
    <n v="6.9999999999999999E-6"/>
    <n v="1.1682999999999999"/>
    <n v="1.168507"/>
    <n v="2.0699999999999999E-4"/>
    <n v="1.1676200000000001"/>
    <n v="1.1675880000000001"/>
    <n v="3.1999999999999999E-5"/>
    <n v="1.16777"/>
    <n v="1.1681589999999999"/>
    <n v="3.8900000000000002E-4"/>
    <x v="0"/>
    <x v="1"/>
    <x v="1"/>
    <n v="6.8000000000000005E-4"/>
  </r>
  <r>
    <x v="1"/>
    <x v="1"/>
    <n v="246"/>
    <x v="1"/>
    <x v="143"/>
    <d v="2018-07-16T03:00:00"/>
    <n v="1.1677599999999999"/>
    <n v="1.167869"/>
    <n v="1.0900000000000001E-4"/>
    <n v="1.1684300000000001"/>
    <n v="1.1681600000000001"/>
    <n v="2.7E-4"/>
    <n v="1.1674800000000001"/>
    <n v="1.1673420000000001"/>
    <n v="1.3799999999999999E-4"/>
    <n v="1.1683300000000001"/>
    <n v="1.167826"/>
    <n v="5.04E-4"/>
    <x v="0"/>
    <x v="1"/>
    <x v="1"/>
    <n v="9.5E-4"/>
  </r>
  <r>
    <x v="1"/>
    <x v="1"/>
    <n v="248"/>
    <x v="1"/>
    <x v="13"/>
    <d v="2018-07-16T04:00:00"/>
    <n v="1.1683399999999999"/>
    <n v="1.168393"/>
    <n v="5.3000000000000001E-5"/>
    <n v="1.16882"/>
    <n v="1.1687959999999999"/>
    <n v="2.4000000000000001E-5"/>
    <n v="1.1679200000000001"/>
    <n v="1.1678580000000001"/>
    <n v="6.2000000000000003E-5"/>
    <n v="1.1684000000000001"/>
    <n v="1.1683209999999999"/>
    <n v="7.8999999999999996E-5"/>
    <x v="0"/>
    <x v="1"/>
    <x v="1"/>
    <n v="8.9999999999999998E-4"/>
  </r>
  <r>
    <x v="1"/>
    <x v="1"/>
    <n v="250"/>
    <x v="1"/>
    <x v="144"/>
    <d v="2018-07-16T05:00:00"/>
    <n v="1.1684099999999999"/>
    <n v="1.168382"/>
    <n v="2.8E-5"/>
    <n v="1.16865"/>
    <n v="1.168809"/>
    <n v="1.5899999999999999E-4"/>
    <n v="1.16791"/>
    <n v="1.1678839999999999"/>
    <n v="2.5999999999999998E-5"/>
    <n v="1.16815"/>
    <n v="1.168264"/>
    <n v="1.1400000000000001E-4"/>
    <x v="0"/>
    <x v="1"/>
    <x v="1"/>
    <n v="7.3999999999999999E-4"/>
  </r>
  <r>
    <x v="1"/>
    <x v="1"/>
    <n v="252"/>
    <x v="1"/>
    <x v="145"/>
    <d v="2018-07-16T06:00:00"/>
    <n v="1.16814"/>
    <n v="1.168191"/>
    <n v="5.1E-5"/>
    <n v="1.1687099999999999"/>
    <n v="1.1685140000000001"/>
    <n v="1.9599999999999999E-4"/>
    <n v="1.1679200000000001"/>
    <n v="1.167754"/>
    <n v="1.66E-4"/>
    <n v="1.1682699999999999"/>
    <n v="1.1681079999999999"/>
    <n v="1.6200000000000001E-4"/>
    <x v="0"/>
    <x v="1"/>
    <x v="1"/>
    <n v="7.9000000000000001E-4"/>
  </r>
  <r>
    <x v="1"/>
    <x v="1"/>
    <n v="254"/>
    <x v="1"/>
    <x v="146"/>
    <d v="2018-07-16T07:00:00"/>
    <n v="1.16828"/>
    <n v="1.168255"/>
    <n v="2.5000000000000001E-5"/>
    <n v="1.1686700000000001"/>
    <n v="1.168947"/>
    <n v="2.7700000000000001E-4"/>
    <n v="1.16818"/>
    <n v="1.1680569999999999"/>
    <n v="1.2300000000000001E-4"/>
    <n v="1.1685300000000001"/>
    <n v="1.1683399999999999"/>
    <n v="1.9000000000000001E-4"/>
    <x v="0"/>
    <x v="1"/>
    <x v="1"/>
    <n v="4.8999999999999998E-4"/>
  </r>
  <r>
    <x v="1"/>
    <x v="1"/>
    <n v="256"/>
    <x v="1"/>
    <x v="147"/>
    <d v="2018-07-16T08:00:00"/>
    <n v="1.1685399999999999"/>
    <n v="1.168593"/>
    <n v="5.3000000000000001E-5"/>
    <n v="1.1706399999999999"/>
    <n v="1.1688620000000001"/>
    <n v="1.7780000000000001E-3"/>
    <n v="1.1685399999999999"/>
    <n v="1.1680889999999999"/>
    <n v="4.5100000000000001E-4"/>
    <n v="1.1701600000000001"/>
    <n v="1.168445"/>
    <n v="1.7149999999999999E-3"/>
    <x v="0"/>
    <x v="1"/>
    <x v="1"/>
    <n v="2.0999999999999999E-3"/>
  </r>
  <r>
    <x v="1"/>
    <x v="1"/>
    <n v="258"/>
    <x v="1"/>
    <x v="148"/>
    <d v="2018-07-16T09:00:00"/>
    <n v="1.1701600000000001"/>
    <n v="1.1701569999999999"/>
    <n v="3.0000000000000001E-6"/>
    <n v="1.17058"/>
    <n v="1.1712419999999999"/>
    <n v="6.6200000000000005E-4"/>
    <n v="1.1694199999999999"/>
    <n v="1.1694519999999999"/>
    <n v="3.1999999999999999E-5"/>
    <n v="1.1697"/>
    <n v="1.1701600000000001"/>
    <n v="4.6000000000000001E-4"/>
    <x v="0"/>
    <x v="1"/>
    <x v="1"/>
    <n v="1.16E-3"/>
  </r>
  <r>
    <x v="1"/>
    <x v="1"/>
    <n v="260"/>
    <x v="1"/>
    <x v="149"/>
    <d v="2018-07-16T10:00:00"/>
    <n v="1.1696800000000001"/>
    <n v="1.1697310000000001"/>
    <n v="5.1E-5"/>
    <n v="1.17049"/>
    <n v="1.170539"/>
    <n v="4.8999999999999998E-5"/>
    <n v="1.1684399999999999"/>
    <n v="1.1691199999999999"/>
    <n v="6.8000000000000005E-4"/>
    <n v="1.16906"/>
    <n v="1.1696569999999999"/>
    <n v="5.9699999999999998E-4"/>
    <x v="0"/>
    <x v="1"/>
    <x v="1"/>
    <n v="2.0500000000000002E-3"/>
  </r>
  <r>
    <x v="1"/>
    <x v="1"/>
    <n v="262"/>
    <x v="1"/>
    <x v="150"/>
    <d v="2018-07-16T11:00:00"/>
    <n v="1.1690499999999999"/>
    <n v="1.1690659999999999"/>
    <n v="1.5999999999999999E-5"/>
    <n v="1.17014"/>
    <n v="1.170059"/>
    <n v="8.1000000000000004E-5"/>
    <n v="1.16869"/>
    <n v="1.168474"/>
    <n v="2.1599999999999999E-4"/>
    <n v="1.1695800000000001"/>
    <n v="1.169189"/>
    <n v="3.9100000000000002E-4"/>
    <x v="0"/>
    <x v="1"/>
    <x v="1"/>
    <n v="1.4499999999999999E-3"/>
  </r>
  <r>
    <x v="1"/>
    <x v="1"/>
    <n v="264"/>
    <x v="1"/>
    <x v="151"/>
    <d v="2018-07-16T12:00:00"/>
    <n v="1.1695500000000001"/>
    <n v="1.1695930000000001"/>
    <n v="4.3000000000000002E-5"/>
    <n v="1.1709099999999999"/>
    <n v="1.170539"/>
    <n v="3.7100000000000002E-4"/>
    <n v="1.1692899999999999"/>
    <n v="1.169114"/>
    <n v="1.76E-4"/>
    <n v="1.1704699999999999"/>
    <n v="1.1698010000000001"/>
    <n v="6.69E-4"/>
    <x v="0"/>
    <x v="1"/>
    <x v="1"/>
    <n v="1.6199999999999999E-3"/>
  </r>
  <r>
    <x v="1"/>
    <x v="1"/>
    <n v="266"/>
    <x v="1"/>
    <x v="152"/>
    <d v="2018-07-16T13:00:00"/>
    <n v="1.1704600000000001"/>
    <n v="1.170455"/>
    <n v="5.0000000000000004E-6"/>
    <n v="1.17167"/>
    <n v="1.1712880000000001"/>
    <n v="3.8200000000000002E-4"/>
    <n v="1.17032"/>
    <n v="1.169718"/>
    <n v="6.02E-4"/>
    <n v="1.1715199999999999"/>
    <n v="1.1704209999999999"/>
    <n v="1.0989999999999999E-3"/>
    <x v="0"/>
    <x v="1"/>
    <x v="1"/>
    <n v="1.3500000000000001E-3"/>
  </r>
  <r>
    <x v="1"/>
    <x v="1"/>
    <n v="268"/>
    <x v="1"/>
    <x v="153"/>
    <d v="2018-07-16T14:00:00"/>
    <n v="1.1715"/>
    <n v="1.1714629999999999"/>
    <n v="3.6999999999999998E-5"/>
    <n v="1.1724600000000001"/>
    <n v="1.1721889999999999"/>
    <n v="2.7099999999999997E-4"/>
    <n v="1.17136"/>
    <n v="1.1706369999999999"/>
    <n v="7.2300000000000001E-4"/>
    <n v="1.1715100000000001"/>
    <n v="1.1714119999999999"/>
    <n v="9.7999999999999997E-5"/>
    <x v="0"/>
    <x v="1"/>
    <x v="1"/>
    <n v="1.1000000000000001E-3"/>
  </r>
  <r>
    <x v="1"/>
    <x v="1"/>
    <n v="270"/>
    <x v="1"/>
    <x v="154"/>
    <d v="2018-07-16T15:00:00"/>
    <n v="1.17157"/>
    <n v="1.1714389999999999"/>
    <n v="1.3100000000000001E-4"/>
    <n v="1.1721699999999999"/>
    <n v="1.1724060000000001"/>
    <n v="2.3599999999999999E-4"/>
    <n v="1.17073"/>
    <n v="1.1711910000000001"/>
    <n v="4.6099999999999998E-4"/>
    <n v="1.17093"/>
    <n v="1.1714819999999999"/>
    <n v="5.5199999999999997E-4"/>
    <x v="0"/>
    <x v="1"/>
    <x v="1"/>
    <n v="1.4400000000000001E-3"/>
  </r>
  <r>
    <x v="1"/>
    <x v="1"/>
    <n v="272"/>
    <x v="1"/>
    <x v="155"/>
    <d v="2018-07-16T16:00:00"/>
    <n v="1.17096"/>
    <n v="1.171014"/>
    <n v="5.3999999999999998E-5"/>
    <n v="1.1717500000000001"/>
    <n v="1.171937"/>
    <n v="1.8699999999999999E-4"/>
    <n v="1.17028"/>
    <n v="1.1706350000000001"/>
    <n v="3.5500000000000001E-4"/>
    <n v="1.1717299999999999"/>
    <n v="1.170998"/>
    <n v="7.3200000000000001E-4"/>
    <x v="0"/>
    <x v="1"/>
    <x v="1"/>
    <n v="1.47E-3"/>
  </r>
  <r>
    <x v="1"/>
    <x v="1"/>
    <n v="274"/>
    <x v="1"/>
    <x v="14"/>
    <d v="2018-07-16T17:00:00"/>
    <n v="1.17174"/>
    <n v="1.171778"/>
    <n v="3.8000000000000002E-5"/>
    <n v="1.17232"/>
    <n v="1.172361"/>
    <n v="4.1E-5"/>
    <n v="1.1703600000000001"/>
    <n v="1.1709419999999999"/>
    <n v="5.8200000000000005E-4"/>
    <n v="1.1707799999999999"/>
    <n v="1.1719040000000001"/>
    <n v="1.124E-3"/>
    <x v="0"/>
    <x v="1"/>
    <x v="1"/>
    <n v="1.9599999999999999E-3"/>
  </r>
  <r>
    <x v="1"/>
    <x v="1"/>
    <n v="276"/>
    <x v="1"/>
    <x v="156"/>
    <d v="2018-07-16T18:00:00"/>
    <n v="1.1707700000000001"/>
    <n v="1.170712"/>
    <n v="5.8E-5"/>
    <n v="1.1713199999999999"/>
    <n v="1.171565"/>
    <n v="2.4499999999999999E-4"/>
    <n v="1.17014"/>
    <n v="1.1697979999999999"/>
    <n v="3.4200000000000002E-4"/>
    <n v="1.17106"/>
    <n v="1.170696"/>
    <n v="3.6400000000000001E-4"/>
    <x v="0"/>
    <x v="1"/>
    <x v="1"/>
    <n v="1.1800000000000001E-3"/>
  </r>
  <r>
    <x v="1"/>
    <x v="1"/>
    <n v="278"/>
    <x v="1"/>
    <x v="157"/>
    <d v="2018-07-16T19:00:00"/>
    <n v="1.17106"/>
    <n v="1.1710430000000001"/>
    <n v="1.7E-5"/>
    <n v="1.17123"/>
    <n v="1.1717139999999999"/>
    <n v="4.84E-4"/>
    <n v="1.16937"/>
    <n v="1.1704680000000001"/>
    <n v="1.098E-3"/>
    <n v="1.17049"/>
    <n v="1.1712089999999999"/>
    <n v="7.1900000000000002E-4"/>
    <x v="0"/>
    <x v="1"/>
    <x v="1"/>
    <n v="1.8600000000000001E-3"/>
  </r>
  <r>
    <x v="1"/>
    <x v="1"/>
    <n v="280"/>
    <x v="1"/>
    <x v="158"/>
    <d v="2018-07-16T20:00:00"/>
    <n v="1.1705099999999999"/>
    <n v="1.1705190000000001"/>
    <n v="9.0000000000000002E-6"/>
    <n v="1.1715800000000001"/>
    <n v="1.1708149999999999"/>
    <n v="7.6499999999999995E-4"/>
    <n v="1.17049"/>
    <n v="1.1693020000000001"/>
    <n v="1.188E-3"/>
    <n v="1.17096"/>
    <n v="1.1704220000000001"/>
    <n v="5.3799999999999996E-4"/>
    <x v="0"/>
    <x v="1"/>
    <x v="1"/>
    <n v="1.09E-3"/>
  </r>
  <r>
    <x v="1"/>
    <x v="1"/>
    <n v="282"/>
    <x v="1"/>
    <x v="159"/>
    <d v="2018-07-16T21:00:00"/>
    <n v="1.1709499999999999"/>
    <n v="1.1709860000000001"/>
    <n v="3.6000000000000001E-5"/>
    <n v="1.1717500000000001"/>
    <n v="1.1717089999999999"/>
    <n v="4.1E-5"/>
    <n v="1.1709499999999999"/>
    <n v="1.1704950000000001"/>
    <n v="4.55E-4"/>
    <n v="1.1713100000000001"/>
    <n v="1.1708799999999999"/>
    <n v="4.2999999999999999E-4"/>
    <x v="0"/>
    <x v="1"/>
    <x v="1"/>
    <n v="8.0000000000000004E-4"/>
  </r>
  <r>
    <x v="1"/>
    <x v="1"/>
    <n v="284"/>
    <x v="1"/>
    <x v="160"/>
    <d v="2018-07-16T22:00:00"/>
    <n v="1.1713199999999999"/>
    <n v="1.171289"/>
    <n v="3.1000000000000001E-5"/>
    <n v="1.17157"/>
    <n v="1.172045"/>
    <n v="4.75E-4"/>
    <n v="1.17089"/>
    <n v="1.171019"/>
    <n v="1.2899999999999999E-4"/>
    <n v="1.17099"/>
    <n v="1.171338"/>
    <n v="3.48E-4"/>
    <x v="0"/>
    <x v="1"/>
    <x v="1"/>
    <n v="6.8000000000000005E-4"/>
  </r>
  <r>
    <x v="1"/>
    <x v="1"/>
    <n v="286"/>
    <x v="1"/>
    <x v="16"/>
    <d v="2018-07-16T23:00:00"/>
    <n v="1.1709400000000001"/>
    <n v="1.1709750000000001"/>
    <n v="3.4999999999999997E-5"/>
    <n v="1.1714500000000001"/>
    <n v="1.1714530000000001"/>
    <n v="3.0000000000000001E-6"/>
    <n v="1.1708700000000001"/>
    <n v="1.1707920000000001"/>
    <n v="7.7999999999999999E-5"/>
    <n v="1.1709000000000001"/>
    <n v="1.1709449999999999"/>
    <n v="4.5000000000000003E-5"/>
    <x v="0"/>
    <x v="1"/>
    <x v="1"/>
    <n v="5.8E-4"/>
  </r>
  <r>
    <x v="1"/>
    <x v="1"/>
    <n v="288"/>
    <x v="1"/>
    <x v="161"/>
    <d v="2018-07-17T01:00:00"/>
    <n v="1.17092"/>
    <n v="1.1708270000000001"/>
    <n v="9.2999999999999997E-5"/>
    <n v="1.1711199999999999"/>
    <n v="1.17134"/>
    <n v="2.2000000000000001E-4"/>
    <n v="1.17075"/>
    <n v="1.1707609999999999"/>
    <n v="1.1E-5"/>
    <n v="1.17096"/>
    <n v="1.170733"/>
    <n v="2.2699999999999999E-4"/>
    <x v="0"/>
    <x v="1"/>
    <x v="1"/>
    <n v="3.6999999999999999E-4"/>
  </r>
  <r>
    <x v="1"/>
    <x v="1"/>
    <n v="290"/>
    <x v="1"/>
    <x v="162"/>
    <d v="2018-07-17T02:00:00"/>
    <n v="1.17096"/>
    <n v="1.171044"/>
    <n v="8.3999999999999995E-5"/>
    <n v="1.1710199999999999"/>
    <n v="1.1713610000000001"/>
    <n v="3.4099999999999999E-4"/>
    <n v="1.1704699999999999"/>
    <n v="1.170809"/>
    <n v="3.39E-4"/>
    <n v="1.1708400000000001"/>
    <n v="1.17099"/>
    <n v="1.4999999999999999E-4"/>
    <x v="0"/>
    <x v="1"/>
    <x v="1"/>
    <n v="5.5000000000000003E-4"/>
  </r>
  <r>
    <x v="1"/>
    <x v="1"/>
    <n v="292"/>
    <x v="1"/>
    <x v="163"/>
    <d v="2018-07-17T03:00:00"/>
    <n v="1.1708499999999999"/>
    <n v="1.1708609999999999"/>
    <n v="1.1E-5"/>
    <n v="1.17134"/>
    <n v="1.171082"/>
    <n v="2.5799999999999998E-4"/>
    <n v="1.1704699999999999"/>
    <n v="1.1705410000000001"/>
    <n v="7.1000000000000005E-5"/>
    <n v="1.17066"/>
    <n v="1.170949"/>
    <n v="2.8899999999999998E-4"/>
    <x v="0"/>
    <x v="1"/>
    <x v="1"/>
    <n v="8.7000000000000001E-4"/>
  </r>
  <r>
    <x v="1"/>
    <x v="1"/>
    <n v="294"/>
    <x v="1"/>
    <x v="164"/>
    <d v="2018-07-17T04:00:00"/>
    <n v="1.1706700000000001"/>
    <n v="1.1706049999999999"/>
    <n v="6.4999999999999994E-5"/>
    <n v="1.17079"/>
    <n v="1.1712089999999999"/>
    <n v="4.1899999999999999E-4"/>
    <n v="1.1700600000000001"/>
    <n v="1.1702300000000001"/>
    <n v="1.7000000000000001E-4"/>
    <n v="1.17048"/>
    <n v="1.170577"/>
    <n v="9.7E-5"/>
    <x v="0"/>
    <x v="1"/>
    <x v="1"/>
    <n v="7.2999999999999996E-4"/>
  </r>
  <r>
    <x v="1"/>
    <x v="1"/>
    <n v="296"/>
    <x v="1"/>
    <x v="165"/>
    <d v="2018-07-17T05:00:00"/>
    <n v="1.17048"/>
    <n v="1.170533"/>
    <n v="5.3000000000000001E-5"/>
    <n v="1.1708799999999999"/>
    <n v="1.1706970000000001"/>
    <n v="1.83E-4"/>
    <n v="1.17022"/>
    <n v="1.170145"/>
    <n v="7.4999999999999993E-5"/>
    <n v="1.17058"/>
    <n v="1.1704909999999999"/>
    <n v="8.8999999999999995E-5"/>
    <x v="0"/>
    <x v="1"/>
    <x v="1"/>
    <n v="6.6E-4"/>
  </r>
  <r>
    <x v="1"/>
    <x v="1"/>
    <n v="298"/>
    <x v="1"/>
    <x v="166"/>
    <d v="2018-07-17T06:00:00"/>
    <n v="1.17058"/>
    <n v="1.170504"/>
    <n v="7.6000000000000004E-5"/>
    <n v="1.1720299999999999"/>
    <n v="1.170936"/>
    <n v="1.0939999999999999E-3"/>
    <n v="1.17052"/>
    <n v="1.1702669999999999"/>
    <n v="2.5300000000000002E-4"/>
    <n v="1.17188"/>
    <n v="1.1705970000000001"/>
    <n v="1.2830000000000001E-3"/>
    <x v="0"/>
    <x v="1"/>
    <x v="1"/>
    <n v="1.5100000000000001E-3"/>
  </r>
  <r>
    <x v="1"/>
    <x v="1"/>
    <n v="300"/>
    <x v="1"/>
    <x v="167"/>
    <d v="2018-07-17T07:00:00"/>
    <n v="1.17187"/>
    <n v="1.171824"/>
    <n v="4.6E-5"/>
    <n v="1.1720299999999999"/>
    <n v="1.1725380000000001"/>
    <n v="5.0799999999999999E-4"/>
    <n v="1.17143"/>
    <n v="1.1713249999999999"/>
    <n v="1.05E-4"/>
    <n v="1.1717599999999999"/>
    <n v="1.1719390000000001"/>
    <n v="1.7899999999999999E-4"/>
    <x v="0"/>
    <x v="1"/>
    <x v="1"/>
    <n v="5.9999999999999995E-4"/>
  </r>
  <r>
    <x v="1"/>
    <x v="1"/>
    <n v="302"/>
    <x v="1"/>
    <x v="2"/>
    <d v="2018-07-17T08:00:00"/>
    <n v="1.1717599999999999"/>
    <n v="1.1717770000000001"/>
    <n v="1.7E-5"/>
    <n v="1.1718299999999999"/>
    <n v="1.1721619999999999"/>
    <n v="3.3199999999999999E-4"/>
    <n v="1.17123"/>
    <n v="1.1712769999999999"/>
    <n v="4.6999999999999997E-5"/>
    <n v="1.17123"/>
    <n v="1.1718500000000001"/>
    <n v="6.2E-4"/>
    <x v="0"/>
    <x v="1"/>
    <x v="1"/>
    <n v="5.9999999999999995E-4"/>
  </r>
  <r>
    <x v="1"/>
    <x v="1"/>
    <n v="304"/>
    <x v="1"/>
    <x v="168"/>
    <d v="2018-07-17T09:00:00"/>
    <n v="1.17123"/>
    <n v="1.1712"/>
    <n v="3.0000000000000001E-5"/>
    <n v="1.1734599999999999"/>
    <n v="1.1716249999999999"/>
    <n v="1.835E-3"/>
    <n v="1.1709700000000001"/>
    <n v="1.170852"/>
    <n v="1.18E-4"/>
    <n v="1.1733100000000001"/>
    <n v="1.1712070000000001"/>
    <n v="2.1029999999999998E-3"/>
    <x v="0"/>
    <x v="1"/>
    <x v="1"/>
    <n v="2.49E-3"/>
  </r>
  <r>
    <x v="1"/>
    <x v="1"/>
    <n v="306"/>
    <x v="1"/>
    <x v="169"/>
    <d v="2018-07-17T10:00:00"/>
    <n v="1.1733"/>
    <n v="1.1732419999999999"/>
    <n v="5.8E-5"/>
    <n v="1.1736800000000001"/>
    <n v="1.1742889999999999"/>
    <n v="6.0899999999999995E-4"/>
    <n v="1.17245"/>
    <n v="1.172118"/>
    <n v="3.3199999999999999E-4"/>
    <n v="1.1727300000000001"/>
    <n v="1.173271"/>
    <n v="5.4100000000000003E-4"/>
    <x v="0"/>
    <x v="1"/>
    <x v="1"/>
    <n v="1.23E-3"/>
  </r>
  <r>
    <x v="1"/>
    <x v="1"/>
    <n v="308"/>
    <x v="1"/>
    <x v="170"/>
    <d v="2018-07-17T11:00:00"/>
    <n v="1.17276"/>
    <n v="1.1727339999999999"/>
    <n v="2.5999999999999998E-5"/>
    <n v="1.17421"/>
    <n v="1.1735990000000001"/>
    <n v="6.11E-4"/>
    <n v="1.1725300000000001"/>
    <n v="1.1720539999999999"/>
    <n v="4.7600000000000002E-4"/>
    <n v="1.1740600000000001"/>
    <n v="1.1727730000000001"/>
    <n v="1.2869999999999999E-3"/>
    <x v="0"/>
    <x v="1"/>
    <x v="1"/>
    <n v="1.6800000000000001E-3"/>
  </r>
  <r>
    <x v="1"/>
    <x v="1"/>
    <n v="310"/>
    <x v="1"/>
    <x v="171"/>
    <d v="2018-07-17T12:00:00"/>
    <n v="1.1740900000000001"/>
    <n v="1.1739790000000001"/>
    <n v="1.11E-4"/>
    <n v="1.17439"/>
    <n v="1.174739"/>
    <n v="3.4900000000000003E-4"/>
    <n v="1.1728400000000001"/>
    <n v="1.1732370000000001"/>
    <n v="3.97E-4"/>
    <n v="1.1729000000000001"/>
    <n v="1.174134"/>
    <n v="1.2340000000000001E-3"/>
    <x v="0"/>
    <x v="1"/>
    <x v="1"/>
    <n v="1.5499999999999999E-3"/>
  </r>
  <r>
    <x v="1"/>
    <x v="1"/>
    <n v="312"/>
    <x v="1"/>
    <x v="172"/>
    <d v="2018-07-17T13:00:00"/>
    <n v="1.17292"/>
    <n v="1.1728259999999999"/>
    <n v="9.3999999999999994E-5"/>
    <n v="1.1730799999999999"/>
    <n v="1.1737789999999999"/>
    <n v="6.9899999999999997E-4"/>
    <n v="1.17161"/>
    <n v="1.172347"/>
    <n v="7.3700000000000002E-4"/>
    <n v="1.1716599999999999"/>
    <n v="1.172903"/>
    <n v="1.243E-3"/>
    <x v="0"/>
    <x v="1"/>
    <x v="1"/>
    <n v="1.47E-3"/>
  </r>
  <r>
    <x v="1"/>
    <x v="1"/>
    <n v="314"/>
    <x v="1"/>
    <x v="173"/>
    <d v="2018-07-17T14:00:00"/>
    <n v="1.1716599999999999"/>
    <n v="1.1716120000000001"/>
    <n v="4.8000000000000001E-5"/>
    <n v="1.17214"/>
    <n v="1.172536"/>
    <n v="3.9599999999999998E-4"/>
    <n v="1.17018"/>
    <n v="1.170998"/>
    <n v="8.1800000000000004E-4"/>
    <n v="1.17045"/>
    <n v="1.1716580000000001"/>
    <n v="1.2080000000000001E-3"/>
    <x v="0"/>
    <x v="1"/>
    <x v="1"/>
    <n v="1.9599999999999999E-3"/>
  </r>
  <r>
    <x v="1"/>
    <x v="1"/>
    <n v="316"/>
    <x v="1"/>
    <x v="174"/>
    <d v="2018-07-17T15:00:00"/>
    <n v="1.17045"/>
    <n v="1.170393"/>
    <n v="5.7000000000000003E-5"/>
    <n v="1.17086"/>
    <n v="1.171489"/>
    <n v="6.29E-4"/>
    <n v="1.16903"/>
    <n v="1.1694850000000001"/>
    <n v="4.55E-4"/>
    <n v="1.1696599999999999"/>
    <n v="1.1702859999999999"/>
    <n v="6.2600000000000004E-4"/>
    <x v="0"/>
    <x v="1"/>
    <x v="1"/>
    <n v="1.83E-3"/>
  </r>
  <r>
    <x v="1"/>
    <x v="1"/>
    <n v="318"/>
    <x v="1"/>
    <x v="175"/>
    <d v="2018-07-17T16:00:00"/>
    <n v="1.1696800000000001"/>
    <n v="1.1695899999999999"/>
    <n v="9.0000000000000006E-5"/>
    <n v="1.1700600000000001"/>
    <n v="1.170587"/>
    <n v="5.2700000000000002E-4"/>
    <n v="1.1683600000000001"/>
    <n v="1.168847"/>
    <n v="4.8700000000000002E-4"/>
    <n v="1.16852"/>
    <n v="1.1696260000000001"/>
    <n v="1.106E-3"/>
    <x v="0"/>
    <x v="1"/>
    <x v="1"/>
    <n v="1.6999999999999999E-3"/>
  </r>
  <r>
    <x v="1"/>
    <x v="1"/>
    <n v="320"/>
    <x v="1"/>
    <x v="176"/>
    <d v="2018-07-17T17:00:00"/>
    <n v="1.1685099999999999"/>
    <n v="1.1685140000000001"/>
    <n v="3.9999999999999998E-6"/>
    <n v="1.17032"/>
    <n v="1.1695329999999999"/>
    <n v="7.8700000000000005E-4"/>
    <n v="1.1679600000000001"/>
    <n v="1.1676599999999999"/>
    <n v="2.9999999999999997E-4"/>
    <n v="1.16815"/>
    <n v="1.168426"/>
    <n v="2.7599999999999999E-4"/>
    <x v="0"/>
    <x v="1"/>
    <x v="1"/>
    <n v="2.3600000000000001E-3"/>
  </r>
  <r>
    <x v="1"/>
    <x v="1"/>
    <n v="322"/>
    <x v="1"/>
    <x v="177"/>
    <d v="2018-07-17T18:00:00"/>
    <n v="1.1681999999999999"/>
    <n v="1.168069"/>
    <n v="1.3100000000000001E-4"/>
    <n v="1.1692100000000001"/>
    <n v="1.16967"/>
    <n v="4.6000000000000001E-4"/>
    <n v="1.16612"/>
    <n v="1.1678379999999999"/>
    <n v="1.7179999999999999E-3"/>
    <n v="1.16612"/>
    <n v="1.167945"/>
    <n v="1.825E-3"/>
    <x v="0"/>
    <x v="1"/>
    <x v="1"/>
    <n v="3.0899999999999999E-3"/>
  </r>
  <r>
    <x v="1"/>
    <x v="1"/>
    <n v="324"/>
    <x v="1"/>
    <x v="178"/>
    <d v="2018-07-17T19:00:00"/>
    <n v="1.16611"/>
    <n v="1.1662140000000001"/>
    <n v="1.0399999999999999E-4"/>
    <n v="1.1666399999999999"/>
    <n v="1.168329"/>
    <n v="1.689E-3"/>
    <n v="1.1652499999999999"/>
    <n v="1.165584"/>
    <n v="3.3399999999999999E-4"/>
    <n v="1.1653100000000001"/>
    <n v="1.1663049999999999"/>
    <n v="9.9500000000000001E-4"/>
    <x v="0"/>
    <x v="1"/>
    <x v="1"/>
    <n v="1.39E-3"/>
  </r>
  <r>
    <x v="1"/>
    <x v="1"/>
    <n v="326"/>
    <x v="1"/>
    <x v="179"/>
    <d v="2018-07-17T20:00:00"/>
    <n v="1.1653100000000001"/>
    <n v="1.165238"/>
    <n v="7.2000000000000002E-5"/>
    <n v="1.16683"/>
    <n v="1.1663790000000001"/>
    <n v="4.5100000000000001E-4"/>
    <n v="1.1648400000000001"/>
    <n v="1.1648510000000001"/>
    <n v="1.1E-5"/>
    <n v="1.1664000000000001"/>
    <n v="1.165306"/>
    <n v="1.0939999999999999E-3"/>
    <x v="0"/>
    <x v="1"/>
    <x v="1"/>
    <n v="1.99E-3"/>
  </r>
  <r>
    <x v="1"/>
    <x v="1"/>
    <n v="328"/>
    <x v="1"/>
    <x v="180"/>
    <d v="2018-07-17T21:00:00"/>
    <n v="1.16639"/>
    <n v="1.1664019999999999"/>
    <n v="1.2E-5"/>
    <n v="1.16639"/>
    <n v="1.167278"/>
    <n v="8.8800000000000001E-4"/>
    <n v="1.16526"/>
    <n v="1.165486"/>
    <n v="2.2599999999999999E-4"/>
    <n v="1.1662699999999999"/>
    <n v="1.166328"/>
    <n v="5.8E-5"/>
    <x v="0"/>
    <x v="1"/>
    <x v="1"/>
    <n v="1.1299999999999999E-3"/>
  </r>
  <r>
    <x v="1"/>
    <x v="1"/>
    <n v="330"/>
    <x v="1"/>
    <x v="3"/>
    <d v="2018-07-17T22:00:00"/>
    <n v="1.1662600000000001"/>
    <n v="1.166256"/>
    <n v="3.9999999999999998E-6"/>
    <n v="1.16639"/>
    <n v="1.166542"/>
    <n v="1.5200000000000001E-4"/>
    <n v="1.1659200000000001"/>
    <n v="1.1651469999999999"/>
    <n v="7.7300000000000003E-4"/>
    <n v="1.1663399999999999"/>
    <n v="1.16622"/>
    <n v="1.2E-4"/>
    <x v="0"/>
    <x v="1"/>
    <x v="1"/>
    <n v="4.6999999999999999E-4"/>
  </r>
  <r>
    <x v="1"/>
    <x v="1"/>
    <n v="332"/>
    <x v="1"/>
    <x v="181"/>
    <d v="2018-07-17T23:00:00"/>
    <n v="1.1663300000000001"/>
    <n v="1.166242"/>
    <n v="8.7999999999999998E-5"/>
    <n v="1.16649"/>
    <n v="1.166288"/>
    <n v="2.02E-4"/>
    <n v="1.1659200000000001"/>
    <n v="1.1656340000000001"/>
    <n v="2.8600000000000001E-4"/>
    <n v="1.16595"/>
    <n v="1.1661649999999999"/>
    <n v="2.1499999999999999E-4"/>
    <x v="0"/>
    <x v="1"/>
    <x v="1"/>
    <n v="5.6999999999999998E-4"/>
  </r>
  <r>
    <x v="1"/>
    <x v="1"/>
    <n v="334"/>
    <x v="1"/>
    <x v="4"/>
    <d v="2018-07-18T00:00:00"/>
    <n v="1.16587"/>
    <n v="1.1659649999999999"/>
    <n v="9.5000000000000005E-5"/>
    <n v="1.1660900000000001"/>
    <n v="1.1662440000000001"/>
    <n v="1.54E-4"/>
    <n v="1.1655800000000001"/>
    <n v="1.1657979999999999"/>
    <n v="2.1800000000000001E-4"/>
    <n v="1.1657999999999999"/>
    <n v="1.1659949999999999"/>
    <n v="1.95E-4"/>
    <x v="0"/>
    <x v="1"/>
    <x v="1"/>
    <n v="5.1000000000000004E-4"/>
  </r>
  <r>
    <x v="1"/>
    <x v="1"/>
    <n v="336"/>
    <x v="1"/>
    <x v="182"/>
    <d v="2018-07-18T01:00:00"/>
    <n v="1.1657900000000001"/>
    <n v="1.1657660000000001"/>
    <n v="2.4000000000000001E-5"/>
    <n v="1.1660200000000001"/>
    <n v="1.1661490000000001"/>
    <n v="1.2899999999999999E-4"/>
    <n v="1.1655899999999999"/>
    <n v="1.165643"/>
    <n v="5.3000000000000001E-5"/>
    <n v="1.1657200000000001"/>
    <n v="1.165983"/>
    <n v="2.63E-4"/>
    <x v="0"/>
    <x v="1"/>
    <x v="1"/>
    <n v="4.2999999999999999E-4"/>
  </r>
  <r>
    <x v="1"/>
    <x v="1"/>
    <n v="338"/>
    <x v="1"/>
    <x v="183"/>
    <d v="2018-07-18T02:00:00"/>
    <n v="1.1657299999999999"/>
    <n v="1.16574"/>
    <n v="1.0000000000000001E-5"/>
    <n v="1.1657299999999999"/>
    <n v="1.1659999999999999"/>
    <n v="2.7E-4"/>
    <n v="1.1647799999999999"/>
    <n v="1.1654420000000001"/>
    <n v="6.6200000000000005E-4"/>
    <n v="1.1652499999999999"/>
    <n v="1.1655990000000001"/>
    <n v="3.4900000000000003E-4"/>
    <x v="0"/>
    <x v="1"/>
    <x v="1"/>
    <n v="9.5E-4"/>
  </r>
  <r>
    <x v="1"/>
    <x v="1"/>
    <n v="340"/>
    <x v="1"/>
    <x v="184"/>
    <d v="2018-07-18T03:00:00"/>
    <n v="1.1652800000000001"/>
    <n v="1.165322"/>
    <n v="4.1999999999999998E-5"/>
    <n v="1.1658999999999999"/>
    <n v="1.1655409999999999"/>
    <n v="3.59E-4"/>
    <n v="1.1651899999999999"/>
    <n v="1.1647989999999999"/>
    <n v="3.9100000000000002E-4"/>
    <n v="1.1657299999999999"/>
    <n v="1.1652499999999999"/>
    <n v="4.8000000000000001E-4"/>
    <x v="0"/>
    <x v="1"/>
    <x v="1"/>
    <n v="7.1000000000000002E-4"/>
  </r>
  <r>
    <x v="1"/>
    <x v="1"/>
    <n v="342"/>
    <x v="1"/>
    <x v="185"/>
    <d v="2018-07-18T04:00:00"/>
    <n v="1.16574"/>
    <n v="1.165821"/>
    <n v="8.1000000000000004E-5"/>
    <n v="1.16642"/>
    <n v="1.166185"/>
    <n v="2.3499999999999999E-4"/>
    <n v="1.1653899999999999"/>
    <n v="1.16554"/>
    <n v="1.4999999999999999E-4"/>
    <n v="1.1655800000000001"/>
    <n v="1.165845"/>
    <n v="2.6499999999999999E-4"/>
    <x v="0"/>
    <x v="1"/>
    <x v="1"/>
    <n v="1.0300000000000001E-3"/>
  </r>
  <r>
    <x v="1"/>
    <x v="1"/>
    <n v="344"/>
    <x v="1"/>
    <x v="186"/>
    <d v="2018-07-18T05:00:00"/>
    <n v="1.1655899999999999"/>
    <n v="1.1655899999999999"/>
    <n v="0"/>
    <n v="1.16615"/>
    <n v="1.1662330000000001"/>
    <n v="8.2999999999999998E-5"/>
    <n v="1.16537"/>
    <n v="1.1652450000000001"/>
    <n v="1.25E-4"/>
    <n v="1.16544"/>
    <n v="1.1654990000000001"/>
    <n v="5.8999999999999998E-5"/>
    <x v="0"/>
    <x v="1"/>
    <x v="1"/>
    <n v="7.7999999999999999E-4"/>
  </r>
  <r>
    <x v="1"/>
    <x v="1"/>
    <n v="346"/>
    <x v="1"/>
    <x v="187"/>
    <d v="2018-07-18T06:00:00"/>
    <n v="1.16544"/>
    <n v="1.1655409999999999"/>
    <n v="1.01E-4"/>
    <n v="1.1655899999999999"/>
    <n v="1.1661360000000001"/>
    <n v="5.4600000000000004E-4"/>
    <n v="1.1650799999999999"/>
    <n v="1.165394"/>
    <n v="3.1399999999999999E-4"/>
    <n v="1.16509"/>
    <n v="1.165432"/>
    <n v="3.4200000000000002E-4"/>
    <x v="0"/>
    <x v="1"/>
    <x v="1"/>
    <n v="5.1000000000000004E-4"/>
  </r>
  <r>
    <x v="1"/>
    <x v="1"/>
    <n v="348"/>
    <x v="1"/>
    <x v="188"/>
    <d v="2018-07-18T07:00:00"/>
    <n v="1.1651"/>
    <n v="1.1650640000000001"/>
    <n v="3.6000000000000001E-5"/>
    <n v="1.1651100000000001"/>
    <n v="1.165346"/>
    <n v="2.3599999999999999E-4"/>
    <n v="1.1640299999999999"/>
    <n v="1.1648259999999999"/>
    <n v="7.9600000000000005E-4"/>
    <n v="1.1640600000000001"/>
    <n v="1.16499"/>
    <n v="9.3000000000000005E-4"/>
    <x v="0"/>
    <x v="1"/>
    <x v="1"/>
    <n v="1.08E-3"/>
  </r>
  <r>
    <x v="1"/>
    <x v="1"/>
    <n v="350"/>
    <x v="1"/>
    <x v="189"/>
    <d v="2018-07-18T08:00:00"/>
    <n v="1.1640900000000001"/>
    <n v="1.1640710000000001"/>
    <n v="1.9000000000000001E-5"/>
    <n v="1.16445"/>
    <n v="1.1646650000000001"/>
    <n v="2.1499999999999999E-4"/>
    <n v="1.1631"/>
    <n v="1.1635800000000001"/>
    <n v="4.8000000000000001E-4"/>
    <n v="1.1634199999999999"/>
    <n v="1.163985"/>
    <n v="5.6499999999999996E-4"/>
    <x v="0"/>
    <x v="1"/>
    <x v="1"/>
    <n v="1.3500000000000001E-3"/>
  </r>
  <r>
    <x v="1"/>
    <x v="1"/>
    <n v="352"/>
    <x v="1"/>
    <x v="190"/>
    <d v="2018-07-18T09:00:00"/>
    <n v="1.1634500000000001"/>
    <n v="1.163537"/>
    <n v="8.7000000000000001E-5"/>
    <n v="1.16374"/>
    <n v="1.164255"/>
    <n v="5.1500000000000005E-4"/>
    <n v="1.1624300000000001"/>
    <n v="1.1628529999999999"/>
    <n v="4.2299999999999998E-4"/>
    <n v="1.16313"/>
    <n v="1.163454"/>
    <n v="3.2400000000000001E-4"/>
    <x v="0"/>
    <x v="1"/>
    <x v="1"/>
    <n v="1.31E-3"/>
  </r>
  <r>
    <x v="1"/>
    <x v="1"/>
    <n v="354"/>
    <x v="1"/>
    <x v="191"/>
    <d v="2018-07-18T10:00:00"/>
    <n v="1.16313"/>
    <n v="1.1632150000000001"/>
    <n v="8.5000000000000006E-5"/>
    <n v="1.1640900000000001"/>
    <n v="1.163662"/>
    <n v="4.28E-4"/>
    <n v="1.16184"/>
    <n v="1.1622520000000001"/>
    <n v="4.1199999999999999E-4"/>
    <n v="1.16231"/>
    <n v="1.163006"/>
    <n v="6.96E-4"/>
    <x v="0"/>
    <x v="1"/>
    <x v="1"/>
    <n v="2.2499999999999998E-3"/>
  </r>
  <r>
    <x v="1"/>
    <x v="1"/>
    <n v="356"/>
    <x v="1"/>
    <x v="192"/>
    <d v="2018-07-18T11:00:00"/>
    <n v="1.1622699999999999"/>
    <n v="1.1623619999999999"/>
    <n v="9.2E-5"/>
    <n v="1.1625000000000001"/>
    <n v="1.1634720000000001"/>
    <n v="9.7199999999999999E-4"/>
    <n v="1.1606399999999999"/>
    <n v="1.1613610000000001"/>
    <n v="7.2099999999999996E-4"/>
    <n v="1.16212"/>
    <n v="1.162139"/>
    <n v="1.9000000000000001E-5"/>
    <x v="0"/>
    <x v="1"/>
    <x v="1"/>
    <n v="1.8600000000000001E-3"/>
  </r>
  <r>
    <x v="1"/>
    <x v="1"/>
    <n v="358"/>
    <x v="1"/>
    <x v="193"/>
    <d v="2018-07-18T12:00:00"/>
    <n v="1.16212"/>
    <n v="1.1622239999999999"/>
    <n v="1.0399999999999999E-4"/>
    <n v="1.1629100000000001"/>
    <n v="1.1626190000000001"/>
    <n v="2.9100000000000003E-4"/>
    <n v="1.16147"/>
    <n v="1.160739"/>
    <n v="7.3099999999999999E-4"/>
    <n v="1.1624300000000001"/>
    <n v="1.1620520000000001"/>
    <n v="3.7800000000000003E-4"/>
    <x v="0"/>
    <x v="1"/>
    <x v="1"/>
    <n v="1.4400000000000001E-3"/>
  </r>
  <r>
    <x v="1"/>
    <x v="1"/>
    <n v="360"/>
    <x v="1"/>
    <x v="194"/>
    <d v="2018-07-18T13:00:00"/>
    <n v="1.16242"/>
    <n v="1.1623429999999999"/>
    <n v="7.7000000000000001E-5"/>
    <n v="1.1632199999999999"/>
    <n v="1.162819"/>
    <n v="4.0099999999999999E-4"/>
    <n v="1.1614599999999999"/>
    <n v="1.1613530000000001"/>
    <n v="1.07E-4"/>
    <n v="1.16211"/>
    <n v="1.1622479999999999"/>
    <n v="1.3799999999999999E-4"/>
    <x v="0"/>
    <x v="1"/>
    <x v="1"/>
    <n v="1.7600000000000001E-3"/>
  </r>
  <r>
    <x v="1"/>
    <x v="1"/>
    <n v="362"/>
    <x v="1"/>
    <x v="195"/>
    <d v="2018-07-18T14:00:00"/>
    <n v="1.16214"/>
    <n v="1.1621950000000001"/>
    <n v="5.5000000000000002E-5"/>
    <n v="1.16238"/>
    <n v="1.162973"/>
    <n v="5.9299999999999999E-4"/>
    <n v="1.1604000000000001"/>
    <n v="1.161348"/>
    <n v="9.4799999999999995E-4"/>
    <n v="1.1607000000000001"/>
    <n v="1.1619969999999999"/>
    <n v="1.297E-3"/>
    <x v="0"/>
    <x v="1"/>
    <x v="1"/>
    <n v="1.98E-3"/>
  </r>
  <r>
    <x v="1"/>
    <x v="1"/>
    <n v="364"/>
    <x v="1"/>
    <x v="196"/>
    <d v="2018-07-18T15:00:00"/>
    <n v="1.1607000000000001"/>
    <n v="1.160779"/>
    <n v="7.8999999999999996E-5"/>
    <n v="1.1627000000000001"/>
    <n v="1.1616979999999999"/>
    <n v="1.0020000000000001E-3"/>
    <n v="1.16012"/>
    <n v="1.159769"/>
    <n v="3.5100000000000002E-4"/>
    <n v="1.16222"/>
    <n v="1.1606380000000001"/>
    <n v="1.5820000000000001E-3"/>
    <x v="0"/>
    <x v="1"/>
    <x v="1"/>
    <n v="2.5799999999999998E-3"/>
  </r>
  <r>
    <x v="1"/>
    <x v="1"/>
    <n v="366"/>
    <x v="1"/>
    <x v="197"/>
    <d v="2018-07-18T16:00:00"/>
    <n v="1.16222"/>
    <n v="1.1622749999999999"/>
    <n v="5.5000000000000002E-5"/>
    <n v="1.16388"/>
    <n v="1.163332"/>
    <n v="5.4799999999999998E-4"/>
    <n v="1.1620999999999999"/>
    <n v="1.160944"/>
    <n v="1.1559999999999999E-3"/>
    <n v="1.1634800000000001"/>
    <n v="1.162202"/>
    <n v="1.2780000000000001E-3"/>
    <x v="0"/>
    <x v="1"/>
    <x v="1"/>
    <n v="1.7799999999999999E-3"/>
  </r>
  <r>
    <x v="1"/>
    <x v="1"/>
    <n v="368"/>
    <x v="1"/>
    <x v="198"/>
    <d v="2018-07-18T17:00:00"/>
    <n v="1.1634599999999999"/>
    <n v="1.16357"/>
    <n v="1.1E-4"/>
    <n v="1.1649099999999999"/>
    <n v="1.164514"/>
    <n v="3.9599999999999998E-4"/>
    <n v="1.1632800000000001"/>
    <n v="1.16256"/>
    <n v="7.2000000000000005E-4"/>
    <n v="1.1641999999999999"/>
    <n v="1.1633519999999999"/>
    <n v="8.4800000000000001E-4"/>
    <x v="0"/>
    <x v="1"/>
    <x v="1"/>
    <n v="1.6299999999999999E-3"/>
  </r>
  <r>
    <x v="1"/>
    <x v="1"/>
    <n v="370"/>
    <x v="1"/>
    <x v="199"/>
    <d v="2018-07-18T18:00:00"/>
    <n v="1.16421"/>
    <n v="1.1641950000000001"/>
    <n v="1.5E-5"/>
    <n v="1.1649400000000001"/>
    <n v="1.165079"/>
    <n v="1.3899999999999999E-4"/>
    <n v="1.1635599999999999"/>
    <n v="1.1634439999999999"/>
    <n v="1.16E-4"/>
    <n v="1.1644099999999999"/>
    <n v="1.1640630000000001"/>
    <n v="3.4699999999999998E-4"/>
    <x v="0"/>
    <x v="1"/>
    <x v="1"/>
    <n v="1.3799999999999999E-3"/>
  </r>
  <r>
    <x v="1"/>
    <x v="1"/>
    <n v="372"/>
    <x v="1"/>
    <x v="200"/>
    <d v="2018-07-18T19:00:00"/>
    <n v="1.1644000000000001"/>
    <n v="1.1645000000000001"/>
    <n v="1E-4"/>
    <n v="1.16615"/>
    <n v="1.1651119999999999"/>
    <n v="1.0380000000000001E-3"/>
    <n v="1.16439"/>
    <n v="1.1638029999999999"/>
    <n v="5.8699999999999996E-4"/>
    <n v="1.1651899999999999"/>
    <n v="1.1644140000000001"/>
    <n v="7.76E-4"/>
    <x v="0"/>
    <x v="1"/>
    <x v="1"/>
    <n v="1.7600000000000001E-3"/>
  </r>
  <r>
    <x v="1"/>
    <x v="1"/>
    <n v="374"/>
    <x v="1"/>
    <x v="201"/>
    <d v="2018-07-18T20:00:00"/>
    <n v="1.1652"/>
    <n v="1.1652880000000001"/>
    <n v="8.7999999999999998E-5"/>
    <n v="1.16564"/>
    <n v="1.166666"/>
    <n v="1.026E-3"/>
    <n v="1.1648400000000001"/>
    <n v="1.1649620000000001"/>
    <n v="1.22E-4"/>
    <n v="1.1648799999999999"/>
    <n v="1.1654310000000001"/>
    <n v="5.5099999999999995E-4"/>
    <x v="0"/>
    <x v="1"/>
    <x v="1"/>
    <n v="8.0000000000000004E-4"/>
  </r>
  <r>
    <x v="1"/>
    <x v="1"/>
    <n v="376"/>
    <x v="1"/>
    <x v="202"/>
    <d v="2018-07-18T21:00:00"/>
    <n v="1.16492"/>
    <n v="1.1649480000000001"/>
    <n v="2.8E-5"/>
    <n v="1.16499"/>
    <n v="1.1654739999999999"/>
    <n v="4.84E-4"/>
    <n v="1.1643399999999999"/>
    <n v="1.164504"/>
    <n v="1.64E-4"/>
    <n v="1.16465"/>
    <n v="1.1648430000000001"/>
    <n v="1.93E-4"/>
    <x v="0"/>
    <x v="1"/>
    <x v="1"/>
    <n v="6.4999999999999997E-4"/>
  </r>
  <r>
    <x v="1"/>
    <x v="1"/>
    <n v="378"/>
    <x v="1"/>
    <x v="203"/>
    <d v="2018-07-18T22:00:00"/>
    <n v="1.16466"/>
    <n v="1.1647449999999999"/>
    <n v="8.5000000000000006E-5"/>
    <n v="1.1647400000000001"/>
    <n v="1.1651130000000001"/>
    <n v="3.7300000000000001E-4"/>
    <n v="1.1636899999999999"/>
    <n v="1.164509"/>
    <n v="8.1899999999999996E-4"/>
    <n v="1.1641699999999999"/>
    <n v="1.1647689999999999"/>
    <n v="5.9900000000000003E-4"/>
    <x v="0"/>
    <x v="1"/>
    <x v="1"/>
    <n v="1.0499999999999999E-3"/>
  </r>
  <r>
    <x v="1"/>
    <x v="1"/>
    <n v="380"/>
    <x v="1"/>
    <x v="205"/>
    <d v="2018-07-18T23:00:00"/>
    <n v="1.1637200000000001"/>
    <n v="1.164293"/>
    <n v="5.7300000000000005E-4"/>
    <n v="1.16439"/>
    <n v="1.1645700000000001"/>
    <n v="1.8000000000000001E-4"/>
    <n v="1.16353"/>
    <n v="1.1636390000000001"/>
    <n v="1.0900000000000001E-4"/>
    <n v="1.1642999999999999"/>
    <n v="1.164166"/>
    <n v="1.34E-4"/>
    <x v="0"/>
    <x v="1"/>
    <x v="1"/>
    <n v="8.5999999999999998E-4"/>
  </r>
  <r>
    <x v="1"/>
    <x v="1"/>
    <n v="382"/>
    <x v="1"/>
    <x v="206"/>
    <d v="2018-07-19T01:00:00"/>
    <n v="1.16431"/>
    <n v="1.1644080000000001"/>
    <n v="9.7999999999999997E-5"/>
    <n v="1.1644300000000001"/>
    <n v="1.164809"/>
    <n v="3.79E-4"/>
    <n v="1.16401"/>
    <n v="1.1639029999999999"/>
    <n v="1.07E-4"/>
    <n v="1.16428"/>
    <n v="1.1642840000000001"/>
    <n v="3.9999999999999998E-6"/>
    <x v="0"/>
    <x v="1"/>
    <x v="1"/>
    <n v="4.2000000000000002E-4"/>
  </r>
  <r>
    <x v="1"/>
    <x v="1"/>
    <n v="384"/>
    <x v="1"/>
    <x v="207"/>
    <d v="2018-07-19T02:00:00"/>
    <n v="1.16431"/>
    <n v="1.1643790000000001"/>
    <n v="6.8999999999999997E-5"/>
    <n v="1.16448"/>
    <n v="1.164606"/>
    <n v="1.26E-4"/>
    <n v="1.16405"/>
    <n v="1.163961"/>
    <n v="8.8999999999999995E-5"/>
    <n v="1.16442"/>
    <n v="1.164328"/>
    <n v="9.2E-5"/>
    <x v="0"/>
    <x v="1"/>
    <x v="1"/>
    <n v="4.2999999999999999E-4"/>
  </r>
  <r>
    <x v="1"/>
    <x v="1"/>
    <n v="386"/>
    <x v="1"/>
    <x v="208"/>
    <d v="2018-07-19T03:00:00"/>
    <n v="1.1644099999999999"/>
    <n v="1.1644859999999999"/>
    <n v="7.6000000000000004E-5"/>
    <n v="1.16536"/>
    <n v="1.164609"/>
    <n v="7.5100000000000004E-4"/>
    <n v="1.1643300000000001"/>
    <n v="1.164161"/>
    <n v="1.6899999999999999E-4"/>
    <n v="1.1652499999999999"/>
    <n v="1.1645049999999999"/>
    <n v="7.45E-4"/>
    <x v="0"/>
    <x v="1"/>
    <x v="1"/>
    <n v="1.0300000000000001E-3"/>
  </r>
  <r>
    <x v="1"/>
    <x v="1"/>
    <n v="388"/>
    <x v="1"/>
    <x v="209"/>
    <d v="2018-07-19T04:00:00"/>
    <n v="1.1652499999999999"/>
    <n v="1.165375"/>
    <n v="1.25E-4"/>
    <n v="1.1655899999999999"/>
    <n v="1.1657900000000001"/>
    <n v="2.0000000000000001E-4"/>
    <n v="1.1640299999999999"/>
    <n v="1.1648449999999999"/>
    <n v="8.1499999999999997E-4"/>
    <n v="1.16483"/>
    <n v="1.165251"/>
    <n v="4.2099999999999999E-4"/>
    <x v="0"/>
    <x v="1"/>
    <x v="1"/>
    <n v="1.56E-3"/>
  </r>
  <r>
    <x v="1"/>
    <x v="1"/>
    <n v="390"/>
    <x v="1"/>
    <x v="210"/>
    <d v="2018-07-19T05:00:00"/>
    <n v="1.16483"/>
    <n v="1.164922"/>
    <n v="9.2E-5"/>
    <n v="1.1649799999999999"/>
    <n v="1.1652670000000001"/>
    <n v="2.8699999999999998E-4"/>
    <n v="1.1639299999999999"/>
    <n v="1.1641269999999999"/>
    <n v="1.9699999999999999E-4"/>
    <n v="1.1645799999999999"/>
    <n v="1.164771"/>
    <n v="1.9100000000000001E-4"/>
    <x v="0"/>
    <x v="1"/>
    <x v="1"/>
    <n v="1.0499999999999999E-3"/>
  </r>
  <r>
    <x v="1"/>
    <x v="1"/>
    <n v="392"/>
    <x v="1"/>
    <x v="211"/>
    <d v="2018-07-19T06:00:00"/>
    <n v="1.1645700000000001"/>
    <n v="1.1646209999999999"/>
    <n v="5.1E-5"/>
    <n v="1.1654100000000001"/>
    <n v="1.164839"/>
    <n v="5.71E-4"/>
    <n v="1.16418"/>
    <n v="1.1637189999999999"/>
    <n v="4.6099999999999998E-4"/>
    <n v="1.1651"/>
    <n v="1.16448"/>
    <n v="6.2E-4"/>
    <x v="0"/>
    <x v="1"/>
    <x v="1"/>
    <n v="1.23E-3"/>
  </r>
  <r>
    <x v="1"/>
    <x v="1"/>
    <n v="394"/>
    <x v="1"/>
    <x v="5"/>
    <d v="2018-07-19T07:00:00"/>
    <n v="1.1651"/>
    <n v="1.1652100000000001"/>
    <n v="1.1E-4"/>
    <n v="1.1652899999999999"/>
    <n v="1.1656979999999999"/>
    <n v="4.08E-4"/>
    <n v="1.1645799999999999"/>
    <n v="1.164345"/>
    <n v="2.3499999999999999E-4"/>
    <n v="1.16469"/>
    <n v="1.1650069999999999"/>
    <n v="3.1700000000000001E-4"/>
    <x v="0"/>
    <x v="1"/>
    <x v="1"/>
    <n v="7.1000000000000002E-4"/>
  </r>
  <r>
    <x v="1"/>
    <x v="1"/>
    <n v="396"/>
    <x v="1"/>
    <x v="212"/>
    <d v="2018-07-19T08:00:00"/>
    <n v="1.16469"/>
    <n v="1.164749"/>
    <n v="5.8999999999999998E-5"/>
    <n v="1.1649099999999999"/>
    <n v="1.165232"/>
    <n v="3.2200000000000002E-4"/>
    <n v="1.1639299999999999"/>
    <n v="1.164158"/>
    <n v="2.2800000000000001E-4"/>
    <n v="1.1640299999999999"/>
    <n v="1.164585"/>
    <n v="5.5500000000000005E-4"/>
    <x v="0"/>
    <x v="1"/>
    <x v="1"/>
    <n v="9.7999999999999997E-4"/>
  </r>
  <r>
    <x v="1"/>
    <x v="1"/>
    <n v="398"/>
    <x v="1"/>
    <x v="213"/>
    <d v="2018-07-19T09:00:00"/>
    <n v="1.1640200000000001"/>
    <n v="1.1640250000000001"/>
    <n v="5.0000000000000004E-6"/>
    <n v="1.1643699999999999"/>
    <n v="1.164595"/>
    <n v="2.2499999999999999E-4"/>
    <n v="1.16187"/>
    <n v="1.1634199999999999"/>
    <n v="1.5499999999999999E-3"/>
    <n v="1.1623399999999999"/>
    <n v="1.1639139999999999"/>
    <n v="1.5740000000000001E-3"/>
    <x v="0"/>
    <x v="1"/>
    <x v="1"/>
    <n v="2.5000000000000001E-3"/>
  </r>
  <r>
    <x v="1"/>
    <x v="1"/>
    <n v="400"/>
    <x v="1"/>
    <x v="214"/>
    <d v="2018-07-19T10:00:00"/>
    <n v="1.16235"/>
    <n v="1.162479"/>
    <n v="1.2899999999999999E-4"/>
    <n v="1.16265"/>
    <n v="1.1634910000000001"/>
    <n v="8.4099999999999995E-4"/>
    <n v="1.1605300000000001"/>
    <n v="1.1614869999999999"/>
    <n v="9.5699999999999995E-4"/>
    <n v="1.16072"/>
    <n v="1.1623749999999999"/>
    <n v="1.655E-3"/>
    <x v="0"/>
    <x v="1"/>
    <x v="1"/>
    <n v="2.1199999999999999E-3"/>
  </r>
  <r>
    <x v="1"/>
    <x v="1"/>
    <n v="402"/>
    <x v="1"/>
    <x v="215"/>
    <d v="2018-07-19T11:00:00"/>
    <n v="1.1607000000000001"/>
    <n v="1.1607860000000001"/>
    <n v="8.6000000000000003E-5"/>
    <n v="1.1617599999999999"/>
    <n v="1.1621410000000001"/>
    <n v="3.8099999999999999E-4"/>
    <n v="1.16029"/>
    <n v="1.159905"/>
    <n v="3.8499999999999998E-4"/>
    <n v="1.1611899999999999"/>
    <n v="1.1609769999999999"/>
    <n v="2.13E-4"/>
    <x v="0"/>
    <x v="1"/>
    <x v="1"/>
    <n v="1.47E-3"/>
  </r>
  <r>
    <x v="1"/>
    <x v="1"/>
    <n v="404"/>
    <x v="1"/>
    <x v="6"/>
    <d v="2018-07-19T12:00:00"/>
    <n v="1.1612100000000001"/>
    <n v="1.161286"/>
    <n v="7.6000000000000004E-5"/>
    <n v="1.1614899999999999"/>
    <n v="1.1619900000000001"/>
    <n v="5.0000000000000001E-4"/>
    <n v="1.15943"/>
    <n v="1.1604719999999999"/>
    <n v="1.042E-3"/>
    <n v="1.16055"/>
    <n v="1.161046"/>
    <n v="4.9600000000000002E-4"/>
    <x v="0"/>
    <x v="1"/>
    <x v="1"/>
    <n v="2.0600000000000002E-3"/>
  </r>
  <r>
    <x v="1"/>
    <x v="1"/>
    <n v="406"/>
    <x v="1"/>
    <x v="7"/>
    <d v="2018-07-19T13:00:00"/>
    <n v="1.1605300000000001"/>
    <n v="1.160739"/>
    <n v="2.0900000000000001E-4"/>
    <n v="1.16134"/>
    <n v="1.161162"/>
    <n v="1.7799999999999999E-4"/>
    <n v="1.15944"/>
    <n v="1.15944"/>
    <n v="0"/>
    <n v="1.15947"/>
    <n v="1.16056"/>
    <n v="1.09E-3"/>
    <x v="0"/>
    <x v="1"/>
    <x v="1"/>
    <n v="1.9E-3"/>
  </r>
  <r>
    <x v="1"/>
    <x v="1"/>
    <n v="408"/>
    <x v="1"/>
    <x v="216"/>
    <d v="2018-07-19T14:00:00"/>
    <n v="1.1595"/>
    <n v="1.159476"/>
    <n v="2.4000000000000001E-5"/>
    <n v="1.1599999999999999"/>
    <n v="1.1605810000000001"/>
    <n v="5.8100000000000003E-4"/>
    <n v="1.15852"/>
    <n v="1.1588149999999999"/>
    <n v="2.9500000000000001E-4"/>
    <n v="1.1599900000000001"/>
    <n v="1.1594100000000001"/>
    <n v="5.8E-4"/>
    <x v="0"/>
    <x v="1"/>
    <x v="1"/>
    <n v="1.48E-3"/>
  </r>
  <r>
    <x v="1"/>
    <x v="1"/>
    <n v="410"/>
    <x v="1"/>
    <x v="217"/>
    <d v="2018-07-19T15:00:00"/>
    <n v="1.15998"/>
    <n v="1.160164"/>
    <n v="1.84E-4"/>
    <n v="1.1599900000000001"/>
    <n v="1.1606920000000001"/>
    <n v="7.0200000000000004E-4"/>
    <n v="1.15741"/>
    <n v="1.15879"/>
    <n v="1.3799999999999999E-3"/>
    <n v="1.1585399999999999"/>
    <n v="1.1600950000000001"/>
    <n v="1.555E-3"/>
    <x v="0"/>
    <x v="1"/>
    <x v="1"/>
    <n v="2.5799999999999998E-3"/>
  </r>
  <r>
    <x v="1"/>
    <x v="1"/>
    <n v="412"/>
    <x v="1"/>
    <x v="218"/>
    <d v="2018-07-19T16:00:00"/>
    <n v="1.1585399999999999"/>
    <n v="1.158601"/>
    <n v="6.0999999999999999E-5"/>
    <n v="1.1608400000000001"/>
    <n v="1.1590419999999999"/>
    <n v="1.7979999999999999E-3"/>
    <n v="1.1583699999999999"/>
    <n v="1.1570769999999999"/>
    <n v="1.2930000000000001E-3"/>
    <n v="1.1595899999999999"/>
    <n v="1.158701"/>
    <n v="8.8900000000000003E-4"/>
    <x v="0"/>
    <x v="1"/>
    <x v="1"/>
    <n v="2.47E-3"/>
  </r>
  <r>
    <x v="1"/>
    <x v="1"/>
    <n v="414"/>
    <x v="1"/>
    <x v="219"/>
    <d v="2018-07-19T17:00:00"/>
    <n v="1.1595800000000001"/>
    <n v="1.1596580000000001"/>
    <n v="7.7999999999999999E-5"/>
    <n v="1.16212"/>
    <n v="1.161324"/>
    <n v="7.9600000000000005E-4"/>
    <n v="1.1595299999999999"/>
    <n v="1.1587369999999999"/>
    <n v="7.9299999999999998E-4"/>
    <n v="1.1612899999999999"/>
    <n v="1.1596310000000001"/>
    <n v="1.6590000000000001E-3"/>
    <x v="0"/>
    <x v="1"/>
    <x v="1"/>
    <n v="2.5899999999999999E-3"/>
  </r>
  <r>
    <x v="1"/>
    <x v="1"/>
    <n v="416"/>
    <x v="1"/>
    <x v="220"/>
    <d v="2018-07-19T18:00:00"/>
    <n v="1.1612899999999999"/>
    <n v="1.161397"/>
    <n v="1.07E-4"/>
    <n v="1.1613"/>
    <n v="1.162838"/>
    <n v="1.5380000000000001E-3"/>
    <n v="1.15954"/>
    <n v="1.160312"/>
    <n v="7.7200000000000001E-4"/>
    <n v="1.1602600000000001"/>
    <n v="1.16107"/>
    <n v="8.0999999999999996E-4"/>
    <x v="0"/>
    <x v="1"/>
    <x v="1"/>
    <n v="1.7600000000000001E-3"/>
  </r>
  <r>
    <x v="1"/>
    <x v="1"/>
    <n v="418"/>
    <x v="1"/>
    <x v="221"/>
    <d v="2018-07-19T19:00:00"/>
    <n v="1.1602699999999999"/>
    <n v="1.1603950000000001"/>
    <n v="1.25E-4"/>
    <n v="1.1609499999999999"/>
    <n v="1.1610849999999999"/>
    <n v="1.35E-4"/>
    <n v="1.1601399999999999"/>
    <n v="1.1594469999999999"/>
    <n v="6.9300000000000004E-4"/>
    <n v="1.16065"/>
    <n v="1.1604840000000001"/>
    <n v="1.66E-4"/>
    <x v="0"/>
    <x v="1"/>
    <x v="1"/>
    <n v="8.0999999999999996E-4"/>
  </r>
  <r>
    <x v="1"/>
    <x v="1"/>
    <n v="420"/>
    <x v="1"/>
    <x v="222"/>
    <d v="2018-07-19T20:00:00"/>
    <n v="1.1606399999999999"/>
    <n v="1.1606879999999999"/>
    <n v="4.8000000000000001E-5"/>
    <n v="1.16778"/>
    <n v="1.1612039999999999"/>
    <n v="6.5760000000000002E-3"/>
    <n v="1.16049"/>
    <n v="1.1601030000000001"/>
    <n v="3.8699999999999997E-4"/>
    <n v="1.16536"/>
    <n v="1.1606730000000001"/>
    <n v="4.6870000000000002E-3"/>
    <x v="0"/>
    <x v="1"/>
    <x v="1"/>
    <n v="7.2899999999999996E-3"/>
  </r>
  <r>
    <x v="1"/>
    <x v="1"/>
    <n v="422"/>
    <x v="1"/>
    <x v="223"/>
    <d v="2018-07-19T21:00:00"/>
    <n v="1.16536"/>
    <n v="1.1648909999999999"/>
    <n v="4.6900000000000002E-4"/>
    <n v="1.16639"/>
    <n v="1.1688590000000001"/>
    <n v="2.4689999999999998E-3"/>
    <n v="1.16435"/>
    <n v="1.1630579999999999"/>
    <n v="1.292E-3"/>
    <n v="1.16448"/>
    <n v="1.1651819999999999"/>
    <n v="7.0200000000000004E-4"/>
    <x v="0"/>
    <x v="1"/>
    <x v="1"/>
    <n v="2.0400000000000001E-3"/>
  </r>
  <r>
    <x v="1"/>
    <x v="1"/>
    <n v="424"/>
    <x v="1"/>
    <x v="224"/>
    <d v="2018-07-19T22:00:00"/>
    <n v="1.1645000000000001"/>
    <n v="1.164579"/>
    <n v="7.8999999999999996E-5"/>
    <n v="1.1646399999999999"/>
    <n v="1.166717"/>
    <n v="2.0769999999999999E-3"/>
    <n v="1.16354"/>
    <n v="1.163368"/>
    <n v="1.7200000000000001E-4"/>
    <n v="1.16357"/>
    <n v="1.1644509999999999"/>
    <n v="8.8099999999999995E-4"/>
    <x v="0"/>
    <x v="1"/>
    <x v="1"/>
    <n v="1.1000000000000001E-3"/>
  </r>
  <r>
    <x v="1"/>
    <x v="1"/>
    <n v="426"/>
    <x v="1"/>
    <x v="225"/>
    <d v="2018-07-19T23:00:00"/>
    <n v="1.1635500000000001"/>
    <n v="1.1634340000000001"/>
    <n v="1.16E-4"/>
    <n v="1.16475"/>
    <n v="1.1641809999999999"/>
    <n v="5.6899999999999995E-4"/>
    <n v="1.1631199999999999"/>
    <n v="1.163127"/>
    <n v="6.9999999999999999E-6"/>
    <n v="1.1640200000000001"/>
    <n v="1.163599"/>
    <n v="4.2099999999999999E-4"/>
    <x v="0"/>
    <x v="1"/>
    <x v="1"/>
    <n v="1.6299999999999999E-3"/>
  </r>
  <r>
    <x v="1"/>
    <x v="1"/>
    <n v="428"/>
    <x v="1"/>
    <x v="226"/>
    <d v="2018-07-20T00:00:00"/>
    <n v="1.1639900000000001"/>
    <n v="1.1640790000000001"/>
    <n v="8.8999999999999995E-5"/>
    <n v="1.1646700000000001"/>
    <n v="1.1651279999999999"/>
    <n v="4.5800000000000002E-4"/>
    <n v="1.1639600000000001"/>
    <n v="1.163538"/>
    <n v="4.2200000000000001E-4"/>
    <n v="1.16438"/>
    <n v="1.16415"/>
    <n v="2.3000000000000001E-4"/>
    <x v="0"/>
    <x v="1"/>
    <x v="1"/>
    <n v="7.1000000000000002E-4"/>
  </r>
  <r>
    <x v="1"/>
    <x v="1"/>
    <n v="430"/>
    <x v="1"/>
    <x v="227"/>
    <d v="2018-07-20T01:00:00"/>
    <n v="1.16439"/>
    <n v="1.164417"/>
    <n v="2.6999999999999999E-5"/>
    <n v="1.16476"/>
    <n v="1.1651419999999999"/>
    <n v="3.8200000000000002E-4"/>
    <n v="1.16428"/>
    <n v="1.1639349999999999"/>
    <n v="3.4499999999999998E-4"/>
    <n v="1.1644600000000001"/>
    <n v="1.164436"/>
    <n v="2.4000000000000001E-5"/>
    <x v="0"/>
    <x v="1"/>
    <x v="1"/>
    <n v="4.8000000000000001E-4"/>
  </r>
  <r>
    <x v="1"/>
    <x v="1"/>
    <n v="432"/>
    <x v="1"/>
    <x v="0"/>
    <d v="2018-07-20T02:00:00"/>
    <n v="1.16445"/>
    <n v="1.1645000000000001"/>
    <n v="5.0000000000000002E-5"/>
    <n v="1.16554"/>
    <n v="1.165006"/>
    <n v="5.3399999999999997E-4"/>
    <n v="1.1641999999999999"/>
    <n v="1.163619"/>
    <n v="5.8100000000000003E-4"/>
    <n v="1.1653800000000001"/>
    <n v="1.164077"/>
    <n v="1.3029999999999999E-3"/>
    <x v="0"/>
    <x v="1"/>
    <x v="1"/>
    <n v="1.34E-3"/>
  </r>
  <r>
    <x v="1"/>
    <x v="1"/>
    <n v="434"/>
    <x v="1"/>
    <x v="228"/>
    <d v="2018-07-20T03:00:00"/>
    <n v="1.1653899999999999"/>
    <n v="1.165435"/>
    <n v="4.5000000000000003E-5"/>
    <n v="1.1655899999999999"/>
    <n v="1.165986"/>
    <n v="3.9599999999999998E-4"/>
    <n v="1.16473"/>
    <n v="1.1651229999999999"/>
    <n v="3.9300000000000001E-4"/>
    <n v="1.16536"/>
    <n v="1.165475"/>
    <n v="1.15E-4"/>
    <x v="0"/>
    <x v="1"/>
    <x v="1"/>
    <n v="8.5999999999999998E-4"/>
  </r>
  <r>
    <x v="1"/>
    <x v="1"/>
    <n v="436"/>
    <x v="1"/>
    <x v="229"/>
    <d v="2018-07-20T04:00:00"/>
    <n v="1.16536"/>
    <n v="1.1654199999999999"/>
    <n v="6.0000000000000002E-5"/>
    <n v="1.16591"/>
    <n v="1.165672"/>
    <n v="2.3800000000000001E-4"/>
    <n v="1.16255"/>
    <n v="1.164604"/>
    <n v="2.0539999999999998E-3"/>
    <n v="1.1634599999999999"/>
    <n v="1.165375"/>
    <n v="1.915E-3"/>
    <x v="0"/>
    <x v="1"/>
    <x v="1"/>
    <n v="3.3600000000000001E-3"/>
  </r>
  <r>
    <x v="1"/>
    <x v="1"/>
    <n v="438"/>
    <x v="1"/>
    <x v="230"/>
    <d v="2018-07-20T05:00:00"/>
    <n v="1.16344"/>
    <n v="1.163397"/>
    <n v="4.3000000000000002E-5"/>
    <n v="1.1651899999999999"/>
    <n v="1.164382"/>
    <n v="8.0800000000000002E-4"/>
    <n v="1.1631400000000001"/>
    <n v="1.161937"/>
    <n v="1.2030000000000001E-3"/>
    <n v="1.16472"/>
    <n v="1.1632960000000001"/>
    <n v="1.4239999999999999E-3"/>
    <x v="0"/>
    <x v="1"/>
    <x v="1"/>
    <n v="2.0500000000000002E-3"/>
  </r>
  <r>
    <x v="1"/>
    <x v="1"/>
    <n v="440"/>
    <x v="1"/>
    <x v="231"/>
    <d v="2018-07-20T06:00:00"/>
    <n v="1.1647099999999999"/>
    <n v="1.164812"/>
    <n v="1.02E-4"/>
    <n v="1.1654199999999999"/>
    <n v="1.1661840000000001"/>
    <n v="7.6400000000000003E-4"/>
    <n v="1.1644300000000001"/>
    <n v="1.164004"/>
    <n v="4.26E-4"/>
    <n v="1.1649499999999999"/>
    <n v="1.1650400000000001"/>
    <n v="9.0000000000000006E-5"/>
    <x v="0"/>
    <x v="1"/>
    <x v="1"/>
    <n v="9.8999999999999999E-4"/>
  </r>
  <r>
    <x v="1"/>
    <x v="1"/>
    <n v="442"/>
    <x v="1"/>
    <x v="232"/>
    <d v="2018-07-20T07:00:00"/>
    <n v="1.1649400000000001"/>
    <n v="1.1649389999999999"/>
    <n v="9.9999999999999995E-7"/>
    <n v="1.1664300000000001"/>
    <n v="1.165573"/>
    <n v="8.5700000000000001E-4"/>
    <n v="1.1647700000000001"/>
    <n v="1.1642870000000001"/>
    <n v="4.8299999999999998E-4"/>
    <n v="1.1663300000000001"/>
    <n v="1.1648890000000001"/>
    <n v="1.441E-3"/>
    <x v="0"/>
    <x v="1"/>
    <x v="1"/>
    <n v="1.66E-3"/>
  </r>
  <r>
    <x v="1"/>
    <x v="1"/>
    <n v="444"/>
    <x v="1"/>
    <x v="233"/>
    <d v="2018-07-20T08:00:00"/>
    <n v="1.16632"/>
    <n v="1.1663669999999999"/>
    <n v="4.6999999999999997E-5"/>
    <n v="1.1670499999999999"/>
    <n v="1.167225"/>
    <n v="1.75E-4"/>
    <n v="1.16587"/>
    <n v="1.1653100000000001"/>
    <n v="5.5999999999999995E-4"/>
    <n v="1.1664300000000001"/>
    <n v="1.16618"/>
    <n v="2.5000000000000001E-4"/>
    <x v="0"/>
    <x v="1"/>
    <x v="1"/>
    <n v="1.1800000000000001E-3"/>
  </r>
  <r>
    <x v="1"/>
    <x v="1"/>
    <n v="446"/>
    <x v="1"/>
    <x v="1"/>
    <d v="2018-07-20T09:00:00"/>
    <n v="1.16642"/>
    <n v="1.1665000000000001"/>
    <n v="8.0000000000000007E-5"/>
    <n v="1.1672899999999999"/>
    <n v="1.1673309999999999"/>
    <n v="4.1E-5"/>
    <n v="1.16449"/>
    <n v="1.1656470000000001"/>
    <n v="1.157E-3"/>
    <n v="1.1654199999999999"/>
    <n v="1.166369"/>
    <n v="9.4899999999999997E-4"/>
    <x v="0"/>
    <x v="1"/>
    <x v="1"/>
    <n v="2.8E-3"/>
  </r>
  <r>
    <x v="1"/>
    <x v="1"/>
    <n v="448"/>
    <x v="1"/>
    <x v="234"/>
    <d v="2018-07-20T10:00:00"/>
    <n v="1.1654199999999999"/>
    <n v="1.165297"/>
    <n v="1.2300000000000001E-4"/>
    <n v="1.1656599999999999"/>
    <n v="1.166479"/>
    <n v="8.1899999999999996E-4"/>
    <n v="1.16323"/>
    <n v="1.164161"/>
    <n v="9.3099999999999997E-4"/>
    <n v="1.16401"/>
    <n v="1.165351"/>
    <n v="1.341E-3"/>
    <x v="0"/>
    <x v="1"/>
    <x v="1"/>
    <n v="2.4299999999999999E-3"/>
  </r>
  <r>
    <x v="1"/>
    <x v="1"/>
    <n v="450"/>
    <x v="1"/>
    <x v="235"/>
    <d v="2018-07-20T11:00:00"/>
    <n v="1.16404"/>
    <n v="1.1640779999999999"/>
    <n v="3.8000000000000002E-5"/>
    <n v="1.1653100000000001"/>
    <n v="1.1651100000000001"/>
    <n v="2.0000000000000001E-4"/>
    <n v="1.1637200000000001"/>
    <n v="1.1628270000000001"/>
    <n v="8.9300000000000002E-4"/>
    <n v="1.1640200000000001"/>
    <n v="1.16422"/>
    <n v="2.0000000000000001E-4"/>
    <x v="0"/>
    <x v="1"/>
    <x v="1"/>
    <n v="1.5900000000000001E-3"/>
  </r>
  <r>
    <x v="1"/>
    <x v="1"/>
    <n v="452"/>
    <x v="1"/>
    <x v="236"/>
    <d v="2018-07-20T12:00:00"/>
    <n v="1.1640299999999999"/>
    <n v="1.1640299999999999"/>
    <n v="0"/>
    <n v="1.16591"/>
    <n v="1.1655450000000001"/>
    <n v="3.6499999999999998E-4"/>
    <n v="1.16395"/>
    <n v="1.1637420000000001"/>
    <n v="2.0799999999999999E-4"/>
    <n v="1.1654899999999999"/>
    <n v="1.1642920000000001"/>
    <n v="1.1980000000000001E-3"/>
    <x v="0"/>
    <x v="1"/>
    <x v="1"/>
    <n v="1.9599999999999999E-3"/>
  </r>
  <r>
    <x v="1"/>
    <x v="1"/>
    <n v="454"/>
    <x v="1"/>
    <x v="30"/>
    <d v="2018-07-20T13:00:00"/>
    <n v="1.1655"/>
    <n v="1.1654720000000001"/>
    <n v="2.8E-5"/>
    <n v="1.1656500000000001"/>
    <n v="1.1665719999999999"/>
    <n v="9.2199999999999997E-4"/>
    <n v="1.16405"/>
    <n v="1.164615"/>
    <n v="5.6499999999999996E-4"/>
    <n v="1.16496"/>
    <n v="1.1652480000000001"/>
    <n v="2.8800000000000001E-4"/>
    <x v="0"/>
    <x v="1"/>
    <x v="1"/>
    <n v="1.6000000000000001E-3"/>
  </r>
  <r>
    <x v="1"/>
    <x v="1"/>
    <n v="456"/>
    <x v="1"/>
    <x v="237"/>
    <d v="2018-07-20T14:00:00"/>
    <n v="1.1649499999999999"/>
    <n v="1.1650240000000001"/>
    <n v="7.3999999999999996E-5"/>
    <n v="1.1664399999999999"/>
    <n v="1.1654899999999999"/>
    <n v="9.5E-4"/>
    <n v="1.1646399999999999"/>
    <n v="1.1639740000000001"/>
    <n v="6.6600000000000003E-4"/>
    <n v="1.16621"/>
    <n v="1.1649369999999999"/>
    <n v="1.273E-3"/>
    <x v="0"/>
    <x v="1"/>
    <x v="1"/>
    <n v="1.8E-3"/>
  </r>
  <r>
    <x v="1"/>
    <x v="1"/>
    <n v="458"/>
    <x v="1"/>
    <x v="238"/>
    <d v="2018-07-20T15:00:00"/>
    <n v="1.16622"/>
    <n v="1.166177"/>
    <n v="4.3000000000000002E-5"/>
    <n v="1.1714199999999999"/>
    <n v="1.1672229999999999"/>
    <n v="4.1970000000000002E-3"/>
    <n v="1.16604"/>
    <n v="1.165173"/>
    <n v="8.6700000000000004E-4"/>
    <n v="1.1711800000000001"/>
    <n v="1.1664190000000001"/>
    <n v="4.7609999999999996E-3"/>
    <x v="0"/>
    <x v="1"/>
    <x v="1"/>
    <n v="5.3800000000000002E-3"/>
  </r>
  <r>
    <x v="1"/>
    <x v="1"/>
    <n v="460"/>
    <x v="1"/>
    <x v="239"/>
    <d v="2018-07-20T16:00:00"/>
    <n v="1.1711800000000001"/>
    <n v="1.1705749999999999"/>
    <n v="6.0499999999999996E-4"/>
    <n v="1.1722300000000001"/>
    <n v="1.17302"/>
    <n v="7.9000000000000001E-4"/>
    <n v="1.17014"/>
    <n v="1.168623"/>
    <n v="1.5169999999999999E-3"/>
    <n v="1.1715"/>
    <n v="1.171073"/>
    <n v="4.2700000000000002E-4"/>
    <x v="0"/>
    <x v="1"/>
    <x v="1"/>
    <n v="2.0899999999999998E-3"/>
  </r>
  <r>
    <x v="1"/>
    <x v="1"/>
    <n v="462"/>
    <x v="1"/>
    <x v="240"/>
    <d v="2018-07-20T17:00:00"/>
    <n v="1.1714800000000001"/>
    <n v="1.171448"/>
    <n v="3.1999999999999999E-5"/>
    <n v="1.1720999999999999"/>
    <n v="1.1724760000000001"/>
    <n v="3.7599999999999998E-4"/>
    <n v="1.1702999999999999"/>
    <n v="1.1699470000000001"/>
    <n v="3.5300000000000002E-4"/>
    <n v="1.1706300000000001"/>
    <n v="1.171397"/>
    <n v="7.67E-4"/>
    <x v="0"/>
    <x v="1"/>
    <x v="1"/>
    <n v="1.8E-3"/>
  </r>
  <r>
    <x v="1"/>
    <x v="1"/>
    <n v="464"/>
    <x v="1"/>
    <x v="241"/>
    <d v="2018-07-20T18:00:00"/>
    <n v="1.17066"/>
    <n v="1.170377"/>
    <n v="2.8299999999999999E-4"/>
    <n v="1.1712800000000001"/>
    <n v="1.171368"/>
    <n v="8.7999999999999998E-5"/>
    <n v="1.17022"/>
    <n v="1.169686"/>
    <n v="5.3399999999999997E-4"/>
    <n v="1.1707700000000001"/>
    <n v="1.17062"/>
    <n v="1.4999999999999999E-4"/>
    <x v="0"/>
    <x v="1"/>
    <x v="1"/>
    <n v="1.06E-3"/>
  </r>
  <r>
    <x v="1"/>
    <x v="1"/>
    <n v="466"/>
    <x v="1"/>
    <x v="242"/>
    <d v="2018-07-20T19:00:00"/>
    <n v="1.1707799999999999"/>
    <n v="1.1707719999999999"/>
    <n v="7.9999999999999996E-6"/>
    <n v="1.1710799999999999"/>
    <n v="1.1718310000000001"/>
    <n v="7.5100000000000004E-4"/>
    <n v="1.17005"/>
    <n v="1.170485"/>
    <n v="4.35E-4"/>
    <n v="1.17086"/>
    <n v="1.1710910000000001"/>
    <n v="2.31E-4"/>
    <x v="0"/>
    <x v="1"/>
    <x v="1"/>
    <n v="1.0300000000000001E-3"/>
  </r>
  <r>
    <x v="1"/>
    <x v="1"/>
    <n v="468"/>
    <x v="1"/>
    <x v="243"/>
    <d v="2018-07-20T20:00:00"/>
    <n v="1.1708799999999999"/>
    <n v="1.1710149999999999"/>
    <n v="1.35E-4"/>
    <n v="1.17232"/>
    <n v="1.1715629999999999"/>
    <n v="7.5699999999999997E-4"/>
    <n v="1.17065"/>
    <n v="1.170086"/>
    <n v="5.6400000000000005E-4"/>
    <n v="1.1718599999999999"/>
    <n v="1.1710560000000001"/>
    <n v="8.0400000000000003E-4"/>
    <x v="0"/>
    <x v="1"/>
    <x v="1"/>
    <n v="1.67E-3"/>
  </r>
  <r>
    <x v="1"/>
    <x v="1"/>
    <n v="470"/>
    <x v="1"/>
    <x v="244"/>
    <d v="2018-07-20T21:00:00"/>
    <n v="1.17187"/>
    <n v="1.171745"/>
    <n v="1.25E-4"/>
    <n v="1.1738"/>
    <n v="1.1725049999999999"/>
    <n v="1.2949999999999999E-3"/>
    <n v="1.1718299999999999"/>
    <n v="1.170547"/>
    <n v="1.2830000000000001E-3"/>
    <n v="1.1724399999999999"/>
    <n v="1.1715199999999999"/>
    <n v="9.2000000000000003E-4"/>
    <x v="0"/>
    <x v="1"/>
    <x v="1"/>
    <n v="1.97E-3"/>
  </r>
  <r>
    <x v="1"/>
    <x v="1"/>
    <n v="472"/>
    <x v="1"/>
    <x v="245"/>
    <d v="2018-07-20T22:00:00"/>
    <n v="1.17245"/>
    <n v="1.1724330000000001"/>
    <n v="1.7E-5"/>
    <n v="1.1729499999999999"/>
    <n v="1.1740390000000001"/>
    <n v="1.0889999999999999E-3"/>
    <n v="1.17195"/>
    <n v="1.172153"/>
    <n v="2.03E-4"/>
    <n v="1.17255"/>
    <n v="1.172269"/>
    <n v="2.81E-4"/>
    <x v="0"/>
    <x v="1"/>
    <x v="1"/>
    <n v="1E-3"/>
  </r>
  <r>
    <x v="1"/>
    <x v="1"/>
    <n v="474"/>
    <x v="1"/>
    <x v="246"/>
    <d v="2018-07-20T23:00:00"/>
    <n v="1.1725699999999999"/>
    <n v="1.1727000000000001"/>
    <n v="1.2999999999999999E-4"/>
    <n v="1.17279"/>
    <n v="1.1731009999999999"/>
    <n v="3.1100000000000002E-4"/>
    <n v="1.17167"/>
    <n v="1.172415"/>
    <n v="7.45E-4"/>
    <n v="1.17201"/>
    <n v="1.1726449999999999"/>
    <n v="6.3500000000000004E-4"/>
    <x v="0"/>
    <x v="1"/>
    <x v="1"/>
    <n v="1.1199999999999999E-3"/>
  </r>
  <r>
    <x v="1"/>
    <x v="1"/>
    <n v="476"/>
    <x v="1"/>
    <x v="247"/>
    <d v="2018-07-23T00:00:00"/>
    <n v="1.1726000000000001"/>
    <n v="1.17181"/>
    <n v="7.9000000000000001E-4"/>
    <n v="1.1727300000000001"/>
    <n v="1.1720660000000001"/>
    <n v="6.6399999999999999E-4"/>
    <n v="1.1721600000000001"/>
    <n v="1.171748"/>
    <n v="4.1199999999999999E-4"/>
    <n v="1.1723300000000001"/>
    <n v="1.172159"/>
    <n v="1.7100000000000001E-4"/>
    <x v="0"/>
    <x v="1"/>
    <x v="1"/>
    <n v="5.6999999999999998E-4"/>
  </r>
  <r>
    <x v="1"/>
    <x v="1"/>
    <n v="478"/>
    <x v="1"/>
    <x v="248"/>
    <d v="2018-07-23T01:00:00"/>
    <n v="1.1723300000000001"/>
    <n v="1.172965"/>
    <n v="6.3500000000000004E-4"/>
    <n v="1.1733899999999999"/>
    <n v="1.1734629999999999"/>
    <n v="7.2999999999999999E-5"/>
    <n v="1.1722699999999999"/>
    <n v="1.1723220000000001"/>
    <n v="5.1999999999999997E-5"/>
    <n v="1.1733"/>
    <n v="1.1725719999999999"/>
    <n v="7.2800000000000002E-4"/>
    <x v="0"/>
    <x v="1"/>
    <x v="1"/>
    <n v="1.1199999999999999E-3"/>
  </r>
  <r>
    <x v="1"/>
    <x v="1"/>
    <n v="480"/>
    <x v="1"/>
    <x v="249"/>
    <d v="2018-07-23T02:00:00"/>
    <n v="1.1732899999999999"/>
    <n v="1.1733260000000001"/>
    <n v="3.6000000000000001E-5"/>
    <n v="1.1744699999999999"/>
    <n v="1.1737979999999999"/>
    <n v="6.7199999999999996E-4"/>
    <n v="1.1732400000000001"/>
    <n v="1.1723600000000001"/>
    <n v="8.8000000000000003E-4"/>
    <n v="1.1739599999999999"/>
    <n v="1.172936"/>
    <n v="1.024E-3"/>
    <x v="0"/>
    <x v="1"/>
    <x v="1"/>
    <n v="1.23E-3"/>
  </r>
  <r>
    <x v="1"/>
    <x v="1"/>
    <n v="482"/>
    <x v="1"/>
    <x v="250"/>
    <d v="2018-07-23T03:00:00"/>
    <n v="1.1739900000000001"/>
    <n v="1.1738729999999999"/>
    <n v="1.17E-4"/>
    <n v="1.17459"/>
    <n v="1.174868"/>
    <n v="2.7799999999999998E-4"/>
    <n v="1.1733899999999999"/>
    <n v="1.1734169999999999"/>
    <n v="2.6999999999999999E-5"/>
    <n v="1.17432"/>
    <n v="1.1739310000000001"/>
    <n v="3.8900000000000002E-4"/>
    <x v="0"/>
    <x v="1"/>
    <x v="1"/>
    <n v="1.1999999999999999E-3"/>
  </r>
  <r>
    <x v="1"/>
    <x v="1"/>
    <n v="484"/>
    <x v="1"/>
    <x v="251"/>
    <d v="2018-07-23T04:00:00"/>
    <n v="1.1743300000000001"/>
    <n v="1.1743779999999999"/>
    <n v="4.8000000000000001E-5"/>
    <n v="1.17499"/>
    <n v="1.1750350000000001"/>
    <n v="4.5000000000000003E-5"/>
    <n v="1.1733499999999999"/>
    <n v="1.173694"/>
    <n v="3.4400000000000001E-4"/>
    <n v="1.1739999999999999"/>
    <n v="1.17425"/>
    <n v="2.5000000000000001E-4"/>
    <x v="0"/>
    <x v="1"/>
    <x v="1"/>
    <n v="1.64E-3"/>
  </r>
  <r>
    <x v="1"/>
    <x v="1"/>
    <n v="486"/>
    <x v="1"/>
    <x v="252"/>
    <d v="2018-07-23T05:00:00"/>
    <n v="1.1739999999999999"/>
    <n v="1.1739390000000001"/>
    <n v="6.0999999999999999E-5"/>
    <n v="1.1742600000000001"/>
    <n v="1.1744950000000001"/>
    <n v="2.3499999999999999E-4"/>
    <n v="1.1732400000000001"/>
    <n v="1.1731910000000001"/>
    <n v="4.8999999999999998E-5"/>
    <n v="1.17334"/>
    <n v="1.173975"/>
    <n v="6.3500000000000004E-4"/>
    <x v="0"/>
    <x v="1"/>
    <x v="1"/>
    <n v="1.0200000000000001E-3"/>
  </r>
  <r>
    <x v="1"/>
    <x v="1"/>
    <n v="488"/>
    <x v="1"/>
    <x v="253"/>
    <d v="2018-07-23T06:00:00"/>
    <n v="1.17333"/>
    <n v="1.17327"/>
    <n v="6.0000000000000002E-5"/>
    <n v="1.17415"/>
    <n v="1.173854"/>
    <n v="2.9599999999999998E-4"/>
    <n v="1.1732100000000001"/>
    <n v="1.173028"/>
    <n v="1.8200000000000001E-4"/>
    <n v="1.1739999999999999"/>
    <n v="1.1735370000000001"/>
    <n v="4.6299999999999998E-4"/>
    <x v="0"/>
    <x v="1"/>
    <x v="1"/>
    <n v="9.3999999999999997E-4"/>
  </r>
  <r>
    <x v="1"/>
    <x v="1"/>
    <n v="490"/>
    <x v="1"/>
    <x v="254"/>
    <d v="2018-07-23T07:00:00"/>
    <n v="1.1739999999999999"/>
    <n v="1.1739949999999999"/>
    <n v="5.0000000000000004E-6"/>
    <n v="1.17415"/>
    <n v="1.1750320000000001"/>
    <n v="8.8199999999999997E-4"/>
    <n v="1.1731499999999999"/>
    <n v="1.1737500000000001"/>
    <n v="5.9999999999999995E-4"/>
    <n v="1.17326"/>
    <n v="1.1743429999999999"/>
    <n v="1.083E-3"/>
    <x v="0"/>
    <x v="1"/>
    <x v="1"/>
    <n v="1E-3"/>
  </r>
  <r>
    <x v="1"/>
    <x v="1"/>
    <n v="492"/>
    <x v="1"/>
    <x v="255"/>
    <d v="2018-07-23T08:00:00"/>
    <n v="1.1732400000000001"/>
    <n v="1.173197"/>
    <n v="4.3000000000000002E-5"/>
    <n v="1.1737599999999999"/>
    <n v="1.1736530000000001"/>
    <n v="1.07E-4"/>
    <n v="1.17214"/>
    <n v="1.172607"/>
    <n v="4.6700000000000002E-4"/>
    <n v="1.17225"/>
    <n v="1.1730700000000001"/>
    <n v="8.1999999999999998E-4"/>
    <x v="0"/>
    <x v="1"/>
    <x v="1"/>
    <n v="1.6199999999999999E-3"/>
  </r>
  <r>
    <x v="1"/>
    <x v="1"/>
    <n v="494"/>
    <x v="1"/>
    <x v="256"/>
    <d v="2018-07-23T09:00:00"/>
    <n v="1.1722699999999999"/>
    <n v="1.172245"/>
    <n v="2.5000000000000001E-5"/>
    <n v="1.1731499999999999"/>
    <n v="1.173354"/>
    <n v="2.04E-4"/>
    <n v="1.1715899999999999"/>
    <n v="1.1716359999999999"/>
    <n v="4.6E-5"/>
    <n v="1.1717299999999999"/>
    <n v="1.1721839999999999"/>
    <n v="4.5399999999999998E-4"/>
    <x v="0"/>
    <x v="1"/>
    <x v="1"/>
    <n v="1.56E-3"/>
  </r>
  <r>
    <x v="1"/>
    <x v="1"/>
    <n v="496"/>
    <x v="1"/>
    <x v="257"/>
    <d v="2018-07-23T10:00:00"/>
    <n v="1.1717"/>
    <n v="1.1717230000000001"/>
    <n v="2.3E-5"/>
    <n v="1.1741999999999999"/>
    <n v="1.1730510000000001"/>
    <n v="1.1490000000000001E-3"/>
    <n v="1.1713499999999999"/>
    <n v="1.1713849999999999"/>
    <n v="3.4999999999999997E-5"/>
    <n v="1.1731400000000001"/>
    <n v="1.171818"/>
    <n v="1.322E-3"/>
    <x v="0"/>
    <x v="1"/>
    <x v="1"/>
    <n v="2.8500000000000001E-3"/>
  </r>
  <r>
    <x v="1"/>
    <x v="1"/>
    <n v="498"/>
    <x v="1"/>
    <x v="258"/>
    <d v="2018-07-23T11:00:00"/>
    <n v="1.1731400000000001"/>
    <n v="1.1730849999999999"/>
    <n v="5.5000000000000002E-5"/>
    <n v="1.17336"/>
    <n v="1.174598"/>
    <n v="1.238E-3"/>
    <n v="1.1703600000000001"/>
    <n v="1.172469"/>
    <n v="2.1090000000000002E-3"/>
    <n v="1.1705399999999999"/>
    <n v="1.1732720000000001"/>
    <n v="2.7320000000000001E-3"/>
    <x v="0"/>
    <x v="1"/>
    <x v="1"/>
    <n v="3.0000000000000001E-3"/>
  </r>
  <r>
    <x v="1"/>
    <x v="1"/>
    <n v="500"/>
    <x v="1"/>
    <x v="259"/>
    <d v="2018-07-23T12:00:00"/>
    <n v="1.1705399999999999"/>
    <n v="1.1704939999999999"/>
    <n v="4.6E-5"/>
    <n v="1.1706799999999999"/>
    <n v="1.1719109999999999"/>
    <n v="1.2310000000000001E-3"/>
    <n v="1.1686000000000001"/>
    <n v="1.1694789999999999"/>
    <n v="8.7900000000000001E-4"/>
    <n v="1.1695500000000001"/>
    <n v="1.1706669999999999"/>
    <n v="1.1169999999999999E-3"/>
    <x v="0"/>
    <x v="1"/>
    <x v="1"/>
    <n v="2.0799999999999998E-3"/>
  </r>
  <r>
    <x v="1"/>
    <x v="1"/>
    <n v="502"/>
    <x v="1"/>
    <x v="260"/>
    <d v="2018-07-23T13:00:00"/>
    <n v="1.16954"/>
    <n v="1.169394"/>
    <n v="1.46E-4"/>
    <n v="1.1713899999999999"/>
    <n v="1.1704270000000001"/>
    <n v="9.6299999999999999E-4"/>
    <n v="1.16944"/>
    <n v="1.168061"/>
    <n v="1.379E-3"/>
    <n v="1.1713"/>
    <n v="1.1696569999999999"/>
    <n v="1.6429999999999999E-3"/>
    <x v="0"/>
    <x v="1"/>
    <x v="1"/>
    <n v="1.9499999999999999E-3"/>
  </r>
  <r>
    <x v="1"/>
    <x v="1"/>
    <n v="504"/>
    <x v="1"/>
    <x v="261"/>
    <d v="2018-07-23T14:00:00"/>
    <n v="1.1712899999999999"/>
    <n v="1.1711149999999999"/>
    <n v="1.75E-4"/>
    <n v="1.1719299999999999"/>
    <n v="1.172523"/>
    <n v="5.9299999999999999E-4"/>
    <n v="1.17123"/>
    <n v="1.1700619999999999"/>
    <n v="1.168E-3"/>
    <n v="1.1714500000000001"/>
    <n v="1.1715199999999999"/>
    <n v="6.9999999999999994E-5"/>
    <x v="0"/>
    <x v="1"/>
    <x v="1"/>
    <n v="6.9999999999999999E-4"/>
  </r>
  <r>
    <x v="1"/>
    <x v="1"/>
    <n v="506"/>
    <x v="1"/>
    <x v="262"/>
    <d v="2018-07-23T15:00:00"/>
    <n v="1.1713899999999999"/>
    <n v="1.1714199999999999"/>
    <n v="3.0000000000000001E-5"/>
    <n v="1.1726700000000001"/>
    <n v="1.17214"/>
    <n v="5.2999999999999998E-4"/>
    <n v="1.1711400000000001"/>
    <n v="1.1708350000000001"/>
    <n v="3.0499999999999999E-4"/>
    <n v="1.1717299999999999"/>
    <n v="1.1712530000000001"/>
    <n v="4.7699999999999999E-4"/>
    <x v="0"/>
    <x v="1"/>
    <x v="1"/>
    <n v="1.5299999999999999E-3"/>
  </r>
  <r>
    <x v="1"/>
    <x v="1"/>
    <n v="508"/>
    <x v="1"/>
    <x v="263"/>
    <d v="2018-07-23T16:00:00"/>
    <n v="1.1717299999999999"/>
    <n v="1.1715610000000001"/>
    <n v="1.6899999999999999E-4"/>
    <n v="1.1721900000000001"/>
    <n v="1.1724889999999999"/>
    <n v="2.99E-4"/>
    <n v="1.1698999999999999"/>
    <n v="1.1712089999999999"/>
    <n v="1.3090000000000001E-3"/>
    <n v="1.17011"/>
    <n v="1.171522"/>
    <n v="1.4120000000000001E-3"/>
    <x v="0"/>
    <x v="1"/>
    <x v="1"/>
    <n v="2.2899999999999999E-3"/>
  </r>
  <r>
    <x v="1"/>
    <x v="1"/>
    <n v="510"/>
    <x v="1"/>
    <x v="264"/>
    <d v="2018-07-23T17:00:00"/>
    <n v="1.17011"/>
    <n v="1.170004"/>
    <n v="1.06E-4"/>
    <n v="1.1712400000000001"/>
    <n v="1.1712819999999999"/>
    <n v="4.1999999999999998E-5"/>
    <n v="1.1700600000000001"/>
    <n v="1.1694580000000001"/>
    <n v="6.02E-4"/>
    <n v="1.17031"/>
    <n v="1.170064"/>
    <n v="2.4600000000000002E-4"/>
    <x v="0"/>
    <x v="1"/>
    <x v="1"/>
    <n v="1.1800000000000001E-3"/>
  </r>
  <r>
    <x v="1"/>
    <x v="1"/>
    <n v="512"/>
    <x v="1"/>
    <x v="265"/>
    <d v="2018-07-23T18:00:00"/>
    <n v="1.17032"/>
    <n v="1.1703220000000001"/>
    <n v="1.9999999999999999E-6"/>
    <n v="1.1708499999999999"/>
    <n v="1.171414"/>
    <n v="5.6400000000000005E-4"/>
    <n v="1.1692899999999999"/>
    <n v="1.1702600000000001"/>
    <n v="9.7000000000000005E-4"/>
    <n v="1.1701299999999999"/>
    <n v="1.170382"/>
    <n v="2.52E-4"/>
    <x v="0"/>
    <x v="1"/>
    <x v="1"/>
    <n v="1.56E-3"/>
  </r>
  <r>
    <x v="1"/>
    <x v="1"/>
    <n v="514"/>
    <x v="1"/>
    <x v="266"/>
    <d v="2018-07-23T19:00:00"/>
    <n v="1.17011"/>
    <n v="1.1699980000000001"/>
    <n v="1.12E-4"/>
    <n v="1.1703600000000001"/>
    <n v="1.1705049999999999"/>
    <n v="1.45E-4"/>
    <n v="1.1690499999999999"/>
    <n v="1.1692180000000001"/>
    <n v="1.6799999999999999E-4"/>
    <n v="1.16987"/>
    <n v="1.170048"/>
    <n v="1.7799999999999999E-4"/>
    <x v="0"/>
    <x v="1"/>
    <x v="1"/>
    <n v="1.31E-3"/>
  </r>
  <r>
    <x v="1"/>
    <x v="1"/>
    <n v="516"/>
    <x v="1"/>
    <x v="267"/>
    <d v="2018-07-23T20:00:00"/>
    <n v="1.1698599999999999"/>
    <n v="1.1698090000000001"/>
    <n v="5.1E-5"/>
    <n v="1.1706700000000001"/>
    <n v="1.1707559999999999"/>
    <n v="8.6000000000000003E-5"/>
    <n v="1.1682900000000001"/>
    <n v="1.168852"/>
    <n v="5.62E-4"/>
    <n v="1.1690100000000001"/>
    <n v="1.1699189999999999"/>
    <n v="9.0899999999999998E-4"/>
    <x v="0"/>
    <x v="1"/>
    <x v="1"/>
    <n v="2.3800000000000002E-3"/>
  </r>
  <r>
    <x v="1"/>
    <x v="1"/>
    <n v="518"/>
    <x v="1"/>
    <x v="268"/>
    <d v="2018-07-23T21:00:00"/>
    <n v="1.1690100000000001"/>
    <n v="1.1690149999999999"/>
    <n v="5.0000000000000004E-6"/>
    <n v="1.16933"/>
    <n v="1.1699870000000001"/>
    <n v="6.5700000000000003E-4"/>
    <n v="1.16835"/>
    <n v="1.167983"/>
    <n v="3.6699999999999998E-4"/>
    <n v="1.16886"/>
    <n v="1.1689039999999999"/>
    <n v="4.3999999999999999E-5"/>
    <x v="0"/>
    <x v="1"/>
    <x v="1"/>
    <n v="9.7999999999999997E-4"/>
  </r>
  <r>
    <x v="1"/>
    <x v="1"/>
    <n v="520"/>
    <x v="1"/>
    <x v="269"/>
    <d v="2018-07-23T22:00:00"/>
    <n v="1.1688799999999999"/>
    <n v="1.168706"/>
    <n v="1.74E-4"/>
    <n v="1.1696"/>
    <n v="1.1693659999999999"/>
    <n v="2.34E-4"/>
    <n v="1.1685300000000001"/>
    <n v="1.1681950000000001"/>
    <n v="3.3500000000000001E-4"/>
    <n v="1.1693"/>
    <n v="1.168954"/>
    <n v="3.4600000000000001E-4"/>
    <x v="0"/>
    <x v="1"/>
    <x v="1"/>
    <n v="1.07E-3"/>
  </r>
  <r>
    <x v="1"/>
    <x v="1"/>
    <n v="522"/>
    <x v="1"/>
    <x v="270"/>
    <d v="2018-07-23T23:00:00"/>
    <n v="1.1692899999999999"/>
    <n v="1.169238"/>
    <n v="5.1999999999999997E-5"/>
    <n v="1.1696"/>
    <n v="1.169543"/>
    <n v="5.7000000000000003E-5"/>
    <n v="1.1689400000000001"/>
    <n v="1.16879"/>
    <n v="1.4999999999999999E-4"/>
    <n v="1.169"/>
    <n v="1.169109"/>
    <n v="1.0900000000000001E-4"/>
    <x v="0"/>
    <x v="1"/>
    <x v="1"/>
    <n v="6.6E-4"/>
  </r>
  <r>
    <x v="1"/>
    <x v="1"/>
    <n v="524"/>
    <x v="1"/>
    <x v="271"/>
    <d v="2018-07-24T00:00:00"/>
    <n v="1.169"/>
    <n v="1.1689719999999999"/>
    <n v="2.8E-5"/>
    <n v="1.16919"/>
    <n v="1.169254"/>
    <n v="6.3999999999999997E-5"/>
    <n v="1.1682300000000001"/>
    <n v="1.168784"/>
    <n v="5.5400000000000002E-4"/>
    <n v="1.1687799999999999"/>
    <n v="1.16883"/>
    <n v="5.0000000000000002E-5"/>
    <x v="0"/>
    <x v="1"/>
    <x v="1"/>
    <n v="9.6000000000000002E-4"/>
  </r>
  <r>
    <x v="1"/>
    <x v="1"/>
    <n v="526"/>
    <x v="1"/>
    <x v="272"/>
    <d v="2018-07-24T01:00:00"/>
    <n v="1.1687700000000001"/>
    <n v="1.1687479999999999"/>
    <n v="2.1999999999999999E-5"/>
    <n v="1.1694500000000001"/>
    <n v="1.1690199999999999"/>
    <n v="4.2999999999999999E-4"/>
    <n v="1.1687700000000001"/>
    <n v="1.168345"/>
    <n v="4.2499999999999998E-4"/>
    <n v="1.1690799999999999"/>
    <n v="1.168879"/>
    <n v="2.0100000000000001E-4"/>
    <x v="0"/>
    <x v="1"/>
    <x v="1"/>
    <n v="6.8000000000000005E-4"/>
  </r>
  <r>
    <x v="1"/>
    <x v="1"/>
    <n v="528"/>
    <x v="1"/>
    <x v="273"/>
    <d v="2018-07-24T02:00:00"/>
    <n v="1.1690700000000001"/>
    <n v="1.1690659999999999"/>
    <n v="3.9999999999999998E-6"/>
    <n v="1.1693"/>
    <n v="1.169843"/>
    <n v="5.4299999999999997E-4"/>
    <n v="1.1685700000000001"/>
    <n v="1.168612"/>
    <n v="4.1999999999999998E-5"/>
    <n v="1.1692800000000001"/>
    <n v="1.1690069999999999"/>
    <n v="2.7300000000000002E-4"/>
    <x v="0"/>
    <x v="1"/>
    <x v="1"/>
    <n v="7.2999999999999996E-4"/>
  </r>
  <r>
    <x v="1"/>
    <x v="1"/>
    <n v="530"/>
    <x v="1"/>
    <x v="274"/>
    <d v="2018-07-24T03:00:00"/>
    <n v="1.16926"/>
    <n v="1.169217"/>
    <n v="4.3000000000000002E-5"/>
    <n v="1.16944"/>
    <n v="1.169497"/>
    <n v="5.7000000000000003E-5"/>
    <n v="1.16883"/>
    <n v="1.1686399999999999"/>
    <n v="1.9000000000000001E-4"/>
    <n v="1.16917"/>
    <n v="1.169262"/>
    <n v="9.2E-5"/>
    <x v="0"/>
    <x v="1"/>
    <x v="1"/>
    <n v="6.0999999999999997E-4"/>
  </r>
  <r>
    <x v="1"/>
    <x v="1"/>
    <n v="532"/>
    <x v="1"/>
    <x v="275"/>
    <d v="2018-07-24T04:00:00"/>
    <n v="1.1691800000000001"/>
    <n v="1.1691640000000001"/>
    <n v="1.5999999999999999E-5"/>
    <n v="1.1698999999999999"/>
    <n v="1.1694230000000001"/>
    <n v="4.7699999999999999E-4"/>
    <n v="1.16873"/>
    <n v="1.1684490000000001"/>
    <n v="2.81E-4"/>
    <n v="1.1696800000000001"/>
    <n v="1.168946"/>
    <n v="7.3399999999999995E-4"/>
    <x v="0"/>
    <x v="1"/>
    <x v="1"/>
    <n v="1.17E-3"/>
  </r>
  <r>
    <x v="1"/>
    <x v="1"/>
    <n v="534"/>
    <x v="1"/>
    <x v="276"/>
    <d v="2018-07-24T05:00:00"/>
    <n v="1.1696800000000001"/>
    <n v="1.169683"/>
    <n v="3.0000000000000001E-6"/>
    <n v="1.17011"/>
    <n v="1.1702710000000001"/>
    <n v="1.6100000000000001E-4"/>
    <n v="1.1685099999999999"/>
    <n v="1.1692210000000001"/>
    <n v="7.1100000000000004E-4"/>
    <n v="1.1687399999999999"/>
    <n v="1.1697470000000001"/>
    <n v="1.0070000000000001E-3"/>
    <x v="0"/>
    <x v="1"/>
    <x v="1"/>
    <n v="1.6000000000000001E-3"/>
  </r>
  <r>
    <x v="1"/>
    <x v="1"/>
    <n v="536"/>
    <x v="1"/>
    <x v="277"/>
    <d v="2018-07-24T06:00:00"/>
    <n v="1.1687399999999999"/>
    <n v="1.1687270000000001"/>
    <n v="1.2999999999999999E-5"/>
    <n v="1.1689799999999999"/>
    <n v="1.1693070000000001"/>
    <n v="3.2699999999999998E-4"/>
    <n v="1.16835"/>
    <n v="1.168183"/>
    <n v="1.6699999999999999E-4"/>
    <n v="1.16859"/>
    <n v="1.168693"/>
    <n v="1.03E-4"/>
    <x v="0"/>
    <x v="1"/>
    <x v="1"/>
    <n v="6.3000000000000003E-4"/>
  </r>
  <r>
    <x v="1"/>
    <x v="1"/>
    <n v="538"/>
    <x v="1"/>
    <x v="278"/>
    <d v="2018-07-24T07:00:00"/>
    <n v="1.1686300000000001"/>
    <n v="1.1685369999999999"/>
    <n v="9.2999999999999997E-5"/>
    <n v="1.1688000000000001"/>
    <n v="1.1689830000000001"/>
    <n v="1.83E-4"/>
    <n v="1.16744"/>
    <n v="1.1681980000000001"/>
    <n v="7.5799999999999999E-4"/>
    <n v="1.1675899999999999"/>
    <n v="1.168558"/>
    <n v="9.68E-4"/>
    <x v="0"/>
    <x v="1"/>
    <x v="1"/>
    <n v="1.3600000000000001E-3"/>
  </r>
  <r>
    <x v="1"/>
    <x v="1"/>
    <n v="540"/>
    <x v="1"/>
    <x v="279"/>
    <d v="2018-07-24T08:00:00"/>
    <n v="1.1676"/>
    <n v="1.1676420000000001"/>
    <n v="4.1999999999999998E-5"/>
    <n v="1.1685000000000001"/>
    <n v="1.168312"/>
    <n v="1.8799999999999999E-4"/>
    <n v="1.1675899999999999"/>
    <n v="1.167027"/>
    <n v="5.6300000000000002E-4"/>
    <n v="1.1683600000000001"/>
    <n v="1.1676709999999999"/>
    <n v="6.8900000000000005E-4"/>
    <x v="0"/>
    <x v="1"/>
    <x v="1"/>
    <n v="9.1E-4"/>
  </r>
  <r>
    <x v="1"/>
    <x v="1"/>
    <n v="542"/>
    <x v="1"/>
    <x v="280"/>
    <d v="2018-07-24T09:00:00"/>
    <n v="1.16835"/>
    <n v="1.168323"/>
    <n v="2.6999999999999999E-5"/>
    <n v="1.1683600000000001"/>
    <n v="1.169162"/>
    <n v="8.0199999999999998E-4"/>
    <n v="1.16571"/>
    <n v="1.1678710000000001"/>
    <n v="2.1610000000000002E-3"/>
    <n v="1.16588"/>
    <n v="1.168377"/>
    <n v="2.4970000000000001E-3"/>
    <x v="0"/>
    <x v="1"/>
    <x v="1"/>
    <n v="2.65E-3"/>
  </r>
  <r>
    <x v="1"/>
    <x v="1"/>
    <n v="544"/>
    <x v="1"/>
    <x v="281"/>
    <d v="2018-07-24T10:00:00"/>
    <n v="1.1658900000000001"/>
    <n v="1.1658470000000001"/>
    <n v="4.3000000000000002E-5"/>
    <n v="1.1703699999999999"/>
    <n v="1.1667380000000001"/>
    <n v="3.6319999999999998E-3"/>
    <n v="1.1653800000000001"/>
    <n v="1.164747"/>
    <n v="6.3299999999999999E-4"/>
    <n v="1.16951"/>
    <n v="1.1657379999999999"/>
    <n v="3.7720000000000002E-3"/>
    <x v="0"/>
    <x v="1"/>
    <x v="1"/>
    <n v="4.9899999999999996E-3"/>
  </r>
  <r>
    <x v="1"/>
    <x v="1"/>
    <n v="546"/>
    <x v="1"/>
    <x v="31"/>
    <d v="2018-07-24T11:00:00"/>
    <n v="1.16951"/>
    <n v="1.169278"/>
    <n v="2.32E-4"/>
    <n v="1.1696200000000001"/>
    <n v="1.17153"/>
    <n v="1.91E-3"/>
    <n v="1.16774"/>
    <n v="1.167475"/>
    <n v="2.6499999999999999E-4"/>
    <n v="1.16838"/>
    <n v="1.1693739999999999"/>
    <n v="9.9400000000000009E-4"/>
    <x v="0"/>
    <x v="1"/>
    <x v="1"/>
    <n v="1.8799999999999999E-3"/>
  </r>
  <r>
    <x v="1"/>
    <x v="1"/>
    <n v="548"/>
    <x v="1"/>
    <x v="282"/>
    <d v="2018-07-24T12:00:00"/>
    <n v="1.16839"/>
    <n v="1.1682170000000001"/>
    <n v="1.73E-4"/>
    <n v="1.1691800000000001"/>
    <n v="1.169392"/>
    <n v="2.12E-4"/>
    <n v="1.1679900000000001"/>
    <n v="1.1666110000000001"/>
    <n v="1.379E-3"/>
    <n v="1.1690799999999999"/>
    <n v="1.1682600000000001"/>
    <n v="8.1999999999999998E-4"/>
    <x v="0"/>
    <x v="1"/>
    <x v="1"/>
    <n v="1.1900000000000001E-3"/>
  </r>
  <r>
    <x v="1"/>
    <x v="1"/>
    <n v="550"/>
    <x v="1"/>
    <x v="283"/>
    <d v="2018-07-24T13:00:00"/>
    <n v="1.16906"/>
    <n v="1.1690419999999999"/>
    <n v="1.8E-5"/>
    <n v="1.17147"/>
    <n v="1.1696230000000001"/>
    <n v="1.8469999999999999E-3"/>
    <n v="1.1690499999999999"/>
    <n v="1.168283"/>
    <n v="7.67E-4"/>
    <n v="1.1712100000000001"/>
    <n v="1.169206"/>
    <n v="2.0040000000000001E-3"/>
    <x v="0"/>
    <x v="1"/>
    <x v="1"/>
    <n v="2.4199999999999998E-3"/>
  </r>
  <r>
    <x v="1"/>
    <x v="1"/>
    <n v="552"/>
    <x v="1"/>
    <x v="32"/>
    <d v="2018-07-24T14:00:00"/>
    <n v="1.1712199999999999"/>
    <n v="1.1711"/>
    <n v="1.2E-4"/>
    <n v="1.1716"/>
    <n v="1.172202"/>
    <n v="6.02E-4"/>
    <n v="1.17014"/>
    <n v="1.1699759999999999"/>
    <n v="1.64E-4"/>
    <n v="1.1710100000000001"/>
    <n v="1.171044"/>
    <n v="3.4E-5"/>
    <x v="0"/>
    <x v="1"/>
    <x v="1"/>
    <n v="1.4599999999999999E-3"/>
  </r>
  <r>
    <x v="1"/>
    <x v="1"/>
    <n v="554"/>
    <x v="1"/>
    <x v="284"/>
    <d v="2018-07-24T15:00:00"/>
    <n v="1.171"/>
    <n v="1.1709639999999999"/>
    <n v="3.6000000000000001E-5"/>
    <n v="1.1710499999999999"/>
    <n v="1.1718500000000001"/>
    <n v="8.0000000000000004E-4"/>
    <n v="1.1689499999999999"/>
    <n v="1.1697679999999999"/>
    <n v="8.1800000000000004E-4"/>
    <n v="1.16934"/>
    <n v="1.1709130000000001"/>
    <n v="1.573E-3"/>
    <x v="0"/>
    <x v="1"/>
    <x v="1"/>
    <n v="2.0999999999999999E-3"/>
  </r>
  <r>
    <x v="1"/>
    <x v="1"/>
    <n v="556"/>
    <x v="1"/>
    <x v="285"/>
    <d v="2018-07-24T16:00:00"/>
    <n v="1.16933"/>
    <n v="1.1693039999999999"/>
    <n v="2.5999999999999998E-5"/>
    <n v="1.1712"/>
    <n v="1.16991"/>
    <n v="1.2899999999999999E-3"/>
    <n v="1.16893"/>
    <n v="1.168037"/>
    <n v="8.9300000000000002E-4"/>
    <n v="1.17065"/>
    <n v="1.169114"/>
    <n v="1.536E-3"/>
    <x v="0"/>
    <x v="1"/>
    <x v="1"/>
    <n v="2.2699999999999999E-3"/>
  </r>
  <r>
    <x v="1"/>
    <x v="1"/>
    <n v="558"/>
    <x v="1"/>
    <x v="286"/>
    <d v="2018-07-24T17:00:00"/>
    <n v="1.17066"/>
    <n v="1.170585"/>
    <n v="7.4999999999999993E-5"/>
    <n v="1.17161"/>
    <n v="1.171886"/>
    <n v="2.7599999999999999E-4"/>
    <n v="1.1700999999999999"/>
    <n v="1.170002"/>
    <n v="9.7999999999999997E-5"/>
    <n v="1.1705099999999999"/>
    <n v="1.170882"/>
    <n v="3.7199999999999999E-4"/>
    <x v="0"/>
    <x v="1"/>
    <x v="1"/>
    <n v="1.5100000000000001E-3"/>
  </r>
  <r>
    <x v="1"/>
    <x v="1"/>
    <n v="560"/>
    <x v="1"/>
    <x v="287"/>
    <d v="2018-07-24T18:00:00"/>
    <n v="1.1705399999999999"/>
    <n v="1.1704509999999999"/>
    <n v="8.8999999999999995E-5"/>
    <n v="1.1708000000000001"/>
    <n v="1.17137"/>
    <n v="5.6999999999999998E-4"/>
    <n v="1.1681699999999999"/>
    <n v="1.169724"/>
    <n v="1.554E-3"/>
    <n v="1.1681999999999999"/>
    <n v="1.1703170000000001"/>
    <n v="2.117E-3"/>
    <x v="0"/>
    <x v="1"/>
    <x v="1"/>
    <n v="2.63E-3"/>
  </r>
  <r>
    <x v="1"/>
    <x v="1"/>
    <n v="562"/>
    <x v="1"/>
    <x v="33"/>
    <d v="2018-07-24T19:00:00"/>
    <n v="1.1682399999999999"/>
    <n v="1.168282"/>
    <n v="4.1999999999999998E-5"/>
    <n v="1.16865"/>
    <n v="1.1693549999999999"/>
    <n v="7.0500000000000001E-4"/>
    <n v="1.1673800000000001"/>
    <n v="1.167367"/>
    <n v="1.2999999999999999E-5"/>
    <n v="1.16811"/>
    <n v="1.1681520000000001"/>
    <n v="4.1999999999999998E-5"/>
    <x v="0"/>
    <x v="1"/>
    <x v="1"/>
    <n v="1.2700000000000001E-3"/>
  </r>
  <r>
    <x v="1"/>
    <x v="1"/>
    <n v="564"/>
    <x v="1"/>
    <x v="288"/>
    <d v="2018-07-24T20:00:00"/>
    <n v="1.1680999999999999"/>
    <n v="1.1682159999999999"/>
    <n v="1.16E-4"/>
    <n v="1.1685399999999999"/>
    <n v="1.1691100000000001"/>
    <n v="5.6999999999999998E-4"/>
    <n v="1.16723"/>
    <n v="1.167446"/>
    <n v="2.1599999999999999E-4"/>
    <n v="1.1679999999999999"/>
    <n v="1.1683209999999999"/>
    <n v="3.21E-4"/>
    <x v="0"/>
    <x v="1"/>
    <x v="1"/>
    <n v="1.31E-3"/>
  </r>
  <r>
    <x v="1"/>
    <x v="1"/>
    <n v="566"/>
    <x v="1"/>
    <x v="289"/>
    <d v="2018-07-24T21:00:00"/>
    <n v="1.1680299999999999"/>
    <n v="1.168015"/>
    <n v="1.5E-5"/>
    <n v="1.1684099999999999"/>
    <n v="1.1685939999999999"/>
    <n v="1.84E-4"/>
    <n v="1.1672800000000001"/>
    <n v="1.1672169999999999"/>
    <n v="6.3E-5"/>
    <n v="1.16825"/>
    <n v="1.1680459999999999"/>
    <n v="2.04E-4"/>
    <x v="0"/>
    <x v="1"/>
    <x v="1"/>
    <n v="1.1299999999999999E-3"/>
  </r>
  <r>
    <x v="1"/>
    <x v="1"/>
    <n v="568"/>
    <x v="1"/>
    <x v="290"/>
    <d v="2018-07-24T22:00:00"/>
    <n v="1.1682300000000001"/>
    <n v="1.1683399999999999"/>
    <n v="1.1E-4"/>
    <n v="1.1688499999999999"/>
    <n v="1.1685449999999999"/>
    <n v="3.0499999999999999E-4"/>
    <n v="1.1680299999999999"/>
    <n v="1.1673659999999999"/>
    <n v="6.6399999999999999E-4"/>
    <n v="1.1686399999999999"/>
    <n v="1.1681060000000001"/>
    <n v="5.3399999999999997E-4"/>
    <x v="0"/>
    <x v="1"/>
    <x v="1"/>
    <n v="8.1999999999999998E-4"/>
  </r>
  <r>
    <x v="1"/>
    <x v="1"/>
    <n v="570"/>
    <x v="1"/>
    <x v="292"/>
    <d v="2018-07-24T23:00:00"/>
    <n v="1.1683699999999999"/>
    <n v="1.168709"/>
    <n v="3.39E-4"/>
    <n v="1.1685700000000001"/>
    <n v="1.1689369999999999"/>
    <n v="3.6699999999999998E-4"/>
    <n v="1.1677"/>
    <n v="1.1683190000000001"/>
    <n v="6.1899999999999998E-4"/>
    <n v="1.16821"/>
    <n v="1.16852"/>
    <n v="3.1E-4"/>
    <x v="0"/>
    <x v="1"/>
    <x v="1"/>
    <n v="8.7000000000000001E-4"/>
  </r>
  <r>
    <x v="1"/>
    <x v="1"/>
    <n v="572"/>
    <x v="1"/>
    <x v="293"/>
    <d v="2018-07-25T01:00:00"/>
    <n v="1.16821"/>
    <n v="1.1682170000000001"/>
    <n v="6.9999999999999999E-6"/>
    <n v="1.16825"/>
    <n v="1.1684159999999999"/>
    <n v="1.66E-4"/>
    <n v="1.16791"/>
    <n v="1.167729"/>
    <n v="1.8100000000000001E-4"/>
    <n v="1.1680900000000001"/>
    <n v="1.168342"/>
    <n v="2.52E-4"/>
    <x v="0"/>
    <x v="1"/>
    <x v="1"/>
    <n v="3.4000000000000002E-4"/>
  </r>
  <r>
    <x v="1"/>
    <x v="1"/>
    <n v="574"/>
    <x v="1"/>
    <x v="294"/>
    <d v="2018-07-25T02:00:00"/>
    <n v="1.1680999999999999"/>
    <n v="1.1681649999999999"/>
    <n v="6.4999999999999994E-5"/>
    <n v="1.1685099999999999"/>
    <n v="1.168555"/>
    <n v="4.5000000000000003E-5"/>
    <n v="1.1680999999999999"/>
    <n v="1.1676200000000001"/>
    <n v="4.8000000000000001E-4"/>
    <n v="1.1684000000000001"/>
    <n v="1.1681159999999999"/>
    <n v="2.8400000000000002E-4"/>
    <x v="0"/>
    <x v="1"/>
    <x v="1"/>
    <n v="4.0999999999999999E-4"/>
  </r>
  <r>
    <x v="1"/>
    <x v="1"/>
    <n v="576"/>
    <x v="1"/>
    <x v="295"/>
    <d v="2018-07-25T03:00:00"/>
    <n v="1.1684300000000001"/>
    <n v="1.1684840000000001"/>
    <n v="5.3999999999999998E-5"/>
    <n v="1.1692499999999999"/>
    <n v="1.16873"/>
    <n v="5.1999999999999995E-4"/>
    <n v="1.16821"/>
    <n v="1.1681319999999999"/>
    <n v="7.7999999999999999E-5"/>
    <n v="1.16876"/>
    <n v="1.168296"/>
    <n v="4.64E-4"/>
    <x v="0"/>
    <x v="1"/>
    <x v="1"/>
    <n v="1.0399999999999999E-3"/>
  </r>
  <r>
    <x v="1"/>
    <x v="1"/>
    <n v="578"/>
    <x v="1"/>
    <x v="296"/>
    <d v="2018-07-25T04:00:00"/>
    <n v="1.16875"/>
    <n v="1.168933"/>
    <n v="1.83E-4"/>
    <n v="1.1697599999999999"/>
    <n v="1.1694230000000001"/>
    <n v="3.3700000000000001E-4"/>
    <n v="1.16842"/>
    <n v="1.168593"/>
    <n v="1.73E-4"/>
    <n v="1.1684699999999999"/>
    <n v="1.1687730000000001"/>
    <n v="3.0299999999999999E-4"/>
    <x v="0"/>
    <x v="1"/>
    <x v="1"/>
    <n v="1.34E-3"/>
  </r>
  <r>
    <x v="1"/>
    <x v="1"/>
    <n v="580"/>
    <x v="1"/>
    <x v="297"/>
    <d v="2018-07-25T05:00:00"/>
    <n v="1.16848"/>
    <n v="1.1685430000000001"/>
    <n v="6.3E-5"/>
    <n v="1.1685300000000001"/>
    <n v="1.169624"/>
    <n v="1.0939999999999999E-3"/>
    <n v="1.1676500000000001"/>
    <n v="1.1683490000000001"/>
    <n v="6.9899999999999997E-4"/>
    <n v="1.1682300000000001"/>
    <n v="1.1685399999999999"/>
    <n v="3.1E-4"/>
    <x v="0"/>
    <x v="1"/>
    <x v="1"/>
    <n v="8.8000000000000003E-4"/>
  </r>
  <r>
    <x v="1"/>
    <x v="1"/>
    <n v="582"/>
    <x v="1"/>
    <x v="298"/>
    <d v="2018-07-25T06:00:00"/>
    <n v="1.1682300000000001"/>
    <n v="1.1682900000000001"/>
    <n v="6.0000000000000002E-5"/>
    <n v="1.1682399999999999"/>
    <n v="1.168499"/>
    <n v="2.5900000000000001E-4"/>
    <n v="1.16747"/>
    <n v="1.1677599999999999"/>
    <n v="2.9E-4"/>
    <n v="1.16812"/>
    <n v="1.1682669999999999"/>
    <n v="1.47E-4"/>
    <x v="0"/>
    <x v="1"/>
    <x v="1"/>
    <n v="7.6999999999999996E-4"/>
  </r>
  <r>
    <x v="1"/>
    <x v="1"/>
    <n v="584"/>
    <x v="1"/>
    <x v="299"/>
    <d v="2018-07-25T07:00:00"/>
    <n v="1.16808"/>
    <n v="1.1682079999999999"/>
    <n v="1.2799999999999999E-4"/>
    <n v="1.16808"/>
    <n v="1.1680569999999999"/>
    <n v="2.3E-5"/>
    <n v="1.16753"/>
    <n v="1.167565"/>
    <n v="3.4999999999999997E-5"/>
    <n v="1.1677500000000001"/>
    <n v="1.1680349999999999"/>
    <n v="2.8499999999999999E-4"/>
    <x v="0"/>
    <x v="1"/>
    <x v="1"/>
    <n v="5.5000000000000003E-4"/>
  </r>
  <r>
    <x v="1"/>
    <x v="1"/>
    <n v="586"/>
    <x v="1"/>
    <x v="300"/>
    <d v="2018-07-25T08:00:00"/>
    <n v="1.16774"/>
    <n v="1.1676930000000001"/>
    <n v="4.6999999999999997E-5"/>
    <n v="1.16893"/>
    <n v="1.1681010000000001"/>
    <n v="8.2899999999999998E-4"/>
    <n v="1.1677"/>
    <n v="1.1671240000000001"/>
    <n v="5.7600000000000001E-4"/>
    <n v="1.16866"/>
    <n v="1.167864"/>
    <n v="7.9600000000000005E-4"/>
    <x v="0"/>
    <x v="1"/>
    <x v="1"/>
    <n v="1.23E-3"/>
  </r>
  <r>
    <x v="1"/>
    <x v="1"/>
    <n v="588"/>
    <x v="1"/>
    <x v="301"/>
    <d v="2018-07-25T09:00:00"/>
    <n v="1.16866"/>
    <n v="1.1686829999999999"/>
    <n v="2.3E-5"/>
    <n v="1.16988"/>
    <n v="1.1692830000000001"/>
    <n v="5.9699999999999998E-4"/>
    <n v="1.16801"/>
    <n v="1.168045"/>
    <n v="3.4999999999999997E-5"/>
    <n v="1.16977"/>
    <n v="1.1684589999999999"/>
    <n v="1.3110000000000001E-3"/>
    <x v="0"/>
    <x v="1"/>
    <x v="1"/>
    <n v="1.8699999999999999E-3"/>
  </r>
  <r>
    <x v="1"/>
    <x v="1"/>
    <n v="590"/>
    <x v="1"/>
    <x v="302"/>
    <d v="2018-07-25T10:00:00"/>
    <n v="1.16977"/>
    <n v="1.1698919999999999"/>
    <n v="1.22E-4"/>
    <n v="1.16981"/>
    <n v="1.1707080000000001"/>
    <n v="8.9800000000000004E-4"/>
    <n v="1.16838"/>
    <n v="1.1687149999999999"/>
    <n v="3.3500000000000001E-4"/>
    <n v="1.1689099999999999"/>
    <n v="1.1699409999999999"/>
    <n v="1.031E-3"/>
    <x v="0"/>
    <x v="1"/>
    <x v="1"/>
    <n v="1.4300000000000001E-3"/>
  </r>
  <r>
    <x v="1"/>
    <x v="1"/>
    <n v="592"/>
    <x v="1"/>
    <x v="303"/>
    <d v="2018-07-25T11:00:00"/>
    <n v="1.1689099999999999"/>
    <n v="1.168954"/>
    <n v="4.3999999999999999E-5"/>
    <n v="1.16964"/>
    <n v="1.169217"/>
    <n v="4.2299999999999998E-4"/>
    <n v="1.1679999999999999"/>
    <n v="1.1678269999999999"/>
    <n v="1.73E-4"/>
    <n v="1.1695500000000001"/>
    <n v="1.1688210000000001"/>
    <n v="7.2900000000000005E-4"/>
    <x v="0"/>
    <x v="1"/>
    <x v="1"/>
    <n v="1.64E-3"/>
  </r>
  <r>
    <x v="1"/>
    <x v="1"/>
    <n v="594"/>
    <x v="1"/>
    <x v="24"/>
    <d v="2018-07-25T12:00:00"/>
    <n v="1.16953"/>
    <n v="1.169575"/>
    <n v="4.5000000000000003E-5"/>
    <n v="1.17045"/>
    <n v="1.170112"/>
    <n v="3.3799999999999998E-4"/>
    <n v="1.1694100000000001"/>
    <n v="1.1685760000000001"/>
    <n v="8.34E-4"/>
    <n v="1.17031"/>
    <n v="1.169691"/>
    <n v="6.1899999999999998E-4"/>
    <x v="0"/>
    <x v="1"/>
    <x v="1"/>
    <n v="1.0399999999999999E-3"/>
  </r>
  <r>
    <x v="1"/>
    <x v="1"/>
    <n v="596"/>
    <x v="1"/>
    <x v="304"/>
    <d v="2018-07-25T13:00:00"/>
    <n v="1.17031"/>
    <n v="1.1704190000000001"/>
    <n v="1.0900000000000001E-4"/>
    <n v="1.1704399999999999"/>
    <n v="1.1706650000000001"/>
    <n v="2.2499999999999999E-4"/>
    <n v="1.1688799999999999"/>
    <n v="1.169611"/>
    <n v="7.3099999999999999E-4"/>
    <n v="1.16919"/>
    <n v="1.170161"/>
    <n v="9.7099999999999997E-4"/>
    <x v="0"/>
    <x v="1"/>
    <x v="1"/>
    <n v="1.56E-3"/>
  </r>
  <r>
    <x v="1"/>
    <x v="1"/>
    <n v="598"/>
    <x v="1"/>
    <x v="305"/>
    <d v="2018-07-25T14:00:00"/>
    <n v="1.16919"/>
    <n v="1.169055"/>
    <n v="1.35E-4"/>
    <n v="1.1698999999999999"/>
    <n v="1.169665"/>
    <n v="2.3499999999999999E-4"/>
    <n v="1.1689799999999999"/>
    <n v="1.168363"/>
    <n v="6.1700000000000004E-4"/>
    <n v="1.1694599999999999"/>
    <n v="1.1691560000000001"/>
    <n v="3.0400000000000002E-4"/>
    <x v="0"/>
    <x v="1"/>
    <x v="1"/>
    <n v="9.2000000000000003E-4"/>
  </r>
  <r>
    <x v="1"/>
    <x v="1"/>
    <n v="600"/>
    <x v="1"/>
    <x v="306"/>
    <d v="2018-07-25T15:00:00"/>
    <n v="1.1694800000000001"/>
    <n v="1.169532"/>
    <n v="5.1999999999999997E-5"/>
    <n v="1.1699299999999999"/>
    <n v="1.170407"/>
    <n v="4.7699999999999999E-4"/>
    <n v="1.1685099999999999"/>
    <n v="1.168898"/>
    <n v="3.88E-4"/>
    <n v="1.1698500000000001"/>
    <n v="1.169441"/>
    <n v="4.0900000000000002E-4"/>
    <x v="0"/>
    <x v="1"/>
    <x v="1"/>
    <n v="1.42E-3"/>
  </r>
  <r>
    <x v="1"/>
    <x v="1"/>
    <n v="602"/>
    <x v="1"/>
    <x v="307"/>
    <d v="2018-07-25T16:00:00"/>
    <n v="1.1698500000000001"/>
    <n v="1.1699390000000001"/>
    <n v="8.8999999999999995E-5"/>
    <n v="1.1711199999999999"/>
    <n v="1.170201"/>
    <n v="9.19E-4"/>
    <n v="1.1694100000000001"/>
    <n v="1.168766"/>
    <n v="6.4400000000000004E-4"/>
    <n v="1.1695599999999999"/>
    <n v="1.1697139999999999"/>
    <n v="1.54E-4"/>
    <x v="0"/>
    <x v="1"/>
    <x v="1"/>
    <n v="1.7099999999999999E-3"/>
  </r>
  <r>
    <x v="1"/>
    <x v="1"/>
    <n v="604"/>
    <x v="1"/>
    <x v="308"/>
    <d v="2018-07-25T17:00:00"/>
    <n v="1.1695599999999999"/>
    <n v="1.1695469999999999"/>
    <n v="1.2999999999999999E-5"/>
    <n v="1.1698"/>
    <n v="1.1705730000000001"/>
    <n v="7.7300000000000003E-4"/>
    <n v="1.1671"/>
    <n v="1.16917"/>
    <n v="2.0699999999999998E-3"/>
    <n v="1.1673899999999999"/>
    <n v="1.1695930000000001"/>
    <n v="2.2030000000000001E-3"/>
    <x v="0"/>
    <x v="1"/>
    <x v="1"/>
    <n v="2.7000000000000001E-3"/>
  </r>
  <r>
    <x v="1"/>
    <x v="1"/>
    <n v="606"/>
    <x v="1"/>
    <x v="309"/>
    <d v="2018-07-25T18:00:00"/>
    <n v="1.1673899999999999"/>
    <n v="1.167448"/>
    <n v="5.8E-5"/>
    <n v="1.1680699999999999"/>
    <n v="1.1687289999999999"/>
    <n v="6.5899999999999997E-4"/>
    <n v="1.16631"/>
    <n v="1.166596"/>
    <n v="2.8600000000000001E-4"/>
    <n v="1.16753"/>
    <n v="1.1673340000000001"/>
    <n v="1.9599999999999999E-4"/>
    <x v="0"/>
    <x v="1"/>
    <x v="1"/>
    <n v="1.7600000000000001E-3"/>
  </r>
  <r>
    <x v="1"/>
    <x v="1"/>
    <n v="608"/>
    <x v="1"/>
    <x v="310"/>
    <d v="2018-07-25T19:00:00"/>
    <n v="1.16754"/>
    <n v="1.1676420000000001"/>
    <n v="1.02E-4"/>
    <n v="1.16839"/>
    <n v="1.1685049999999999"/>
    <n v="1.15E-4"/>
    <n v="1.1667000000000001"/>
    <n v="1.16656"/>
    <n v="1.3999999999999999E-4"/>
    <n v="1.16778"/>
    <n v="1.167781"/>
    <n v="9.9999999999999995E-7"/>
    <x v="0"/>
    <x v="1"/>
    <x v="1"/>
    <n v="1.6900000000000001E-3"/>
  </r>
  <r>
    <x v="1"/>
    <x v="1"/>
    <n v="610"/>
    <x v="1"/>
    <x v="311"/>
    <d v="2018-07-25T20:00:00"/>
    <n v="1.16781"/>
    <n v="1.16777"/>
    <n v="4.0000000000000003E-5"/>
    <n v="1.16988"/>
    <n v="1.168288"/>
    <n v="1.5920000000000001E-3"/>
    <n v="1.16761"/>
    <n v="1.1667529999999999"/>
    <n v="8.5700000000000001E-4"/>
    <n v="1.16978"/>
    <n v="1.167697"/>
    <n v="2.0830000000000002E-3"/>
    <x v="0"/>
    <x v="1"/>
    <x v="1"/>
    <n v="2.2699999999999999E-3"/>
  </r>
  <r>
    <x v="1"/>
    <x v="1"/>
    <n v="612"/>
    <x v="1"/>
    <x v="312"/>
    <d v="2018-07-25T21:00:00"/>
    <n v="1.1698"/>
    <n v="1.1698200000000001"/>
    <n v="2.0000000000000002E-5"/>
    <n v="1.17113"/>
    <n v="1.1708590000000001"/>
    <n v="2.7099999999999997E-4"/>
    <n v="1.1693499999999999"/>
    <n v="1.1687320000000001"/>
    <n v="6.1799999999999995E-4"/>
    <n v="1.17001"/>
    <n v="1.1697770000000001"/>
    <n v="2.33E-4"/>
    <x v="0"/>
    <x v="1"/>
    <x v="1"/>
    <n v="1.7799999999999999E-3"/>
  </r>
  <r>
    <x v="1"/>
    <x v="1"/>
    <n v="614"/>
    <x v="1"/>
    <x v="313"/>
    <d v="2018-07-25T22:00:00"/>
    <n v="1.17"/>
    <n v="1.1700550000000001"/>
    <n v="5.5000000000000002E-5"/>
    <n v="1.1737899999999999"/>
    <n v="1.1710879999999999"/>
    <n v="2.702E-3"/>
    <n v="1.16981"/>
    <n v="1.1691480000000001"/>
    <n v="6.6200000000000005E-4"/>
    <n v="1.17303"/>
    <n v="1.1698569999999999"/>
    <n v="3.173E-3"/>
    <x v="0"/>
    <x v="1"/>
    <x v="1"/>
    <n v="3.98E-3"/>
  </r>
  <r>
    <x v="1"/>
    <x v="1"/>
    <n v="616"/>
    <x v="1"/>
    <x v="314"/>
    <d v="2018-07-25T23:00:00"/>
    <n v="1.1730400000000001"/>
    <n v="1.1728369999999999"/>
    <n v="2.03E-4"/>
    <n v="1.17364"/>
    <n v="1.174811"/>
    <n v="1.1709999999999999E-3"/>
    <n v="1.1716800000000001"/>
    <n v="1.1716580000000001"/>
    <n v="2.1999999999999999E-5"/>
    <n v="1.1727399999999999"/>
    <n v="1.1730659999999999"/>
    <n v="3.2600000000000001E-4"/>
    <x v="0"/>
    <x v="1"/>
    <x v="1"/>
    <n v="1.9599999999999999E-3"/>
  </r>
  <r>
    <x v="1"/>
    <x v="1"/>
    <n v="618"/>
    <x v="1"/>
    <x v="25"/>
    <d v="2018-07-26T00:00:00"/>
    <n v="1.1727000000000001"/>
    <n v="1.172701"/>
    <n v="9.9999999999999995E-7"/>
    <n v="1.17333"/>
    <n v="1.17378"/>
    <n v="4.4999999999999999E-4"/>
    <n v="1.1719999999999999"/>
    <n v="1.1714420000000001"/>
    <n v="5.5800000000000001E-4"/>
    <n v="1.17221"/>
    <n v="1.172825"/>
    <n v="6.1499999999999999E-4"/>
    <x v="0"/>
    <x v="1"/>
    <x v="1"/>
    <n v="1.33E-3"/>
  </r>
  <r>
    <x v="1"/>
    <x v="1"/>
    <n v="620"/>
    <x v="1"/>
    <x v="315"/>
    <d v="2018-07-26T01:00:00"/>
    <n v="1.1722399999999999"/>
    <n v="1.172142"/>
    <n v="9.7999999999999997E-5"/>
    <n v="1.1731199999999999"/>
    <n v="1.173041"/>
    <n v="7.8999999999999996E-5"/>
    <n v="1.1720999999999999"/>
    <n v="1.1715100000000001"/>
    <n v="5.9000000000000003E-4"/>
    <n v="1.1730700000000001"/>
    <n v="1.1721809999999999"/>
    <n v="8.8900000000000003E-4"/>
    <x v="0"/>
    <x v="1"/>
    <x v="1"/>
    <n v="1.0200000000000001E-3"/>
  </r>
  <r>
    <x v="1"/>
    <x v="1"/>
    <n v="622"/>
    <x v="1"/>
    <x v="316"/>
    <d v="2018-07-26T02:00:00"/>
    <n v="1.1730700000000001"/>
    <n v="1.173133"/>
    <n v="6.3E-5"/>
    <n v="1.17381"/>
    <n v="1.1739109999999999"/>
    <n v="1.01E-4"/>
    <n v="1.17306"/>
    <n v="1.172409"/>
    <n v="6.5099999999999999E-4"/>
    <n v="1.1737200000000001"/>
    <n v="1.1730940000000001"/>
    <n v="6.2600000000000004E-4"/>
    <x v="0"/>
    <x v="1"/>
    <x v="1"/>
    <n v="7.5000000000000002E-4"/>
  </r>
  <r>
    <x v="1"/>
    <x v="1"/>
    <n v="624"/>
    <x v="1"/>
    <x v="317"/>
    <d v="2018-07-26T03:00:00"/>
    <n v="1.1737299999999999"/>
    <n v="1.173718"/>
    <n v="1.2E-5"/>
    <n v="1.1738"/>
    <n v="1.174364"/>
    <n v="5.6400000000000005E-4"/>
    <n v="1.17299"/>
    <n v="1.1732229999999999"/>
    <n v="2.33E-4"/>
    <n v="1.17343"/>
    <n v="1.1738249999999999"/>
    <n v="3.9500000000000001E-4"/>
    <x v="0"/>
    <x v="1"/>
    <x v="1"/>
    <n v="8.0999999999999996E-4"/>
  </r>
  <r>
    <x v="1"/>
    <x v="1"/>
    <n v="626"/>
    <x v="1"/>
    <x v="318"/>
    <d v="2018-07-26T04:00:00"/>
    <n v="1.17344"/>
    <n v="1.1734039999999999"/>
    <n v="3.6000000000000001E-5"/>
    <n v="1.1742900000000001"/>
    <n v="1.173923"/>
    <n v="3.6699999999999998E-4"/>
    <n v="1.1729799999999999"/>
    <n v="1.1727179999999999"/>
    <n v="2.6200000000000003E-4"/>
    <n v="1.1733800000000001"/>
    <n v="1.173524"/>
    <n v="1.44E-4"/>
    <x v="0"/>
    <x v="1"/>
    <x v="1"/>
    <n v="1.31E-3"/>
  </r>
  <r>
    <x v="1"/>
    <x v="1"/>
    <n v="628"/>
    <x v="1"/>
    <x v="26"/>
    <d v="2018-07-26T05:00:00"/>
    <n v="1.1733499999999999"/>
    <n v="1.17337"/>
    <n v="2.0000000000000002E-5"/>
    <n v="1.1737299999999999"/>
    <n v="1.1738500000000001"/>
    <n v="1.2E-4"/>
    <n v="1.17289"/>
    <n v="1.1730400000000001"/>
    <n v="1.4999999999999999E-4"/>
    <n v="1.17347"/>
    <n v="1.173135"/>
    <n v="3.3500000000000001E-4"/>
    <x v="0"/>
    <x v="1"/>
    <x v="1"/>
    <n v="8.4000000000000003E-4"/>
  </r>
  <r>
    <x v="1"/>
    <x v="1"/>
    <n v="630"/>
    <x v="1"/>
    <x v="319"/>
    <d v="2018-07-26T06:00:00"/>
    <n v="1.1734800000000001"/>
    <n v="1.173502"/>
    <n v="2.1999999999999999E-5"/>
    <n v="1.1737899999999999"/>
    <n v="1.1739299999999999"/>
    <n v="1.3999999999999999E-4"/>
    <n v="1.1729400000000001"/>
    <n v="1.173251"/>
    <n v="3.1100000000000002E-4"/>
    <n v="1.17316"/>
    <n v="1.1736679999999999"/>
    <n v="5.0799999999999999E-4"/>
    <x v="0"/>
    <x v="1"/>
    <x v="1"/>
    <n v="8.4999999999999995E-4"/>
  </r>
  <r>
    <x v="1"/>
    <x v="1"/>
    <n v="632"/>
    <x v="1"/>
    <x v="320"/>
    <d v="2018-07-26T07:00:00"/>
    <n v="1.17317"/>
    <n v="1.173144"/>
    <n v="2.5999999999999998E-5"/>
    <n v="1.1734199999999999"/>
    <n v="1.1735310000000001"/>
    <n v="1.11E-4"/>
    <n v="1.17293"/>
    <n v="1.172866"/>
    <n v="6.3999999999999997E-5"/>
    <n v="1.17306"/>
    <n v="1.1732039999999999"/>
    <n v="1.44E-4"/>
    <x v="0"/>
    <x v="1"/>
    <x v="1"/>
    <n v="4.8999999999999998E-4"/>
  </r>
  <r>
    <x v="1"/>
    <x v="1"/>
    <n v="634"/>
    <x v="1"/>
    <x v="321"/>
    <d v="2018-07-26T08:00:00"/>
    <n v="1.1730700000000001"/>
    <n v="1.1731180000000001"/>
    <n v="4.8000000000000001E-5"/>
    <n v="1.1737"/>
    <n v="1.173732"/>
    <n v="3.1999999999999999E-5"/>
    <n v="1.1726000000000001"/>
    <n v="1.17293"/>
    <n v="3.3E-4"/>
    <n v="1.17336"/>
    <n v="1.173152"/>
    <n v="2.0799999999999999E-4"/>
    <x v="0"/>
    <x v="1"/>
    <x v="1"/>
    <n v="1.1000000000000001E-3"/>
  </r>
  <r>
    <x v="1"/>
    <x v="1"/>
    <n v="636"/>
    <x v="1"/>
    <x v="322"/>
    <d v="2018-07-26T09:00:00"/>
    <n v="1.1733499999999999"/>
    <n v="1.1734039999999999"/>
    <n v="5.3999999999999998E-5"/>
    <n v="1.17422"/>
    <n v="1.173845"/>
    <n v="3.7500000000000001E-4"/>
    <n v="1.17228"/>
    <n v="1.1725449999999999"/>
    <n v="2.6499999999999999E-4"/>
    <n v="1.1724300000000001"/>
    <n v="1.1732290000000001"/>
    <n v="7.9900000000000001E-4"/>
    <x v="0"/>
    <x v="1"/>
    <x v="1"/>
    <n v="1.9400000000000001E-3"/>
  </r>
  <r>
    <x v="1"/>
    <x v="1"/>
    <n v="638"/>
    <x v="1"/>
    <x v="323"/>
    <d v="2018-07-26T10:00:00"/>
    <n v="1.17241"/>
    <n v="1.1723840000000001"/>
    <n v="2.5999999999999998E-5"/>
    <n v="1.1737599999999999"/>
    <n v="1.173791"/>
    <n v="3.1000000000000001E-5"/>
    <n v="1.1721699999999999"/>
    <n v="1.171767"/>
    <n v="4.0299999999999998E-4"/>
    <n v="1.17269"/>
    <n v="1.1723380000000001"/>
    <n v="3.5199999999999999E-4"/>
    <x v="0"/>
    <x v="1"/>
    <x v="1"/>
    <n v="1.5900000000000001E-3"/>
  </r>
  <r>
    <x v="1"/>
    <x v="1"/>
    <n v="640"/>
    <x v="1"/>
    <x v="324"/>
    <d v="2018-07-26T11:00:00"/>
    <n v="1.1727000000000001"/>
    <n v="1.172831"/>
    <n v="1.3100000000000001E-4"/>
    <n v="1.1727300000000001"/>
    <n v="1.1740079999999999"/>
    <n v="1.2780000000000001E-3"/>
    <n v="1.17099"/>
    <n v="1.172428"/>
    <n v="1.438E-3"/>
    <n v="1.17127"/>
    <n v="1.172668"/>
    <n v="1.3979999999999999E-3"/>
    <x v="0"/>
    <x v="1"/>
    <x v="1"/>
    <n v="1.74E-3"/>
  </r>
  <r>
    <x v="1"/>
    <x v="1"/>
    <n v="642"/>
    <x v="1"/>
    <x v="325"/>
    <d v="2018-07-26T12:00:00"/>
    <n v="1.1712800000000001"/>
    <n v="1.1711590000000001"/>
    <n v="1.21E-4"/>
    <n v="1.1716500000000001"/>
    <n v="1.172007"/>
    <n v="3.57E-4"/>
    <n v="1.17049"/>
    <n v="1.1705559999999999"/>
    <n v="6.6000000000000005E-5"/>
    <n v="1.1714"/>
    <n v="1.17136"/>
    <n v="4.0000000000000003E-5"/>
    <x v="0"/>
    <x v="1"/>
    <x v="1"/>
    <n v="1.16E-3"/>
  </r>
  <r>
    <x v="1"/>
    <x v="1"/>
    <n v="644"/>
    <x v="1"/>
    <x v="326"/>
    <d v="2018-07-26T13:00:00"/>
    <n v="1.1713899999999999"/>
    <n v="1.1713020000000001"/>
    <n v="8.7999999999999998E-5"/>
    <n v="1.1716500000000001"/>
    <n v="1.171643"/>
    <n v="6.9999999999999999E-6"/>
    <n v="1.1706399999999999"/>
    <n v="1.170469"/>
    <n v="1.7100000000000001E-4"/>
    <n v="1.1710400000000001"/>
    <n v="1.1712739999999999"/>
    <n v="2.34E-4"/>
    <x v="0"/>
    <x v="1"/>
    <x v="1"/>
    <n v="1.01E-3"/>
  </r>
  <r>
    <x v="1"/>
    <x v="1"/>
    <n v="646"/>
    <x v="1"/>
    <x v="327"/>
    <d v="2018-07-26T14:00:00"/>
    <n v="1.17103"/>
    <n v="1.1710039999999999"/>
    <n v="2.5999999999999998E-5"/>
    <n v="1.17164"/>
    <n v="1.1717150000000001"/>
    <n v="7.4999999999999993E-5"/>
    <n v="1.1705399999999999"/>
    <n v="1.1704490000000001"/>
    <n v="9.1000000000000003E-5"/>
    <n v="1.1709499999999999"/>
    <n v="1.171189"/>
    <n v="2.3900000000000001E-4"/>
    <x v="0"/>
    <x v="1"/>
    <x v="1"/>
    <n v="1.1000000000000001E-3"/>
  </r>
  <r>
    <x v="1"/>
    <x v="1"/>
    <n v="648"/>
    <x v="1"/>
    <x v="328"/>
    <d v="2018-07-26T15:00:00"/>
    <n v="1.1709499999999999"/>
    <n v="1.1709670000000001"/>
    <n v="1.7E-5"/>
    <n v="1.1729799999999999"/>
    <n v="1.171592"/>
    <n v="1.3879999999999999E-3"/>
    <n v="1.1691100000000001"/>
    <n v="1.1703859999999999"/>
    <n v="1.276E-3"/>
    <n v="1.1693499999999999"/>
    <n v="1.170871"/>
    <n v="1.521E-3"/>
    <x v="0"/>
    <x v="1"/>
    <x v="1"/>
    <n v="3.8700000000000002E-3"/>
  </r>
  <r>
    <x v="1"/>
    <x v="1"/>
    <n v="650"/>
    <x v="1"/>
    <x v="329"/>
    <d v="2018-07-26T16:00:00"/>
    <n v="1.1693199999999999"/>
    <n v="1.169392"/>
    <n v="7.2000000000000002E-5"/>
    <n v="1.16991"/>
    <n v="1.1715660000000001"/>
    <n v="1.6559999999999999E-3"/>
    <n v="1.1672100000000001"/>
    <n v="1.1687259999999999"/>
    <n v="1.516E-3"/>
    <n v="1.16812"/>
    <n v="1.169262"/>
    <n v="1.142E-3"/>
    <x v="0"/>
    <x v="1"/>
    <x v="1"/>
    <n v="2.7000000000000001E-3"/>
  </r>
  <r>
    <x v="1"/>
    <x v="1"/>
    <n v="652"/>
    <x v="1"/>
    <x v="330"/>
    <d v="2018-07-26T17:00:00"/>
    <n v="1.1681299999999999"/>
    <n v="1.16818"/>
    <n v="5.0000000000000002E-5"/>
    <n v="1.1681299999999999"/>
    <n v="1.1697630000000001"/>
    <n v="1.6329999999999999E-3"/>
    <n v="1.16513"/>
    <n v="1.166982"/>
    <n v="1.8519999999999999E-3"/>
    <n v="1.1657999999999999"/>
    <n v="1.1682140000000001"/>
    <n v="2.4139999999999999E-3"/>
    <x v="0"/>
    <x v="1"/>
    <x v="1"/>
    <n v="3.0000000000000001E-3"/>
  </r>
  <r>
    <x v="1"/>
    <x v="1"/>
    <n v="654"/>
    <x v="1"/>
    <x v="331"/>
    <d v="2018-07-26T18:00:00"/>
    <n v="1.1657999999999999"/>
    <n v="1.1657189999999999"/>
    <n v="8.1000000000000004E-5"/>
    <n v="1.1667099999999999"/>
    <n v="1.166841"/>
    <n v="1.3100000000000001E-4"/>
    <n v="1.1649400000000001"/>
    <n v="1.164139"/>
    <n v="8.0099999999999995E-4"/>
    <n v="1.16533"/>
    <n v="1.1659060000000001"/>
    <n v="5.7600000000000001E-4"/>
    <x v="0"/>
    <x v="1"/>
    <x v="1"/>
    <n v="1.7700000000000001E-3"/>
  </r>
  <r>
    <x v="1"/>
    <x v="1"/>
    <n v="656"/>
    <x v="1"/>
    <x v="332"/>
    <d v="2018-07-26T19:00:00"/>
    <n v="1.1653"/>
    <n v="1.165349"/>
    <n v="4.8999999999999998E-5"/>
    <n v="1.16659"/>
    <n v="1.16648"/>
    <n v="1.1E-4"/>
    <n v="1.1648400000000001"/>
    <n v="1.1647240000000001"/>
    <n v="1.16E-4"/>
    <n v="1.1662300000000001"/>
    <n v="1.165333"/>
    <n v="8.9700000000000001E-4"/>
    <x v="0"/>
    <x v="1"/>
    <x v="1"/>
    <n v="1.75E-3"/>
  </r>
  <r>
    <x v="1"/>
    <x v="1"/>
    <n v="658"/>
    <x v="1"/>
    <x v="333"/>
    <d v="2018-07-26T20:00:00"/>
    <n v="1.1662600000000001"/>
    <n v="1.166266"/>
    <n v="6.0000000000000002E-6"/>
    <n v="1.16635"/>
    <n v="1.1671860000000001"/>
    <n v="8.3600000000000005E-4"/>
    <n v="1.1653199999999999"/>
    <n v="1.1653370000000001"/>
    <n v="1.7E-5"/>
    <n v="1.1655599999999999"/>
    <n v="1.1663190000000001"/>
    <n v="7.5900000000000002E-4"/>
    <x v="0"/>
    <x v="1"/>
    <x v="1"/>
    <n v="1.0300000000000001E-3"/>
  </r>
  <r>
    <x v="1"/>
    <x v="1"/>
    <n v="660"/>
    <x v="1"/>
    <x v="334"/>
    <d v="2018-07-26T21:00:00"/>
    <n v="1.1655800000000001"/>
    <n v="1.1655599999999999"/>
    <n v="2.0000000000000002E-5"/>
    <n v="1.1656299999999999"/>
    <n v="1.1661649999999999"/>
    <n v="5.3499999999999999E-4"/>
    <n v="1.16395"/>
    <n v="1.164571"/>
    <n v="6.2100000000000002E-4"/>
    <n v="1.1644300000000001"/>
    <n v="1.16543"/>
    <n v="1E-3"/>
    <x v="0"/>
    <x v="1"/>
    <x v="1"/>
    <n v="1.6800000000000001E-3"/>
  </r>
  <r>
    <x v="1"/>
    <x v="1"/>
    <n v="662"/>
    <x v="1"/>
    <x v="335"/>
    <d v="2018-07-26T22:00:00"/>
    <n v="1.16442"/>
    <n v="1.164469"/>
    <n v="4.8999999999999998E-5"/>
    <n v="1.16475"/>
    <n v="1.1651940000000001"/>
    <n v="4.44E-4"/>
    <n v="1.1639999999999999"/>
    <n v="1.163689"/>
    <n v="3.1100000000000002E-4"/>
    <n v="1.16414"/>
    <n v="1.16452"/>
    <n v="3.8000000000000002E-4"/>
    <x v="0"/>
    <x v="1"/>
    <x v="1"/>
    <n v="7.5000000000000002E-4"/>
  </r>
  <r>
    <x v="2"/>
    <x v="2"/>
    <n v="-1"/>
    <x v="0"/>
    <x v="17"/>
    <d v="1970-01-01T00:00:00"/>
    <n v="1.1747099999999999"/>
    <n v="1.1736470000000001"/>
    <n v="1.0629999999999999E-3"/>
    <n v="1.17513"/>
    <n v="1.174296"/>
    <n v="8.34E-4"/>
    <n v="1.17452"/>
    <n v="1.1737310000000001"/>
    <n v="7.8899999999999999E-4"/>
    <n v="1.17479"/>
    <n v="1.17415"/>
    <n v="6.4000000000000005E-4"/>
    <x v="0"/>
    <x v="1"/>
    <x v="1"/>
    <n v="6.0999999999999997E-4"/>
  </r>
  <r>
    <x v="2"/>
    <x v="2"/>
    <n v="-1"/>
    <x v="0"/>
    <x v="29"/>
    <d v="1970-01-01T00:00:00"/>
    <n v="1.1777"/>
    <n v="1.1738440000000001"/>
    <n v="3.8560000000000001E-3"/>
    <n v="1.17832"/>
    <n v="1.1748289999999999"/>
    <n v="3.4910000000000002E-3"/>
    <n v="1.17561"/>
    <n v="1.1737150000000001"/>
    <n v="1.895E-3"/>
    <n v="1.1758200000000001"/>
    <n v="1.1747000000000001"/>
    <n v="1.1199999999999999E-3"/>
    <x v="0"/>
    <x v="1"/>
    <x v="1"/>
    <n v="2.7100000000000002E-3"/>
  </r>
  <r>
    <x v="2"/>
    <x v="2"/>
    <n v="-1"/>
    <x v="0"/>
    <x v="28"/>
    <d v="1970-01-01T00:00:00"/>
    <n v="1.17683"/>
    <n v="1.1739280000000001"/>
    <n v="2.9020000000000001E-3"/>
    <n v="1.1773400000000001"/>
    <n v="1.175956"/>
    <n v="1.384E-3"/>
    <n v="1.1761699999999999"/>
    <n v="1.173907"/>
    <n v="2.2629999999999998E-3"/>
    <n v="1.1772899999999999"/>
    <n v="1.1756070000000001"/>
    <n v="1.683E-3"/>
    <x v="0"/>
    <x v="1"/>
    <x v="1"/>
    <n v="1.17E-3"/>
  </r>
  <r>
    <x v="2"/>
    <x v="2"/>
    <n v="-1"/>
    <x v="0"/>
    <x v="27"/>
    <m/>
    <n v="1.1741900000000001"/>
    <m/>
    <m/>
    <n v="1.1747399999999999"/>
    <m/>
    <m/>
    <n v="1.17391"/>
    <m/>
    <m/>
    <n v="1.1741299999999999"/>
    <m/>
    <m/>
    <x v="0"/>
    <x v="0"/>
    <x v="0"/>
    <n v="8.3000000000000001E-4"/>
  </r>
  <r>
    <x v="2"/>
    <x v="2"/>
    <n v="2"/>
    <x v="0"/>
    <x v="34"/>
    <d v="1970-01-01T00:00:00"/>
    <n v="1.1738900000000001"/>
    <n v="1.1763220000000001"/>
    <n v="2.4320000000000001E-3"/>
    <n v="1.1752"/>
    <n v="1.17737"/>
    <n v="2.1700000000000001E-3"/>
    <n v="1.17388"/>
    <n v="1.175529"/>
    <n v="1.6490000000000001E-3"/>
    <n v="1.1746099999999999"/>
    <n v="1.1772879999999999"/>
    <n v="2.6779999999999998E-3"/>
    <x v="0"/>
    <x v="1"/>
    <x v="1"/>
    <n v="1.32E-3"/>
  </r>
  <r>
    <x v="2"/>
    <x v="2"/>
    <n v="4"/>
    <x v="0"/>
    <x v="35"/>
    <d v="2018-07-09T01:00:00"/>
    <n v="1.1746099999999999"/>
    <n v="1.1736120000000001"/>
    <n v="9.9799999999999997E-4"/>
    <n v="1.1753199999999999"/>
    <n v="1.175273"/>
    <n v="4.6999999999999997E-5"/>
    <n v="1.1744000000000001"/>
    <n v="1.174013"/>
    <n v="3.8699999999999997E-4"/>
    <n v="1.1749400000000001"/>
    <n v="1.1748670000000001"/>
    <n v="7.2999999999999999E-5"/>
    <x v="0"/>
    <x v="1"/>
    <x v="1"/>
    <n v="9.2000000000000003E-4"/>
  </r>
  <r>
    <x v="2"/>
    <x v="2"/>
    <n v="6"/>
    <x v="0"/>
    <x v="36"/>
    <d v="2018-07-09T02:00:00"/>
    <n v="1.17493"/>
    <n v="1.1719550000000001"/>
    <n v="2.9750000000000002E-3"/>
    <n v="1.1751799999999999"/>
    <n v="1.1739250000000001"/>
    <n v="1.255E-3"/>
    <n v="1.17428"/>
    <n v="1.1726669999999999"/>
    <n v="1.6130000000000001E-3"/>
    <n v="1.1751"/>
    <n v="1.174722"/>
    <n v="3.7800000000000003E-4"/>
    <x v="0"/>
    <x v="1"/>
    <x v="1"/>
    <n v="8.9999999999999998E-4"/>
  </r>
  <r>
    <x v="2"/>
    <x v="2"/>
    <n v="8"/>
    <x v="0"/>
    <x v="37"/>
    <d v="2018-07-09T03:00:00"/>
    <n v="1.1750799999999999"/>
    <n v="1.1736409999999999"/>
    <n v="1.439E-3"/>
    <n v="1.17584"/>
    <n v="1.174598"/>
    <n v="1.242E-3"/>
    <n v="1.1749000000000001"/>
    <n v="1.173508"/>
    <n v="1.392E-3"/>
    <n v="1.1755"/>
    <n v="1.175054"/>
    <n v="4.46E-4"/>
    <x v="0"/>
    <x v="1"/>
    <x v="1"/>
    <n v="9.3999999999999997E-4"/>
  </r>
  <r>
    <x v="2"/>
    <x v="2"/>
    <n v="10"/>
    <x v="0"/>
    <x v="38"/>
    <d v="2018-07-09T04:00:00"/>
    <n v="1.1755100000000001"/>
    <n v="1.175136"/>
    <n v="3.7399999999999998E-4"/>
    <n v="1.17666"/>
    <n v="1.1759010000000001"/>
    <n v="7.5900000000000002E-4"/>
    <n v="1.17496"/>
    <n v="1.1748609999999999"/>
    <n v="9.8999999999999994E-5"/>
    <n v="1.17639"/>
    <n v="1.175421"/>
    <n v="9.6900000000000003E-4"/>
    <x v="0"/>
    <x v="1"/>
    <x v="1"/>
    <n v="1.6999999999999999E-3"/>
  </r>
  <r>
    <x v="2"/>
    <x v="2"/>
    <n v="12"/>
    <x v="0"/>
    <x v="39"/>
    <d v="2018-07-09T05:00:00"/>
    <n v="1.17639"/>
    <n v="1.17717"/>
    <n v="7.7999999999999999E-4"/>
    <n v="1.17641"/>
    <n v="1.177408"/>
    <n v="9.9799999999999997E-4"/>
    <n v="1.1756200000000001"/>
    <n v="1.176018"/>
    <n v="3.9800000000000002E-4"/>
    <n v="1.1758999999999999"/>
    <n v="1.1764289999999999"/>
    <n v="5.2899999999999996E-4"/>
    <x v="0"/>
    <x v="1"/>
    <x v="1"/>
    <n v="7.9000000000000001E-4"/>
  </r>
  <r>
    <x v="2"/>
    <x v="2"/>
    <n v="14"/>
    <x v="0"/>
    <x v="40"/>
    <d v="2018-07-09T06:00:00"/>
    <n v="1.17587"/>
    <n v="1.1742189999999999"/>
    <n v="1.6509999999999999E-3"/>
    <n v="1.17652"/>
    <n v="1.1753260000000001"/>
    <n v="1.194E-3"/>
    <n v="1.17564"/>
    <n v="1.174274"/>
    <n v="1.366E-3"/>
    <n v="1.1762600000000001"/>
    <n v="1.1758630000000001"/>
    <n v="3.97E-4"/>
    <x v="0"/>
    <x v="1"/>
    <x v="1"/>
    <n v="8.8000000000000003E-4"/>
  </r>
  <r>
    <x v="2"/>
    <x v="2"/>
    <n v="16"/>
    <x v="0"/>
    <x v="41"/>
    <d v="2018-07-09T07:00:00"/>
    <n v="1.17625"/>
    <n v="1.1761809999999999"/>
    <n v="6.8999999999999997E-5"/>
    <n v="1.17642"/>
    <n v="1.176971"/>
    <n v="5.5099999999999995E-4"/>
    <n v="1.1759200000000001"/>
    <n v="1.1755770000000001"/>
    <n v="3.4299999999999999E-4"/>
    <n v="1.1760600000000001"/>
    <n v="1.1762330000000001"/>
    <n v="1.73E-4"/>
    <x v="0"/>
    <x v="1"/>
    <x v="1"/>
    <n v="5.0000000000000001E-4"/>
  </r>
  <r>
    <x v="2"/>
    <x v="2"/>
    <n v="18"/>
    <x v="0"/>
    <x v="42"/>
    <d v="2018-07-09T08:00:00"/>
    <n v="1.17604"/>
    <n v="1.1745639999999999"/>
    <n v="1.4760000000000001E-3"/>
    <n v="1.1769099999999999"/>
    <n v="1.175667"/>
    <n v="1.243E-3"/>
    <n v="1.17557"/>
    <n v="1.1745099999999999"/>
    <n v="1.06E-3"/>
    <n v="1.1768799999999999"/>
    <n v="1.175813"/>
    <n v="1.067E-3"/>
    <x v="0"/>
    <x v="1"/>
    <x v="1"/>
    <n v="1.34E-3"/>
  </r>
  <r>
    <x v="2"/>
    <x v="2"/>
    <n v="20"/>
    <x v="0"/>
    <x v="43"/>
    <d v="2018-07-09T09:00:00"/>
    <n v="1.1768700000000001"/>
    <n v="1.1768689999999999"/>
    <n v="9.9999999999999995E-7"/>
    <n v="1.1778599999999999"/>
    <n v="1.1774100000000001"/>
    <n v="4.4999999999999999E-4"/>
    <n v="1.17611"/>
    <n v="1.176323"/>
    <n v="2.13E-4"/>
    <n v="1.17638"/>
    <n v="1.177074"/>
    <n v="6.9399999999999996E-4"/>
    <x v="0"/>
    <x v="1"/>
    <x v="1"/>
    <n v="1.75E-3"/>
  </r>
  <r>
    <x v="2"/>
    <x v="2"/>
    <n v="22"/>
    <x v="0"/>
    <x v="44"/>
    <d v="2018-07-09T10:00:00"/>
    <n v="1.1763600000000001"/>
    <n v="1.175416"/>
    <n v="9.4399999999999996E-4"/>
    <n v="1.1771499999999999"/>
    <n v="1.17706"/>
    <n v="9.0000000000000006E-5"/>
    <n v="1.1749400000000001"/>
    <n v="1.1752590000000001"/>
    <n v="3.19E-4"/>
    <n v="1.17686"/>
    <n v="1.1762729999999999"/>
    <n v="5.8699999999999996E-4"/>
    <x v="0"/>
    <x v="1"/>
    <x v="1"/>
    <n v="2.2100000000000002E-3"/>
  </r>
  <r>
    <x v="2"/>
    <x v="2"/>
    <n v="24"/>
    <x v="0"/>
    <x v="45"/>
    <d v="2018-07-09T11:00:00"/>
    <n v="1.1768700000000001"/>
    <n v="1.1758630000000001"/>
    <n v="1.0070000000000001E-3"/>
    <n v="1.17805"/>
    <n v="1.1768130000000001"/>
    <n v="1.237E-3"/>
    <n v="1.17648"/>
    <n v="1.1750499999999999"/>
    <n v="1.4300000000000001E-3"/>
    <n v="1.1771499999999999"/>
    <n v="1.1768289999999999"/>
    <n v="3.21E-4"/>
    <x v="0"/>
    <x v="1"/>
    <x v="1"/>
    <n v="1.57E-3"/>
  </r>
  <r>
    <x v="2"/>
    <x v="2"/>
    <n v="26"/>
    <x v="0"/>
    <x v="46"/>
    <d v="2018-07-09T12:00:00"/>
    <n v="1.1771499999999999"/>
    <n v="1.1762619999999999"/>
    <n v="8.8800000000000001E-4"/>
    <n v="1.17746"/>
    <n v="1.1773739999999999"/>
    <n v="8.6000000000000003E-5"/>
    <n v="1.17621"/>
    <n v="1.175737"/>
    <n v="4.73E-4"/>
    <n v="1.1768400000000001"/>
    <n v="1.1768449999999999"/>
    <n v="5.0000000000000004E-6"/>
    <x v="0"/>
    <x v="1"/>
    <x v="1"/>
    <n v="1.25E-3"/>
  </r>
  <r>
    <x v="2"/>
    <x v="2"/>
    <n v="28"/>
    <x v="0"/>
    <x v="47"/>
    <d v="2018-07-09T13:00:00"/>
    <n v="1.1772899999999999"/>
    <n v="1.1756439999999999"/>
    <n v="1.6459999999999999E-3"/>
    <n v="1.1788099999999999"/>
    <n v="1.17675"/>
    <n v="2.0600000000000002E-3"/>
    <n v="1.17692"/>
    <n v="1.175273"/>
    <n v="1.647E-3"/>
    <n v="1.1782300000000001"/>
    <n v="1.176682"/>
    <n v="1.5479999999999999E-3"/>
    <x v="0"/>
    <x v="1"/>
    <x v="1"/>
    <n v="1.89E-3"/>
  </r>
  <r>
    <x v="2"/>
    <x v="2"/>
    <n v="30"/>
    <x v="0"/>
    <x v="48"/>
    <d v="2018-07-09T15:00:00"/>
    <n v="1.17818"/>
    <n v="1.177319"/>
    <n v="8.61E-4"/>
    <n v="1.179"/>
    <n v="1.1788909999999999"/>
    <n v="1.0900000000000001E-4"/>
    <n v="1.1775500000000001"/>
    <n v="1.176769"/>
    <n v="7.8100000000000001E-4"/>
    <n v="1.1776800000000001"/>
    <n v="1.178213"/>
    <n v="5.3300000000000005E-4"/>
    <x v="0"/>
    <x v="1"/>
    <x v="1"/>
    <n v="1.4499999999999999E-3"/>
  </r>
  <r>
    <x v="2"/>
    <x v="2"/>
    <n v="32"/>
    <x v="0"/>
    <x v="49"/>
    <d v="2018-07-09T16:00:00"/>
    <n v="1.17584"/>
    <n v="1.176933"/>
    <n v="1.093E-3"/>
    <n v="1.1763999999999999"/>
    <n v="1.178337"/>
    <n v="1.9369999999999999E-3"/>
    <n v="1.1745300000000001"/>
    <n v="1.1766129999999999"/>
    <n v="2.0830000000000002E-3"/>
    <n v="1.1757899999999999"/>
    <n v="1.177549"/>
    <n v="1.7589999999999999E-3"/>
    <x v="0"/>
    <x v="1"/>
    <x v="1"/>
    <n v="1.8699999999999999E-3"/>
  </r>
  <r>
    <x v="2"/>
    <x v="2"/>
    <n v="34"/>
    <x v="0"/>
    <x v="50"/>
    <d v="2018-07-09T18:00:00"/>
    <n v="1.17578"/>
    <n v="1.175594"/>
    <n v="1.8599999999999999E-4"/>
    <n v="1.17611"/>
    <n v="1.176396"/>
    <n v="2.8600000000000001E-4"/>
    <n v="1.1739999999999999"/>
    <n v="1.1745300000000001"/>
    <n v="5.2999999999999998E-4"/>
    <n v="1.1743699999999999"/>
    <n v="1.175726"/>
    <n v="1.356E-3"/>
    <x v="0"/>
    <x v="1"/>
    <x v="1"/>
    <n v="2.1099999999999999E-3"/>
  </r>
  <r>
    <x v="2"/>
    <x v="2"/>
    <n v="36"/>
    <x v="0"/>
    <x v="51"/>
    <d v="2018-07-09T19:00:00"/>
    <n v="1.17438"/>
    <n v="1.1721189999999999"/>
    <n v="2.261E-3"/>
    <n v="1.1750100000000001"/>
    <n v="1.1740950000000001"/>
    <n v="9.1500000000000001E-4"/>
    <n v="1.17411"/>
    <n v="1.1720839999999999"/>
    <n v="2.026E-3"/>
    <n v="1.1745699999999999"/>
    <n v="1.174409"/>
    <n v="1.6100000000000001E-4"/>
    <x v="0"/>
    <x v="1"/>
    <x v="1"/>
    <n v="8.9999999999999998E-4"/>
  </r>
  <r>
    <x v="2"/>
    <x v="2"/>
    <n v="38"/>
    <x v="0"/>
    <x v="52"/>
    <d v="2018-07-09T20:00:00"/>
    <n v="1.17462"/>
    <n v="1.1744779999999999"/>
    <n v="1.4200000000000001E-4"/>
    <n v="1.17499"/>
    <n v="1.1754359999999999"/>
    <n v="4.46E-4"/>
    <n v="1.17319"/>
    <n v="1.1737390000000001"/>
    <n v="5.4900000000000001E-4"/>
    <n v="1.17469"/>
    <n v="1.174471"/>
    <n v="2.1900000000000001E-4"/>
    <x v="0"/>
    <x v="1"/>
    <x v="1"/>
    <n v="1.8E-3"/>
  </r>
  <r>
    <x v="2"/>
    <x v="2"/>
    <n v="40"/>
    <x v="0"/>
    <x v="53"/>
    <d v="2018-07-09T21:00:00"/>
    <n v="1.1747399999999999"/>
    <n v="1.17371"/>
    <n v="1.0300000000000001E-3"/>
    <n v="1.1753899999999999"/>
    <n v="1.1743920000000001"/>
    <n v="9.9799999999999997E-4"/>
    <n v="1.17401"/>
    <n v="1.1726270000000001"/>
    <n v="1.3829999999999999E-3"/>
    <n v="1.17452"/>
    <n v="1.1745129999999999"/>
    <n v="6.9999999999999999E-6"/>
    <x v="0"/>
    <x v="1"/>
    <x v="1"/>
    <n v="1.3799999999999999E-3"/>
  </r>
  <r>
    <x v="3"/>
    <x v="3"/>
    <n v="-1"/>
    <x v="1"/>
    <x v="27"/>
    <m/>
    <n v="1.1741900000000001"/>
    <m/>
    <m/>
    <n v="1.1747399999999999"/>
    <m/>
    <m/>
    <n v="1.17391"/>
    <m/>
    <m/>
    <n v="1.1741299999999999"/>
    <m/>
    <m/>
    <x v="0"/>
    <x v="0"/>
    <x v="0"/>
    <n v="8.3000000000000001E-4"/>
  </r>
  <r>
    <x v="3"/>
    <x v="3"/>
    <n v="2"/>
    <x v="1"/>
    <x v="34"/>
    <d v="1970-01-01T00:00:00"/>
    <n v="1.1738900000000001"/>
    <n v="1.1741239999999999"/>
    <n v="2.34E-4"/>
    <n v="1.1752"/>
    <n v="1.1745620000000001"/>
    <n v="6.38E-4"/>
    <n v="1.17388"/>
    <n v="1.1739900000000001"/>
    <n v="1.1E-4"/>
    <n v="1.1746099999999999"/>
    <n v="1.174183"/>
    <n v="4.2700000000000002E-4"/>
    <x v="0"/>
    <x v="1"/>
    <x v="1"/>
    <n v="1.32E-3"/>
  </r>
  <r>
    <x v="3"/>
    <x v="3"/>
    <n v="4"/>
    <x v="1"/>
    <x v="35"/>
    <d v="2018-07-09T01:00:00"/>
    <n v="1.1746099999999999"/>
    <n v="1.17442"/>
    <n v="1.9000000000000001E-4"/>
    <n v="1.1753199999999999"/>
    <n v="1.1756089999999999"/>
    <n v="2.8899999999999998E-4"/>
    <n v="1.1744000000000001"/>
    <n v="1.1744429999999999"/>
    <n v="4.3000000000000002E-5"/>
    <n v="1.1749400000000001"/>
    <n v="1.1749039999999999"/>
    <n v="3.6000000000000001E-5"/>
    <x v="0"/>
    <x v="1"/>
    <x v="1"/>
    <n v="9.2000000000000003E-4"/>
  </r>
  <r>
    <x v="3"/>
    <x v="3"/>
    <n v="6"/>
    <x v="1"/>
    <x v="36"/>
    <d v="2018-07-09T02:00:00"/>
    <n v="1.17493"/>
    <n v="1.1748460000000001"/>
    <n v="8.3999999999999995E-5"/>
    <n v="1.1751799999999999"/>
    <n v="1.1755359999999999"/>
    <n v="3.5599999999999998E-4"/>
    <n v="1.17428"/>
    <n v="1.1745369999999999"/>
    <n v="2.5700000000000001E-4"/>
    <n v="1.1751"/>
    <n v="1.1749019999999999"/>
    <n v="1.9799999999999999E-4"/>
    <x v="0"/>
    <x v="1"/>
    <x v="1"/>
    <n v="8.9999999999999998E-4"/>
  </r>
  <r>
    <x v="3"/>
    <x v="3"/>
    <n v="8"/>
    <x v="1"/>
    <x v="37"/>
    <d v="2018-07-09T03:00:00"/>
    <n v="1.1750799999999999"/>
    <n v="1.175106"/>
    <n v="2.5999999999999998E-5"/>
    <n v="1.17584"/>
    <n v="1.1754720000000001"/>
    <n v="3.68E-4"/>
    <n v="1.1749000000000001"/>
    <n v="1.1744220000000001"/>
    <n v="4.7800000000000002E-4"/>
    <n v="1.1755"/>
    <n v="1.1751199999999999"/>
    <n v="3.8000000000000002E-4"/>
    <x v="0"/>
    <x v="1"/>
    <x v="1"/>
    <n v="9.3999999999999997E-4"/>
  </r>
  <r>
    <x v="3"/>
    <x v="3"/>
    <n v="10"/>
    <x v="1"/>
    <x v="38"/>
    <d v="2018-07-09T04:00:00"/>
    <n v="1.1755100000000001"/>
    <n v="1.1754249999999999"/>
    <n v="8.5000000000000006E-5"/>
    <n v="1.17666"/>
    <n v="1.175953"/>
    <n v="7.0699999999999995E-4"/>
    <n v="1.17496"/>
    <n v="1.1750959999999999"/>
    <n v="1.36E-4"/>
    <n v="1.17639"/>
    <n v="1.175457"/>
    <n v="9.3300000000000002E-4"/>
    <x v="0"/>
    <x v="1"/>
    <x v="1"/>
    <n v="1.6999999999999999E-3"/>
  </r>
  <r>
    <x v="3"/>
    <x v="3"/>
    <n v="12"/>
    <x v="1"/>
    <x v="39"/>
    <d v="2018-07-09T05:00:00"/>
    <n v="1.17639"/>
    <n v="1.1762570000000001"/>
    <n v="1.3300000000000001E-4"/>
    <n v="1.17641"/>
    <n v="1.1768460000000001"/>
    <n v="4.3600000000000003E-4"/>
    <n v="1.1756200000000001"/>
    <n v="1.1755580000000001"/>
    <n v="6.2000000000000003E-5"/>
    <n v="1.1758999999999999"/>
    <n v="1.176415"/>
    <n v="5.1500000000000005E-4"/>
    <x v="0"/>
    <x v="1"/>
    <x v="1"/>
    <n v="7.9000000000000001E-4"/>
  </r>
  <r>
    <x v="3"/>
    <x v="3"/>
    <n v="14"/>
    <x v="1"/>
    <x v="40"/>
    <d v="2018-07-09T06:00:00"/>
    <n v="1.17587"/>
    <n v="1.175824"/>
    <n v="4.6E-5"/>
    <n v="1.17652"/>
    <n v="1.1762170000000001"/>
    <n v="3.0299999999999999E-4"/>
    <n v="1.17564"/>
    <n v="1.1752629999999999"/>
    <n v="3.77E-4"/>
    <n v="1.1762600000000001"/>
    <n v="1.1759500000000001"/>
    <n v="3.1E-4"/>
    <x v="0"/>
    <x v="1"/>
    <x v="1"/>
    <n v="8.8000000000000003E-4"/>
  </r>
  <r>
    <x v="3"/>
    <x v="3"/>
    <n v="16"/>
    <x v="1"/>
    <x v="41"/>
    <d v="2018-07-09T07:00:00"/>
    <n v="1.17625"/>
    <n v="1.1761649999999999"/>
    <n v="8.5000000000000006E-5"/>
    <n v="1.17642"/>
    <n v="1.176884"/>
    <n v="4.64E-4"/>
    <n v="1.1759200000000001"/>
    <n v="1.1755930000000001"/>
    <n v="3.2699999999999998E-4"/>
    <n v="1.1760600000000001"/>
    <n v="1.1762440000000001"/>
    <n v="1.84E-4"/>
    <x v="0"/>
    <x v="1"/>
    <x v="1"/>
    <n v="5.0000000000000001E-4"/>
  </r>
  <r>
    <x v="3"/>
    <x v="3"/>
    <n v="18"/>
    <x v="1"/>
    <x v="42"/>
    <d v="2018-07-09T08:00:00"/>
    <n v="1.17604"/>
    <n v="1.17597"/>
    <n v="6.9999999999999994E-5"/>
    <n v="1.1769099999999999"/>
    <n v="1.176444"/>
    <n v="4.66E-4"/>
    <n v="1.17557"/>
    <n v="1.175484"/>
    <n v="8.6000000000000003E-5"/>
    <n v="1.1768799999999999"/>
    <n v="1.175916"/>
    <n v="9.6400000000000001E-4"/>
    <x v="0"/>
    <x v="1"/>
    <x v="1"/>
    <n v="1.34E-3"/>
  </r>
  <r>
    <x v="3"/>
    <x v="3"/>
    <n v="20"/>
    <x v="1"/>
    <x v="43"/>
    <d v="2018-07-09T09:00:00"/>
    <n v="1.1768700000000001"/>
    <n v="1.1768620000000001"/>
    <n v="7.9999999999999996E-6"/>
    <n v="1.1778599999999999"/>
    <n v="1.1773690000000001"/>
    <n v="4.9100000000000001E-4"/>
    <n v="1.17611"/>
    <n v="1.1762889999999999"/>
    <n v="1.7899999999999999E-4"/>
    <n v="1.17638"/>
    <n v="1.1770179999999999"/>
    <n v="6.38E-4"/>
    <x v="0"/>
    <x v="1"/>
    <x v="1"/>
    <n v="1.75E-3"/>
  </r>
  <r>
    <x v="3"/>
    <x v="3"/>
    <n v="22"/>
    <x v="1"/>
    <x v="44"/>
    <d v="2018-07-09T10:00:00"/>
    <n v="1.1763600000000001"/>
    <n v="1.1763429999999999"/>
    <n v="1.7E-5"/>
    <n v="1.1771499999999999"/>
    <n v="1.1775519999999999"/>
    <n v="4.0200000000000001E-4"/>
    <n v="1.1749400000000001"/>
    <n v="1.1759189999999999"/>
    <n v="9.7900000000000005E-4"/>
    <n v="1.17686"/>
    <n v="1.176409"/>
    <n v="4.5100000000000001E-4"/>
    <x v="0"/>
    <x v="1"/>
    <x v="1"/>
    <n v="2.2100000000000002E-3"/>
  </r>
  <r>
    <x v="3"/>
    <x v="3"/>
    <n v="24"/>
    <x v="1"/>
    <x v="45"/>
    <d v="2018-07-09T11:00:00"/>
    <n v="1.1768700000000001"/>
    <n v="1.1768080000000001"/>
    <n v="6.2000000000000003E-5"/>
    <n v="1.17805"/>
    <n v="1.177316"/>
    <n v="7.3399999999999995E-4"/>
    <n v="1.17648"/>
    <n v="1.1756819999999999"/>
    <n v="7.9799999999999999E-4"/>
    <n v="1.1771499999999999"/>
    <n v="1.1768989999999999"/>
    <n v="2.5099999999999998E-4"/>
    <x v="0"/>
    <x v="1"/>
    <x v="1"/>
    <n v="1.57E-3"/>
  </r>
  <r>
    <x v="3"/>
    <x v="3"/>
    <n v="26"/>
    <x v="1"/>
    <x v="46"/>
    <d v="2018-07-09T12:00:00"/>
    <n v="1.1771499999999999"/>
    <n v="1.177087"/>
    <n v="6.3E-5"/>
    <n v="1.17746"/>
    <n v="1.1777820000000001"/>
    <n v="3.2200000000000002E-4"/>
    <n v="1.17621"/>
    <n v="1.1763159999999999"/>
    <n v="1.06E-4"/>
    <n v="1.1768400000000001"/>
    <n v="1.176912"/>
    <n v="7.2000000000000002E-5"/>
    <x v="0"/>
    <x v="1"/>
    <x v="1"/>
    <n v="1.25E-3"/>
  </r>
  <r>
    <x v="3"/>
    <x v="3"/>
    <n v="28"/>
    <x v="1"/>
    <x v="28"/>
    <d v="2018-07-09T13:00:00"/>
    <n v="1.17683"/>
    <n v="1.176739"/>
    <n v="9.1000000000000003E-5"/>
    <n v="1.1773400000000001"/>
    <n v="1.1773549999999999"/>
    <n v="1.5E-5"/>
    <n v="1.1761699999999999"/>
    <n v="1.1759999999999999"/>
    <n v="1.7000000000000001E-4"/>
    <n v="1.1772899999999999"/>
    <n v="1.1767510000000001"/>
    <n v="5.3899999999999998E-4"/>
    <x v="0"/>
    <x v="1"/>
    <x v="1"/>
    <n v="1.17E-3"/>
  </r>
  <r>
    <x v="3"/>
    <x v="3"/>
    <n v="30"/>
    <x v="1"/>
    <x v="47"/>
    <d v="2018-07-09T14:00:00"/>
    <n v="1.1772899999999999"/>
    <n v="1.1772119999999999"/>
    <n v="7.7999999999999999E-5"/>
    <n v="1.1788099999999999"/>
    <n v="1.177783"/>
    <n v="1.0269999999999999E-3"/>
    <n v="1.17692"/>
    <n v="1.176158"/>
    <n v="7.6199999999999998E-4"/>
    <n v="1.1782300000000001"/>
    <n v="1.1773670000000001"/>
    <n v="8.6300000000000005E-4"/>
    <x v="0"/>
    <x v="1"/>
    <x v="1"/>
    <n v="1.89E-3"/>
  </r>
  <r>
    <x v="3"/>
    <x v="3"/>
    <n v="32"/>
    <x v="1"/>
    <x v="48"/>
    <d v="2018-07-09T15:00:00"/>
    <n v="1.17818"/>
    <n v="1.178183"/>
    <n v="3.0000000000000001E-6"/>
    <n v="1.179"/>
    <n v="1.1792990000000001"/>
    <n v="2.99E-4"/>
    <n v="1.1775500000000001"/>
    <n v="1.177324"/>
    <n v="2.2599999999999999E-4"/>
    <n v="1.1776800000000001"/>
    <n v="1.1782509999999999"/>
    <n v="5.71E-4"/>
    <x v="0"/>
    <x v="1"/>
    <x v="1"/>
    <n v="1.4499999999999999E-3"/>
  </r>
  <r>
    <x v="3"/>
    <x v="3"/>
    <n v="34"/>
    <x v="1"/>
    <x v="29"/>
    <d v="2018-07-09T16:00:00"/>
    <n v="1.1777"/>
    <n v="1.1775690000000001"/>
    <n v="1.3100000000000001E-4"/>
    <n v="1.17832"/>
    <n v="1.1787030000000001"/>
    <n v="3.8299999999999999E-4"/>
    <n v="1.17561"/>
    <n v="1.177082"/>
    <n v="1.472E-3"/>
    <n v="1.1758200000000001"/>
    <n v="1.177635"/>
    <n v="1.815E-3"/>
    <x v="0"/>
    <x v="1"/>
    <x v="1"/>
    <n v="2.7100000000000002E-3"/>
  </r>
  <r>
    <x v="3"/>
    <x v="3"/>
    <n v="36"/>
    <x v="1"/>
    <x v="49"/>
    <d v="2018-07-09T17:00:00"/>
    <n v="1.17584"/>
    <n v="1.1758040000000001"/>
    <n v="3.6000000000000001E-5"/>
    <n v="1.1763999999999999"/>
    <n v="1.1770849999999999"/>
    <n v="6.8499999999999995E-4"/>
    <n v="1.1745300000000001"/>
    <n v="1.175116"/>
    <n v="5.8600000000000004E-4"/>
    <n v="1.1757899999999999"/>
    <n v="1.175735"/>
    <n v="5.5000000000000002E-5"/>
    <x v="0"/>
    <x v="1"/>
    <x v="1"/>
    <n v="1.8699999999999999E-3"/>
  </r>
  <r>
    <x v="3"/>
    <x v="3"/>
    <n v="38"/>
    <x v="1"/>
    <x v="50"/>
    <d v="2018-07-09T18:00:00"/>
    <n v="1.17578"/>
    <n v="1.1759109999999999"/>
    <n v="1.3100000000000001E-4"/>
    <n v="1.17611"/>
    <n v="1.1765509999999999"/>
    <n v="4.4099999999999999E-4"/>
    <n v="1.1739999999999999"/>
    <n v="1.174811"/>
    <n v="8.1099999999999998E-4"/>
    <n v="1.1743699999999999"/>
    <n v="1.175753"/>
    <n v="1.3829999999999999E-3"/>
    <x v="0"/>
    <x v="1"/>
    <x v="1"/>
    <n v="2.1099999999999999E-3"/>
  </r>
  <r>
    <x v="3"/>
    <x v="3"/>
    <n v="40"/>
    <x v="1"/>
    <x v="51"/>
    <d v="2018-07-09T19:00:00"/>
    <n v="1.17438"/>
    <n v="1.174199"/>
    <n v="1.8100000000000001E-4"/>
    <n v="1.1750100000000001"/>
    <n v="1.1752229999999999"/>
    <n v="2.13E-4"/>
    <n v="1.17411"/>
    <n v="1.1734340000000001"/>
    <n v="6.7599999999999995E-4"/>
    <n v="1.1745699999999999"/>
    <n v="1.1745810000000001"/>
    <n v="1.1E-5"/>
    <x v="0"/>
    <x v="1"/>
    <x v="1"/>
    <n v="8.9999999999999998E-4"/>
  </r>
  <r>
    <x v="3"/>
    <x v="3"/>
    <n v="42"/>
    <x v="1"/>
    <x v="52"/>
    <d v="2018-07-09T20:00:00"/>
    <n v="1.17462"/>
    <n v="1.174607"/>
    <n v="1.2999999999999999E-5"/>
    <n v="1.17499"/>
    <n v="1.175459"/>
    <n v="4.6900000000000002E-4"/>
    <n v="1.17319"/>
    <n v="1.173894"/>
    <n v="7.0399999999999998E-4"/>
    <n v="1.17469"/>
    <n v="1.1744730000000001"/>
    <n v="2.1699999999999999E-4"/>
    <x v="0"/>
    <x v="1"/>
    <x v="1"/>
    <n v="1.8E-3"/>
  </r>
  <r>
    <x v="3"/>
    <x v="3"/>
    <n v="44"/>
    <x v="1"/>
    <x v="17"/>
    <d v="2018-07-09T21:00:00"/>
    <n v="1.1747099999999999"/>
    <n v="1.1747590000000001"/>
    <n v="4.8999999999999998E-5"/>
    <n v="1.17513"/>
    <n v="1.1750400000000001"/>
    <n v="9.0000000000000006E-5"/>
    <n v="1.17452"/>
    <n v="1.1734230000000001"/>
    <n v="1.0970000000000001E-3"/>
    <n v="1.17479"/>
    <n v="1.17459"/>
    <n v="2.0000000000000001E-4"/>
    <x v="0"/>
    <x v="1"/>
    <x v="1"/>
    <n v="6.0999999999999997E-4"/>
  </r>
  <r>
    <x v="3"/>
    <x v="3"/>
    <n v="46"/>
    <x v="1"/>
    <x v="53"/>
    <d v="2018-07-09T22:00:00"/>
    <n v="1.1747399999999999"/>
    <n v="1.174701"/>
    <n v="3.8999999999999999E-5"/>
    <n v="1.1753899999999999"/>
    <n v="1.1752359999999999"/>
    <n v="1.54E-4"/>
    <n v="1.17401"/>
    <n v="1.1742680000000001"/>
    <n v="2.5799999999999998E-4"/>
    <n v="1.17452"/>
    <n v="1.1747669999999999"/>
    <n v="2.4699999999999999E-4"/>
    <x v="0"/>
    <x v="1"/>
    <x v="1"/>
    <n v="1.3799999999999999E-3"/>
  </r>
</pivotCacheRecords>
</file>

<file path=xl/pivotCache/pivotCacheRecords4.xml><?xml version="1.0" encoding="utf-8"?>
<pivotCacheRecords xmlns="http://schemas.openxmlformats.org/spreadsheetml/2006/main" xmlns:r="http://schemas.openxmlformats.org/officeDocument/2006/relationships" count="1300">
  <r>
    <x v="0"/>
    <x v="0"/>
    <x v="0"/>
    <x v="0"/>
    <x v="0"/>
    <x v="0"/>
    <x v="0"/>
    <x v="0"/>
    <x v="0"/>
    <x v="0"/>
    <x v="0"/>
    <n v="5.7346096038818359E-3"/>
    <x v="0"/>
    <x v="0"/>
    <x v="0"/>
    <x v="0"/>
    <x v="0"/>
    <x v="0"/>
    <x v="0"/>
    <x v="0"/>
    <x v="0"/>
    <x v="0"/>
    <x v="0"/>
    <x v="0"/>
    <x v="0"/>
    <x v="0"/>
    <x v="0"/>
    <x v="0"/>
    <x v="0"/>
    <x v="0"/>
    <x v="0"/>
    <x v="0"/>
    <x v="0"/>
    <x v="0"/>
    <x v="0"/>
    <x v="0"/>
    <x v="0"/>
  </r>
  <r>
    <x v="0"/>
    <x v="0"/>
    <x v="0"/>
    <x v="0"/>
    <x v="0"/>
    <x v="0"/>
    <x v="0"/>
    <x v="0"/>
    <x v="0"/>
    <x v="0"/>
    <x v="1"/>
    <n v="5.7633047103881835E-3"/>
    <x v="0"/>
    <x v="0"/>
    <x v="0"/>
    <x v="0"/>
    <x v="0"/>
    <x v="0"/>
    <x v="0"/>
    <x v="0"/>
    <x v="0"/>
    <x v="0"/>
    <x v="0"/>
    <x v="0"/>
    <x v="0"/>
    <x v="0"/>
    <x v="0"/>
    <x v="0"/>
    <x v="0"/>
    <x v="0"/>
    <x v="0"/>
    <x v="0"/>
    <x v="0"/>
    <x v="0"/>
    <x v="0"/>
    <x v="0"/>
    <x v="0"/>
  </r>
  <r>
    <x v="0"/>
    <x v="0"/>
    <x v="0"/>
    <x v="0"/>
    <x v="0"/>
    <x v="0"/>
    <x v="0"/>
    <x v="0"/>
    <x v="0"/>
    <x v="0"/>
    <x v="2"/>
    <n v="5.7633047103881835E-3"/>
    <x v="0"/>
    <x v="0"/>
    <x v="0"/>
    <x v="0"/>
    <x v="0"/>
    <x v="0"/>
    <x v="0"/>
    <x v="0"/>
    <x v="0"/>
    <x v="0"/>
    <x v="0"/>
    <x v="0"/>
    <x v="0"/>
    <x v="0"/>
    <x v="0"/>
    <x v="0"/>
    <x v="0"/>
    <x v="0"/>
    <x v="0"/>
    <x v="0"/>
    <x v="0"/>
    <x v="0"/>
    <x v="0"/>
    <x v="0"/>
    <x v="0"/>
  </r>
  <r>
    <x v="0"/>
    <x v="0"/>
    <x v="0"/>
    <x v="0"/>
    <x v="0"/>
    <x v="0"/>
    <x v="0"/>
    <x v="0"/>
    <x v="0"/>
    <x v="0"/>
    <x v="3"/>
    <n v="5.7919924259185783E-3"/>
    <x v="0"/>
    <x v="0"/>
    <x v="0"/>
    <x v="0"/>
    <x v="0"/>
    <x v="0"/>
    <x v="0"/>
    <x v="0"/>
    <x v="0"/>
    <x v="0"/>
    <x v="0"/>
    <x v="0"/>
    <x v="0"/>
    <x v="0"/>
    <x v="0"/>
    <x v="0"/>
    <x v="0"/>
    <x v="0"/>
    <x v="0"/>
    <x v="0"/>
    <x v="0"/>
    <x v="0"/>
    <x v="0"/>
    <x v="0"/>
    <x v="0"/>
  </r>
  <r>
    <x v="1"/>
    <x v="1"/>
    <x v="0"/>
    <x v="0"/>
    <x v="0"/>
    <x v="1"/>
    <x v="0"/>
    <x v="1"/>
    <x v="1"/>
    <x v="1"/>
    <x v="2"/>
    <n v="6.7719980793614543"/>
    <x v="1"/>
    <x v="1"/>
    <x v="1"/>
    <x v="1"/>
    <x v="1"/>
    <x v="0"/>
    <x v="1"/>
    <x v="0"/>
    <x v="1"/>
    <x v="1"/>
    <x v="1"/>
    <x v="0"/>
    <x v="1"/>
    <x v="1"/>
    <x v="1"/>
    <x v="1"/>
    <x v="1"/>
    <x v="0"/>
    <x v="1"/>
    <x v="1"/>
    <x v="1"/>
    <x v="0"/>
    <x v="1"/>
    <x v="0"/>
    <x v="1"/>
  </r>
  <r>
    <x v="1"/>
    <x v="1"/>
    <x v="0"/>
    <x v="0"/>
    <x v="0"/>
    <x v="1"/>
    <x v="0"/>
    <x v="1"/>
    <x v="1"/>
    <x v="1"/>
    <x v="3"/>
    <n v="5.9891659595120341"/>
    <x v="1"/>
    <x v="1"/>
    <x v="1"/>
    <x v="1"/>
    <x v="1"/>
    <x v="0"/>
    <x v="1"/>
    <x v="0"/>
    <x v="1"/>
    <x v="1"/>
    <x v="1"/>
    <x v="0"/>
    <x v="1"/>
    <x v="1"/>
    <x v="1"/>
    <x v="1"/>
    <x v="1"/>
    <x v="0"/>
    <x v="1"/>
    <x v="1"/>
    <x v="1"/>
    <x v="0"/>
    <x v="1"/>
    <x v="0"/>
    <x v="1"/>
  </r>
  <r>
    <x v="1"/>
    <x v="1"/>
    <x v="0"/>
    <x v="0"/>
    <x v="0"/>
    <x v="1"/>
    <x v="0"/>
    <x v="1"/>
    <x v="1"/>
    <x v="2"/>
    <x v="0"/>
    <n v="2.9484292257985762"/>
    <x v="2"/>
    <x v="0"/>
    <x v="1"/>
    <x v="1"/>
    <x v="1"/>
    <x v="0"/>
    <x v="1"/>
    <x v="0"/>
    <x v="1"/>
    <x v="1"/>
    <x v="1"/>
    <x v="0"/>
    <x v="1"/>
    <x v="1"/>
    <x v="1"/>
    <x v="1"/>
    <x v="1"/>
    <x v="0"/>
    <x v="1"/>
    <x v="1"/>
    <x v="1"/>
    <x v="0"/>
    <x v="1"/>
    <x v="0"/>
    <x v="1"/>
  </r>
  <r>
    <x v="1"/>
    <x v="1"/>
    <x v="0"/>
    <x v="0"/>
    <x v="0"/>
    <x v="1"/>
    <x v="0"/>
    <x v="1"/>
    <x v="1"/>
    <x v="1"/>
    <x v="1"/>
    <n v="7.0400349081716227"/>
    <x v="1"/>
    <x v="1"/>
    <x v="1"/>
    <x v="1"/>
    <x v="1"/>
    <x v="0"/>
    <x v="1"/>
    <x v="0"/>
    <x v="1"/>
    <x v="1"/>
    <x v="1"/>
    <x v="0"/>
    <x v="1"/>
    <x v="1"/>
    <x v="1"/>
    <x v="1"/>
    <x v="1"/>
    <x v="0"/>
    <x v="1"/>
    <x v="1"/>
    <x v="1"/>
    <x v="0"/>
    <x v="1"/>
    <x v="0"/>
    <x v="1"/>
  </r>
  <r>
    <x v="1"/>
    <x v="1"/>
    <x v="0"/>
    <x v="0"/>
    <x v="0"/>
    <x v="1"/>
    <x v="0"/>
    <x v="1"/>
    <x v="1"/>
    <x v="2"/>
    <x v="3"/>
    <n v="2.3719281547300279"/>
    <x v="2"/>
    <x v="0"/>
    <x v="1"/>
    <x v="1"/>
    <x v="1"/>
    <x v="0"/>
    <x v="1"/>
    <x v="0"/>
    <x v="1"/>
    <x v="1"/>
    <x v="1"/>
    <x v="0"/>
    <x v="1"/>
    <x v="1"/>
    <x v="1"/>
    <x v="1"/>
    <x v="1"/>
    <x v="0"/>
    <x v="1"/>
    <x v="1"/>
    <x v="1"/>
    <x v="0"/>
    <x v="1"/>
    <x v="0"/>
    <x v="1"/>
  </r>
  <r>
    <x v="1"/>
    <x v="1"/>
    <x v="0"/>
    <x v="0"/>
    <x v="0"/>
    <x v="1"/>
    <x v="0"/>
    <x v="1"/>
    <x v="1"/>
    <x v="0"/>
    <x v="3"/>
    <n v="1.2163699346203957E-3"/>
    <x v="3"/>
    <x v="0"/>
    <x v="1"/>
    <x v="1"/>
    <x v="1"/>
    <x v="0"/>
    <x v="1"/>
    <x v="0"/>
    <x v="1"/>
    <x v="1"/>
    <x v="1"/>
    <x v="0"/>
    <x v="1"/>
    <x v="1"/>
    <x v="1"/>
    <x v="1"/>
    <x v="1"/>
    <x v="0"/>
    <x v="1"/>
    <x v="1"/>
    <x v="1"/>
    <x v="0"/>
    <x v="1"/>
    <x v="0"/>
    <x v="1"/>
  </r>
  <r>
    <x v="1"/>
    <x v="1"/>
    <x v="0"/>
    <x v="0"/>
    <x v="0"/>
    <x v="1"/>
    <x v="0"/>
    <x v="1"/>
    <x v="1"/>
    <x v="2"/>
    <x v="2"/>
    <n v="4.347566257599861"/>
    <x v="2"/>
    <x v="0"/>
    <x v="1"/>
    <x v="1"/>
    <x v="1"/>
    <x v="0"/>
    <x v="1"/>
    <x v="0"/>
    <x v="1"/>
    <x v="1"/>
    <x v="1"/>
    <x v="0"/>
    <x v="1"/>
    <x v="1"/>
    <x v="1"/>
    <x v="1"/>
    <x v="1"/>
    <x v="0"/>
    <x v="1"/>
    <x v="1"/>
    <x v="1"/>
    <x v="0"/>
    <x v="1"/>
    <x v="0"/>
    <x v="1"/>
  </r>
  <r>
    <x v="1"/>
    <x v="1"/>
    <x v="0"/>
    <x v="0"/>
    <x v="0"/>
    <x v="1"/>
    <x v="0"/>
    <x v="1"/>
    <x v="1"/>
    <x v="0"/>
    <x v="2"/>
    <n v="2.2150349617004396E-3"/>
    <x v="3"/>
    <x v="0"/>
    <x v="1"/>
    <x v="1"/>
    <x v="1"/>
    <x v="0"/>
    <x v="1"/>
    <x v="0"/>
    <x v="1"/>
    <x v="1"/>
    <x v="1"/>
    <x v="0"/>
    <x v="1"/>
    <x v="1"/>
    <x v="1"/>
    <x v="1"/>
    <x v="1"/>
    <x v="0"/>
    <x v="1"/>
    <x v="1"/>
    <x v="1"/>
    <x v="0"/>
    <x v="1"/>
    <x v="0"/>
    <x v="1"/>
  </r>
  <r>
    <x v="1"/>
    <x v="1"/>
    <x v="0"/>
    <x v="0"/>
    <x v="0"/>
    <x v="1"/>
    <x v="0"/>
    <x v="1"/>
    <x v="1"/>
    <x v="1"/>
    <x v="0"/>
    <n v="6.7851294339087698"/>
    <x v="1"/>
    <x v="1"/>
    <x v="1"/>
    <x v="1"/>
    <x v="1"/>
    <x v="0"/>
    <x v="1"/>
    <x v="0"/>
    <x v="1"/>
    <x v="1"/>
    <x v="1"/>
    <x v="0"/>
    <x v="1"/>
    <x v="1"/>
    <x v="1"/>
    <x v="1"/>
    <x v="1"/>
    <x v="0"/>
    <x v="1"/>
    <x v="1"/>
    <x v="1"/>
    <x v="0"/>
    <x v="1"/>
    <x v="0"/>
    <x v="1"/>
  </r>
  <r>
    <x v="1"/>
    <x v="1"/>
    <x v="0"/>
    <x v="0"/>
    <x v="0"/>
    <x v="1"/>
    <x v="0"/>
    <x v="1"/>
    <x v="1"/>
    <x v="2"/>
    <x v="1"/>
    <n v="2.1757604635915451"/>
    <x v="2"/>
    <x v="0"/>
    <x v="1"/>
    <x v="1"/>
    <x v="1"/>
    <x v="0"/>
    <x v="1"/>
    <x v="0"/>
    <x v="1"/>
    <x v="1"/>
    <x v="1"/>
    <x v="0"/>
    <x v="1"/>
    <x v="1"/>
    <x v="1"/>
    <x v="1"/>
    <x v="1"/>
    <x v="0"/>
    <x v="1"/>
    <x v="1"/>
    <x v="1"/>
    <x v="0"/>
    <x v="1"/>
    <x v="0"/>
    <x v="1"/>
  </r>
  <r>
    <x v="1"/>
    <x v="1"/>
    <x v="0"/>
    <x v="0"/>
    <x v="0"/>
    <x v="1"/>
    <x v="0"/>
    <x v="1"/>
    <x v="1"/>
    <x v="0"/>
    <x v="0"/>
    <n v="1.2707841636673098E-3"/>
    <x v="3"/>
    <x v="0"/>
    <x v="1"/>
    <x v="1"/>
    <x v="1"/>
    <x v="0"/>
    <x v="1"/>
    <x v="0"/>
    <x v="1"/>
    <x v="1"/>
    <x v="1"/>
    <x v="0"/>
    <x v="1"/>
    <x v="1"/>
    <x v="1"/>
    <x v="1"/>
    <x v="1"/>
    <x v="0"/>
    <x v="1"/>
    <x v="1"/>
    <x v="1"/>
    <x v="0"/>
    <x v="1"/>
    <x v="0"/>
    <x v="1"/>
  </r>
  <r>
    <x v="1"/>
    <x v="1"/>
    <x v="0"/>
    <x v="0"/>
    <x v="0"/>
    <x v="1"/>
    <x v="0"/>
    <x v="1"/>
    <x v="1"/>
    <x v="0"/>
    <x v="1"/>
    <n v="8.5137068263946042E-4"/>
    <x v="3"/>
    <x v="0"/>
    <x v="1"/>
    <x v="1"/>
    <x v="1"/>
    <x v="0"/>
    <x v="1"/>
    <x v="0"/>
    <x v="1"/>
    <x v="1"/>
    <x v="1"/>
    <x v="0"/>
    <x v="1"/>
    <x v="1"/>
    <x v="1"/>
    <x v="1"/>
    <x v="1"/>
    <x v="0"/>
    <x v="1"/>
    <x v="1"/>
    <x v="1"/>
    <x v="0"/>
    <x v="1"/>
    <x v="0"/>
    <x v="1"/>
  </r>
  <r>
    <x v="1"/>
    <x v="2"/>
    <x v="0"/>
    <x v="0"/>
    <x v="0"/>
    <x v="2"/>
    <x v="0"/>
    <x v="2"/>
    <x v="2"/>
    <x v="0"/>
    <x v="3"/>
    <n v="6.8475710391998289E-4"/>
    <x v="4"/>
    <x v="0"/>
    <x v="1"/>
    <x v="1"/>
    <x v="1"/>
    <x v="0"/>
    <x v="2"/>
    <x v="0"/>
    <x v="1"/>
    <x v="1"/>
    <x v="1"/>
    <x v="0"/>
    <x v="1"/>
    <x v="1"/>
    <x v="1"/>
    <x v="1"/>
    <x v="2"/>
    <x v="0"/>
    <x v="1"/>
    <x v="1"/>
    <x v="1"/>
    <x v="0"/>
    <x v="1"/>
    <x v="0"/>
    <x v="0"/>
  </r>
  <r>
    <x v="1"/>
    <x v="2"/>
    <x v="0"/>
    <x v="0"/>
    <x v="0"/>
    <x v="2"/>
    <x v="0"/>
    <x v="2"/>
    <x v="2"/>
    <x v="0"/>
    <x v="1"/>
    <n v="8.3651432991027836E-4"/>
    <x v="4"/>
    <x v="0"/>
    <x v="1"/>
    <x v="1"/>
    <x v="1"/>
    <x v="0"/>
    <x v="2"/>
    <x v="0"/>
    <x v="1"/>
    <x v="1"/>
    <x v="1"/>
    <x v="0"/>
    <x v="1"/>
    <x v="1"/>
    <x v="1"/>
    <x v="1"/>
    <x v="2"/>
    <x v="0"/>
    <x v="1"/>
    <x v="1"/>
    <x v="1"/>
    <x v="0"/>
    <x v="1"/>
    <x v="0"/>
    <x v="0"/>
  </r>
  <r>
    <x v="1"/>
    <x v="2"/>
    <x v="0"/>
    <x v="0"/>
    <x v="0"/>
    <x v="2"/>
    <x v="0"/>
    <x v="2"/>
    <x v="2"/>
    <x v="0"/>
    <x v="2"/>
    <n v="2.9385333538055423E-4"/>
    <x v="4"/>
    <x v="0"/>
    <x v="1"/>
    <x v="1"/>
    <x v="1"/>
    <x v="0"/>
    <x v="2"/>
    <x v="0"/>
    <x v="1"/>
    <x v="1"/>
    <x v="1"/>
    <x v="0"/>
    <x v="1"/>
    <x v="1"/>
    <x v="1"/>
    <x v="1"/>
    <x v="2"/>
    <x v="0"/>
    <x v="1"/>
    <x v="1"/>
    <x v="1"/>
    <x v="0"/>
    <x v="1"/>
    <x v="0"/>
    <x v="0"/>
  </r>
  <r>
    <x v="1"/>
    <x v="2"/>
    <x v="0"/>
    <x v="0"/>
    <x v="0"/>
    <x v="3"/>
    <x v="1"/>
    <x v="2"/>
    <x v="2"/>
    <x v="0"/>
    <x v="1"/>
    <n v="8.6367487907409676E-4"/>
    <x v="5"/>
    <x v="1"/>
    <x v="1"/>
    <x v="1"/>
    <x v="1"/>
    <x v="0"/>
    <x v="2"/>
    <x v="0"/>
    <x v="1"/>
    <x v="1"/>
    <x v="1"/>
    <x v="0"/>
    <x v="1"/>
    <x v="2"/>
    <x v="2"/>
    <x v="2"/>
    <x v="2"/>
    <x v="1"/>
    <x v="1"/>
    <x v="0"/>
    <x v="0"/>
    <x v="0"/>
    <x v="1"/>
    <x v="0"/>
    <x v="0"/>
  </r>
  <r>
    <x v="1"/>
    <x v="2"/>
    <x v="0"/>
    <x v="0"/>
    <x v="0"/>
    <x v="3"/>
    <x v="1"/>
    <x v="2"/>
    <x v="2"/>
    <x v="0"/>
    <x v="2"/>
    <n v="2.6941061019897456E-4"/>
    <x v="5"/>
    <x v="1"/>
    <x v="1"/>
    <x v="1"/>
    <x v="1"/>
    <x v="0"/>
    <x v="2"/>
    <x v="0"/>
    <x v="1"/>
    <x v="1"/>
    <x v="1"/>
    <x v="0"/>
    <x v="1"/>
    <x v="2"/>
    <x v="2"/>
    <x v="2"/>
    <x v="2"/>
    <x v="1"/>
    <x v="1"/>
    <x v="0"/>
    <x v="0"/>
    <x v="0"/>
    <x v="1"/>
    <x v="0"/>
    <x v="0"/>
  </r>
  <r>
    <x v="1"/>
    <x v="2"/>
    <x v="0"/>
    <x v="0"/>
    <x v="0"/>
    <x v="3"/>
    <x v="1"/>
    <x v="2"/>
    <x v="2"/>
    <x v="0"/>
    <x v="0"/>
    <n v="6.8325281143188498E-4"/>
    <x v="5"/>
    <x v="1"/>
    <x v="1"/>
    <x v="1"/>
    <x v="1"/>
    <x v="0"/>
    <x v="2"/>
    <x v="0"/>
    <x v="1"/>
    <x v="1"/>
    <x v="1"/>
    <x v="0"/>
    <x v="1"/>
    <x v="2"/>
    <x v="2"/>
    <x v="2"/>
    <x v="2"/>
    <x v="1"/>
    <x v="1"/>
    <x v="0"/>
    <x v="0"/>
    <x v="0"/>
    <x v="1"/>
    <x v="0"/>
    <x v="0"/>
  </r>
  <r>
    <x v="1"/>
    <x v="2"/>
    <x v="0"/>
    <x v="0"/>
    <x v="0"/>
    <x v="3"/>
    <x v="1"/>
    <x v="2"/>
    <x v="2"/>
    <x v="0"/>
    <x v="3"/>
    <n v="6.362819671630861E-4"/>
    <x v="5"/>
    <x v="1"/>
    <x v="1"/>
    <x v="1"/>
    <x v="1"/>
    <x v="0"/>
    <x v="2"/>
    <x v="0"/>
    <x v="1"/>
    <x v="1"/>
    <x v="1"/>
    <x v="0"/>
    <x v="1"/>
    <x v="2"/>
    <x v="2"/>
    <x v="2"/>
    <x v="2"/>
    <x v="1"/>
    <x v="1"/>
    <x v="0"/>
    <x v="0"/>
    <x v="0"/>
    <x v="1"/>
    <x v="0"/>
    <x v="0"/>
  </r>
  <r>
    <x v="1"/>
    <x v="2"/>
    <x v="0"/>
    <x v="0"/>
    <x v="0"/>
    <x v="2"/>
    <x v="0"/>
    <x v="2"/>
    <x v="2"/>
    <x v="0"/>
    <x v="0"/>
    <n v="6.4679060459136965E-4"/>
    <x v="4"/>
    <x v="0"/>
    <x v="1"/>
    <x v="1"/>
    <x v="1"/>
    <x v="0"/>
    <x v="2"/>
    <x v="0"/>
    <x v="1"/>
    <x v="1"/>
    <x v="1"/>
    <x v="0"/>
    <x v="1"/>
    <x v="1"/>
    <x v="1"/>
    <x v="1"/>
    <x v="2"/>
    <x v="0"/>
    <x v="1"/>
    <x v="1"/>
    <x v="1"/>
    <x v="0"/>
    <x v="1"/>
    <x v="0"/>
    <x v="0"/>
  </r>
  <r>
    <x v="2"/>
    <x v="3"/>
    <x v="0"/>
    <x v="0"/>
    <x v="0"/>
    <x v="4"/>
    <x v="0"/>
    <x v="3"/>
    <x v="3"/>
    <x v="0"/>
    <x v="3"/>
    <n v="7.70804384147307E-4"/>
    <x v="3"/>
    <x v="0"/>
    <x v="1"/>
    <x v="2"/>
    <x v="0"/>
    <x v="0"/>
    <x v="3"/>
    <x v="0"/>
    <x v="1"/>
    <x v="0"/>
    <x v="0"/>
    <x v="0"/>
    <x v="1"/>
    <x v="1"/>
    <x v="3"/>
    <x v="0"/>
    <x v="3"/>
    <x v="0"/>
    <x v="1"/>
    <x v="0"/>
    <x v="0"/>
    <x v="0"/>
    <x v="1"/>
    <x v="0"/>
    <x v="0"/>
  </r>
  <r>
    <x v="2"/>
    <x v="3"/>
    <x v="0"/>
    <x v="0"/>
    <x v="0"/>
    <x v="4"/>
    <x v="0"/>
    <x v="3"/>
    <x v="3"/>
    <x v="0"/>
    <x v="0"/>
    <n v="6.8645523255129895E-4"/>
    <x v="3"/>
    <x v="0"/>
    <x v="1"/>
    <x v="2"/>
    <x v="0"/>
    <x v="0"/>
    <x v="3"/>
    <x v="0"/>
    <x v="1"/>
    <x v="0"/>
    <x v="0"/>
    <x v="0"/>
    <x v="1"/>
    <x v="1"/>
    <x v="3"/>
    <x v="0"/>
    <x v="3"/>
    <x v="0"/>
    <x v="1"/>
    <x v="0"/>
    <x v="0"/>
    <x v="0"/>
    <x v="1"/>
    <x v="0"/>
    <x v="0"/>
  </r>
  <r>
    <x v="2"/>
    <x v="3"/>
    <x v="0"/>
    <x v="0"/>
    <x v="0"/>
    <x v="4"/>
    <x v="0"/>
    <x v="3"/>
    <x v="3"/>
    <x v="0"/>
    <x v="1"/>
    <n v="8.3504209556732796E-4"/>
    <x v="3"/>
    <x v="0"/>
    <x v="1"/>
    <x v="2"/>
    <x v="0"/>
    <x v="0"/>
    <x v="3"/>
    <x v="0"/>
    <x v="1"/>
    <x v="0"/>
    <x v="0"/>
    <x v="0"/>
    <x v="1"/>
    <x v="1"/>
    <x v="3"/>
    <x v="0"/>
    <x v="3"/>
    <x v="0"/>
    <x v="1"/>
    <x v="0"/>
    <x v="0"/>
    <x v="0"/>
    <x v="1"/>
    <x v="0"/>
    <x v="0"/>
  </r>
  <r>
    <x v="2"/>
    <x v="3"/>
    <x v="0"/>
    <x v="0"/>
    <x v="0"/>
    <x v="4"/>
    <x v="0"/>
    <x v="3"/>
    <x v="3"/>
    <x v="0"/>
    <x v="2"/>
    <n v="7.2556619184562963E-4"/>
    <x v="3"/>
    <x v="0"/>
    <x v="1"/>
    <x v="2"/>
    <x v="0"/>
    <x v="0"/>
    <x v="3"/>
    <x v="0"/>
    <x v="1"/>
    <x v="0"/>
    <x v="0"/>
    <x v="0"/>
    <x v="1"/>
    <x v="1"/>
    <x v="3"/>
    <x v="0"/>
    <x v="3"/>
    <x v="0"/>
    <x v="1"/>
    <x v="0"/>
    <x v="0"/>
    <x v="0"/>
    <x v="1"/>
    <x v="0"/>
    <x v="0"/>
  </r>
  <r>
    <x v="1"/>
    <x v="4"/>
    <x v="0"/>
    <x v="0"/>
    <x v="0"/>
    <x v="5"/>
    <x v="0"/>
    <x v="3"/>
    <x v="4"/>
    <x v="0"/>
    <x v="1"/>
    <n v="8.2850316524505621E-4"/>
    <x v="6"/>
    <x v="0"/>
    <x v="1"/>
    <x v="1"/>
    <x v="0"/>
    <x v="0"/>
    <x v="4"/>
    <x v="0"/>
    <x v="1"/>
    <x v="1"/>
    <x v="1"/>
    <x v="0"/>
    <x v="1"/>
    <x v="1"/>
    <x v="1"/>
    <x v="0"/>
    <x v="4"/>
    <x v="0"/>
    <x v="1"/>
    <x v="1"/>
    <x v="1"/>
    <x v="0"/>
    <x v="1"/>
    <x v="0"/>
    <x v="0"/>
  </r>
  <r>
    <x v="1"/>
    <x v="4"/>
    <x v="0"/>
    <x v="0"/>
    <x v="0"/>
    <x v="5"/>
    <x v="0"/>
    <x v="3"/>
    <x v="4"/>
    <x v="0"/>
    <x v="0"/>
    <n v="6.0517822742462161E-4"/>
    <x v="6"/>
    <x v="0"/>
    <x v="1"/>
    <x v="1"/>
    <x v="0"/>
    <x v="0"/>
    <x v="4"/>
    <x v="0"/>
    <x v="1"/>
    <x v="1"/>
    <x v="1"/>
    <x v="0"/>
    <x v="1"/>
    <x v="1"/>
    <x v="1"/>
    <x v="0"/>
    <x v="4"/>
    <x v="0"/>
    <x v="1"/>
    <x v="1"/>
    <x v="1"/>
    <x v="0"/>
    <x v="1"/>
    <x v="0"/>
    <x v="0"/>
  </r>
  <r>
    <x v="1"/>
    <x v="4"/>
    <x v="0"/>
    <x v="0"/>
    <x v="0"/>
    <x v="5"/>
    <x v="0"/>
    <x v="3"/>
    <x v="4"/>
    <x v="0"/>
    <x v="2"/>
    <n v="9.8756155967712406E-5"/>
    <x v="6"/>
    <x v="0"/>
    <x v="1"/>
    <x v="1"/>
    <x v="0"/>
    <x v="0"/>
    <x v="4"/>
    <x v="0"/>
    <x v="1"/>
    <x v="1"/>
    <x v="1"/>
    <x v="0"/>
    <x v="1"/>
    <x v="1"/>
    <x v="1"/>
    <x v="0"/>
    <x v="4"/>
    <x v="0"/>
    <x v="1"/>
    <x v="1"/>
    <x v="1"/>
    <x v="0"/>
    <x v="1"/>
    <x v="0"/>
    <x v="0"/>
  </r>
  <r>
    <x v="1"/>
    <x v="4"/>
    <x v="0"/>
    <x v="0"/>
    <x v="0"/>
    <x v="6"/>
    <x v="1"/>
    <x v="3"/>
    <x v="4"/>
    <x v="0"/>
    <x v="1"/>
    <n v="8.5094332695007319E-4"/>
    <x v="7"/>
    <x v="1"/>
    <x v="1"/>
    <x v="1"/>
    <x v="0"/>
    <x v="0"/>
    <x v="4"/>
    <x v="0"/>
    <x v="1"/>
    <x v="1"/>
    <x v="1"/>
    <x v="0"/>
    <x v="1"/>
    <x v="3"/>
    <x v="2"/>
    <x v="2"/>
    <x v="4"/>
    <x v="1"/>
    <x v="1"/>
    <x v="0"/>
    <x v="0"/>
    <x v="0"/>
    <x v="1"/>
    <x v="0"/>
    <x v="0"/>
  </r>
  <r>
    <x v="1"/>
    <x v="4"/>
    <x v="0"/>
    <x v="0"/>
    <x v="0"/>
    <x v="6"/>
    <x v="1"/>
    <x v="3"/>
    <x v="4"/>
    <x v="0"/>
    <x v="0"/>
    <n v="6.1169743537902842E-4"/>
    <x v="7"/>
    <x v="1"/>
    <x v="1"/>
    <x v="1"/>
    <x v="0"/>
    <x v="0"/>
    <x v="4"/>
    <x v="0"/>
    <x v="1"/>
    <x v="1"/>
    <x v="1"/>
    <x v="0"/>
    <x v="1"/>
    <x v="3"/>
    <x v="2"/>
    <x v="2"/>
    <x v="4"/>
    <x v="1"/>
    <x v="1"/>
    <x v="0"/>
    <x v="0"/>
    <x v="0"/>
    <x v="1"/>
    <x v="0"/>
    <x v="0"/>
  </r>
  <r>
    <x v="1"/>
    <x v="4"/>
    <x v="0"/>
    <x v="0"/>
    <x v="0"/>
    <x v="6"/>
    <x v="1"/>
    <x v="3"/>
    <x v="4"/>
    <x v="0"/>
    <x v="3"/>
    <n v="5.5377840995788567E-4"/>
    <x v="7"/>
    <x v="1"/>
    <x v="1"/>
    <x v="1"/>
    <x v="0"/>
    <x v="0"/>
    <x v="4"/>
    <x v="0"/>
    <x v="1"/>
    <x v="1"/>
    <x v="1"/>
    <x v="0"/>
    <x v="1"/>
    <x v="3"/>
    <x v="2"/>
    <x v="2"/>
    <x v="4"/>
    <x v="1"/>
    <x v="1"/>
    <x v="0"/>
    <x v="0"/>
    <x v="0"/>
    <x v="1"/>
    <x v="0"/>
    <x v="0"/>
  </r>
  <r>
    <x v="1"/>
    <x v="4"/>
    <x v="0"/>
    <x v="0"/>
    <x v="0"/>
    <x v="6"/>
    <x v="1"/>
    <x v="3"/>
    <x v="4"/>
    <x v="0"/>
    <x v="2"/>
    <n v="8.56316089630127E-5"/>
    <x v="7"/>
    <x v="1"/>
    <x v="1"/>
    <x v="1"/>
    <x v="0"/>
    <x v="0"/>
    <x v="4"/>
    <x v="0"/>
    <x v="1"/>
    <x v="1"/>
    <x v="1"/>
    <x v="0"/>
    <x v="1"/>
    <x v="3"/>
    <x v="2"/>
    <x v="2"/>
    <x v="4"/>
    <x v="1"/>
    <x v="1"/>
    <x v="0"/>
    <x v="0"/>
    <x v="0"/>
    <x v="1"/>
    <x v="0"/>
    <x v="0"/>
  </r>
  <r>
    <x v="1"/>
    <x v="4"/>
    <x v="0"/>
    <x v="0"/>
    <x v="0"/>
    <x v="5"/>
    <x v="0"/>
    <x v="3"/>
    <x v="4"/>
    <x v="0"/>
    <x v="3"/>
    <n v="6.1809259891510012E-4"/>
    <x v="6"/>
    <x v="0"/>
    <x v="1"/>
    <x v="1"/>
    <x v="0"/>
    <x v="0"/>
    <x v="4"/>
    <x v="0"/>
    <x v="1"/>
    <x v="1"/>
    <x v="1"/>
    <x v="0"/>
    <x v="1"/>
    <x v="1"/>
    <x v="1"/>
    <x v="0"/>
    <x v="4"/>
    <x v="0"/>
    <x v="1"/>
    <x v="1"/>
    <x v="1"/>
    <x v="0"/>
    <x v="1"/>
    <x v="0"/>
    <x v="0"/>
  </r>
  <r>
    <x v="1"/>
    <x v="5"/>
    <x v="0"/>
    <x v="0"/>
    <x v="0"/>
    <x v="7"/>
    <x v="1"/>
    <x v="4"/>
    <x v="5"/>
    <x v="0"/>
    <x v="3"/>
    <n v="5.4889082908630385E-4"/>
    <x v="7"/>
    <x v="1"/>
    <x v="1"/>
    <x v="1"/>
    <x v="2"/>
    <x v="0"/>
    <x v="4"/>
    <x v="0"/>
    <x v="1"/>
    <x v="1"/>
    <x v="1"/>
    <x v="0"/>
    <x v="1"/>
    <x v="3"/>
    <x v="2"/>
    <x v="2"/>
    <x v="4"/>
    <x v="1"/>
    <x v="1"/>
    <x v="0"/>
    <x v="0"/>
    <x v="0"/>
    <x v="1"/>
    <x v="0"/>
    <x v="0"/>
  </r>
  <r>
    <x v="1"/>
    <x v="5"/>
    <x v="0"/>
    <x v="0"/>
    <x v="0"/>
    <x v="7"/>
    <x v="1"/>
    <x v="4"/>
    <x v="5"/>
    <x v="0"/>
    <x v="0"/>
    <n v="6.1077952384948743E-4"/>
    <x v="7"/>
    <x v="1"/>
    <x v="1"/>
    <x v="1"/>
    <x v="2"/>
    <x v="0"/>
    <x v="4"/>
    <x v="0"/>
    <x v="1"/>
    <x v="1"/>
    <x v="1"/>
    <x v="0"/>
    <x v="1"/>
    <x v="3"/>
    <x v="2"/>
    <x v="2"/>
    <x v="4"/>
    <x v="1"/>
    <x v="1"/>
    <x v="0"/>
    <x v="0"/>
    <x v="0"/>
    <x v="1"/>
    <x v="0"/>
    <x v="0"/>
  </r>
  <r>
    <x v="1"/>
    <x v="5"/>
    <x v="0"/>
    <x v="0"/>
    <x v="0"/>
    <x v="7"/>
    <x v="1"/>
    <x v="4"/>
    <x v="5"/>
    <x v="0"/>
    <x v="1"/>
    <n v="8.5396766662597671E-4"/>
    <x v="7"/>
    <x v="1"/>
    <x v="1"/>
    <x v="1"/>
    <x v="2"/>
    <x v="0"/>
    <x v="4"/>
    <x v="0"/>
    <x v="1"/>
    <x v="1"/>
    <x v="1"/>
    <x v="0"/>
    <x v="1"/>
    <x v="3"/>
    <x v="2"/>
    <x v="2"/>
    <x v="4"/>
    <x v="1"/>
    <x v="1"/>
    <x v="0"/>
    <x v="0"/>
    <x v="0"/>
    <x v="1"/>
    <x v="0"/>
    <x v="0"/>
  </r>
  <r>
    <x v="1"/>
    <x v="5"/>
    <x v="0"/>
    <x v="0"/>
    <x v="0"/>
    <x v="8"/>
    <x v="0"/>
    <x v="4"/>
    <x v="5"/>
    <x v="0"/>
    <x v="0"/>
    <n v="6.0487281799316409E-4"/>
    <x v="6"/>
    <x v="0"/>
    <x v="1"/>
    <x v="1"/>
    <x v="2"/>
    <x v="0"/>
    <x v="4"/>
    <x v="0"/>
    <x v="1"/>
    <x v="1"/>
    <x v="1"/>
    <x v="0"/>
    <x v="1"/>
    <x v="1"/>
    <x v="1"/>
    <x v="3"/>
    <x v="4"/>
    <x v="0"/>
    <x v="1"/>
    <x v="1"/>
    <x v="1"/>
    <x v="0"/>
    <x v="1"/>
    <x v="0"/>
    <x v="0"/>
  </r>
  <r>
    <x v="1"/>
    <x v="5"/>
    <x v="0"/>
    <x v="0"/>
    <x v="0"/>
    <x v="8"/>
    <x v="0"/>
    <x v="4"/>
    <x v="5"/>
    <x v="0"/>
    <x v="3"/>
    <n v="6.0377264022827147E-4"/>
    <x v="6"/>
    <x v="0"/>
    <x v="1"/>
    <x v="1"/>
    <x v="2"/>
    <x v="0"/>
    <x v="4"/>
    <x v="0"/>
    <x v="1"/>
    <x v="1"/>
    <x v="1"/>
    <x v="0"/>
    <x v="1"/>
    <x v="1"/>
    <x v="1"/>
    <x v="3"/>
    <x v="4"/>
    <x v="0"/>
    <x v="1"/>
    <x v="1"/>
    <x v="1"/>
    <x v="0"/>
    <x v="1"/>
    <x v="0"/>
    <x v="0"/>
  </r>
  <r>
    <x v="1"/>
    <x v="5"/>
    <x v="0"/>
    <x v="0"/>
    <x v="0"/>
    <x v="8"/>
    <x v="0"/>
    <x v="4"/>
    <x v="5"/>
    <x v="0"/>
    <x v="1"/>
    <n v="8.3263284683227545E-4"/>
    <x v="6"/>
    <x v="0"/>
    <x v="1"/>
    <x v="1"/>
    <x v="2"/>
    <x v="0"/>
    <x v="4"/>
    <x v="0"/>
    <x v="1"/>
    <x v="1"/>
    <x v="1"/>
    <x v="0"/>
    <x v="1"/>
    <x v="1"/>
    <x v="1"/>
    <x v="3"/>
    <x v="4"/>
    <x v="0"/>
    <x v="1"/>
    <x v="1"/>
    <x v="1"/>
    <x v="0"/>
    <x v="1"/>
    <x v="0"/>
    <x v="0"/>
  </r>
  <r>
    <x v="1"/>
    <x v="5"/>
    <x v="0"/>
    <x v="0"/>
    <x v="0"/>
    <x v="8"/>
    <x v="0"/>
    <x v="4"/>
    <x v="5"/>
    <x v="0"/>
    <x v="2"/>
    <n v="1.096484136581421E-4"/>
    <x v="6"/>
    <x v="0"/>
    <x v="1"/>
    <x v="1"/>
    <x v="2"/>
    <x v="0"/>
    <x v="4"/>
    <x v="0"/>
    <x v="1"/>
    <x v="1"/>
    <x v="1"/>
    <x v="0"/>
    <x v="1"/>
    <x v="1"/>
    <x v="1"/>
    <x v="3"/>
    <x v="4"/>
    <x v="0"/>
    <x v="1"/>
    <x v="1"/>
    <x v="1"/>
    <x v="0"/>
    <x v="1"/>
    <x v="0"/>
    <x v="0"/>
  </r>
  <r>
    <x v="1"/>
    <x v="5"/>
    <x v="0"/>
    <x v="0"/>
    <x v="0"/>
    <x v="7"/>
    <x v="1"/>
    <x v="4"/>
    <x v="5"/>
    <x v="0"/>
    <x v="2"/>
    <n v="8.2532167434692388E-5"/>
    <x v="7"/>
    <x v="1"/>
    <x v="1"/>
    <x v="1"/>
    <x v="2"/>
    <x v="0"/>
    <x v="4"/>
    <x v="0"/>
    <x v="1"/>
    <x v="1"/>
    <x v="1"/>
    <x v="0"/>
    <x v="1"/>
    <x v="3"/>
    <x v="2"/>
    <x v="2"/>
    <x v="4"/>
    <x v="1"/>
    <x v="1"/>
    <x v="0"/>
    <x v="0"/>
    <x v="0"/>
    <x v="1"/>
    <x v="0"/>
    <x v="0"/>
  </r>
  <r>
    <x v="3"/>
    <x v="6"/>
    <x v="0"/>
    <x v="0"/>
    <x v="0"/>
    <x v="9"/>
    <x v="0"/>
    <x v="2"/>
    <x v="6"/>
    <x v="0"/>
    <x v="1"/>
    <n v="1.7270186066627502E-2"/>
    <x v="8"/>
    <x v="0"/>
    <x v="2"/>
    <x v="0"/>
    <x v="1"/>
    <x v="0"/>
    <x v="5"/>
    <x v="0"/>
    <x v="0"/>
    <x v="0"/>
    <x v="0"/>
    <x v="0"/>
    <x v="0"/>
    <x v="4"/>
    <x v="2"/>
    <x v="2"/>
    <x v="5"/>
    <x v="0"/>
    <x v="0"/>
    <x v="0"/>
    <x v="0"/>
    <x v="0"/>
    <x v="0"/>
    <x v="1"/>
    <x v="0"/>
  </r>
  <r>
    <x v="3"/>
    <x v="6"/>
    <x v="0"/>
    <x v="0"/>
    <x v="0"/>
    <x v="9"/>
    <x v="0"/>
    <x v="2"/>
    <x v="6"/>
    <x v="0"/>
    <x v="0"/>
    <n v="1.7202834296226502E-2"/>
    <x v="8"/>
    <x v="0"/>
    <x v="2"/>
    <x v="0"/>
    <x v="1"/>
    <x v="0"/>
    <x v="5"/>
    <x v="0"/>
    <x v="0"/>
    <x v="0"/>
    <x v="0"/>
    <x v="0"/>
    <x v="0"/>
    <x v="4"/>
    <x v="2"/>
    <x v="2"/>
    <x v="5"/>
    <x v="0"/>
    <x v="0"/>
    <x v="0"/>
    <x v="0"/>
    <x v="0"/>
    <x v="0"/>
    <x v="1"/>
    <x v="0"/>
  </r>
  <r>
    <x v="3"/>
    <x v="6"/>
    <x v="0"/>
    <x v="0"/>
    <x v="0"/>
    <x v="9"/>
    <x v="0"/>
    <x v="2"/>
    <x v="6"/>
    <x v="0"/>
    <x v="3"/>
    <n v="1.741140809059143E-2"/>
    <x v="8"/>
    <x v="0"/>
    <x v="2"/>
    <x v="0"/>
    <x v="1"/>
    <x v="0"/>
    <x v="5"/>
    <x v="0"/>
    <x v="0"/>
    <x v="0"/>
    <x v="0"/>
    <x v="0"/>
    <x v="0"/>
    <x v="4"/>
    <x v="2"/>
    <x v="2"/>
    <x v="5"/>
    <x v="0"/>
    <x v="0"/>
    <x v="0"/>
    <x v="0"/>
    <x v="0"/>
    <x v="0"/>
    <x v="1"/>
    <x v="0"/>
  </r>
  <r>
    <x v="3"/>
    <x v="6"/>
    <x v="0"/>
    <x v="0"/>
    <x v="0"/>
    <x v="10"/>
    <x v="0"/>
    <x v="2"/>
    <x v="6"/>
    <x v="0"/>
    <x v="1"/>
    <n v="1.7270186066627502E-2"/>
    <x v="8"/>
    <x v="0"/>
    <x v="2"/>
    <x v="0"/>
    <x v="1"/>
    <x v="0"/>
    <x v="5"/>
    <x v="0"/>
    <x v="0"/>
    <x v="0"/>
    <x v="0"/>
    <x v="0"/>
    <x v="0"/>
    <x v="4"/>
    <x v="0"/>
    <x v="1"/>
    <x v="5"/>
    <x v="0"/>
    <x v="0"/>
    <x v="0"/>
    <x v="0"/>
    <x v="0"/>
    <x v="0"/>
    <x v="1"/>
    <x v="0"/>
  </r>
  <r>
    <x v="3"/>
    <x v="6"/>
    <x v="0"/>
    <x v="0"/>
    <x v="0"/>
    <x v="10"/>
    <x v="0"/>
    <x v="2"/>
    <x v="6"/>
    <x v="0"/>
    <x v="0"/>
    <n v="1.7202834296226502E-2"/>
    <x v="8"/>
    <x v="0"/>
    <x v="2"/>
    <x v="0"/>
    <x v="1"/>
    <x v="0"/>
    <x v="5"/>
    <x v="0"/>
    <x v="0"/>
    <x v="0"/>
    <x v="0"/>
    <x v="0"/>
    <x v="0"/>
    <x v="4"/>
    <x v="0"/>
    <x v="1"/>
    <x v="5"/>
    <x v="0"/>
    <x v="0"/>
    <x v="0"/>
    <x v="0"/>
    <x v="0"/>
    <x v="0"/>
    <x v="1"/>
    <x v="0"/>
  </r>
  <r>
    <x v="3"/>
    <x v="6"/>
    <x v="0"/>
    <x v="0"/>
    <x v="0"/>
    <x v="10"/>
    <x v="0"/>
    <x v="2"/>
    <x v="6"/>
    <x v="0"/>
    <x v="2"/>
    <n v="1.7334934163093566E-2"/>
    <x v="8"/>
    <x v="0"/>
    <x v="2"/>
    <x v="0"/>
    <x v="1"/>
    <x v="0"/>
    <x v="5"/>
    <x v="0"/>
    <x v="0"/>
    <x v="0"/>
    <x v="0"/>
    <x v="0"/>
    <x v="0"/>
    <x v="4"/>
    <x v="0"/>
    <x v="1"/>
    <x v="5"/>
    <x v="0"/>
    <x v="0"/>
    <x v="0"/>
    <x v="0"/>
    <x v="0"/>
    <x v="0"/>
    <x v="1"/>
    <x v="0"/>
  </r>
  <r>
    <x v="3"/>
    <x v="6"/>
    <x v="0"/>
    <x v="0"/>
    <x v="0"/>
    <x v="10"/>
    <x v="0"/>
    <x v="2"/>
    <x v="6"/>
    <x v="0"/>
    <x v="3"/>
    <n v="1.741140809059143E-2"/>
    <x v="8"/>
    <x v="0"/>
    <x v="2"/>
    <x v="0"/>
    <x v="1"/>
    <x v="0"/>
    <x v="5"/>
    <x v="0"/>
    <x v="0"/>
    <x v="0"/>
    <x v="0"/>
    <x v="0"/>
    <x v="0"/>
    <x v="4"/>
    <x v="0"/>
    <x v="1"/>
    <x v="5"/>
    <x v="0"/>
    <x v="0"/>
    <x v="0"/>
    <x v="0"/>
    <x v="0"/>
    <x v="0"/>
    <x v="1"/>
    <x v="0"/>
  </r>
  <r>
    <x v="3"/>
    <x v="6"/>
    <x v="0"/>
    <x v="0"/>
    <x v="0"/>
    <x v="9"/>
    <x v="0"/>
    <x v="2"/>
    <x v="6"/>
    <x v="0"/>
    <x v="2"/>
    <n v="1.7334934163093566E-2"/>
    <x v="8"/>
    <x v="0"/>
    <x v="2"/>
    <x v="0"/>
    <x v="1"/>
    <x v="0"/>
    <x v="5"/>
    <x v="0"/>
    <x v="0"/>
    <x v="0"/>
    <x v="0"/>
    <x v="0"/>
    <x v="0"/>
    <x v="4"/>
    <x v="2"/>
    <x v="2"/>
    <x v="5"/>
    <x v="0"/>
    <x v="0"/>
    <x v="0"/>
    <x v="0"/>
    <x v="0"/>
    <x v="0"/>
    <x v="1"/>
    <x v="0"/>
  </r>
  <r>
    <x v="0"/>
    <x v="7"/>
    <x v="0"/>
    <x v="0"/>
    <x v="0"/>
    <x v="11"/>
    <x v="0"/>
    <x v="5"/>
    <x v="7"/>
    <x v="0"/>
    <x v="0"/>
    <n v="5.3158596754074106E-3"/>
    <x v="0"/>
    <x v="0"/>
    <x v="0"/>
    <x v="0"/>
    <x v="0"/>
    <x v="0"/>
    <x v="0"/>
    <x v="0"/>
    <x v="0"/>
    <x v="0"/>
    <x v="0"/>
    <x v="0"/>
    <x v="0"/>
    <x v="0"/>
    <x v="0"/>
    <x v="0"/>
    <x v="0"/>
    <x v="0"/>
    <x v="0"/>
    <x v="0"/>
    <x v="0"/>
    <x v="0"/>
    <x v="0"/>
    <x v="0"/>
    <x v="0"/>
  </r>
  <r>
    <x v="0"/>
    <x v="7"/>
    <x v="0"/>
    <x v="0"/>
    <x v="0"/>
    <x v="11"/>
    <x v="0"/>
    <x v="5"/>
    <x v="7"/>
    <x v="0"/>
    <x v="3"/>
    <n v="5.3692367076873786E-3"/>
    <x v="0"/>
    <x v="0"/>
    <x v="0"/>
    <x v="0"/>
    <x v="0"/>
    <x v="0"/>
    <x v="0"/>
    <x v="0"/>
    <x v="0"/>
    <x v="0"/>
    <x v="0"/>
    <x v="0"/>
    <x v="0"/>
    <x v="0"/>
    <x v="0"/>
    <x v="0"/>
    <x v="0"/>
    <x v="0"/>
    <x v="0"/>
    <x v="0"/>
    <x v="0"/>
    <x v="0"/>
    <x v="0"/>
    <x v="0"/>
    <x v="0"/>
  </r>
  <r>
    <x v="0"/>
    <x v="7"/>
    <x v="0"/>
    <x v="0"/>
    <x v="0"/>
    <x v="11"/>
    <x v="0"/>
    <x v="5"/>
    <x v="7"/>
    <x v="0"/>
    <x v="2"/>
    <n v="5.3426241874694825E-3"/>
    <x v="0"/>
    <x v="0"/>
    <x v="0"/>
    <x v="0"/>
    <x v="0"/>
    <x v="0"/>
    <x v="0"/>
    <x v="0"/>
    <x v="0"/>
    <x v="0"/>
    <x v="0"/>
    <x v="0"/>
    <x v="0"/>
    <x v="0"/>
    <x v="0"/>
    <x v="0"/>
    <x v="0"/>
    <x v="0"/>
    <x v="0"/>
    <x v="0"/>
    <x v="0"/>
    <x v="0"/>
    <x v="0"/>
    <x v="0"/>
    <x v="0"/>
  </r>
  <r>
    <x v="0"/>
    <x v="7"/>
    <x v="0"/>
    <x v="0"/>
    <x v="0"/>
    <x v="11"/>
    <x v="0"/>
    <x v="5"/>
    <x v="7"/>
    <x v="0"/>
    <x v="1"/>
    <n v="5.3426241874694825E-3"/>
    <x v="0"/>
    <x v="0"/>
    <x v="0"/>
    <x v="0"/>
    <x v="0"/>
    <x v="0"/>
    <x v="0"/>
    <x v="0"/>
    <x v="0"/>
    <x v="0"/>
    <x v="0"/>
    <x v="0"/>
    <x v="0"/>
    <x v="0"/>
    <x v="0"/>
    <x v="0"/>
    <x v="0"/>
    <x v="0"/>
    <x v="0"/>
    <x v="0"/>
    <x v="0"/>
    <x v="0"/>
    <x v="0"/>
    <x v="0"/>
    <x v="0"/>
  </r>
  <r>
    <x v="1"/>
    <x v="8"/>
    <x v="0"/>
    <x v="0"/>
    <x v="0"/>
    <x v="12"/>
    <x v="1"/>
    <x v="2"/>
    <x v="8"/>
    <x v="0"/>
    <x v="3"/>
    <n v="6.3490390777587891E-4"/>
    <x v="7"/>
    <x v="1"/>
    <x v="1"/>
    <x v="1"/>
    <x v="1"/>
    <x v="0"/>
    <x v="4"/>
    <x v="0"/>
    <x v="1"/>
    <x v="1"/>
    <x v="1"/>
    <x v="0"/>
    <x v="1"/>
    <x v="3"/>
    <x v="2"/>
    <x v="2"/>
    <x v="4"/>
    <x v="1"/>
    <x v="1"/>
    <x v="0"/>
    <x v="0"/>
    <x v="0"/>
    <x v="1"/>
    <x v="0"/>
    <x v="0"/>
  </r>
  <r>
    <x v="1"/>
    <x v="8"/>
    <x v="0"/>
    <x v="0"/>
    <x v="0"/>
    <x v="12"/>
    <x v="1"/>
    <x v="2"/>
    <x v="8"/>
    <x v="0"/>
    <x v="1"/>
    <n v="8.5594773292541504E-4"/>
    <x v="7"/>
    <x v="1"/>
    <x v="1"/>
    <x v="1"/>
    <x v="1"/>
    <x v="0"/>
    <x v="4"/>
    <x v="0"/>
    <x v="1"/>
    <x v="1"/>
    <x v="1"/>
    <x v="0"/>
    <x v="1"/>
    <x v="3"/>
    <x v="2"/>
    <x v="2"/>
    <x v="4"/>
    <x v="1"/>
    <x v="1"/>
    <x v="0"/>
    <x v="0"/>
    <x v="0"/>
    <x v="1"/>
    <x v="0"/>
    <x v="0"/>
  </r>
  <r>
    <x v="1"/>
    <x v="8"/>
    <x v="0"/>
    <x v="0"/>
    <x v="0"/>
    <x v="12"/>
    <x v="1"/>
    <x v="2"/>
    <x v="8"/>
    <x v="0"/>
    <x v="2"/>
    <n v="2.6504397392272948E-4"/>
    <x v="7"/>
    <x v="1"/>
    <x v="1"/>
    <x v="1"/>
    <x v="1"/>
    <x v="0"/>
    <x v="4"/>
    <x v="0"/>
    <x v="1"/>
    <x v="1"/>
    <x v="1"/>
    <x v="0"/>
    <x v="1"/>
    <x v="3"/>
    <x v="2"/>
    <x v="2"/>
    <x v="4"/>
    <x v="1"/>
    <x v="1"/>
    <x v="0"/>
    <x v="0"/>
    <x v="0"/>
    <x v="1"/>
    <x v="0"/>
    <x v="0"/>
  </r>
  <r>
    <x v="1"/>
    <x v="8"/>
    <x v="0"/>
    <x v="0"/>
    <x v="0"/>
    <x v="13"/>
    <x v="0"/>
    <x v="2"/>
    <x v="8"/>
    <x v="0"/>
    <x v="0"/>
    <n v="6.4792940616607668E-4"/>
    <x v="6"/>
    <x v="0"/>
    <x v="1"/>
    <x v="1"/>
    <x v="1"/>
    <x v="0"/>
    <x v="4"/>
    <x v="0"/>
    <x v="1"/>
    <x v="1"/>
    <x v="1"/>
    <x v="0"/>
    <x v="1"/>
    <x v="1"/>
    <x v="1"/>
    <x v="1"/>
    <x v="4"/>
    <x v="0"/>
    <x v="1"/>
    <x v="1"/>
    <x v="1"/>
    <x v="0"/>
    <x v="1"/>
    <x v="0"/>
    <x v="0"/>
  </r>
  <r>
    <x v="1"/>
    <x v="8"/>
    <x v="0"/>
    <x v="0"/>
    <x v="0"/>
    <x v="13"/>
    <x v="0"/>
    <x v="2"/>
    <x v="8"/>
    <x v="0"/>
    <x v="3"/>
    <n v="6.7960261344909671E-4"/>
    <x v="6"/>
    <x v="0"/>
    <x v="1"/>
    <x v="1"/>
    <x v="1"/>
    <x v="0"/>
    <x v="4"/>
    <x v="0"/>
    <x v="1"/>
    <x v="1"/>
    <x v="1"/>
    <x v="0"/>
    <x v="1"/>
    <x v="1"/>
    <x v="1"/>
    <x v="1"/>
    <x v="4"/>
    <x v="0"/>
    <x v="1"/>
    <x v="1"/>
    <x v="1"/>
    <x v="0"/>
    <x v="1"/>
    <x v="0"/>
    <x v="0"/>
  </r>
  <r>
    <x v="1"/>
    <x v="8"/>
    <x v="0"/>
    <x v="0"/>
    <x v="0"/>
    <x v="13"/>
    <x v="0"/>
    <x v="2"/>
    <x v="8"/>
    <x v="0"/>
    <x v="2"/>
    <n v="2.8376420974731445E-4"/>
    <x v="6"/>
    <x v="0"/>
    <x v="1"/>
    <x v="1"/>
    <x v="1"/>
    <x v="0"/>
    <x v="4"/>
    <x v="0"/>
    <x v="1"/>
    <x v="1"/>
    <x v="1"/>
    <x v="0"/>
    <x v="1"/>
    <x v="1"/>
    <x v="1"/>
    <x v="1"/>
    <x v="4"/>
    <x v="0"/>
    <x v="1"/>
    <x v="1"/>
    <x v="1"/>
    <x v="0"/>
    <x v="1"/>
    <x v="0"/>
    <x v="0"/>
  </r>
  <r>
    <x v="1"/>
    <x v="8"/>
    <x v="0"/>
    <x v="0"/>
    <x v="0"/>
    <x v="13"/>
    <x v="0"/>
    <x v="2"/>
    <x v="8"/>
    <x v="0"/>
    <x v="1"/>
    <n v="8.2997758865356445E-4"/>
    <x v="6"/>
    <x v="0"/>
    <x v="1"/>
    <x v="1"/>
    <x v="1"/>
    <x v="0"/>
    <x v="4"/>
    <x v="0"/>
    <x v="1"/>
    <x v="1"/>
    <x v="1"/>
    <x v="0"/>
    <x v="1"/>
    <x v="1"/>
    <x v="1"/>
    <x v="1"/>
    <x v="4"/>
    <x v="0"/>
    <x v="1"/>
    <x v="1"/>
    <x v="1"/>
    <x v="0"/>
    <x v="1"/>
    <x v="0"/>
    <x v="0"/>
  </r>
  <r>
    <x v="1"/>
    <x v="8"/>
    <x v="0"/>
    <x v="0"/>
    <x v="0"/>
    <x v="12"/>
    <x v="1"/>
    <x v="2"/>
    <x v="8"/>
    <x v="0"/>
    <x v="0"/>
    <n v="6.8579673767089834E-4"/>
    <x v="7"/>
    <x v="1"/>
    <x v="1"/>
    <x v="1"/>
    <x v="1"/>
    <x v="0"/>
    <x v="4"/>
    <x v="0"/>
    <x v="1"/>
    <x v="1"/>
    <x v="1"/>
    <x v="0"/>
    <x v="1"/>
    <x v="3"/>
    <x v="2"/>
    <x v="2"/>
    <x v="4"/>
    <x v="1"/>
    <x v="1"/>
    <x v="0"/>
    <x v="0"/>
    <x v="0"/>
    <x v="1"/>
    <x v="0"/>
    <x v="0"/>
  </r>
  <r>
    <x v="4"/>
    <x v="9"/>
    <x v="0"/>
    <x v="0"/>
    <x v="0"/>
    <x v="14"/>
    <x v="0"/>
    <x v="6"/>
    <x v="9"/>
    <x v="0"/>
    <x v="0"/>
    <n v="2.7043989580504749E-2"/>
    <x v="9"/>
    <x v="0"/>
    <x v="3"/>
    <x v="0"/>
    <x v="1"/>
    <x v="0"/>
    <x v="3"/>
    <x v="0"/>
    <x v="0"/>
    <x v="0"/>
    <x v="0"/>
    <x v="0"/>
    <x v="0"/>
    <x v="5"/>
    <x v="0"/>
    <x v="1"/>
    <x v="3"/>
    <x v="0"/>
    <x v="0"/>
    <x v="0"/>
    <x v="0"/>
    <x v="0"/>
    <x v="0"/>
    <x v="0"/>
    <x v="0"/>
  </r>
  <r>
    <x v="4"/>
    <x v="9"/>
    <x v="0"/>
    <x v="0"/>
    <x v="0"/>
    <x v="14"/>
    <x v="0"/>
    <x v="6"/>
    <x v="9"/>
    <x v="0"/>
    <x v="1"/>
    <n v="2.6977198245574017E-2"/>
    <x v="9"/>
    <x v="0"/>
    <x v="3"/>
    <x v="0"/>
    <x v="1"/>
    <x v="0"/>
    <x v="3"/>
    <x v="0"/>
    <x v="0"/>
    <x v="0"/>
    <x v="0"/>
    <x v="0"/>
    <x v="0"/>
    <x v="5"/>
    <x v="0"/>
    <x v="1"/>
    <x v="3"/>
    <x v="0"/>
    <x v="0"/>
    <x v="0"/>
    <x v="0"/>
    <x v="0"/>
    <x v="0"/>
    <x v="0"/>
    <x v="0"/>
  </r>
  <r>
    <x v="4"/>
    <x v="9"/>
    <x v="0"/>
    <x v="0"/>
    <x v="0"/>
    <x v="14"/>
    <x v="0"/>
    <x v="6"/>
    <x v="9"/>
    <x v="0"/>
    <x v="3"/>
    <n v="2.7144136574803569E-2"/>
    <x v="9"/>
    <x v="0"/>
    <x v="3"/>
    <x v="0"/>
    <x v="1"/>
    <x v="0"/>
    <x v="3"/>
    <x v="0"/>
    <x v="0"/>
    <x v="0"/>
    <x v="0"/>
    <x v="0"/>
    <x v="0"/>
    <x v="5"/>
    <x v="0"/>
    <x v="1"/>
    <x v="3"/>
    <x v="0"/>
    <x v="0"/>
    <x v="0"/>
    <x v="0"/>
    <x v="0"/>
    <x v="0"/>
    <x v="0"/>
    <x v="0"/>
  </r>
  <r>
    <x v="4"/>
    <x v="9"/>
    <x v="0"/>
    <x v="0"/>
    <x v="0"/>
    <x v="14"/>
    <x v="0"/>
    <x v="6"/>
    <x v="9"/>
    <x v="0"/>
    <x v="2"/>
    <n v="2.6974148044780811E-2"/>
    <x v="9"/>
    <x v="0"/>
    <x v="3"/>
    <x v="0"/>
    <x v="1"/>
    <x v="0"/>
    <x v="3"/>
    <x v="0"/>
    <x v="0"/>
    <x v="0"/>
    <x v="0"/>
    <x v="0"/>
    <x v="0"/>
    <x v="5"/>
    <x v="0"/>
    <x v="1"/>
    <x v="3"/>
    <x v="0"/>
    <x v="0"/>
    <x v="0"/>
    <x v="0"/>
    <x v="0"/>
    <x v="0"/>
    <x v="0"/>
    <x v="0"/>
  </r>
  <r>
    <x v="4"/>
    <x v="10"/>
    <x v="0"/>
    <x v="0"/>
    <x v="0"/>
    <x v="15"/>
    <x v="0"/>
    <x v="2"/>
    <x v="10"/>
    <x v="0"/>
    <x v="3"/>
    <n v="1.7459363102912902E-2"/>
    <x v="10"/>
    <x v="0"/>
    <x v="4"/>
    <x v="0"/>
    <x v="1"/>
    <x v="0"/>
    <x v="6"/>
    <x v="0"/>
    <x v="0"/>
    <x v="0"/>
    <x v="0"/>
    <x v="0"/>
    <x v="0"/>
    <x v="6"/>
    <x v="0"/>
    <x v="1"/>
    <x v="6"/>
    <x v="0"/>
    <x v="0"/>
    <x v="0"/>
    <x v="0"/>
    <x v="0"/>
    <x v="0"/>
    <x v="1"/>
    <x v="0"/>
  </r>
  <r>
    <x v="4"/>
    <x v="10"/>
    <x v="0"/>
    <x v="0"/>
    <x v="0"/>
    <x v="15"/>
    <x v="0"/>
    <x v="2"/>
    <x v="10"/>
    <x v="0"/>
    <x v="0"/>
    <n v="1.728710141181946E-2"/>
    <x v="10"/>
    <x v="0"/>
    <x v="4"/>
    <x v="0"/>
    <x v="1"/>
    <x v="0"/>
    <x v="6"/>
    <x v="0"/>
    <x v="0"/>
    <x v="0"/>
    <x v="0"/>
    <x v="0"/>
    <x v="0"/>
    <x v="6"/>
    <x v="0"/>
    <x v="1"/>
    <x v="6"/>
    <x v="0"/>
    <x v="0"/>
    <x v="0"/>
    <x v="0"/>
    <x v="0"/>
    <x v="0"/>
    <x v="1"/>
    <x v="0"/>
  </r>
  <r>
    <x v="4"/>
    <x v="10"/>
    <x v="0"/>
    <x v="0"/>
    <x v="0"/>
    <x v="15"/>
    <x v="0"/>
    <x v="2"/>
    <x v="10"/>
    <x v="0"/>
    <x v="1"/>
    <n v="1.7492639780044554E-2"/>
    <x v="10"/>
    <x v="0"/>
    <x v="4"/>
    <x v="0"/>
    <x v="1"/>
    <x v="0"/>
    <x v="6"/>
    <x v="0"/>
    <x v="0"/>
    <x v="0"/>
    <x v="0"/>
    <x v="0"/>
    <x v="0"/>
    <x v="6"/>
    <x v="0"/>
    <x v="1"/>
    <x v="6"/>
    <x v="0"/>
    <x v="0"/>
    <x v="0"/>
    <x v="0"/>
    <x v="0"/>
    <x v="0"/>
    <x v="1"/>
    <x v="0"/>
  </r>
  <r>
    <x v="4"/>
    <x v="10"/>
    <x v="0"/>
    <x v="0"/>
    <x v="0"/>
    <x v="15"/>
    <x v="0"/>
    <x v="2"/>
    <x v="10"/>
    <x v="0"/>
    <x v="2"/>
    <n v="1.7464739680290223E-2"/>
    <x v="10"/>
    <x v="0"/>
    <x v="4"/>
    <x v="0"/>
    <x v="1"/>
    <x v="0"/>
    <x v="6"/>
    <x v="0"/>
    <x v="0"/>
    <x v="0"/>
    <x v="0"/>
    <x v="0"/>
    <x v="0"/>
    <x v="6"/>
    <x v="0"/>
    <x v="1"/>
    <x v="6"/>
    <x v="0"/>
    <x v="0"/>
    <x v="0"/>
    <x v="0"/>
    <x v="0"/>
    <x v="0"/>
    <x v="1"/>
    <x v="0"/>
  </r>
  <r>
    <x v="5"/>
    <x v="11"/>
    <x v="0"/>
    <x v="0"/>
    <x v="0"/>
    <x v="16"/>
    <x v="1"/>
    <x v="2"/>
    <x v="11"/>
    <x v="0"/>
    <x v="1"/>
    <n v="1.0002487993240359"/>
    <x v="11"/>
    <x v="1"/>
    <x v="3"/>
    <x v="3"/>
    <x v="1"/>
    <x v="0"/>
    <x v="0"/>
    <x v="0"/>
    <x v="1"/>
    <x v="0"/>
    <x v="0"/>
    <x v="1"/>
    <x v="1"/>
    <x v="7"/>
    <x v="2"/>
    <x v="2"/>
    <x v="0"/>
    <x v="1"/>
    <x v="1"/>
    <x v="1"/>
    <x v="1"/>
    <x v="1"/>
    <x v="1"/>
    <x v="0"/>
    <x v="0"/>
  </r>
  <r>
    <x v="5"/>
    <x v="11"/>
    <x v="0"/>
    <x v="0"/>
    <x v="0"/>
    <x v="16"/>
    <x v="1"/>
    <x v="2"/>
    <x v="11"/>
    <x v="0"/>
    <x v="2"/>
    <n v="1.0002207994461056"/>
    <x v="11"/>
    <x v="1"/>
    <x v="3"/>
    <x v="3"/>
    <x v="1"/>
    <x v="0"/>
    <x v="0"/>
    <x v="0"/>
    <x v="1"/>
    <x v="0"/>
    <x v="0"/>
    <x v="1"/>
    <x v="1"/>
    <x v="7"/>
    <x v="2"/>
    <x v="2"/>
    <x v="0"/>
    <x v="1"/>
    <x v="1"/>
    <x v="1"/>
    <x v="1"/>
    <x v="1"/>
    <x v="1"/>
    <x v="0"/>
    <x v="0"/>
  </r>
  <r>
    <x v="5"/>
    <x v="11"/>
    <x v="0"/>
    <x v="0"/>
    <x v="0"/>
    <x v="16"/>
    <x v="1"/>
    <x v="2"/>
    <x v="11"/>
    <x v="0"/>
    <x v="0"/>
    <n v="1.0002466011047364"/>
    <x v="11"/>
    <x v="1"/>
    <x v="3"/>
    <x v="3"/>
    <x v="1"/>
    <x v="0"/>
    <x v="0"/>
    <x v="0"/>
    <x v="1"/>
    <x v="0"/>
    <x v="0"/>
    <x v="1"/>
    <x v="1"/>
    <x v="7"/>
    <x v="2"/>
    <x v="2"/>
    <x v="0"/>
    <x v="1"/>
    <x v="1"/>
    <x v="1"/>
    <x v="1"/>
    <x v="1"/>
    <x v="1"/>
    <x v="0"/>
    <x v="0"/>
  </r>
  <r>
    <x v="5"/>
    <x v="11"/>
    <x v="0"/>
    <x v="0"/>
    <x v="0"/>
    <x v="16"/>
    <x v="1"/>
    <x v="2"/>
    <x v="11"/>
    <x v="0"/>
    <x v="2"/>
    <n v="1.0002207994461056"/>
    <x v="11"/>
    <x v="1"/>
    <x v="3"/>
    <x v="3"/>
    <x v="1"/>
    <x v="0"/>
    <x v="0"/>
    <x v="0"/>
    <x v="1"/>
    <x v="0"/>
    <x v="0"/>
    <x v="1"/>
    <x v="1"/>
    <x v="7"/>
    <x v="2"/>
    <x v="2"/>
    <x v="0"/>
    <x v="1"/>
    <x v="1"/>
    <x v="1"/>
    <x v="1"/>
    <x v="1"/>
    <x v="1"/>
    <x v="0"/>
    <x v="0"/>
  </r>
  <r>
    <x v="5"/>
    <x v="11"/>
    <x v="0"/>
    <x v="0"/>
    <x v="0"/>
    <x v="16"/>
    <x v="1"/>
    <x v="2"/>
    <x v="11"/>
    <x v="0"/>
    <x v="2"/>
    <n v="1.0002207994461056"/>
    <x v="11"/>
    <x v="1"/>
    <x v="3"/>
    <x v="3"/>
    <x v="1"/>
    <x v="0"/>
    <x v="0"/>
    <x v="0"/>
    <x v="1"/>
    <x v="0"/>
    <x v="0"/>
    <x v="1"/>
    <x v="1"/>
    <x v="7"/>
    <x v="2"/>
    <x v="2"/>
    <x v="0"/>
    <x v="1"/>
    <x v="1"/>
    <x v="1"/>
    <x v="1"/>
    <x v="1"/>
    <x v="1"/>
    <x v="0"/>
    <x v="0"/>
  </r>
  <r>
    <x v="5"/>
    <x v="11"/>
    <x v="0"/>
    <x v="0"/>
    <x v="0"/>
    <x v="16"/>
    <x v="1"/>
    <x v="2"/>
    <x v="11"/>
    <x v="0"/>
    <x v="2"/>
    <n v="1.0002207994461056"/>
    <x v="11"/>
    <x v="1"/>
    <x v="3"/>
    <x v="3"/>
    <x v="1"/>
    <x v="0"/>
    <x v="0"/>
    <x v="0"/>
    <x v="1"/>
    <x v="0"/>
    <x v="0"/>
    <x v="1"/>
    <x v="1"/>
    <x v="7"/>
    <x v="2"/>
    <x v="2"/>
    <x v="0"/>
    <x v="1"/>
    <x v="1"/>
    <x v="1"/>
    <x v="1"/>
    <x v="1"/>
    <x v="1"/>
    <x v="0"/>
    <x v="0"/>
  </r>
  <r>
    <x v="5"/>
    <x v="11"/>
    <x v="0"/>
    <x v="0"/>
    <x v="0"/>
    <x v="16"/>
    <x v="1"/>
    <x v="2"/>
    <x v="11"/>
    <x v="0"/>
    <x v="3"/>
    <n v="1.0002432012557982"/>
    <x v="11"/>
    <x v="1"/>
    <x v="3"/>
    <x v="3"/>
    <x v="1"/>
    <x v="0"/>
    <x v="0"/>
    <x v="0"/>
    <x v="1"/>
    <x v="0"/>
    <x v="0"/>
    <x v="1"/>
    <x v="1"/>
    <x v="7"/>
    <x v="2"/>
    <x v="2"/>
    <x v="0"/>
    <x v="1"/>
    <x v="1"/>
    <x v="1"/>
    <x v="1"/>
    <x v="1"/>
    <x v="1"/>
    <x v="0"/>
    <x v="0"/>
  </r>
  <r>
    <x v="5"/>
    <x v="11"/>
    <x v="0"/>
    <x v="0"/>
    <x v="0"/>
    <x v="16"/>
    <x v="1"/>
    <x v="2"/>
    <x v="11"/>
    <x v="0"/>
    <x v="1"/>
    <n v="1.0002487993240359"/>
    <x v="11"/>
    <x v="1"/>
    <x v="3"/>
    <x v="3"/>
    <x v="1"/>
    <x v="0"/>
    <x v="0"/>
    <x v="0"/>
    <x v="1"/>
    <x v="0"/>
    <x v="0"/>
    <x v="1"/>
    <x v="1"/>
    <x v="7"/>
    <x v="2"/>
    <x v="2"/>
    <x v="0"/>
    <x v="1"/>
    <x v="1"/>
    <x v="1"/>
    <x v="1"/>
    <x v="1"/>
    <x v="1"/>
    <x v="0"/>
    <x v="0"/>
  </r>
  <r>
    <x v="5"/>
    <x v="11"/>
    <x v="0"/>
    <x v="0"/>
    <x v="0"/>
    <x v="16"/>
    <x v="1"/>
    <x v="2"/>
    <x v="11"/>
    <x v="0"/>
    <x v="0"/>
    <n v="1.0002466011047364"/>
    <x v="11"/>
    <x v="1"/>
    <x v="3"/>
    <x v="3"/>
    <x v="1"/>
    <x v="0"/>
    <x v="0"/>
    <x v="0"/>
    <x v="1"/>
    <x v="0"/>
    <x v="0"/>
    <x v="1"/>
    <x v="1"/>
    <x v="7"/>
    <x v="2"/>
    <x v="2"/>
    <x v="0"/>
    <x v="1"/>
    <x v="1"/>
    <x v="1"/>
    <x v="1"/>
    <x v="1"/>
    <x v="1"/>
    <x v="0"/>
    <x v="0"/>
  </r>
  <r>
    <x v="5"/>
    <x v="11"/>
    <x v="0"/>
    <x v="0"/>
    <x v="0"/>
    <x v="16"/>
    <x v="1"/>
    <x v="2"/>
    <x v="11"/>
    <x v="0"/>
    <x v="1"/>
    <n v="1.0002487993240359"/>
    <x v="11"/>
    <x v="1"/>
    <x v="3"/>
    <x v="3"/>
    <x v="1"/>
    <x v="0"/>
    <x v="0"/>
    <x v="0"/>
    <x v="1"/>
    <x v="0"/>
    <x v="0"/>
    <x v="1"/>
    <x v="1"/>
    <x v="7"/>
    <x v="2"/>
    <x v="2"/>
    <x v="0"/>
    <x v="1"/>
    <x v="1"/>
    <x v="1"/>
    <x v="1"/>
    <x v="1"/>
    <x v="1"/>
    <x v="0"/>
    <x v="0"/>
  </r>
  <r>
    <x v="5"/>
    <x v="11"/>
    <x v="0"/>
    <x v="0"/>
    <x v="0"/>
    <x v="16"/>
    <x v="1"/>
    <x v="2"/>
    <x v="11"/>
    <x v="0"/>
    <x v="3"/>
    <n v="1.0002432012557982"/>
    <x v="11"/>
    <x v="1"/>
    <x v="3"/>
    <x v="3"/>
    <x v="1"/>
    <x v="0"/>
    <x v="0"/>
    <x v="0"/>
    <x v="1"/>
    <x v="0"/>
    <x v="0"/>
    <x v="1"/>
    <x v="1"/>
    <x v="7"/>
    <x v="2"/>
    <x v="2"/>
    <x v="0"/>
    <x v="1"/>
    <x v="1"/>
    <x v="1"/>
    <x v="1"/>
    <x v="1"/>
    <x v="1"/>
    <x v="0"/>
    <x v="0"/>
  </r>
  <r>
    <x v="5"/>
    <x v="11"/>
    <x v="0"/>
    <x v="0"/>
    <x v="0"/>
    <x v="16"/>
    <x v="1"/>
    <x v="2"/>
    <x v="11"/>
    <x v="0"/>
    <x v="0"/>
    <n v="1.0002466011047364"/>
    <x v="11"/>
    <x v="1"/>
    <x v="3"/>
    <x v="3"/>
    <x v="1"/>
    <x v="0"/>
    <x v="0"/>
    <x v="0"/>
    <x v="1"/>
    <x v="0"/>
    <x v="0"/>
    <x v="1"/>
    <x v="1"/>
    <x v="7"/>
    <x v="2"/>
    <x v="2"/>
    <x v="0"/>
    <x v="1"/>
    <x v="1"/>
    <x v="1"/>
    <x v="1"/>
    <x v="1"/>
    <x v="1"/>
    <x v="0"/>
    <x v="0"/>
  </r>
  <r>
    <x v="5"/>
    <x v="11"/>
    <x v="0"/>
    <x v="0"/>
    <x v="0"/>
    <x v="16"/>
    <x v="1"/>
    <x v="2"/>
    <x v="11"/>
    <x v="0"/>
    <x v="3"/>
    <n v="1.0002432012557982"/>
    <x v="11"/>
    <x v="1"/>
    <x v="3"/>
    <x v="3"/>
    <x v="1"/>
    <x v="0"/>
    <x v="0"/>
    <x v="0"/>
    <x v="1"/>
    <x v="0"/>
    <x v="0"/>
    <x v="1"/>
    <x v="1"/>
    <x v="7"/>
    <x v="2"/>
    <x v="2"/>
    <x v="0"/>
    <x v="1"/>
    <x v="1"/>
    <x v="1"/>
    <x v="1"/>
    <x v="1"/>
    <x v="1"/>
    <x v="0"/>
    <x v="0"/>
  </r>
  <r>
    <x v="5"/>
    <x v="11"/>
    <x v="0"/>
    <x v="0"/>
    <x v="0"/>
    <x v="16"/>
    <x v="1"/>
    <x v="2"/>
    <x v="11"/>
    <x v="0"/>
    <x v="1"/>
    <n v="1.0002487993240359"/>
    <x v="11"/>
    <x v="1"/>
    <x v="3"/>
    <x v="3"/>
    <x v="1"/>
    <x v="0"/>
    <x v="0"/>
    <x v="0"/>
    <x v="1"/>
    <x v="0"/>
    <x v="0"/>
    <x v="1"/>
    <x v="1"/>
    <x v="7"/>
    <x v="2"/>
    <x v="2"/>
    <x v="0"/>
    <x v="1"/>
    <x v="1"/>
    <x v="1"/>
    <x v="1"/>
    <x v="1"/>
    <x v="1"/>
    <x v="0"/>
    <x v="0"/>
  </r>
  <r>
    <x v="5"/>
    <x v="11"/>
    <x v="0"/>
    <x v="0"/>
    <x v="0"/>
    <x v="16"/>
    <x v="1"/>
    <x v="2"/>
    <x v="11"/>
    <x v="0"/>
    <x v="0"/>
    <n v="1.0002466011047364"/>
    <x v="11"/>
    <x v="1"/>
    <x v="3"/>
    <x v="3"/>
    <x v="1"/>
    <x v="0"/>
    <x v="0"/>
    <x v="0"/>
    <x v="1"/>
    <x v="0"/>
    <x v="0"/>
    <x v="1"/>
    <x v="1"/>
    <x v="7"/>
    <x v="2"/>
    <x v="2"/>
    <x v="0"/>
    <x v="1"/>
    <x v="1"/>
    <x v="1"/>
    <x v="1"/>
    <x v="1"/>
    <x v="1"/>
    <x v="0"/>
    <x v="0"/>
  </r>
  <r>
    <x v="5"/>
    <x v="11"/>
    <x v="0"/>
    <x v="0"/>
    <x v="0"/>
    <x v="16"/>
    <x v="1"/>
    <x v="2"/>
    <x v="11"/>
    <x v="0"/>
    <x v="2"/>
    <n v="1.0002207994461056"/>
    <x v="11"/>
    <x v="1"/>
    <x v="3"/>
    <x v="3"/>
    <x v="1"/>
    <x v="0"/>
    <x v="0"/>
    <x v="0"/>
    <x v="1"/>
    <x v="0"/>
    <x v="0"/>
    <x v="1"/>
    <x v="1"/>
    <x v="7"/>
    <x v="2"/>
    <x v="2"/>
    <x v="0"/>
    <x v="1"/>
    <x v="1"/>
    <x v="1"/>
    <x v="1"/>
    <x v="1"/>
    <x v="1"/>
    <x v="0"/>
    <x v="0"/>
  </r>
  <r>
    <x v="5"/>
    <x v="11"/>
    <x v="0"/>
    <x v="0"/>
    <x v="0"/>
    <x v="17"/>
    <x v="0"/>
    <x v="2"/>
    <x v="11"/>
    <x v="0"/>
    <x v="3"/>
    <n v="0.99999537576328612"/>
    <x v="12"/>
    <x v="0"/>
    <x v="3"/>
    <x v="3"/>
    <x v="1"/>
    <x v="0"/>
    <x v="0"/>
    <x v="0"/>
    <x v="1"/>
    <x v="0"/>
    <x v="0"/>
    <x v="1"/>
    <x v="1"/>
    <x v="5"/>
    <x v="4"/>
    <x v="1"/>
    <x v="0"/>
    <x v="0"/>
    <x v="1"/>
    <x v="0"/>
    <x v="0"/>
    <x v="1"/>
    <x v="1"/>
    <x v="0"/>
    <x v="0"/>
  </r>
  <r>
    <x v="5"/>
    <x v="11"/>
    <x v="0"/>
    <x v="0"/>
    <x v="0"/>
    <x v="17"/>
    <x v="0"/>
    <x v="2"/>
    <x v="11"/>
    <x v="0"/>
    <x v="2"/>
    <n v="0.99999519393901637"/>
    <x v="12"/>
    <x v="0"/>
    <x v="3"/>
    <x v="3"/>
    <x v="1"/>
    <x v="0"/>
    <x v="0"/>
    <x v="0"/>
    <x v="1"/>
    <x v="0"/>
    <x v="0"/>
    <x v="1"/>
    <x v="1"/>
    <x v="5"/>
    <x v="4"/>
    <x v="1"/>
    <x v="0"/>
    <x v="0"/>
    <x v="1"/>
    <x v="0"/>
    <x v="0"/>
    <x v="1"/>
    <x v="1"/>
    <x v="0"/>
    <x v="0"/>
  </r>
  <r>
    <x v="5"/>
    <x v="11"/>
    <x v="0"/>
    <x v="0"/>
    <x v="0"/>
    <x v="17"/>
    <x v="0"/>
    <x v="2"/>
    <x v="11"/>
    <x v="0"/>
    <x v="0"/>
    <n v="0.99999528685001404"/>
    <x v="12"/>
    <x v="0"/>
    <x v="3"/>
    <x v="3"/>
    <x v="1"/>
    <x v="0"/>
    <x v="0"/>
    <x v="0"/>
    <x v="1"/>
    <x v="0"/>
    <x v="0"/>
    <x v="1"/>
    <x v="1"/>
    <x v="5"/>
    <x v="4"/>
    <x v="1"/>
    <x v="0"/>
    <x v="0"/>
    <x v="1"/>
    <x v="0"/>
    <x v="0"/>
    <x v="1"/>
    <x v="1"/>
    <x v="0"/>
    <x v="0"/>
  </r>
  <r>
    <x v="5"/>
    <x v="11"/>
    <x v="0"/>
    <x v="0"/>
    <x v="0"/>
    <x v="17"/>
    <x v="0"/>
    <x v="2"/>
    <x v="11"/>
    <x v="0"/>
    <x v="1"/>
    <n v="0.99999545858363903"/>
    <x v="12"/>
    <x v="0"/>
    <x v="3"/>
    <x v="3"/>
    <x v="1"/>
    <x v="0"/>
    <x v="0"/>
    <x v="0"/>
    <x v="1"/>
    <x v="0"/>
    <x v="0"/>
    <x v="1"/>
    <x v="1"/>
    <x v="5"/>
    <x v="4"/>
    <x v="1"/>
    <x v="0"/>
    <x v="0"/>
    <x v="1"/>
    <x v="0"/>
    <x v="0"/>
    <x v="1"/>
    <x v="1"/>
    <x v="0"/>
    <x v="0"/>
  </r>
  <r>
    <x v="5"/>
    <x v="11"/>
    <x v="0"/>
    <x v="0"/>
    <x v="0"/>
    <x v="17"/>
    <x v="0"/>
    <x v="2"/>
    <x v="11"/>
    <x v="0"/>
    <x v="0"/>
    <n v="0.99999528685001404"/>
    <x v="12"/>
    <x v="0"/>
    <x v="3"/>
    <x v="3"/>
    <x v="1"/>
    <x v="0"/>
    <x v="0"/>
    <x v="0"/>
    <x v="1"/>
    <x v="0"/>
    <x v="0"/>
    <x v="1"/>
    <x v="1"/>
    <x v="5"/>
    <x v="4"/>
    <x v="1"/>
    <x v="0"/>
    <x v="0"/>
    <x v="1"/>
    <x v="0"/>
    <x v="0"/>
    <x v="1"/>
    <x v="1"/>
    <x v="0"/>
    <x v="0"/>
  </r>
  <r>
    <x v="5"/>
    <x v="11"/>
    <x v="0"/>
    <x v="0"/>
    <x v="0"/>
    <x v="17"/>
    <x v="0"/>
    <x v="2"/>
    <x v="11"/>
    <x v="0"/>
    <x v="1"/>
    <n v="0.99999545858363903"/>
    <x v="12"/>
    <x v="0"/>
    <x v="3"/>
    <x v="3"/>
    <x v="1"/>
    <x v="0"/>
    <x v="0"/>
    <x v="0"/>
    <x v="1"/>
    <x v="0"/>
    <x v="0"/>
    <x v="1"/>
    <x v="1"/>
    <x v="5"/>
    <x v="4"/>
    <x v="1"/>
    <x v="0"/>
    <x v="0"/>
    <x v="1"/>
    <x v="0"/>
    <x v="0"/>
    <x v="1"/>
    <x v="1"/>
    <x v="0"/>
    <x v="0"/>
  </r>
  <r>
    <x v="5"/>
    <x v="11"/>
    <x v="0"/>
    <x v="0"/>
    <x v="0"/>
    <x v="17"/>
    <x v="0"/>
    <x v="2"/>
    <x v="11"/>
    <x v="0"/>
    <x v="3"/>
    <n v="0.99999537576328612"/>
    <x v="12"/>
    <x v="0"/>
    <x v="3"/>
    <x v="3"/>
    <x v="1"/>
    <x v="0"/>
    <x v="0"/>
    <x v="0"/>
    <x v="1"/>
    <x v="0"/>
    <x v="0"/>
    <x v="1"/>
    <x v="1"/>
    <x v="5"/>
    <x v="4"/>
    <x v="1"/>
    <x v="0"/>
    <x v="0"/>
    <x v="1"/>
    <x v="0"/>
    <x v="0"/>
    <x v="1"/>
    <x v="1"/>
    <x v="0"/>
    <x v="0"/>
  </r>
  <r>
    <x v="5"/>
    <x v="11"/>
    <x v="0"/>
    <x v="0"/>
    <x v="0"/>
    <x v="17"/>
    <x v="0"/>
    <x v="2"/>
    <x v="11"/>
    <x v="0"/>
    <x v="2"/>
    <n v="0.99999519393901637"/>
    <x v="12"/>
    <x v="0"/>
    <x v="3"/>
    <x v="3"/>
    <x v="1"/>
    <x v="0"/>
    <x v="0"/>
    <x v="0"/>
    <x v="1"/>
    <x v="0"/>
    <x v="0"/>
    <x v="1"/>
    <x v="1"/>
    <x v="5"/>
    <x v="4"/>
    <x v="1"/>
    <x v="0"/>
    <x v="0"/>
    <x v="1"/>
    <x v="0"/>
    <x v="0"/>
    <x v="1"/>
    <x v="1"/>
    <x v="0"/>
    <x v="0"/>
  </r>
  <r>
    <x v="5"/>
    <x v="11"/>
    <x v="0"/>
    <x v="0"/>
    <x v="0"/>
    <x v="18"/>
    <x v="1"/>
    <x v="2"/>
    <x v="11"/>
    <x v="0"/>
    <x v="0"/>
    <n v="1.0002466011047364"/>
    <x v="11"/>
    <x v="1"/>
    <x v="3"/>
    <x v="3"/>
    <x v="1"/>
    <x v="0"/>
    <x v="0"/>
    <x v="0"/>
    <x v="1"/>
    <x v="0"/>
    <x v="0"/>
    <x v="1"/>
    <x v="1"/>
    <x v="7"/>
    <x v="2"/>
    <x v="2"/>
    <x v="0"/>
    <x v="1"/>
    <x v="1"/>
    <x v="1"/>
    <x v="1"/>
    <x v="1"/>
    <x v="1"/>
    <x v="0"/>
    <x v="0"/>
  </r>
  <r>
    <x v="5"/>
    <x v="11"/>
    <x v="0"/>
    <x v="0"/>
    <x v="0"/>
    <x v="18"/>
    <x v="1"/>
    <x v="2"/>
    <x v="11"/>
    <x v="0"/>
    <x v="1"/>
    <n v="1.0002487993240359"/>
    <x v="11"/>
    <x v="1"/>
    <x v="3"/>
    <x v="3"/>
    <x v="1"/>
    <x v="0"/>
    <x v="0"/>
    <x v="0"/>
    <x v="1"/>
    <x v="0"/>
    <x v="0"/>
    <x v="1"/>
    <x v="1"/>
    <x v="7"/>
    <x v="2"/>
    <x v="2"/>
    <x v="0"/>
    <x v="1"/>
    <x v="1"/>
    <x v="1"/>
    <x v="1"/>
    <x v="1"/>
    <x v="1"/>
    <x v="0"/>
    <x v="0"/>
  </r>
  <r>
    <x v="5"/>
    <x v="11"/>
    <x v="0"/>
    <x v="0"/>
    <x v="0"/>
    <x v="18"/>
    <x v="1"/>
    <x v="2"/>
    <x v="11"/>
    <x v="0"/>
    <x v="3"/>
    <n v="1.0002432012557982"/>
    <x v="11"/>
    <x v="1"/>
    <x v="3"/>
    <x v="3"/>
    <x v="1"/>
    <x v="0"/>
    <x v="0"/>
    <x v="0"/>
    <x v="1"/>
    <x v="0"/>
    <x v="0"/>
    <x v="1"/>
    <x v="1"/>
    <x v="7"/>
    <x v="2"/>
    <x v="2"/>
    <x v="0"/>
    <x v="1"/>
    <x v="1"/>
    <x v="1"/>
    <x v="1"/>
    <x v="1"/>
    <x v="1"/>
    <x v="0"/>
    <x v="0"/>
  </r>
  <r>
    <x v="5"/>
    <x v="11"/>
    <x v="0"/>
    <x v="0"/>
    <x v="0"/>
    <x v="18"/>
    <x v="1"/>
    <x v="2"/>
    <x v="11"/>
    <x v="0"/>
    <x v="2"/>
    <n v="1.0002207994461056"/>
    <x v="11"/>
    <x v="1"/>
    <x v="3"/>
    <x v="3"/>
    <x v="1"/>
    <x v="0"/>
    <x v="0"/>
    <x v="0"/>
    <x v="1"/>
    <x v="0"/>
    <x v="0"/>
    <x v="1"/>
    <x v="1"/>
    <x v="7"/>
    <x v="2"/>
    <x v="2"/>
    <x v="0"/>
    <x v="1"/>
    <x v="1"/>
    <x v="1"/>
    <x v="1"/>
    <x v="1"/>
    <x v="1"/>
    <x v="0"/>
    <x v="0"/>
  </r>
  <r>
    <x v="5"/>
    <x v="11"/>
    <x v="0"/>
    <x v="0"/>
    <x v="0"/>
    <x v="18"/>
    <x v="1"/>
    <x v="2"/>
    <x v="11"/>
    <x v="0"/>
    <x v="1"/>
    <n v="1.0002487993240359"/>
    <x v="11"/>
    <x v="1"/>
    <x v="3"/>
    <x v="3"/>
    <x v="1"/>
    <x v="0"/>
    <x v="0"/>
    <x v="0"/>
    <x v="1"/>
    <x v="0"/>
    <x v="0"/>
    <x v="1"/>
    <x v="1"/>
    <x v="7"/>
    <x v="2"/>
    <x v="2"/>
    <x v="0"/>
    <x v="1"/>
    <x v="1"/>
    <x v="1"/>
    <x v="1"/>
    <x v="1"/>
    <x v="1"/>
    <x v="0"/>
    <x v="0"/>
  </r>
  <r>
    <x v="5"/>
    <x v="11"/>
    <x v="0"/>
    <x v="0"/>
    <x v="0"/>
    <x v="18"/>
    <x v="1"/>
    <x v="2"/>
    <x v="11"/>
    <x v="0"/>
    <x v="0"/>
    <n v="1.0002466011047364"/>
    <x v="11"/>
    <x v="1"/>
    <x v="3"/>
    <x v="3"/>
    <x v="1"/>
    <x v="0"/>
    <x v="0"/>
    <x v="0"/>
    <x v="1"/>
    <x v="0"/>
    <x v="0"/>
    <x v="1"/>
    <x v="1"/>
    <x v="7"/>
    <x v="2"/>
    <x v="2"/>
    <x v="0"/>
    <x v="1"/>
    <x v="1"/>
    <x v="1"/>
    <x v="1"/>
    <x v="1"/>
    <x v="1"/>
    <x v="0"/>
    <x v="0"/>
  </r>
  <r>
    <x v="5"/>
    <x v="11"/>
    <x v="0"/>
    <x v="0"/>
    <x v="0"/>
    <x v="18"/>
    <x v="1"/>
    <x v="2"/>
    <x v="11"/>
    <x v="0"/>
    <x v="1"/>
    <n v="1.0002487993240359"/>
    <x v="11"/>
    <x v="1"/>
    <x v="3"/>
    <x v="3"/>
    <x v="1"/>
    <x v="0"/>
    <x v="0"/>
    <x v="0"/>
    <x v="1"/>
    <x v="0"/>
    <x v="0"/>
    <x v="1"/>
    <x v="1"/>
    <x v="7"/>
    <x v="2"/>
    <x v="2"/>
    <x v="0"/>
    <x v="1"/>
    <x v="1"/>
    <x v="1"/>
    <x v="1"/>
    <x v="1"/>
    <x v="1"/>
    <x v="0"/>
    <x v="0"/>
  </r>
  <r>
    <x v="5"/>
    <x v="11"/>
    <x v="0"/>
    <x v="0"/>
    <x v="0"/>
    <x v="18"/>
    <x v="1"/>
    <x v="2"/>
    <x v="11"/>
    <x v="0"/>
    <x v="0"/>
    <n v="1.0002466011047364"/>
    <x v="11"/>
    <x v="1"/>
    <x v="3"/>
    <x v="3"/>
    <x v="1"/>
    <x v="0"/>
    <x v="0"/>
    <x v="0"/>
    <x v="1"/>
    <x v="0"/>
    <x v="0"/>
    <x v="1"/>
    <x v="1"/>
    <x v="7"/>
    <x v="2"/>
    <x v="2"/>
    <x v="0"/>
    <x v="1"/>
    <x v="1"/>
    <x v="1"/>
    <x v="1"/>
    <x v="1"/>
    <x v="1"/>
    <x v="0"/>
    <x v="0"/>
  </r>
  <r>
    <x v="5"/>
    <x v="11"/>
    <x v="0"/>
    <x v="0"/>
    <x v="0"/>
    <x v="18"/>
    <x v="1"/>
    <x v="2"/>
    <x v="11"/>
    <x v="0"/>
    <x v="2"/>
    <n v="1.0002207994461056"/>
    <x v="11"/>
    <x v="1"/>
    <x v="3"/>
    <x v="3"/>
    <x v="1"/>
    <x v="0"/>
    <x v="0"/>
    <x v="0"/>
    <x v="1"/>
    <x v="0"/>
    <x v="0"/>
    <x v="1"/>
    <x v="1"/>
    <x v="7"/>
    <x v="2"/>
    <x v="2"/>
    <x v="0"/>
    <x v="1"/>
    <x v="1"/>
    <x v="1"/>
    <x v="1"/>
    <x v="1"/>
    <x v="1"/>
    <x v="0"/>
    <x v="0"/>
  </r>
  <r>
    <x v="5"/>
    <x v="11"/>
    <x v="0"/>
    <x v="0"/>
    <x v="0"/>
    <x v="18"/>
    <x v="1"/>
    <x v="2"/>
    <x v="11"/>
    <x v="0"/>
    <x v="1"/>
    <n v="1.0002487993240359"/>
    <x v="11"/>
    <x v="1"/>
    <x v="3"/>
    <x v="3"/>
    <x v="1"/>
    <x v="0"/>
    <x v="0"/>
    <x v="0"/>
    <x v="1"/>
    <x v="0"/>
    <x v="0"/>
    <x v="1"/>
    <x v="1"/>
    <x v="7"/>
    <x v="2"/>
    <x v="2"/>
    <x v="0"/>
    <x v="1"/>
    <x v="1"/>
    <x v="1"/>
    <x v="1"/>
    <x v="1"/>
    <x v="1"/>
    <x v="0"/>
    <x v="0"/>
  </r>
  <r>
    <x v="5"/>
    <x v="11"/>
    <x v="0"/>
    <x v="0"/>
    <x v="0"/>
    <x v="18"/>
    <x v="1"/>
    <x v="2"/>
    <x v="11"/>
    <x v="0"/>
    <x v="3"/>
    <n v="1.0002432012557982"/>
    <x v="11"/>
    <x v="1"/>
    <x v="3"/>
    <x v="3"/>
    <x v="1"/>
    <x v="0"/>
    <x v="0"/>
    <x v="0"/>
    <x v="1"/>
    <x v="0"/>
    <x v="0"/>
    <x v="1"/>
    <x v="1"/>
    <x v="7"/>
    <x v="2"/>
    <x v="2"/>
    <x v="0"/>
    <x v="1"/>
    <x v="1"/>
    <x v="1"/>
    <x v="1"/>
    <x v="1"/>
    <x v="1"/>
    <x v="0"/>
    <x v="0"/>
  </r>
  <r>
    <x v="5"/>
    <x v="11"/>
    <x v="0"/>
    <x v="0"/>
    <x v="0"/>
    <x v="18"/>
    <x v="1"/>
    <x v="2"/>
    <x v="11"/>
    <x v="0"/>
    <x v="3"/>
    <n v="1.0002432012557982"/>
    <x v="11"/>
    <x v="1"/>
    <x v="3"/>
    <x v="3"/>
    <x v="1"/>
    <x v="0"/>
    <x v="0"/>
    <x v="0"/>
    <x v="1"/>
    <x v="0"/>
    <x v="0"/>
    <x v="1"/>
    <x v="1"/>
    <x v="7"/>
    <x v="2"/>
    <x v="2"/>
    <x v="0"/>
    <x v="1"/>
    <x v="1"/>
    <x v="1"/>
    <x v="1"/>
    <x v="1"/>
    <x v="1"/>
    <x v="0"/>
    <x v="0"/>
  </r>
  <r>
    <x v="5"/>
    <x v="11"/>
    <x v="0"/>
    <x v="0"/>
    <x v="0"/>
    <x v="18"/>
    <x v="1"/>
    <x v="2"/>
    <x v="11"/>
    <x v="0"/>
    <x v="2"/>
    <n v="1.0002207994461056"/>
    <x v="11"/>
    <x v="1"/>
    <x v="3"/>
    <x v="3"/>
    <x v="1"/>
    <x v="0"/>
    <x v="0"/>
    <x v="0"/>
    <x v="1"/>
    <x v="0"/>
    <x v="0"/>
    <x v="1"/>
    <x v="1"/>
    <x v="7"/>
    <x v="2"/>
    <x v="2"/>
    <x v="0"/>
    <x v="1"/>
    <x v="1"/>
    <x v="1"/>
    <x v="1"/>
    <x v="1"/>
    <x v="1"/>
    <x v="0"/>
    <x v="0"/>
  </r>
  <r>
    <x v="5"/>
    <x v="11"/>
    <x v="0"/>
    <x v="0"/>
    <x v="0"/>
    <x v="18"/>
    <x v="1"/>
    <x v="2"/>
    <x v="11"/>
    <x v="0"/>
    <x v="3"/>
    <n v="1.0002432012557982"/>
    <x v="11"/>
    <x v="1"/>
    <x v="3"/>
    <x v="3"/>
    <x v="1"/>
    <x v="0"/>
    <x v="0"/>
    <x v="0"/>
    <x v="1"/>
    <x v="0"/>
    <x v="0"/>
    <x v="1"/>
    <x v="1"/>
    <x v="7"/>
    <x v="2"/>
    <x v="2"/>
    <x v="0"/>
    <x v="1"/>
    <x v="1"/>
    <x v="1"/>
    <x v="1"/>
    <x v="1"/>
    <x v="1"/>
    <x v="0"/>
    <x v="0"/>
  </r>
  <r>
    <x v="5"/>
    <x v="11"/>
    <x v="0"/>
    <x v="0"/>
    <x v="0"/>
    <x v="18"/>
    <x v="1"/>
    <x v="2"/>
    <x v="11"/>
    <x v="0"/>
    <x v="0"/>
    <n v="1.0002466011047364"/>
    <x v="11"/>
    <x v="1"/>
    <x v="3"/>
    <x v="3"/>
    <x v="1"/>
    <x v="0"/>
    <x v="0"/>
    <x v="0"/>
    <x v="1"/>
    <x v="0"/>
    <x v="0"/>
    <x v="1"/>
    <x v="1"/>
    <x v="7"/>
    <x v="2"/>
    <x v="2"/>
    <x v="0"/>
    <x v="1"/>
    <x v="1"/>
    <x v="1"/>
    <x v="1"/>
    <x v="1"/>
    <x v="1"/>
    <x v="0"/>
    <x v="0"/>
  </r>
  <r>
    <x v="5"/>
    <x v="11"/>
    <x v="0"/>
    <x v="0"/>
    <x v="0"/>
    <x v="18"/>
    <x v="1"/>
    <x v="2"/>
    <x v="11"/>
    <x v="0"/>
    <x v="0"/>
    <n v="1.0002466011047364"/>
    <x v="11"/>
    <x v="1"/>
    <x v="3"/>
    <x v="3"/>
    <x v="1"/>
    <x v="0"/>
    <x v="0"/>
    <x v="0"/>
    <x v="1"/>
    <x v="0"/>
    <x v="0"/>
    <x v="1"/>
    <x v="1"/>
    <x v="7"/>
    <x v="2"/>
    <x v="2"/>
    <x v="0"/>
    <x v="1"/>
    <x v="1"/>
    <x v="1"/>
    <x v="1"/>
    <x v="1"/>
    <x v="1"/>
    <x v="0"/>
    <x v="0"/>
  </r>
  <r>
    <x v="5"/>
    <x v="11"/>
    <x v="0"/>
    <x v="0"/>
    <x v="0"/>
    <x v="16"/>
    <x v="1"/>
    <x v="2"/>
    <x v="11"/>
    <x v="0"/>
    <x v="3"/>
    <n v="1.0002432012557982"/>
    <x v="11"/>
    <x v="1"/>
    <x v="3"/>
    <x v="3"/>
    <x v="1"/>
    <x v="0"/>
    <x v="0"/>
    <x v="0"/>
    <x v="1"/>
    <x v="0"/>
    <x v="0"/>
    <x v="1"/>
    <x v="1"/>
    <x v="7"/>
    <x v="2"/>
    <x v="2"/>
    <x v="0"/>
    <x v="1"/>
    <x v="1"/>
    <x v="1"/>
    <x v="1"/>
    <x v="1"/>
    <x v="1"/>
    <x v="0"/>
    <x v="0"/>
  </r>
  <r>
    <x v="5"/>
    <x v="11"/>
    <x v="0"/>
    <x v="0"/>
    <x v="0"/>
    <x v="16"/>
    <x v="1"/>
    <x v="2"/>
    <x v="11"/>
    <x v="0"/>
    <x v="0"/>
    <n v="1.0002466011047364"/>
    <x v="11"/>
    <x v="1"/>
    <x v="3"/>
    <x v="3"/>
    <x v="1"/>
    <x v="0"/>
    <x v="0"/>
    <x v="0"/>
    <x v="1"/>
    <x v="0"/>
    <x v="0"/>
    <x v="1"/>
    <x v="1"/>
    <x v="7"/>
    <x v="2"/>
    <x v="2"/>
    <x v="0"/>
    <x v="1"/>
    <x v="1"/>
    <x v="1"/>
    <x v="1"/>
    <x v="1"/>
    <x v="1"/>
    <x v="0"/>
    <x v="0"/>
  </r>
  <r>
    <x v="5"/>
    <x v="11"/>
    <x v="0"/>
    <x v="0"/>
    <x v="0"/>
    <x v="18"/>
    <x v="1"/>
    <x v="2"/>
    <x v="11"/>
    <x v="0"/>
    <x v="1"/>
    <n v="1.0002487993240359"/>
    <x v="11"/>
    <x v="1"/>
    <x v="3"/>
    <x v="3"/>
    <x v="1"/>
    <x v="0"/>
    <x v="0"/>
    <x v="0"/>
    <x v="1"/>
    <x v="0"/>
    <x v="0"/>
    <x v="1"/>
    <x v="1"/>
    <x v="7"/>
    <x v="2"/>
    <x v="2"/>
    <x v="0"/>
    <x v="1"/>
    <x v="1"/>
    <x v="1"/>
    <x v="1"/>
    <x v="1"/>
    <x v="1"/>
    <x v="0"/>
    <x v="0"/>
  </r>
  <r>
    <x v="5"/>
    <x v="11"/>
    <x v="0"/>
    <x v="0"/>
    <x v="0"/>
    <x v="18"/>
    <x v="1"/>
    <x v="2"/>
    <x v="11"/>
    <x v="0"/>
    <x v="3"/>
    <n v="1.0002432012557982"/>
    <x v="11"/>
    <x v="1"/>
    <x v="3"/>
    <x v="3"/>
    <x v="1"/>
    <x v="0"/>
    <x v="0"/>
    <x v="0"/>
    <x v="1"/>
    <x v="0"/>
    <x v="0"/>
    <x v="1"/>
    <x v="1"/>
    <x v="7"/>
    <x v="2"/>
    <x v="2"/>
    <x v="0"/>
    <x v="1"/>
    <x v="1"/>
    <x v="1"/>
    <x v="1"/>
    <x v="1"/>
    <x v="1"/>
    <x v="0"/>
    <x v="0"/>
  </r>
  <r>
    <x v="5"/>
    <x v="11"/>
    <x v="0"/>
    <x v="0"/>
    <x v="0"/>
    <x v="18"/>
    <x v="1"/>
    <x v="2"/>
    <x v="11"/>
    <x v="0"/>
    <x v="2"/>
    <n v="1.0002207994461056"/>
    <x v="11"/>
    <x v="1"/>
    <x v="3"/>
    <x v="3"/>
    <x v="1"/>
    <x v="0"/>
    <x v="0"/>
    <x v="0"/>
    <x v="1"/>
    <x v="0"/>
    <x v="0"/>
    <x v="1"/>
    <x v="1"/>
    <x v="7"/>
    <x v="2"/>
    <x v="2"/>
    <x v="0"/>
    <x v="1"/>
    <x v="1"/>
    <x v="1"/>
    <x v="1"/>
    <x v="1"/>
    <x v="1"/>
    <x v="0"/>
    <x v="0"/>
  </r>
  <r>
    <x v="5"/>
    <x v="11"/>
    <x v="0"/>
    <x v="0"/>
    <x v="0"/>
    <x v="18"/>
    <x v="1"/>
    <x v="2"/>
    <x v="11"/>
    <x v="0"/>
    <x v="2"/>
    <n v="1.0002207994461056"/>
    <x v="11"/>
    <x v="1"/>
    <x v="3"/>
    <x v="3"/>
    <x v="1"/>
    <x v="0"/>
    <x v="0"/>
    <x v="0"/>
    <x v="1"/>
    <x v="0"/>
    <x v="0"/>
    <x v="1"/>
    <x v="1"/>
    <x v="7"/>
    <x v="2"/>
    <x v="2"/>
    <x v="0"/>
    <x v="1"/>
    <x v="1"/>
    <x v="1"/>
    <x v="1"/>
    <x v="1"/>
    <x v="1"/>
    <x v="0"/>
    <x v="0"/>
  </r>
  <r>
    <x v="5"/>
    <x v="11"/>
    <x v="0"/>
    <x v="0"/>
    <x v="0"/>
    <x v="18"/>
    <x v="1"/>
    <x v="2"/>
    <x v="11"/>
    <x v="0"/>
    <x v="1"/>
    <n v="1.0002487993240359"/>
    <x v="11"/>
    <x v="1"/>
    <x v="3"/>
    <x v="3"/>
    <x v="1"/>
    <x v="0"/>
    <x v="0"/>
    <x v="0"/>
    <x v="1"/>
    <x v="0"/>
    <x v="0"/>
    <x v="1"/>
    <x v="1"/>
    <x v="7"/>
    <x v="2"/>
    <x v="2"/>
    <x v="0"/>
    <x v="1"/>
    <x v="1"/>
    <x v="1"/>
    <x v="1"/>
    <x v="1"/>
    <x v="1"/>
    <x v="0"/>
    <x v="0"/>
  </r>
  <r>
    <x v="5"/>
    <x v="11"/>
    <x v="0"/>
    <x v="0"/>
    <x v="0"/>
    <x v="18"/>
    <x v="1"/>
    <x v="2"/>
    <x v="11"/>
    <x v="0"/>
    <x v="3"/>
    <n v="1.0002432012557982"/>
    <x v="11"/>
    <x v="1"/>
    <x v="3"/>
    <x v="3"/>
    <x v="1"/>
    <x v="0"/>
    <x v="0"/>
    <x v="0"/>
    <x v="1"/>
    <x v="0"/>
    <x v="0"/>
    <x v="1"/>
    <x v="1"/>
    <x v="7"/>
    <x v="2"/>
    <x v="2"/>
    <x v="0"/>
    <x v="1"/>
    <x v="1"/>
    <x v="1"/>
    <x v="1"/>
    <x v="1"/>
    <x v="1"/>
    <x v="0"/>
    <x v="0"/>
  </r>
  <r>
    <x v="5"/>
    <x v="11"/>
    <x v="0"/>
    <x v="0"/>
    <x v="0"/>
    <x v="18"/>
    <x v="1"/>
    <x v="2"/>
    <x v="11"/>
    <x v="0"/>
    <x v="2"/>
    <n v="1.0002207994461056"/>
    <x v="11"/>
    <x v="1"/>
    <x v="3"/>
    <x v="3"/>
    <x v="1"/>
    <x v="0"/>
    <x v="0"/>
    <x v="0"/>
    <x v="1"/>
    <x v="0"/>
    <x v="0"/>
    <x v="1"/>
    <x v="1"/>
    <x v="7"/>
    <x v="2"/>
    <x v="2"/>
    <x v="0"/>
    <x v="1"/>
    <x v="1"/>
    <x v="1"/>
    <x v="1"/>
    <x v="1"/>
    <x v="1"/>
    <x v="0"/>
    <x v="0"/>
  </r>
  <r>
    <x v="5"/>
    <x v="11"/>
    <x v="0"/>
    <x v="0"/>
    <x v="0"/>
    <x v="18"/>
    <x v="1"/>
    <x v="2"/>
    <x v="11"/>
    <x v="0"/>
    <x v="0"/>
    <n v="1.0002466011047364"/>
    <x v="11"/>
    <x v="1"/>
    <x v="3"/>
    <x v="3"/>
    <x v="1"/>
    <x v="0"/>
    <x v="0"/>
    <x v="0"/>
    <x v="1"/>
    <x v="0"/>
    <x v="0"/>
    <x v="1"/>
    <x v="1"/>
    <x v="7"/>
    <x v="2"/>
    <x v="2"/>
    <x v="0"/>
    <x v="1"/>
    <x v="1"/>
    <x v="1"/>
    <x v="1"/>
    <x v="1"/>
    <x v="1"/>
    <x v="0"/>
    <x v="0"/>
  </r>
  <r>
    <x v="5"/>
    <x v="11"/>
    <x v="0"/>
    <x v="0"/>
    <x v="0"/>
    <x v="16"/>
    <x v="1"/>
    <x v="2"/>
    <x v="11"/>
    <x v="0"/>
    <x v="2"/>
    <n v="1.0002207994461056"/>
    <x v="11"/>
    <x v="1"/>
    <x v="3"/>
    <x v="3"/>
    <x v="1"/>
    <x v="0"/>
    <x v="0"/>
    <x v="0"/>
    <x v="1"/>
    <x v="0"/>
    <x v="0"/>
    <x v="1"/>
    <x v="1"/>
    <x v="7"/>
    <x v="2"/>
    <x v="2"/>
    <x v="0"/>
    <x v="1"/>
    <x v="1"/>
    <x v="1"/>
    <x v="1"/>
    <x v="1"/>
    <x v="1"/>
    <x v="0"/>
    <x v="0"/>
  </r>
  <r>
    <x v="5"/>
    <x v="11"/>
    <x v="0"/>
    <x v="0"/>
    <x v="0"/>
    <x v="16"/>
    <x v="1"/>
    <x v="2"/>
    <x v="11"/>
    <x v="0"/>
    <x v="1"/>
    <n v="1.0002487993240359"/>
    <x v="11"/>
    <x v="1"/>
    <x v="3"/>
    <x v="3"/>
    <x v="1"/>
    <x v="0"/>
    <x v="0"/>
    <x v="0"/>
    <x v="1"/>
    <x v="0"/>
    <x v="0"/>
    <x v="1"/>
    <x v="1"/>
    <x v="7"/>
    <x v="2"/>
    <x v="2"/>
    <x v="0"/>
    <x v="1"/>
    <x v="1"/>
    <x v="1"/>
    <x v="1"/>
    <x v="1"/>
    <x v="1"/>
    <x v="0"/>
    <x v="0"/>
  </r>
  <r>
    <x v="5"/>
    <x v="11"/>
    <x v="0"/>
    <x v="0"/>
    <x v="0"/>
    <x v="16"/>
    <x v="1"/>
    <x v="2"/>
    <x v="11"/>
    <x v="0"/>
    <x v="0"/>
    <n v="1.0002466011047364"/>
    <x v="11"/>
    <x v="1"/>
    <x v="3"/>
    <x v="3"/>
    <x v="1"/>
    <x v="0"/>
    <x v="0"/>
    <x v="0"/>
    <x v="1"/>
    <x v="0"/>
    <x v="0"/>
    <x v="1"/>
    <x v="1"/>
    <x v="7"/>
    <x v="2"/>
    <x v="2"/>
    <x v="0"/>
    <x v="1"/>
    <x v="1"/>
    <x v="1"/>
    <x v="1"/>
    <x v="1"/>
    <x v="1"/>
    <x v="0"/>
    <x v="0"/>
  </r>
  <r>
    <x v="5"/>
    <x v="11"/>
    <x v="0"/>
    <x v="0"/>
    <x v="0"/>
    <x v="16"/>
    <x v="1"/>
    <x v="2"/>
    <x v="11"/>
    <x v="0"/>
    <x v="3"/>
    <n v="1.0002432012557982"/>
    <x v="11"/>
    <x v="1"/>
    <x v="3"/>
    <x v="3"/>
    <x v="1"/>
    <x v="0"/>
    <x v="0"/>
    <x v="0"/>
    <x v="1"/>
    <x v="0"/>
    <x v="0"/>
    <x v="1"/>
    <x v="1"/>
    <x v="7"/>
    <x v="2"/>
    <x v="2"/>
    <x v="0"/>
    <x v="1"/>
    <x v="1"/>
    <x v="1"/>
    <x v="1"/>
    <x v="1"/>
    <x v="1"/>
    <x v="0"/>
    <x v="0"/>
  </r>
  <r>
    <x v="5"/>
    <x v="11"/>
    <x v="0"/>
    <x v="0"/>
    <x v="0"/>
    <x v="16"/>
    <x v="1"/>
    <x v="2"/>
    <x v="11"/>
    <x v="0"/>
    <x v="1"/>
    <n v="1.0002487993240359"/>
    <x v="11"/>
    <x v="1"/>
    <x v="3"/>
    <x v="3"/>
    <x v="1"/>
    <x v="0"/>
    <x v="0"/>
    <x v="0"/>
    <x v="1"/>
    <x v="0"/>
    <x v="0"/>
    <x v="1"/>
    <x v="1"/>
    <x v="7"/>
    <x v="2"/>
    <x v="2"/>
    <x v="0"/>
    <x v="1"/>
    <x v="1"/>
    <x v="1"/>
    <x v="1"/>
    <x v="1"/>
    <x v="1"/>
    <x v="0"/>
    <x v="0"/>
  </r>
  <r>
    <x v="5"/>
    <x v="11"/>
    <x v="0"/>
    <x v="0"/>
    <x v="0"/>
    <x v="16"/>
    <x v="1"/>
    <x v="2"/>
    <x v="11"/>
    <x v="0"/>
    <x v="3"/>
    <n v="1.0002432012557982"/>
    <x v="11"/>
    <x v="1"/>
    <x v="3"/>
    <x v="3"/>
    <x v="1"/>
    <x v="0"/>
    <x v="0"/>
    <x v="0"/>
    <x v="1"/>
    <x v="0"/>
    <x v="0"/>
    <x v="1"/>
    <x v="1"/>
    <x v="7"/>
    <x v="2"/>
    <x v="2"/>
    <x v="0"/>
    <x v="1"/>
    <x v="1"/>
    <x v="1"/>
    <x v="1"/>
    <x v="1"/>
    <x v="1"/>
    <x v="0"/>
    <x v="0"/>
  </r>
  <r>
    <x v="5"/>
    <x v="11"/>
    <x v="0"/>
    <x v="0"/>
    <x v="0"/>
    <x v="16"/>
    <x v="1"/>
    <x v="2"/>
    <x v="12"/>
    <x v="0"/>
    <x v="1"/>
    <n v="1.0002487993240359"/>
    <x v="11"/>
    <x v="1"/>
    <x v="3"/>
    <x v="3"/>
    <x v="1"/>
    <x v="0"/>
    <x v="0"/>
    <x v="0"/>
    <x v="1"/>
    <x v="0"/>
    <x v="0"/>
    <x v="1"/>
    <x v="1"/>
    <x v="7"/>
    <x v="2"/>
    <x v="2"/>
    <x v="0"/>
    <x v="1"/>
    <x v="1"/>
    <x v="1"/>
    <x v="1"/>
    <x v="1"/>
    <x v="1"/>
    <x v="0"/>
    <x v="0"/>
  </r>
  <r>
    <x v="5"/>
    <x v="11"/>
    <x v="0"/>
    <x v="0"/>
    <x v="0"/>
    <x v="16"/>
    <x v="1"/>
    <x v="2"/>
    <x v="12"/>
    <x v="0"/>
    <x v="3"/>
    <n v="1.0002432012557982"/>
    <x v="11"/>
    <x v="1"/>
    <x v="3"/>
    <x v="3"/>
    <x v="1"/>
    <x v="0"/>
    <x v="0"/>
    <x v="0"/>
    <x v="1"/>
    <x v="0"/>
    <x v="0"/>
    <x v="1"/>
    <x v="1"/>
    <x v="7"/>
    <x v="2"/>
    <x v="2"/>
    <x v="0"/>
    <x v="1"/>
    <x v="1"/>
    <x v="1"/>
    <x v="1"/>
    <x v="1"/>
    <x v="1"/>
    <x v="0"/>
    <x v="0"/>
  </r>
  <r>
    <x v="5"/>
    <x v="11"/>
    <x v="0"/>
    <x v="0"/>
    <x v="0"/>
    <x v="16"/>
    <x v="1"/>
    <x v="2"/>
    <x v="12"/>
    <x v="0"/>
    <x v="0"/>
    <n v="1.0002466011047364"/>
    <x v="11"/>
    <x v="1"/>
    <x v="3"/>
    <x v="3"/>
    <x v="1"/>
    <x v="0"/>
    <x v="0"/>
    <x v="0"/>
    <x v="1"/>
    <x v="0"/>
    <x v="0"/>
    <x v="1"/>
    <x v="1"/>
    <x v="7"/>
    <x v="2"/>
    <x v="2"/>
    <x v="0"/>
    <x v="1"/>
    <x v="1"/>
    <x v="1"/>
    <x v="1"/>
    <x v="1"/>
    <x v="1"/>
    <x v="0"/>
    <x v="0"/>
  </r>
  <r>
    <x v="5"/>
    <x v="11"/>
    <x v="0"/>
    <x v="0"/>
    <x v="0"/>
    <x v="16"/>
    <x v="1"/>
    <x v="2"/>
    <x v="12"/>
    <x v="0"/>
    <x v="2"/>
    <n v="1.0002207994461056"/>
    <x v="11"/>
    <x v="1"/>
    <x v="3"/>
    <x v="3"/>
    <x v="1"/>
    <x v="0"/>
    <x v="0"/>
    <x v="0"/>
    <x v="1"/>
    <x v="0"/>
    <x v="0"/>
    <x v="1"/>
    <x v="1"/>
    <x v="7"/>
    <x v="2"/>
    <x v="2"/>
    <x v="0"/>
    <x v="1"/>
    <x v="1"/>
    <x v="1"/>
    <x v="1"/>
    <x v="1"/>
    <x v="1"/>
    <x v="0"/>
    <x v="0"/>
  </r>
  <r>
    <x v="5"/>
    <x v="11"/>
    <x v="0"/>
    <x v="0"/>
    <x v="0"/>
    <x v="16"/>
    <x v="1"/>
    <x v="2"/>
    <x v="12"/>
    <x v="0"/>
    <x v="2"/>
    <n v="1.0002207994461056"/>
    <x v="11"/>
    <x v="1"/>
    <x v="3"/>
    <x v="3"/>
    <x v="1"/>
    <x v="0"/>
    <x v="0"/>
    <x v="0"/>
    <x v="1"/>
    <x v="0"/>
    <x v="0"/>
    <x v="1"/>
    <x v="1"/>
    <x v="7"/>
    <x v="2"/>
    <x v="2"/>
    <x v="0"/>
    <x v="1"/>
    <x v="1"/>
    <x v="1"/>
    <x v="1"/>
    <x v="1"/>
    <x v="1"/>
    <x v="0"/>
    <x v="0"/>
  </r>
  <r>
    <x v="5"/>
    <x v="11"/>
    <x v="0"/>
    <x v="0"/>
    <x v="0"/>
    <x v="16"/>
    <x v="1"/>
    <x v="2"/>
    <x v="12"/>
    <x v="0"/>
    <x v="2"/>
    <n v="1.0002207994461056"/>
    <x v="11"/>
    <x v="1"/>
    <x v="3"/>
    <x v="3"/>
    <x v="1"/>
    <x v="0"/>
    <x v="0"/>
    <x v="0"/>
    <x v="1"/>
    <x v="0"/>
    <x v="0"/>
    <x v="1"/>
    <x v="1"/>
    <x v="7"/>
    <x v="2"/>
    <x v="2"/>
    <x v="0"/>
    <x v="1"/>
    <x v="1"/>
    <x v="1"/>
    <x v="1"/>
    <x v="1"/>
    <x v="1"/>
    <x v="0"/>
    <x v="0"/>
  </r>
  <r>
    <x v="5"/>
    <x v="11"/>
    <x v="0"/>
    <x v="0"/>
    <x v="0"/>
    <x v="16"/>
    <x v="1"/>
    <x v="2"/>
    <x v="12"/>
    <x v="0"/>
    <x v="3"/>
    <n v="1.0002432012557982"/>
    <x v="11"/>
    <x v="1"/>
    <x v="3"/>
    <x v="3"/>
    <x v="1"/>
    <x v="0"/>
    <x v="0"/>
    <x v="0"/>
    <x v="1"/>
    <x v="0"/>
    <x v="0"/>
    <x v="1"/>
    <x v="1"/>
    <x v="7"/>
    <x v="2"/>
    <x v="2"/>
    <x v="0"/>
    <x v="1"/>
    <x v="1"/>
    <x v="1"/>
    <x v="1"/>
    <x v="1"/>
    <x v="1"/>
    <x v="0"/>
    <x v="0"/>
  </r>
  <r>
    <x v="5"/>
    <x v="11"/>
    <x v="0"/>
    <x v="0"/>
    <x v="0"/>
    <x v="16"/>
    <x v="1"/>
    <x v="2"/>
    <x v="12"/>
    <x v="0"/>
    <x v="1"/>
    <n v="1.0002487993240359"/>
    <x v="11"/>
    <x v="1"/>
    <x v="3"/>
    <x v="3"/>
    <x v="1"/>
    <x v="0"/>
    <x v="0"/>
    <x v="0"/>
    <x v="1"/>
    <x v="0"/>
    <x v="0"/>
    <x v="1"/>
    <x v="1"/>
    <x v="7"/>
    <x v="2"/>
    <x v="2"/>
    <x v="0"/>
    <x v="1"/>
    <x v="1"/>
    <x v="1"/>
    <x v="1"/>
    <x v="1"/>
    <x v="1"/>
    <x v="0"/>
    <x v="0"/>
  </r>
  <r>
    <x v="5"/>
    <x v="11"/>
    <x v="0"/>
    <x v="0"/>
    <x v="0"/>
    <x v="16"/>
    <x v="1"/>
    <x v="2"/>
    <x v="12"/>
    <x v="0"/>
    <x v="0"/>
    <n v="1.0002466011047364"/>
    <x v="11"/>
    <x v="1"/>
    <x v="3"/>
    <x v="3"/>
    <x v="1"/>
    <x v="0"/>
    <x v="0"/>
    <x v="0"/>
    <x v="1"/>
    <x v="0"/>
    <x v="0"/>
    <x v="1"/>
    <x v="1"/>
    <x v="7"/>
    <x v="2"/>
    <x v="2"/>
    <x v="0"/>
    <x v="1"/>
    <x v="1"/>
    <x v="1"/>
    <x v="1"/>
    <x v="1"/>
    <x v="1"/>
    <x v="0"/>
    <x v="0"/>
  </r>
  <r>
    <x v="5"/>
    <x v="11"/>
    <x v="0"/>
    <x v="0"/>
    <x v="0"/>
    <x v="16"/>
    <x v="1"/>
    <x v="2"/>
    <x v="12"/>
    <x v="0"/>
    <x v="1"/>
    <n v="1.0002487993240359"/>
    <x v="11"/>
    <x v="1"/>
    <x v="3"/>
    <x v="3"/>
    <x v="1"/>
    <x v="0"/>
    <x v="0"/>
    <x v="0"/>
    <x v="1"/>
    <x v="0"/>
    <x v="0"/>
    <x v="1"/>
    <x v="1"/>
    <x v="7"/>
    <x v="2"/>
    <x v="2"/>
    <x v="0"/>
    <x v="1"/>
    <x v="1"/>
    <x v="1"/>
    <x v="1"/>
    <x v="1"/>
    <x v="1"/>
    <x v="0"/>
    <x v="0"/>
  </r>
  <r>
    <x v="5"/>
    <x v="11"/>
    <x v="0"/>
    <x v="0"/>
    <x v="0"/>
    <x v="16"/>
    <x v="1"/>
    <x v="2"/>
    <x v="12"/>
    <x v="0"/>
    <x v="3"/>
    <n v="1.0002432012557982"/>
    <x v="11"/>
    <x v="1"/>
    <x v="3"/>
    <x v="3"/>
    <x v="1"/>
    <x v="0"/>
    <x v="0"/>
    <x v="0"/>
    <x v="1"/>
    <x v="0"/>
    <x v="0"/>
    <x v="1"/>
    <x v="1"/>
    <x v="7"/>
    <x v="2"/>
    <x v="2"/>
    <x v="0"/>
    <x v="1"/>
    <x v="1"/>
    <x v="1"/>
    <x v="1"/>
    <x v="1"/>
    <x v="1"/>
    <x v="0"/>
    <x v="0"/>
  </r>
  <r>
    <x v="5"/>
    <x v="11"/>
    <x v="0"/>
    <x v="0"/>
    <x v="0"/>
    <x v="16"/>
    <x v="1"/>
    <x v="2"/>
    <x v="12"/>
    <x v="0"/>
    <x v="0"/>
    <n v="1.0002466011047364"/>
    <x v="11"/>
    <x v="1"/>
    <x v="3"/>
    <x v="3"/>
    <x v="1"/>
    <x v="0"/>
    <x v="0"/>
    <x v="0"/>
    <x v="1"/>
    <x v="0"/>
    <x v="0"/>
    <x v="1"/>
    <x v="1"/>
    <x v="7"/>
    <x v="2"/>
    <x v="2"/>
    <x v="0"/>
    <x v="1"/>
    <x v="1"/>
    <x v="1"/>
    <x v="1"/>
    <x v="1"/>
    <x v="1"/>
    <x v="0"/>
    <x v="0"/>
  </r>
  <r>
    <x v="5"/>
    <x v="11"/>
    <x v="0"/>
    <x v="0"/>
    <x v="0"/>
    <x v="16"/>
    <x v="1"/>
    <x v="2"/>
    <x v="12"/>
    <x v="0"/>
    <x v="3"/>
    <n v="1.0002432012557982"/>
    <x v="11"/>
    <x v="1"/>
    <x v="3"/>
    <x v="3"/>
    <x v="1"/>
    <x v="0"/>
    <x v="0"/>
    <x v="0"/>
    <x v="1"/>
    <x v="0"/>
    <x v="0"/>
    <x v="1"/>
    <x v="1"/>
    <x v="7"/>
    <x v="2"/>
    <x v="2"/>
    <x v="0"/>
    <x v="1"/>
    <x v="1"/>
    <x v="1"/>
    <x v="1"/>
    <x v="1"/>
    <x v="1"/>
    <x v="0"/>
    <x v="0"/>
  </r>
  <r>
    <x v="5"/>
    <x v="11"/>
    <x v="0"/>
    <x v="0"/>
    <x v="0"/>
    <x v="16"/>
    <x v="1"/>
    <x v="2"/>
    <x v="12"/>
    <x v="0"/>
    <x v="1"/>
    <n v="1.0002487993240359"/>
    <x v="11"/>
    <x v="1"/>
    <x v="3"/>
    <x v="3"/>
    <x v="1"/>
    <x v="0"/>
    <x v="0"/>
    <x v="0"/>
    <x v="1"/>
    <x v="0"/>
    <x v="0"/>
    <x v="1"/>
    <x v="1"/>
    <x v="7"/>
    <x v="2"/>
    <x v="2"/>
    <x v="0"/>
    <x v="1"/>
    <x v="1"/>
    <x v="1"/>
    <x v="1"/>
    <x v="1"/>
    <x v="1"/>
    <x v="0"/>
    <x v="0"/>
  </r>
  <r>
    <x v="5"/>
    <x v="11"/>
    <x v="0"/>
    <x v="0"/>
    <x v="0"/>
    <x v="16"/>
    <x v="1"/>
    <x v="2"/>
    <x v="12"/>
    <x v="0"/>
    <x v="0"/>
    <n v="1.0002466011047364"/>
    <x v="11"/>
    <x v="1"/>
    <x v="3"/>
    <x v="3"/>
    <x v="1"/>
    <x v="0"/>
    <x v="0"/>
    <x v="0"/>
    <x v="1"/>
    <x v="0"/>
    <x v="0"/>
    <x v="1"/>
    <x v="1"/>
    <x v="7"/>
    <x v="2"/>
    <x v="2"/>
    <x v="0"/>
    <x v="1"/>
    <x v="1"/>
    <x v="1"/>
    <x v="1"/>
    <x v="1"/>
    <x v="1"/>
    <x v="0"/>
    <x v="0"/>
  </r>
  <r>
    <x v="5"/>
    <x v="11"/>
    <x v="0"/>
    <x v="0"/>
    <x v="0"/>
    <x v="16"/>
    <x v="1"/>
    <x v="2"/>
    <x v="12"/>
    <x v="0"/>
    <x v="2"/>
    <n v="1.0002207994461056"/>
    <x v="11"/>
    <x v="1"/>
    <x v="3"/>
    <x v="3"/>
    <x v="1"/>
    <x v="0"/>
    <x v="0"/>
    <x v="0"/>
    <x v="1"/>
    <x v="0"/>
    <x v="0"/>
    <x v="1"/>
    <x v="1"/>
    <x v="7"/>
    <x v="2"/>
    <x v="2"/>
    <x v="0"/>
    <x v="1"/>
    <x v="1"/>
    <x v="1"/>
    <x v="1"/>
    <x v="1"/>
    <x v="1"/>
    <x v="0"/>
    <x v="0"/>
  </r>
  <r>
    <x v="5"/>
    <x v="11"/>
    <x v="0"/>
    <x v="0"/>
    <x v="0"/>
    <x v="17"/>
    <x v="0"/>
    <x v="2"/>
    <x v="12"/>
    <x v="0"/>
    <x v="3"/>
    <n v="0.99999537576328612"/>
    <x v="12"/>
    <x v="0"/>
    <x v="3"/>
    <x v="3"/>
    <x v="1"/>
    <x v="0"/>
    <x v="0"/>
    <x v="0"/>
    <x v="1"/>
    <x v="0"/>
    <x v="0"/>
    <x v="1"/>
    <x v="1"/>
    <x v="5"/>
    <x v="4"/>
    <x v="1"/>
    <x v="0"/>
    <x v="0"/>
    <x v="1"/>
    <x v="0"/>
    <x v="0"/>
    <x v="1"/>
    <x v="1"/>
    <x v="0"/>
    <x v="0"/>
  </r>
  <r>
    <x v="5"/>
    <x v="11"/>
    <x v="0"/>
    <x v="0"/>
    <x v="0"/>
    <x v="17"/>
    <x v="0"/>
    <x v="2"/>
    <x v="12"/>
    <x v="0"/>
    <x v="2"/>
    <n v="0.99999519393901637"/>
    <x v="12"/>
    <x v="0"/>
    <x v="3"/>
    <x v="3"/>
    <x v="1"/>
    <x v="0"/>
    <x v="0"/>
    <x v="0"/>
    <x v="1"/>
    <x v="0"/>
    <x v="0"/>
    <x v="1"/>
    <x v="1"/>
    <x v="5"/>
    <x v="4"/>
    <x v="1"/>
    <x v="0"/>
    <x v="0"/>
    <x v="1"/>
    <x v="0"/>
    <x v="0"/>
    <x v="1"/>
    <x v="1"/>
    <x v="0"/>
    <x v="0"/>
  </r>
  <r>
    <x v="5"/>
    <x v="11"/>
    <x v="0"/>
    <x v="0"/>
    <x v="0"/>
    <x v="17"/>
    <x v="0"/>
    <x v="2"/>
    <x v="12"/>
    <x v="0"/>
    <x v="0"/>
    <n v="0.99999528685001404"/>
    <x v="12"/>
    <x v="0"/>
    <x v="3"/>
    <x v="3"/>
    <x v="1"/>
    <x v="0"/>
    <x v="0"/>
    <x v="0"/>
    <x v="1"/>
    <x v="0"/>
    <x v="0"/>
    <x v="1"/>
    <x v="1"/>
    <x v="5"/>
    <x v="4"/>
    <x v="1"/>
    <x v="0"/>
    <x v="0"/>
    <x v="1"/>
    <x v="0"/>
    <x v="0"/>
    <x v="1"/>
    <x v="1"/>
    <x v="0"/>
    <x v="0"/>
  </r>
  <r>
    <x v="5"/>
    <x v="11"/>
    <x v="0"/>
    <x v="0"/>
    <x v="0"/>
    <x v="17"/>
    <x v="0"/>
    <x v="2"/>
    <x v="12"/>
    <x v="0"/>
    <x v="1"/>
    <n v="0.99999545858363903"/>
    <x v="12"/>
    <x v="0"/>
    <x v="3"/>
    <x v="3"/>
    <x v="1"/>
    <x v="0"/>
    <x v="0"/>
    <x v="0"/>
    <x v="1"/>
    <x v="0"/>
    <x v="0"/>
    <x v="1"/>
    <x v="1"/>
    <x v="5"/>
    <x v="4"/>
    <x v="1"/>
    <x v="0"/>
    <x v="0"/>
    <x v="1"/>
    <x v="0"/>
    <x v="0"/>
    <x v="1"/>
    <x v="1"/>
    <x v="0"/>
    <x v="0"/>
  </r>
  <r>
    <x v="5"/>
    <x v="11"/>
    <x v="0"/>
    <x v="0"/>
    <x v="0"/>
    <x v="17"/>
    <x v="0"/>
    <x v="2"/>
    <x v="12"/>
    <x v="0"/>
    <x v="0"/>
    <n v="0.99999528685001404"/>
    <x v="12"/>
    <x v="0"/>
    <x v="3"/>
    <x v="3"/>
    <x v="1"/>
    <x v="0"/>
    <x v="0"/>
    <x v="0"/>
    <x v="1"/>
    <x v="0"/>
    <x v="0"/>
    <x v="1"/>
    <x v="1"/>
    <x v="5"/>
    <x v="4"/>
    <x v="1"/>
    <x v="0"/>
    <x v="0"/>
    <x v="1"/>
    <x v="0"/>
    <x v="0"/>
    <x v="1"/>
    <x v="1"/>
    <x v="0"/>
    <x v="0"/>
  </r>
  <r>
    <x v="5"/>
    <x v="11"/>
    <x v="0"/>
    <x v="0"/>
    <x v="0"/>
    <x v="17"/>
    <x v="0"/>
    <x v="2"/>
    <x v="12"/>
    <x v="0"/>
    <x v="1"/>
    <n v="0.99999545858363903"/>
    <x v="12"/>
    <x v="0"/>
    <x v="3"/>
    <x v="3"/>
    <x v="1"/>
    <x v="0"/>
    <x v="0"/>
    <x v="0"/>
    <x v="1"/>
    <x v="0"/>
    <x v="0"/>
    <x v="1"/>
    <x v="1"/>
    <x v="5"/>
    <x v="4"/>
    <x v="1"/>
    <x v="0"/>
    <x v="0"/>
    <x v="1"/>
    <x v="0"/>
    <x v="0"/>
    <x v="1"/>
    <x v="1"/>
    <x v="0"/>
    <x v="0"/>
  </r>
  <r>
    <x v="5"/>
    <x v="11"/>
    <x v="0"/>
    <x v="0"/>
    <x v="0"/>
    <x v="17"/>
    <x v="0"/>
    <x v="2"/>
    <x v="12"/>
    <x v="0"/>
    <x v="3"/>
    <n v="0.99999537576328612"/>
    <x v="12"/>
    <x v="0"/>
    <x v="3"/>
    <x v="3"/>
    <x v="1"/>
    <x v="0"/>
    <x v="0"/>
    <x v="0"/>
    <x v="1"/>
    <x v="0"/>
    <x v="0"/>
    <x v="1"/>
    <x v="1"/>
    <x v="5"/>
    <x v="4"/>
    <x v="1"/>
    <x v="0"/>
    <x v="0"/>
    <x v="1"/>
    <x v="0"/>
    <x v="0"/>
    <x v="1"/>
    <x v="1"/>
    <x v="0"/>
    <x v="0"/>
  </r>
  <r>
    <x v="5"/>
    <x v="11"/>
    <x v="0"/>
    <x v="0"/>
    <x v="0"/>
    <x v="17"/>
    <x v="0"/>
    <x v="2"/>
    <x v="12"/>
    <x v="0"/>
    <x v="2"/>
    <n v="0.99999519393901637"/>
    <x v="12"/>
    <x v="0"/>
    <x v="3"/>
    <x v="3"/>
    <x v="1"/>
    <x v="0"/>
    <x v="0"/>
    <x v="0"/>
    <x v="1"/>
    <x v="0"/>
    <x v="0"/>
    <x v="1"/>
    <x v="1"/>
    <x v="5"/>
    <x v="4"/>
    <x v="1"/>
    <x v="0"/>
    <x v="0"/>
    <x v="1"/>
    <x v="0"/>
    <x v="0"/>
    <x v="1"/>
    <x v="1"/>
    <x v="0"/>
    <x v="0"/>
  </r>
  <r>
    <x v="5"/>
    <x v="11"/>
    <x v="0"/>
    <x v="0"/>
    <x v="0"/>
    <x v="18"/>
    <x v="1"/>
    <x v="2"/>
    <x v="12"/>
    <x v="0"/>
    <x v="0"/>
    <n v="1.0002466011047364"/>
    <x v="11"/>
    <x v="1"/>
    <x v="3"/>
    <x v="3"/>
    <x v="1"/>
    <x v="0"/>
    <x v="0"/>
    <x v="0"/>
    <x v="1"/>
    <x v="0"/>
    <x v="0"/>
    <x v="1"/>
    <x v="1"/>
    <x v="7"/>
    <x v="2"/>
    <x v="2"/>
    <x v="0"/>
    <x v="1"/>
    <x v="1"/>
    <x v="1"/>
    <x v="1"/>
    <x v="1"/>
    <x v="1"/>
    <x v="0"/>
    <x v="0"/>
  </r>
  <r>
    <x v="5"/>
    <x v="11"/>
    <x v="0"/>
    <x v="0"/>
    <x v="0"/>
    <x v="18"/>
    <x v="1"/>
    <x v="2"/>
    <x v="12"/>
    <x v="0"/>
    <x v="1"/>
    <n v="1.0002487993240359"/>
    <x v="11"/>
    <x v="1"/>
    <x v="3"/>
    <x v="3"/>
    <x v="1"/>
    <x v="0"/>
    <x v="0"/>
    <x v="0"/>
    <x v="1"/>
    <x v="0"/>
    <x v="0"/>
    <x v="1"/>
    <x v="1"/>
    <x v="7"/>
    <x v="2"/>
    <x v="2"/>
    <x v="0"/>
    <x v="1"/>
    <x v="1"/>
    <x v="1"/>
    <x v="1"/>
    <x v="1"/>
    <x v="1"/>
    <x v="0"/>
    <x v="0"/>
  </r>
  <r>
    <x v="5"/>
    <x v="11"/>
    <x v="0"/>
    <x v="0"/>
    <x v="0"/>
    <x v="18"/>
    <x v="1"/>
    <x v="2"/>
    <x v="12"/>
    <x v="0"/>
    <x v="3"/>
    <n v="1.0002432012557982"/>
    <x v="11"/>
    <x v="1"/>
    <x v="3"/>
    <x v="3"/>
    <x v="1"/>
    <x v="0"/>
    <x v="0"/>
    <x v="0"/>
    <x v="1"/>
    <x v="0"/>
    <x v="0"/>
    <x v="1"/>
    <x v="1"/>
    <x v="7"/>
    <x v="2"/>
    <x v="2"/>
    <x v="0"/>
    <x v="1"/>
    <x v="1"/>
    <x v="1"/>
    <x v="1"/>
    <x v="1"/>
    <x v="1"/>
    <x v="0"/>
    <x v="0"/>
  </r>
  <r>
    <x v="5"/>
    <x v="11"/>
    <x v="0"/>
    <x v="0"/>
    <x v="0"/>
    <x v="18"/>
    <x v="1"/>
    <x v="2"/>
    <x v="12"/>
    <x v="0"/>
    <x v="2"/>
    <n v="1.0002207994461056"/>
    <x v="11"/>
    <x v="1"/>
    <x v="3"/>
    <x v="3"/>
    <x v="1"/>
    <x v="0"/>
    <x v="0"/>
    <x v="0"/>
    <x v="1"/>
    <x v="0"/>
    <x v="0"/>
    <x v="1"/>
    <x v="1"/>
    <x v="7"/>
    <x v="2"/>
    <x v="2"/>
    <x v="0"/>
    <x v="1"/>
    <x v="1"/>
    <x v="1"/>
    <x v="1"/>
    <x v="1"/>
    <x v="1"/>
    <x v="0"/>
    <x v="0"/>
  </r>
  <r>
    <x v="5"/>
    <x v="11"/>
    <x v="0"/>
    <x v="0"/>
    <x v="0"/>
    <x v="18"/>
    <x v="1"/>
    <x v="2"/>
    <x v="12"/>
    <x v="0"/>
    <x v="1"/>
    <n v="1.0002487993240359"/>
    <x v="11"/>
    <x v="1"/>
    <x v="3"/>
    <x v="3"/>
    <x v="1"/>
    <x v="0"/>
    <x v="0"/>
    <x v="0"/>
    <x v="1"/>
    <x v="0"/>
    <x v="0"/>
    <x v="1"/>
    <x v="1"/>
    <x v="7"/>
    <x v="2"/>
    <x v="2"/>
    <x v="0"/>
    <x v="1"/>
    <x v="1"/>
    <x v="1"/>
    <x v="1"/>
    <x v="1"/>
    <x v="1"/>
    <x v="0"/>
    <x v="0"/>
  </r>
  <r>
    <x v="5"/>
    <x v="11"/>
    <x v="0"/>
    <x v="0"/>
    <x v="0"/>
    <x v="18"/>
    <x v="1"/>
    <x v="2"/>
    <x v="12"/>
    <x v="0"/>
    <x v="0"/>
    <n v="1.0002466011047364"/>
    <x v="11"/>
    <x v="1"/>
    <x v="3"/>
    <x v="3"/>
    <x v="1"/>
    <x v="0"/>
    <x v="0"/>
    <x v="0"/>
    <x v="1"/>
    <x v="0"/>
    <x v="0"/>
    <x v="1"/>
    <x v="1"/>
    <x v="7"/>
    <x v="2"/>
    <x v="2"/>
    <x v="0"/>
    <x v="1"/>
    <x v="1"/>
    <x v="1"/>
    <x v="1"/>
    <x v="1"/>
    <x v="1"/>
    <x v="0"/>
    <x v="0"/>
  </r>
  <r>
    <x v="5"/>
    <x v="11"/>
    <x v="0"/>
    <x v="0"/>
    <x v="0"/>
    <x v="18"/>
    <x v="1"/>
    <x v="2"/>
    <x v="12"/>
    <x v="0"/>
    <x v="1"/>
    <n v="1.0002487993240359"/>
    <x v="11"/>
    <x v="1"/>
    <x v="3"/>
    <x v="3"/>
    <x v="1"/>
    <x v="0"/>
    <x v="0"/>
    <x v="0"/>
    <x v="1"/>
    <x v="0"/>
    <x v="0"/>
    <x v="1"/>
    <x v="1"/>
    <x v="7"/>
    <x v="2"/>
    <x v="2"/>
    <x v="0"/>
    <x v="1"/>
    <x v="1"/>
    <x v="1"/>
    <x v="1"/>
    <x v="1"/>
    <x v="1"/>
    <x v="0"/>
    <x v="0"/>
  </r>
  <r>
    <x v="5"/>
    <x v="11"/>
    <x v="0"/>
    <x v="0"/>
    <x v="0"/>
    <x v="18"/>
    <x v="1"/>
    <x v="2"/>
    <x v="12"/>
    <x v="0"/>
    <x v="0"/>
    <n v="1.0002466011047364"/>
    <x v="11"/>
    <x v="1"/>
    <x v="3"/>
    <x v="3"/>
    <x v="1"/>
    <x v="0"/>
    <x v="0"/>
    <x v="0"/>
    <x v="1"/>
    <x v="0"/>
    <x v="0"/>
    <x v="1"/>
    <x v="1"/>
    <x v="7"/>
    <x v="2"/>
    <x v="2"/>
    <x v="0"/>
    <x v="1"/>
    <x v="1"/>
    <x v="1"/>
    <x v="1"/>
    <x v="1"/>
    <x v="1"/>
    <x v="0"/>
    <x v="0"/>
  </r>
  <r>
    <x v="5"/>
    <x v="11"/>
    <x v="0"/>
    <x v="0"/>
    <x v="0"/>
    <x v="18"/>
    <x v="1"/>
    <x v="2"/>
    <x v="12"/>
    <x v="0"/>
    <x v="2"/>
    <n v="1.0002207994461056"/>
    <x v="11"/>
    <x v="1"/>
    <x v="3"/>
    <x v="3"/>
    <x v="1"/>
    <x v="0"/>
    <x v="0"/>
    <x v="0"/>
    <x v="1"/>
    <x v="0"/>
    <x v="0"/>
    <x v="1"/>
    <x v="1"/>
    <x v="7"/>
    <x v="2"/>
    <x v="2"/>
    <x v="0"/>
    <x v="1"/>
    <x v="1"/>
    <x v="1"/>
    <x v="1"/>
    <x v="1"/>
    <x v="1"/>
    <x v="0"/>
    <x v="0"/>
  </r>
  <r>
    <x v="5"/>
    <x v="11"/>
    <x v="0"/>
    <x v="0"/>
    <x v="0"/>
    <x v="18"/>
    <x v="1"/>
    <x v="2"/>
    <x v="12"/>
    <x v="0"/>
    <x v="1"/>
    <n v="1.0002487993240359"/>
    <x v="11"/>
    <x v="1"/>
    <x v="3"/>
    <x v="3"/>
    <x v="1"/>
    <x v="0"/>
    <x v="0"/>
    <x v="0"/>
    <x v="1"/>
    <x v="0"/>
    <x v="0"/>
    <x v="1"/>
    <x v="1"/>
    <x v="7"/>
    <x v="2"/>
    <x v="2"/>
    <x v="0"/>
    <x v="1"/>
    <x v="1"/>
    <x v="1"/>
    <x v="1"/>
    <x v="1"/>
    <x v="1"/>
    <x v="0"/>
    <x v="0"/>
  </r>
  <r>
    <x v="5"/>
    <x v="11"/>
    <x v="0"/>
    <x v="0"/>
    <x v="0"/>
    <x v="18"/>
    <x v="1"/>
    <x v="2"/>
    <x v="12"/>
    <x v="0"/>
    <x v="3"/>
    <n v="1.0002432012557982"/>
    <x v="11"/>
    <x v="1"/>
    <x v="3"/>
    <x v="3"/>
    <x v="1"/>
    <x v="0"/>
    <x v="0"/>
    <x v="0"/>
    <x v="1"/>
    <x v="0"/>
    <x v="0"/>
    <x v="1"/>
    <x v="1"/>
    <x v="7"/>
    <x v="2"/>
    <x v="2"/>
    <x v="0"/>
    <x v="1"/>
    <x v="1"/>
    <x v="1"/>
    <x v="1"/>
    <x v="1"/>
    <x v="1"/>
    <x v="0"/>
    <x v="0"/>
  </r>
  <r>
    <x v="5"/>
    <x v="11"/>
    <x v="0"/>
    <x v="0"/>
    <x v="0"/>
    <x v="18"/>
    <x v="1"/>
    <x v="2"/>
    <x v="12"/>
    <x v="0"/>
    <x v="3"/>
    <n v="1.0002432012557982"/>
    <x v="11"/>
    <x v="1"/>
    <x v="3"/>
    <x v="3"/>
    <x v="1"/>
    <x v="0"/>
    <x v="0"/>
    <x v="0"/>
    <x v="1"/>
    <x v="0"/>
    <x v="0"/>
    <x v="1"/>
    <x v="1"/>
    <x v="7"/>
    <x v="2"/>
    <x v="2"/>
    <x v="0"/>
    <x v="1"/>
    <x v="1"/>
    <x v="1"/>
    <x v="1"/>
    <x v="1"/>
    <x v="1"/>
    <x v="0"/>
    <x v="0"/>
  </r>
  <r>
    <x v="5"/>
    <x v="11"/>
    <x v="0"/>
    <x v="0"/>
    <x v="0"/>
    <x v="18"/>
    <x v="1"/>
    <x v="2"/>
    <x v="12"/>
    <x v="0"/>
    <x v="2"/>
    <n v="1.0002207994461056"/>
    <x v="11"/>
    <x v="1"/>
    <x v="3"/>
    <x v="3"/>
    <x v="1"/>
    <x v="0"/>
    <x v="0"/>
    <x v="0"/>
    <x v="1"/>
    <x v="0"/>
    <x v="0"/>
    <x v="1"/>
    <x v="1"/>
    <x v="7"/>
    <x v="2"/>
    <x v="2"/>
    <x v="0"/>
    <x v="1"/>
    <x v="1"/>
    <x v="1"/>
    <x v="1"/>
    <x v="1"/>
    <x v="1"/>
    <x v="0"/>
    <x v="0"/>
  </r>
  <r>
    <x v="5"/>
    <x v="11"/>
    <x v="0"/>
    <x v="0"/>
    <x v="0"/>
    <x v="18"/>
    <x v="1"/>
    <x v="2"/>
    <x v="12"/>
    <x v="0"/>
    <x v="3"/>
    <n v="1.0002432012557982"/>
    <x v="11"/>
    <x v="1"/>
    <x v="3"/>
    <x v="3"/>
    <x v="1"/>
    <x v="0"/>
    <x v="0"/>
    <x v="0"/>
    <x v="1"/>
    <x v="0"/>
    <x v="0"/>
    <x v="1"/>
    <x v="1"/>
    <x v="7"/>
    <x v="2"/>
    <x v="2"/>
    <x v="0"/>
    <x v="1"/>
    <x v="1"/>
    <x v="1"/>
    <x v="1"/>
    <x v="1"/>
    <x v="1"/>
    <x v="0"/>
    <x v="0"/>
  </r>
  <r>
    <x v="5"/>
    <x v="11"/>
    <x v="0"/>
    <x v="0"/>
    <x v="0"/>
    <x v="18"/>
    <x v="1"/>
    <x v="2"/>
    <x v="12"/>
    <x v="0"/>
    <x v="0"/>
    <n v="1.0002466011047364"/>
    <x v="11"/>
    <x v="1"/>
    <x v="3"/>
    <x v="3"/>
    <x v="1"/>
    <x v="0"/>
    <x v="0"/>
    <x v="0"/>
    <x v="1"/>
    <x v="0"/>
    <x v="0"/>
    <x v="1"/>
    <x v="1"/>
    <x v="7"/>
    <x v="2"/>
    <x v="2"/>
    <x v="0"/>
    <x v="1"/>
    <x v="1"/>
    <x v="1"/>
    <x v="1"/>
    <x v="1"/>
    <x v="1"/>
    <x v="0"/>
    <x v="0"/>
  </r>
  <r>
    <x v="5"/>
    <x v="11"/>
    <x v="0"/>
    <x v="0"/>
    <x v="0"/>
    <x v="18"/>
    <x v="1"/>
    <x v="2"/>
    <x v="12"/>
    <x v="0"/>
    <x v="0"/>
    <n v="1.0002466011047364"/>
    <x v="11"/>
    <x v="1"/>
    <x v="3"/>
    <x v="3"/>
    <x v="1"/>
    <x v="0"/>
    <x v="0"/>
    <x v="0"/>
    <x v="1"/>
    <x v="0"/>
    <x v="0"/>
    <x v="1"/>
    <x v="1"/>
    <x v="7"/>
    <x v="2"/>
    <x v="2"/>
    <x v="0"/>
    <x v="1"/>
    <x v="1"/>
    <x v="1"/>
    <x v="1"/>
    <x v="1"/>
    <x v="1"/>
    <x v="0"/>
    <x v="0"/>
  </r>
  <r>
    <x v="5"/>
    <x v="11"/>
    <x v="0"/>
    <x v="0"/>
    <x v="0"/>
    <x v="16"/>
    <x v="1"/>
    <x v="2"/>
    <x v="12"/>
    <x v="0"/>
    <x v="3"/>
    <n v="1.0002432012557982"/>
    <x v="11"/>
    <x v="1"/>
    <x v="3"/>
    <x v="3"/>
    <x v="1"/>
    <x v="0"/>
    <x v="0"/>
    <x v="0"/>
    <x v="1"/>
    <x v="0"/>
    <x v="0"/>
    <x v="1"/>
    <x v="1"/>
    <x v="7"/>
    <x v="2"/>
    <x v="2"/>
    <x v="0"/>
    <x v="1"/>
    <x v="1"/>
    <x v="1"/>
    <x v="1"/>
    <x v="1"/>
    <x v="1"/>
    <x v="0"/>
    <x v="0"/>
  </r>
  <r>
    <x v="5"/>
    <x v="11"/>
    <x v="0"/>
    <x v="0"/>
    <x v="0"/>
    <x v="16"/>
    <x v="1"/>
    <x v="2"/>
    <x v="12"/>
    <x v="0"/>
    <x v="0"/>
    <n v="1.0002466011047364"/>
    <x v="11"/>
    <x v="1"/>
    <x v="3"/>
    <x v="3"/>
    <x v="1"/>
    <x v="0"/>
    <x v="0"/>
    <x v="0"/>
    <x v="1"/>
    <x v="0"/>
    <x v="0"/>
    <x v="1"/>
    <x v="1"/>
    <x v="7"/>
    <x v="2"/>
    <x v="2"/>
    <x v="0"/>
    <x v="1"/>
    <x v="1"/>
    <x v="1"/>
    <x v="1"/>
    <x v="1"/>
    <x v="1"/>
    <x v="0"/>
    <x v="0"/>
  </r>
  <r>
    <x v="5"/>
    <x v="11"/>
    <x v="0"/>
    <x v="0"/>
    <x v="0"/>
    <x v="18"/>
    <x v="1"/>
    <x v="2"/>
    <x v="12"/>
    <x v="0"/>
    <x v="1"/>
    <n v="1.0002487993240359"/>
    <x v="11"/>
    <x v="1"/>
    <x v="3"/>
    <x v="3"/>
    <x v="1"/>
    <x v="0"/>
    <x v="0"/>
    <x v="0"/>
    <x v="1"/>
    <x v="0"/>
    <x v="0"/>
    <x v="1"/>
    <x v="1"/>
    <x v="7"/>
    <x v="2"/>
    <x v="2"/>
    <x v="0"/>
    <x v="1"/>
    <x v="1"/>
    <x v="1"/>
    <x v="1"/>
    <x v="1"/>
    <x v="1"/>
    <x v="0"/>
    <x v="0"/>
  </r>
  <r>
    <x v="5"/>
    <x v="11"/>
    <x v="0"/>
    <x v="0"/>
    <x v="0"/>
    <x v="18"/>
    <x v="1"/>
    <x v="2"/>
    <x v="12"/>
    <x v="0"/>
    <x v="3"/>
    <n v="1.0002432012557982"/>
    <x v="11"/>
    <x v="1"/>
    <x v="3"/>
    <x v="3"/>
    <x v="1"/>
    <x v="0"/>
    <x v="0"/>
    <x v="0"/>
    <x v="1"/>
    <x v="0"/>
    <x v="0"/>
    <x v="1"/>
    <x v="1"/>
    <x v="7"/>
    <x v="2"/>
    <x v="2"/>
    <x v="0"/>
    <x v="1"/>
    <x v="1"/>
    <x v="1"/>
    <x v="1"/>
    <x v="1"/>
    <x v="1"/>
    <x v="0"/>
    <x v="0"/>
  </r>
  <r>
    <x v="5"/>
    <x v="11"/>
    <x v="0"/>
    <x v="0"/>
    <x v="0"/>
    <x v="18"/>
    <x v="1"/>
    <x v="2"/>
    <x v="12"/>
    <x v="0"/>
    <x v="2"/>
    <n v="1.0002207994461056"/>
    <x v="11"/>
    <x v="1"/>
    <x v="3"/>
    <x v="3"/>
    <x v="1"/>
    <x v="0"/>
    <x v="0"/>
    <x v="0"/>
    <x v="1"/>
    <x v="0"/>
    <x v="0"/>
    <x v="1"/>
    <x v="1"/>
    <x v="7"/>
    <x v="2"/>
    <x v="2"/>
    <x v="0"/>
    <x v="1"/>
    <x v="1"/>
    <x v="1"/>
    <x v="1"/>
    <x v="1"/>
    <x v="1"/>
    <x v="0"/>
    <x v="0"/>
  </r>
  <r>
    <x v="5"/>
    <x v="11"/>
    <x v="0"/>
    <x v="0"/>
    <x v="0"/>
    <x v="18"/>
    <x v="1"/>
    <x v="2"/>
    <x v="12"/>
    <x v="0"/>
    <x v="2"/>
    <n v="1.0002207994461056"/>
    <x v="11"/>
    <x v="1"/>
    <x v="3"/>
    <x v="3"/>
    <x v="1"/>
    <x v="0"/>
    <x v="0"/>
    <x v="0"/>
    <x v="1"/>
    <x v="0"/>
    <x v="0"/>
    <x v="1"/>
    <x v="1"/>
    <x v="7"/>
    <x v="2"/>
    <x v="2"/>
    <x v="0"/>
    <x v="1"/>
    <x v="1"/>
    <x v="1"/>
    <x v="1"/>
    <x v="1"/>
    <x v="1"/>
    <x v="0"/>
    <x v="0"/>
  </r>
  <r>
    <x v="5"/>
    <x v="11"/>
    <x v="0"/>
    <x v="0"/>
    <x v="0"/>
    <x v="18"/>
    <x v="1"/>
    <x v="2"/>
    <x v="12"/>
    <x v="0"/>
    <x v="1"/>
    <n v="1.0002487993240359"/>
    <x v="11"/>
    <x v="1"/>
    <x v="3"/>
    <x v="3"/>
    <x v="1"/>
    <x v="0"/>
    <x v="0"/>
    <x v="0"/>
    <x v="1"/>
    <x v="0"/>
    <x v="0"/>
    <x v="1"/>
    <x v="1"/>
    <x v="7"/>
    <x v="2"/>
    <x v="2"/>
    <x v="0"/>
    <x v="1"/>
    <x v="1"/>
    <x v="1"/>
    <x v="1"/>
    <x v="1"/>
    <x v="1"/>
    <x v="0"/>
    <x v="0"/>
  </r>
  <r>
    <x v="5"/>
    <x v="11"/>
    <x v="0"/>
    <x v="0"/>
    <x v="0"/>
    <x v="18"/>
    <x v="1"/>
    <x v="2"/>
    <x v="12"/>
    <x v="0"/>
    <x v="3"/>
    <n v="1.0002432012557982"/>
    <x v="11"/>
    <x v="1"/>
    <x v="3"/>
    <x v="3"/>
    <x v="1"/>
    <x v="0"/>
    <x v="0"/>
    <x v="0"/>
    <x v="1"/>
    <x v="0"/>
    <x v="0"/>
    <x v="1"/>
    <x v="1"/>
    <x v="7"/>
    <x v="2"/>
    <x v="2"/>
    <x v="0"/>
    <x v="1"/>
    <x v="1"/>
    <x v="1"/>
    <x v="1"/>
    <x v="1"/>
    <x v="1"/>
    <x v="0"/>
    <x v="0"/>
  </r>
  <r>
    <x v="5"/>
    <x v="11"/>
    <x v="0"/>
    <x v="0"/>
    <x v="0"/>
    <x v="18"/>
    <x v="1"/>
    <x v="2"/>
    <x v="12"/>
    <x v="0"/>
    <x v="2"/>
    <n v="1.0002207994461056"/>
    <x v="11"/>
    <x v="1"/>
    <x v="3"/>
    <x v="3"/>
    <x v="1"/>
    <x v="0"/>
    <x v="0"/>
    <x v="0"/>
    <x v="1"/>
    <x v="0"/>
    <x v="0"/>
    <x v="1"/>
    <x v="1"/>
    <x v="7"/>
    <x v="2"/>
    <x v="2"/>
    <x v="0"/>
    <x v="1"/>
    <x v="1"/>
    <x v="1"/>
    <x v="1"/>
    <x v="1"/>
    <x v="1"/>
    <x v="0"/>
    <x v="0"/>
  </r>
  <r>
    <x v="5"/>
    <x v="11"/>
    <x v="0"/>
    <x v="0"/>
    <x v="0"/>
    <x v="18"/>
    <x v="1"/>
    <x v="2"/>
    <x v="12"/>
    <x v="0"/>
    <x v="0"/>
    <n v="1.0002466011047364"/>
    <x v="11"/>
    <x v="1"/>
    <x v="3"/>
    <x v="3"/>
    <x v="1"/>
    <x v="0"/>
    <x v="0"/>
    <x v="0"/>
    <x v="1"/>
    <x v="0"/>
    <x v="0"/>
    <x v="1"/>
    <x v="1"/>
    <x v="7"/>
    <x v="2"/>
    <x v="2"/>
    <x v="0"/>
    <x v="1"/>
    <x v="1"/>
    <x v="1"/>
    <x v="1"/>
    <x v="1"/>
    <x v="1"/>
    <x v="0"/>
    <x v="0"/>
  </r>
  <r>
    <x v="5"/>
    <x v="11"/>
    <x v="0"/>
    <x v="0"/>
    <x v="0"/>
    <x v="16"/>
    <x v="1"/>
    <x v="2"/>
    <x v="12"/>
    <x v="0"/>
    <x v="2"/>
    <n v="1.0002207994461056"/>
    <x v="11"/>
    <x v="1"/>
    <x v="3"/>
    <x v="3"/>
    <x v="1"/>
    <x v="0"/>
    <x v="0"/>
    <x v="0"/>
    <x v="1"/>
    <x v="0"/>
    <x v="0"/>
    <x v="1"/>
    <x v="1"/>
    <x v="7"/>
    <x v="2"/>
    <x v="2"/>
    <x v="0"/>
    <x v="1"/>
    <x v="1"/>
    <x v="1"/>
    <x v="1"/>
    <x v="1"/>
    <x v="1"/>
    <x v="0"/>
    <x v="0"/>
  </r>
  <r>
    <x v="5"/>
    <x v="11"/>
    <x v="0"/>
    <x v="0"/>
    <x v="0"/>
    <x v="16"/>
    <x v="1"/>
    <x v="2"/>
    <x v="12"/>
    <x v="0"/>
    <x v="1"/>
    <n v="1.0002487993240359"/>
    <x v="11"/>
    <x v="1"/>
    <x v="3"/>
    <x v="3"/>
    <x v="1"/>
    <x v="0"/>
    <x v="0"/>
    <x v="0"/>
    <x v="1"/>
    <x v="0"/>
    <x v="0"/>
    <x v="1"/>
    <x v="1"/>
    <x v="7"/>
    <x v="2"/>
    <x v="2"/>
    <x v="0"/>
    <x v="1"/>
    <x v="1"/>
    <x v="1"/>
    <x v="1"/>
    <x v="1"/>
    <x v="1"/>
    <x v="0"/>
    <x v="0"/>
  </r>
  <r>
    <x v="5"/>
    <x v="11"/>
    <x v="0"/>
    <x v="0"/>
    <x v="0"/>
    <x v="16"/>
    <x v="1"/>
    <x v="2"/>
    <x v="12"/>
    <x v="0"/>
    <x v="0"/>
    <n v="1.0002466011047364"/>
    <x v="11"/>
    <x v="1"/>
    <x v="3"/>
    <x v="3"/>
    <x v="1"/>
    <x v="0"/>
    <x v="0"/>
    <x v="0"/>
    <x v="1"/>
    <x v="0"/>
    <x v="0"/>
    <x v="1"/>
    <x v="1"/>
    <x v="7"/>
    <x v="2"/>
    <x v="2"/>
    <x v="0"/>
    <x v="1"/>
    <x v="1"/>
    <x v="1"/>
    <x v="1"/>
    <x v="1"/>
    <x v="1"/>
    <x v="0"/>
    <x v="0"/>
  </r>
  <r>
    <x v="5"/>
    <x v="11"/>
    <x v="0"/>
    <x v="0"/>
    <x v="0"/>
    <x v="16"/>
    <x v="1"/>
    <x v="2"/>
    <x v="12"/>
    <x v="0"/>
    <x v="3"/>
    <n v="1.0002432012557982"/>
    <x v="11"/>
    <x v="1"/>
    <x v="3"/>
    <x v="3"/>
    <x v="1"/>
    <x v="0"/>
    <x v="0"/>
    <x v="0"/>
    <x v="1"/>
    <x v="0"/>
    <x v="0"/>
    <x v="1"/>
    <x v="1"/>
    <x v="7"/>
    <x v="2"/>
    <x v="2"/>
    <x v="0"/>
    <x v="1"/>
    <x v="1"/>
    <x v="1"/>
    <x v="1"/>
    <x v="1"/>
    <x v="1"/>
    <x v="0"/>
    <x v="0"/>
  </r>
  <r>
    <x v="5"/>
    <x v="11"/>
    <x v="0"/>
    <x v="0"/>
    <x v="0"/>
    <x v="16"/>
    <x v="1"/>
    <x v="2"/>
    <x v="12"/>
    <x v="0"/>
    <x v="1"/>
    <n v="1.0002487993240359"/>
    <x v="11"/>
    <x v="1"/>
    <x v="3"/>
    <x v="3"/>
    <x v="1"/>
    <x v="0"/>
    <x v="0"/>
    <x v="0"/>
    <x v="1"/>
    <x v="0"/>
    <x v="0"/>
    <x v="1"/>
    <x v="1"/>
    <x v="7"/>
    <x v="2"/>
    <x v="2"/>
    <x v="0"/>
    <x v="1"/>
    <x v="1"/>
    <x v="1"/>
    <x v="1"/>
    <x v="1"/>
    <x v="1"/>
    <x v="0"/>
    <x v="0"/>
  </r>
  <r>
    <x v="5"/>
    <x v="11"/>
    <x v="0"/>
    <x v="0"/>
    <x v="0"/>
    <x v="16"/>
    <x v="1"/>
    <x v="2"/>
    <x v="12"/>
    <x v="0"/>
    <x v="2"/>
    <n v="1.0002207994461056"/>
    <x v="11"/>
    <x v="1"/>
    <x v="3"/>
    <x v="3"/>
    <x v="1"/>
    <x v="0"/>
    <x v="0"/>
    <x v="0"/>
    <x v="1"/>
    <x v="0"/>
    <x v="0"/>
    <x v="1"/>
    <x v="1"/>
    <x v="7"/>
    <x v="2"/>
    <x v="2"/>
    <x v="0"/>
    <x v="1"/>
    <x v="1"/>
    <x v="1"/>
    <x v="1"/>
    <x v="1"/>
    <x v="1"/>
    <x v="0"/>
    <x v="0"/>
  </r>
  <r>
    <x v="5"/>
    <x v="11"/>
    <x v="0"/>
    <x v="0"/>
    <x v="0"/>
    <x v="18"/>
    <x v="1"/>
    <x v="2"/>
    <x v="13"/>
    <x v="0"/>
    <x v="0"/>
    <n v="1.0002466011047364"/>
    <x v="11"/>
    <x v="1"/>
    <x v="3"/>
    <x v="3"/>
    <x v="1"/>
    <x v="0"/>
    <x v="0"/>
    <x v="0"/>
    <x v="1"/>
    <x v="0"/>
    <x v="0"/>
    <x v="1"/>
    <x v="1"/>
    <x v="7"/>
    <x v="2"/>
    <x v="2"/>
    <x v="0"/>
    <x v="1"/>
    <x v="1"/>
    <x v="1"/>
    <x v="1"/>
    <x v="1"/>
    <x v="1"/>
    <x v="0"/>
    <x v="0"/>
  </r>
  <r>
    <x v="5"/>
    <x v="11"/>
    <x v="0"/>
    <x v="0"/>
    <x v="0"/>
    <x v="18"/>
    <x v="1"/>
    <x v="2"/>
    <x v="13"/>
    <x v="0"/>
    <x v="1"/>
    <n v="1.0002487993240359"/>
    <x v="11"/>
    <x v="1"/>
    <x v="3"/>
    <x v="3"/>
    <x v="1"/>
    <x v="0"/>
    <x v="0"/>
    <x v="0"/>
    <x v="1"/>
    <x v="0"/>
    <x v="0"/>
    <x v="1"/>
    <x v="1"/>
    <x v="7"/>
    <x v="2"/>
    <x v="2"/>
    <x v="0"/>
    <x v="1"/>
    <x v="1"/>
    <x v="1"/>
    <x v="1"/>
    <x v="1"/>
    <x v="1"/>
    <x v="0"/>
    <x v="0"/>
  </r>
  <r>
    <x v="5"/>
    <x v="11"/>
    <x v="0"/>
    <x v="0"/>
    <x v="0"/>
    <x v="18"/>
    <x v="1"/>
    <x v="2"/>
    <x v="13"/>
    <x v="0"/>
    <x v="3"/>
    <n v="1.0002432012557982"/>
    <x v="11"/>
    <x v="1"/>
    <x v="3"/>
    <x v="3"/>
    <x v="1"/>
    <x v="0"/>
    <x v="0"/>
    <x v="0"/>
    <x v="1"/>
    <x v="0"/>
    <x v="0"/>
    <x v="1"/>
    <x v="1"/>
    <x v="7"/>
    <x v="2"/>
    <x v="2"/>
    <x v="0"/>
    <x v="1"/>
    <x v="1"/>
    <x v="1"/>
    <x v="1"/>
    <x v="1"/>
    <x v="1"/>
    <x v="0"/>
    <x v="0"/>
  </r>
  <r>
    <x v="5"/>
    <x v="11"/>
    <x v="0"/>
    <x v="0"/>
    <x v="0"/>
    <x v="18"/>
    <x v="1"/>
    <x v="2"/>
    <x v="13"/>
    <x v="0"/>
    <x v="2"/>
    <n v="1.0002207994461056"/>
    <x v="11"/>
    <x v="1"/>
    <x v="3"/>
    <x v="3"/>
    <x v="1"/>
    <x v="0"/>
    <x v="0"/>
    <x v="0"/>
    <x v="1"/>
    <x v="0"/>
    <x v="0"/>
    <x v="1"/>
    <x v="1"/>
    <x v="7"/>
    <x v="2"/>
    <x v="2"/>
    <x v="0"/>
    <x v="1"/>
    <x v="1"/>
    <x v="1"/>
    <x v="1"/>
    <x v="1"/>
    <x v="1"/>
    <x v="0"/>
    <x v="0"/>
  </r>
  <r>
    <x v="5"/>
    <x v="11"/>
    <x v="0"/>
    <x v="0"/>
    <x v="0"/>
    <x v="18"/>
    <x v="1"/>
    <x v="2"/>
    <x v="13"/>
    <x v="0"/>
    <x v="1"/>
    <n v="1.0002487993240359"/>
    <x v="11"/>
    <x v="1"/>
    <x v="3"/>
    <x v="3"/>
    <x v="1"/>
    <x v="0"/>
    <x v="0"/>
    <x v="0"/>
    <x v="1"/>
    <x v="0"/>
    <x v="0"/>
    <x v="1"/>
    <x v="1"/>
    <x v="7"/>
    <x v="2"/>
    <x v="2"/>
    <x v="0"/>
    <x v="1"/>
    <x v="1"/>
    <x v="1"/>
    <x v="1"/>
    <x v="1"/>
    <x v="1"/>
    <x v="0"/>
    <x v="0"/>
  </r>
  <r>
    <x v="5"/>
    <x v="11"/>
    <x v="0"/>
    <x v="0"/>
    <x v="0"/>
    <x v="18"/>
    <x v="1"/>
    <x v="2"/>
    <x v="13"/>
    <x v="0"/>
    <x v="0"/>
    <n v="1.0002466011047364"/>
    <x v="11"/>
    <x v="1"/>
    <x v="3"/>
    <x v="3"/>
    <x v="1"/>
    <x v="0"/>
    <x v="0"/>
    <x v="0"/>
    <x v="1"/>
    <x v="0"/>
    <x v="0"/>
    <x v="1"/>
    <x v="1"/>
    <x v="7"/>
    <x v="2"/>
    <x v="2"/>
    <x v="0"/>
    <x v="1"/>
    <x v="1"/>
    <x v="1"/>
    <x v="1"/>
    <x v="1"/>
    <x v="1"/>
    <x v="0"/>
    <x v="0"/>
  </r>
  <r>
    <x v="5"/>
    <x v="11"/>
    <x v="0"/>
    <x v="0"/>
    <x v="0"/>
    <x v="18"/>
    <x v="1"/>
    <x v="2"/>
    <x v="13"/>
    <x v="0"/>
    <x v="1"/>
    <n v="1.0002487993240359"/>
    <x v="11"/>
    <x v="1"/>
    <x v="3"/>
    <x v="3"/>
    <x v="1"/>
    <x v="0"/>
    <x v="0"/>
    <x v="0"/>
    <x v="1"/>
    <x v="0"/>
    <x v="0"/>
    <x v="1"/>
    <x v="1"/>
    <x v="7"/>
    <x v="2"/>
    <x v="2"/>
    <x v="0"/>
    <x v="1"/>
    <x v="1"/>
    <x v="1"/>
    <x v="1"/>
    <x v="1"/>
    <x v="1"/>
    <x v="0"/>
    <x v="0"/>
  </r>
  <r>
    <x v="5"/>
    <x v="11"/>
    <x v="0"/>
    <x v="0"/>
    <x v="0"/>
    <x v="18"/>
    <x v="1"/>
    <x v="2"/>
    <x v="13"/>
    <x v="0"/>
    <x v="0"/>
    <n v="1.0002466011047364"/>
    <x v="11"/>
    <x v="1"/>
    <x v="3"/>
    <x v="3"/>
    <x v="1"/>
    <x v="0"/>
    <x v="0"/>
    <x v="0"/>
    <x v="1"/>
    <x v="0"/>
    <x v="0"/>
    <x v="1"/>
    <x v="1"/>
    <x v="7"/>
    <x v="2"/>
    <x v="2"/>
    <x v="0"/>
    <x v="1"/>
    <x v="1"/>
    <x v="1"/>
    <x v="1"/>
    <x v="1"/>
    <x v="1"/>
    <x v="0"/>
    <x v="0"/>
  </r>
  <r>
    <x v="5"/>
    <x v="11"/>
    <x v="0"/>
    <x v="0"/>
    <x v="0"/>
    <x v="18"/>
    <x v="1"/>
    <x v="2"/>
    <x v="13"/>
    <x v="0"/>
    <x v="2"/>
    <n v="1.0002207994461056"/>
    <x v="11"/>
    <x v="1"/>
    <x v="3"/>
    <x v="3"/>
    <x v="1"/>
    <x v="0"/>
    <x v="0"/>
    <x v="0"/>
    <x v="1"/>
    <x v="0"/>
    <x v="0"/>
    <x v="1"/>
    <x v="1"/>
    <x v="7"/>
    <x v="2"/>
    <x v="2"/>
    <x v="0"/>
    <x v="1"/>
    <x v="1"/>
    <x v="1"/>
    <x v="1"/>
    <x v="1"/>
    <x v="1"/>
    <x v="0"/>
    <x v="0"/>
  </r>
  <r>
    <x v="5"/>
    <x v="11"/>
    <x v="0"/>
    <x v="0"/>
    <x v="0"/>
    <x v="18"/>
    <x v="1"/>
    <x v="2"/>
    <x v="13"/>
    <x v="0"/>
    <x v="1"/>
    <n v="1.0002487993240359"/>
    <x v="11"/>
    <x v="1"/>
    <x v="3"/>
    <x v="3"/>
    <x v="1"/>
    <x v="0"/>
    <x v="0"/>
    <x v="0"/>
    <x v="1"/>
    <x v="0"/>
    <x v="0"/>
    <x v="1"/>
    <x v="1"/>
    <x v="7"/>
    <x v="2"/>
    <x v="2"/>
    <x v="0"/>
    <x v="1"/>
    <x v="1"/>
    <x v="1"/>
    <x v="1"/>
    <x v="1"/>
    <x v="1"/>
    <x v="0"/>
    <x v="0"/>
  </r>
  <r>
    <x v="5"/>
    <x v="11"/>
    <x v="0"/>
    <x v="0"/>
    <x v="0"/>
    <x v="18"/>
    <x v="1"/>
    <x v="2"/>
    <x v="13"/>
    <x v="0"/>
    <x v="3"/>
    <n v="1.0002432012557982"/>
    <x v="11"/>
    <x v="1"/>
    <x v="3"/>
    <x v="3"/>
    <x v="1"/>
    <x v="0"/>
    <x v="0"/>
    <x v="0"/>
    <x v="1"/>
    <x v="0"/>
    <x v="0"/>
    <x v="1"/>
    <x v="1"/>
    <x v="7"/>
    <x v="2"/>
    <x v="2"/>
    <x v="0"/>
    <x v="1"/>
    <x v="1"/>
    <x v="1"/>
    <x v="1"/>
    <x v="1"/>
    <x v="1"/>
    <x v="0"/>
    <x v="0"/>
  </r>
  <r>
    <x v="5"/>
    <x v="11"/>
    <x v="0"/>
    <x v="0"/>
    <x v="0"/>
    <x v="18"/>
    <x v="1"/>
    <x v="2"/>
    <x v="13"/>
    <x v="0"/>
    <x v="3"/>
    <n v="1.0002432012557982"/>
    <x v="11"/>
    <x v="1"/>
    <x v="3"/>
    <x v="3"/>
    <x v="1"/>
    <x v="0"/>
    <x v="0"/>
    <x v="0"/>
    <x v="1"/>
    <x v="0"/>
    <x v="0"/>
    <x v="1"/>
    <x v="1"/>
    <x v="7"/>
    <x v="2"/>
    <x v="2"/>
    <x v="0"/>
    <x v="1"/>
    <x v="1"/>
    <x v="1"/>
    <x v="1"/>
    <x v="1"/>
    <x v="1"/>
    <x v="0"/>
    <x v="0"/>
  </r>
  <r>
    <x v="5"/>
    <x v="11"/>
    <x v="0"/>
    <x v="0"/>
    <x v="0"/>
    <x v="18"/>
    <x v="1"/>
    <x v="2"/>
    <x v="13"/>
    <x v="0"/>
    <x v="2"/>
    <n v="1.0002207994461056"/>
    <x v="11"/>
    <x v="1"/>
    <x v="3"/>
    <x v="3"/>
    <x v="1"/>
    <x v="0"/>
    <x v="0"/>
    <x v="0"/>
    <x v="1"/>
    <x v="0"/>
    <x v="0"/>
    <x v="1"/>
    <x v="1"/>
    <x v="7"/>
    <x v="2"/>
    <x v="2"/>
    <x v="0"/>
    <x v="1"/>
    <x v="1"/>
    <x v="1"/>
    <x v="1"/>
    <x v="1"/>
    <x v="1"/>
    <x v="0"/>
    <x v="0"/>
  </r>
  <r>
    <x v="5"/>
    <x v="11"/>
    <x v="0"/>
    <x v="0"/>
    <x v="0"/>
    <x v="18"/>
    <x v="1"/>
    <x v="2"/>
    <x v="13"/>
    <x v="0"/>
    <x v="3"/>
    <n v="1.0002432012557982"/>
    <x v="11"/>
    <x v="1"/>
    <x v="3"/>
    <x v="3"/>
    <x v="1"/>
    <x v="0"/>
    <x v="0"/>
    <x v="0"/>
    <x v="1"/>
    <x v="0"/>
    <x v="0"/>
    <x v="1"/>
    <x v="1"/>
    <x v="7"/>
    <x v="2"/>
    <x v="2"/>
    <x v="0"/>
    <x v="1"/>
    <x v="1"/>
    <x v="1"/>
    <x v="1"/>
    <x v="1"/>
    <x v="1"/>
    <x v="0"/>
    <x v="0"/>
  </r>
  <r>
    <x v="5"/>
    <x v="11"/>
    <x v="0"/>
    <x v="0"/>
    <x v="0"/>
    <x v="18"/>
    <x v="1"/>
    <x v="2"/>
    <x v="13"/>
    <x v="0"/>
    <x v="0"/>
    <n v="1.0002466011047364"/>
    <x v="11"/>
    <x v="1"/>
    <x v="3"/>
    <x v="3"/>
    <x v="1"/>
    <x v="0"/>
    <x v="0"/>
    <x v="0"/>
    <x v="1"/>
    <x v="0"/>
    <x v="0"/>
    <x v="1"/>
    <x v="1"/>
    <x v="7"/>
    <x v="2"/>
    <x v="2"/>
    <x v="0"/>
    <x v="1"/>
    <x v="1"/>
    <x v="1"/>
    <x v="1"/>
    <x v="1"/>
    <x v="1"/>
    <x v="0"/>
    <x v="0"/>
  </r>
  <r>
    <x v="5"/>
    <x v="11"/>
    <x v="0"/>
    <x v="0"/>
    <x v="0"/>
    <x v="18"/>
    <x v="1"/>
    <x v="2"/>
    <x v="13"/>
    <x v="0"/>
    <x v="0"/>
    <n v="1.0002466011047364"/>
    <x v="11"/>
    <x v="1"/>
    <x v="3"/>
    <x v="3"/>
    <x v="1"/>
    <x v="0"/>
    <x v="0"/>
    <x v="0"/>
    <x v="1"/>
    <x v="0"/>
    <x v="0"/>
    <x v="1"/>
    <x v="1"/>
    <x v="7"/>
    <x v="2"/>
    <x v="2"/>
    <x v="0"/>
    <x v="1"/>
    <x v="1"/>
    <x v="1"/>
    <x v="1"/>
    <x v="1"/>
    <x v="1"/>
    <x v="0"/>
    <x v="0"/>
  </r>
  <r>
    <x v="5"/>
    <x v="11"/>
    <x v="0"/>
    <x v="0"/>
    <x v="0"/>
    <x v="16"/>
    <x v="1"/>
    <x v="2"/>
    <x v="13"/>
    <x v="0"/>
    <x v="2"/>
    <n v="1.0002207994461056"/>
    <x v="11"/>
    <x v="1"/>
    <x v="3"/>
    <x v="3"/>
    <x v="1"/>
    <x v="0"/>
    <x v="0"/>
    <x v="0"/>
    <x v="1"/>
    <x v="0"/>
    <x v="0"/>
    <x v="1"/>
    <x v="1"/>
    <x v="7"/>
    <x v="2"/>
    <x v="2"/>
    <x v="0"/>
    <x v="1"/>
    <x v="1"/>
    <x v="1"/>
    <x v="1"/>
    <x v="1"/>
    <x v="1"/>
    <x v="0"/>
    <x v="0"/>
  </r>
  <r>
    <x v="5"/>
    <x v="11"/>
    <x v="0"/>
    <x v="0"/>
    <x v="0"/>
    <x v="16"/>
    <x v="1"/>
    <x v="2"/>
    <x v="13"/>
    <x v="0"/>
    <x v="3"/>
    <n v="1.0002432012557982"/>
    <x v="11"/>
    <x v="1"/>
    <x v="3"/>
    <x v="3"/>
    <x v="1"/>
    <x v="0"/>
    <x v="0"/>
    <x v="0"/>
    <x v="1"/>
    <x v="0"/>
    <x v="0"/>
    <x v="1"/>
    <x v="1"/>
    <x v="7"/>
    <x v="2"/>
    <x v="2"/>
    <x v="0"/>
    <x v="1"/>
    <x v="1"/>
    <x v="1"/>
    <x v="1"/>
    <x v="1"/>
    <x v="1"/>
    <x v="0"/>
    <x v="0"/>
  </r>
  <r>
    <x v="5"/>
    <x v="11"/>
    <x v="0"/>
    <x v="0"/>
    <x v="0"/>
    <x v="16"/>
    <x v="1"/>
    <x v="2"/>
    <x v="13"/>
    <x v="0"/>
    <x v="0"/>
    <n v="1.0002466011047364"/>
    <x v="11"/>
    <x v="1"/>
    <x v="3"/>
    <x v="3"/>
    <x v="1"/>
    <x v="0"/>
    <x v="0"/>
    <x v="0"/>
    <x v="1"/>
    <x v="0"/>
    <x v="0"/>
    <x v="1"/>
    <x v="1"/>
    <x v="7"/>
    <x v="2"/>
    <x v="2"/>
    <x v="0"/>
    <x v="1"/>
    <x v="1"/>
    <x v="1"/>
    <x v="1"/>
    <x v="1"/>
    <x v="1"/>
    <x v="0"/>
    <x v="0"/>
  </r>
  <r>
    <x v="5"/>
    <x v="11"/>
    <x v="0"/>
    <x v="0"/>
    <x v="0"/>
    <x v="18"/>
    <x v="1"/>
    <x v="2"/>
    <x v="13"/>
    <x v="0"/>
    <x v="1"/>
    <n v="1.0002487993240359"/>
    <x v="11"/>
    <x v="1"/>
    <x v="3"/>
    <x v="3"/>
    <x v="1"/>
    <x v="0"/>
    <x v="0"/>
    <x v="0"/>
    <x v="1"/>
    <x v="0"/>
    <x v="0"/>
    <x v="1"/>
    <x v="1"/>
    <x v="7"/>
    <x v="2"/>
    <x v="2"/>
    <x v="0"/>
    <x v="1"/>
    <x v="1"/>
    <x v="1"/>
    <x v="1"/>
    <x v="1"/>
    <x v="1"/>
    <x v="0"/>
    <x v="0"/>
  </r>
  <r>
    <x v="5"/>
    <x v="11"/>
    <x v="0"/>
    <x v="0"/>
    <x v="0"/>
    <x v="18"/>
    <x v="1"/>
    <x v="2"/>
    <x v="13"/>
    <x v="0"/>
    <x v="3"/>
    <n v="1.0002432012557982"/>
    <x v="11"/>
    <x v="1"/>
    <x v="3"/>
    <x v="3"/>
    <x v="1"/>
    <x v="0"/>
    <x v="0"/>
    <x v="0"/>
    <x v="1"/>
    <x v="0"/>
    <x v="0"/>
    <x v="1"/>
    <x v="1"/>
    <x v="7"/>
    <x v="2"/>
    <x v="2"/>
    <x v="0"/>
    <x v="1"/>
    <x v="1"/>
    <x v="1"/>
    <x v="1"/>
    <x v="1"/>
    <x v="1"/>
    <x v="0"/>
    <x v="0"/>
  </r>
  <r>
    <x v="5"/>
    <x v="11"/>
    <x v="0"/>
    <x v="0"/>
    <x v="0"/>
    <x v="18"/>
    <x v="1"/>
    <x v="2"/>
    <x v="13"/>
    <x v="0"/>
    <x v="2"/>
    <n v="1.0002207994461056"/>
    <x v="11"/>
    <x v="1"/>
    <x v="3"/>
    <x v="3"/>
    <x v="1"/>
    <x v="0"/>
    <x v="0"/>
    <x v="0"/>
    <x v="1"/>
    <x v="0"/>
    <x v="0"/>
    <x v="1"/>
    <x v="1"/>
    <x v="7"/>
    <x v="2"/>
    <x v="2"/>
    <x v="0"/>
    <x v="1"/>
    <x v="1"/>
    <x v="1"/>
    <x v="1"/>
    <x v="1"/>
    <x v="1"/>
    <x v="0"/>
    <x v="0"/>
  </r>
  <r>
    <x v="5"/>
    <x v="11"/>
    <x v="0"/>
    <x v="0"/>
    <x v="0"/>
    <x v="18"/>
    <x v="1"/>
    <x v="2"/>
    <x v="13"/>
    <x v="0"/>
    <x v="2"/>
    <n v="1.0002207994461056"/>
    <x v="11"/>
    <x v="1"/>
    <x v="3"/>
    <x v="3"/>
    <x v="1"/>
    <x v="0"/>
    <x v="0"/>
    <x v="0"/>
    <x v="1"/>
    <x v="0"/>
    <x v="0"/>
    <x v="1"/>
    <x v="1"/>
    <x v="7"/>
    <x v="2"/>
    <x v="2"/>
    <x v="0"/>
    <x v="1"/>
    <x v="1"/>
    <x v="1"/>
    <x v="1"/>
    <x v="1"/>
    <x v="1"/>
    <x v="0"/>
    <x v="0"/>
  </r>
  <r>
    <x v="5"/>
    <x v="11"/>
    <x v="0"/>
    <x v="0"/>
    <x v="0"/>
    <x v="18"/>
    <x v="1"/>
    <x v="2"/>
    <x v="13"/>
    <x v="0"/>
    <x v="1"/>
    <n v="1.0002487993240359"/>
    <x v="11"/>
    <x v="1"/>
    <x v="3"/>
    <x v="3"/>
    <x v="1"/>
    <x v="0"/>
    <x v="0"/>
    <x v="0"/>
    <x v="1"/>
    <x v="0"/>
    <x v="0"/>
    <x v="1"/>
    <x v="1"/>
    <x v="7"/>
    <x v="2"/>
    <x v="2"/>
    <x v="0"/>
    <x v="1"/>
    <x v="1"/>
    <x v="1"/>
    <x v="1"/>
    <x v="1"/>
    <x v="1"/>
    <x v="0"/>
    <x v="0"/>
  </r>
  <r>
    <x v="5"/>
    <x v="11"/>
    <x v="0"/>
    <x v="0"/>
    <x v="0"/>
    <x v="18"/>
    <x v="1"/>
    <x v="2"/>
    <x v="13"/>
    <x v="0"/>
    <x v="3"/>
    <n v="1.0002432012557982"/>
    <x v="11"/>
    <x v="1"/>
    <x v="3"/>
    <x v="3"/>
    <x v="1"/>
    <x v="0"/>
    <x v="0"/>
    <x v="0"/>
    <x v="1"/>
    <x v="0"/>
    <x v="0"/>
    <x v="1"/>
    <x v="1"/>
    <x v="7"/>
    <x v="2"/>
    <x v="2"/>
    <x v="0"/>
    <x v="1"/>
    <x v="1"/>
    <x v="1"/>
    <x v="1"/>
    <x v="1"/>
    <x v="1"/>
    <x v="0"/>
    <x v="0"/>
  </r>
  <r>
    <x v="5"/>
    <x v="11"/>
    <x v="0"/>
    <x v="0"/>
    <x v="0"/>
    <x v="18"/>
    <x v="1"/>
    <x v="2"/>
    <x v="13"/>
    <x v="0"/>
    <x v="2"/>
    <n v="1.0002207994461056"/>
    <x v="11"/>
    <x v="1"/>
    <x v="3"/>
    <x v="3"/>
    <x v="1"/>
    <x v="0"/>
    <x v="0"/>
    <x v="0"/>
    <x v="1"/>
    <x v="0"/>
    <x v="0"/>
    <x v="1"/>
    <x v="1"/>
    <x v="7"/>
    <x v="2"/>
    <x v="2"/>
    <x v="0"/>
    <x v="1"/>
    <x v="1"/>
    <x v="1"/>
    <x v="1"/>
    <x v="1"/>
    <x v="1"/>
    <x v="0"/>
    <x v="0"/>
  </r>
  <r>
    <x v="5"/>
    <x v="11"/>
    <x v="0"/>
    <x v="0"/>
    <x v="0"/>
    <x v="18"/>
    <x v="1"/>
    <x v="2"/>
    <x v="13"/>
    <x v="0"/>
    <x v="0"/>
    <n v="1.0002466011047364"/>
    <x v="11"/>
    <x v="1"/>
    <x v="3"/>
    <x v="3"/>
    <x v="1"/>
    <x v="0"/>
    <x v="0"/>
    <x v="0"/>
    <x v="1"/>
    <x v="0"/>
    <x v="0"/>
    <x v="1"/>
    <x v="1"/>
    <x v="7"/>
    <x v="2"/>
    <x v="2"/>
    <x v="0"/>
    <x v="1"/>
    <x v="1"/>
    <x v="1"/>
    <x v="1"/>
    <x v="1"/>
    <x v="1"/>
    <x v="0"/>
    <x v="0"/>
  </r>
  <r>
    <x v="5"/>
    <x v="11"/>
    <x v="0"/>
    <x v="0"/>
    <x v="0"/>
    <x v="16"/>
    <x v="1"/>
    <x v="2"/>
    <x v="13"/>
    <x v="0"/>
    <x v="2"/>
    <n v="1.0002207994461056"/>
    <x v="11"/>
    <x v="1"/>
    <x v="3"/>
    <x v="3"/>
    <x v="1"/>
    <x v="0"/>
    <x v="0"/>
    <x v="0"/>
    <x v="1"/>
    <x v="0"/>
    <x v="0"/>
    <x v="1"/>
    <x v="1"/>
    <x v="7"/>
    <x v="2"/>
    <x v="2"/>
    <x v="0"/>
    <x v="1"/>
    <x v="1"/>
    <x v="1"/>
    <x v="1"/>
    <x v="1"/>
    <x v="1"/>
    <x v="0"/>
    <x v="0"/>
  </r>
  <r>
    <x v="5"/>
    <x v="11"/>
    <x v="0"/>
    <x v="0"/>
    <x v="0"/>
    <x v="16"/>
    <x v="1"/>
    <x v="2"/>
    <x v="13"/>
    <x v="0"/>
    <x v="1"/>
    <n v="1.0002487993240359"/>
    <x v="11"/>
    <x v="1"/>
    <x v="3"/>
    <x v="3"/>
    <x v="1"/>
    <x v="0"/>
    <x v="0"/>
    <x v="0"/>
    <x v="1"/>
    <x v="0"/>
    <x v="0"/>
    <x v="1"/>
    <x v="1"/>
    <x v="7"/>
    <x v="2"/>
    <x v="2"/>
    <x v="0"/>
    <x v="1"/>
    <x v="1"/>
    <x v="1"/>
    <x v="1"/>
    <x v="1"/>
    <x v="1"/>
    <x v="0"/>
    <x v="0"/>
  </r>
  <r>
    <x v="5"/>
    <x v="11"/>
    <x v="0"/>
    <x v="0"/>
    <x v="0"/>
    <x v="16"/>
    <x v="1"/>
    <x v="2"/>
    <x v="13"/>
    <x v="0"/>
    <x v="0"/>
    <n v="1.0002466011047364"/>
    <x v="11"/>
    <x v="1"/>
    <x v="3"/>
    <x v="3"/>
    <x v="1"/>
    <x v="0"/>
    <x v="0"/>
    <x v="0"/>
    <x v="1"/>
    <x v="0"/>
    <x v="0"/>
    <x v="1"/>
    <x v="1"/>
    <x v="7"/>
    <x v="2"/>
    <x v="2"/>
    <x v="0"/>
    <x v="1"/>
    <x v="1"/>
    <x v="1"/>
    <x v="1"/>
    <x v="1"/>
    <x v="1"/>
    <x v="0"/>
    <x v="0"/>
  </r>
  <r>
    <x v="5"/>
    <x v="11"/>
    <x v="0"/>
    <x v="0"/>
    <x v="0"/>
    <x v="16"/>
    <x v="1"/>
    <x v="2"/>
    <x v="13"/>
    <x v="0"/>
    <x v="3"/>
    <n v="1.0002432012557982"/>
    <x v="11"/>
    <x v="1"/>
    <x v="3"/>
    <x v="3"/>
    <x v="1"/>
    <x v="0"/>
    <x v="0"/>
    <x v="0"/>
    <x v="1"/>
    <x v="0"/>
    <x v="0"/>
    <x v="1"/>
    <x v="1"/>
    <x v="7"/>
    <x v="2"/>
    <x v="2"/>
    <x v="0"/>
    <x v="1"/>
    <x v="1"/>
    <x v="1"/>
    <x v="1"/>
    <x v="1"/>
    <x v="1"/>
    <x v="0"/>
    <x v="0"/>
  </r>
  <r>
    <x v="5"/>
    <x v="11"/>
    <x v="0"/>
    <x v="0"/>
    <x v="0"/>
    <x v="16"/>
    <x v="1"/>
    <x v="2"/>
    <x v="13"/>
    <x v="0"/>
    <x v="1"/>
    <n v="1.0002487993240359"/>
    <x v="11"/>
    <x v="1"/>
    <x v="3"/>
    <x v="3"/>
    <x v="1"/>
    <x v="0"/>
    <x v="0"/>
    <x v="0"/>
    <x v="1"/>
    <x v="0"/>
    <x v="0"/>
    <x v="1"/>
    <x v="1"/>
    <x v="7"/>
    <x v="2"/>
    <x v="2"/>
    <x v="0"/>
    <x v="1"/>
    <x v="1"/>
    <x v="1"/>
    <x v="1"/>
    <x v="1"/>
    <x v="1"/>
    <x v="0"/>
    <x v="0"/>
  </r>
  <r>
    <x v="5"/>
    <x v="11"/>
    <x v="0"/>
    <x v="0"/>
    <x v="0"/>
    <x v="16"/>
    <x v="1"/>
    <x v="2"/>
    <x v="13"/>
    <x v="0"/>
    <x v="3"/>
    <n v="1.0002432012557982"/>
    <x v="11"/>
    <x v="1"/>
    <x v="3"/>
    <x v="3"/>
    <x v="1"/>
    <x v="0"/>
    <x v="0"/>
    <x v="0"/>
    <x v="1"/>
    <x v="0"/>
    <x v="0"/>
    <x v="1"/>
    <x v="1"/>
    <x v="7"/>
    <x v="2"/>
    <x v="2"/>
    <x v="0"/>
    <x v="1"/>
    <x v="1"/>
    <x v="1"/>
    <x v="1"/>
    <x v="1"/>
    <x v="1"/>
    <x v="0"/>
    <x v="0"/>
  </r>
  <r>
    <x v="5"/>
    <x v="11"/>
    <x v="0"/>
    <x v="0"/>
    <x v="0"/>
    <x v="16"/>
    <x v="1"/>
    <x v="2"/>
    <x v="13"/>
    <x v="0"/>
    <x v="1"/>
    <n v="1.0002487993240359"/>
    <x v="11"/>
    <x v="1"/>
    <x v="3"/>
    <x v="3"/>
    <x v="1"/>
    <x v="0"/>
    <x v="0"/>
    <x v="0"/>
    <x v="1"/>
    <x v="0"/>
    <x v="0"/>
    <x v="1"/>
    <x v="1"/>
    <x v="7"/>
    <x v="2"/>
    <x v="2"/>
    <x v="0"/>
    <x v="1"/>
    <x v="1"/>
    <x v="1"/>
    <x v="1"/>
    <x v="1"/>
    <x v="1"/>
    <x v="0"/>
    <x v="0"/>
  </r>
  <r>
    <x v="5"/>
    <x v="11"/>
    <x v="0"/>
    <x v="0"/>
    <x v="0"/>
    <x v="16"/>
    <x v="1"/>
    <x v="2"/>
    <x v="13"/>
    <x v="0"/>
    <x v="2"/>
    <n v="1.0002207994461056"/>
    <x v="11"/>
    <x v="1"/>
    <x v="3"/>
    <x v="3"/>
    <x v="1"/>
    <x v="0"/>
    <x v="0"/>
    <x v="0"/>
    <x v="1"/>
    <x v="0"/>
    <x v="0"/>
    <x v="1"/>
    <x v="1"/>
    <x v="7"/>
    <x v="2"/>
    <x v="2"/>
    <x v="0"/>
    <x v="1"/>
    <x v="1"/>
    <x v="1"/>
    <x v="1"/>
    <x v="1"/>
    <x v="1"/>
    <x v="0"/>
    <x v="0"/>
  </r>
  <r>
    <x v="5"/>
    <x v="11"/>
    <x v="0"/>
    <x v="0"/>
    <x v="0"/>
    <x v="16"/>
    <x v="1"/>
    <x v="2"/>
    <x v="13"/>
    <x v="0"/>
    <x v="0"/>
    <n v="1.0002466011047364"/>
    <x v="11"/>
    <x v="1"/>
    <x v="3"/>
    <x v="3"/>
    <x v="1"/>
    <x v="0"/>
    <x v="0"/>
    <x v="0"/>
    <x v="1"/>
    <x v="0"/>
    <x v="0"/>
    <x v="1"/>
    <x v="1"/>
    <x v="7"/>
    <x v="2"/>
    <x v="2"/>
    <x v="0"/>
    <x v="1"/>
    <x v="1"/>
    <x v="1"/>
    <x v="1"/>
    <x v="1"/>
    <x v="1"/>
    <x v="0"/>
    <x v="0"/>
  </r>
  <r>
    <x v="5"/>
    <x v="11"/>
    <x v="0"/>
    <x v="0"/>
    <x v="0"/>
    <x v="16"/>
    <x v="1"/>
    <x v="2"/>
    <x v="13"/>
    <x v="0"/>
    <x v="2"/>
    <n v="1.0002207994461056"/>
    <x v="11"/>
    <x v="1"/>
    <x v="3"/>
    <x v="3"/>
    <x v="1"/>
    <x v="0"/>
    <x v="0"/>
    <x v="0"/>
    <x v="1"/>
    <x v="0"/>
    <x v="0"/>
    <x v="1"/>
    <x v="1"/>
    <x v="7"/>
    <x v="2"/>
    <x v="2"/>
    <x v="0"/>
    <x v="1"/>
    <x v="1"/>
    <x v="1"/>
    <x v="1"/>
    <x v="1"/>
    <x v="1"/>
    <x v="0"/>
    <x v="0"/>
  </r>
  <r>
    <x v="5"/>
    <x v="11"/>
    <x v="0"/>
    <x v="0"/>
    <x v="0"/>
    <x v="16"/>
    <x v="1"/>
    <x v="2"/>
    <x v="13"/>
    <x v="0"/>
    <x v="2"/>
    <n v="1.0002207994461056"/>
    <x v="11"/>
    <x v="1"/>
    <x v="3"/>
    <x v="3"/>
    <x v="1"/>
    <x v="0"/>
    <x v="0"/>
    <x v="0"/>
    <x v="1"/>
    <x v="0"/>
    <x v="0"/>
    <x v="1"/>
    <x v="1"/>
    <x v="7"/>
    <x v="2"/>
    <x v="2"/>
    <x v="0"/>
    <x v="1"/>
    <x v="1"/>
    <x v="1"/>
    <x v="1"/>
    <x v="1"/>
    <x v="1"/>
    <x v="0"/>
    <x v="0"/>
  </r>
  <r>
    <x v="5"/>
    <x v="11"/>
    <x v="0"/>
    <x v="0"/>
    <x v="0"/>
    <x v="16"/>
    <x v="1"/>
    <x v="2"/>
    <x v="13"/>
    <x v="0"/>
    <x v="3"/>
    <n v="1.0002432012557982"/>
    <x v="11"/>
    <x v="1"/>
    <x v="3"/>
    <x v="3"/>
    <x v="1"/>
    <x v="0"/>
    <x v="0"/>
    <x v="0"/>
    <x v="1"/>
    <x v="0"/>
    <x v="0"/>
    <x v="1"/>
    <x v="1"/>
    <x v="7"/>
    <x v="2"/>
    <x v="2"/>
    <x v="0"/>
    <x v="1"/>
    <x v="1"/>
    <x v="1"/>
    <x v="1"/>
    <x v="1"/>
    <x v="1"/>
    <x v="0"/>
    <x v="0"/>
  </r>
  <r>
    <x v="5"/>
    <x v="11"/>
    <x v="0"/>
    <x v="0"/>
    <x v="0"/>
    <x v="16"/>
    <x v="1"/>
    <x v="2"/>
    <x v="13"/>
    <x v="0"/>
    <x v="1"/>
    <n v="1.0002487993240359"/>
    <x v="11"/>
    <x v="1"/>
    <x v="3"/>
    <x v="3"/>
    <x v="1"/>
    <x v="0"/>
    <x v="0"/>
    <x v="0"/>
    <x v="1"/>
    <x v="0"/>
    <x v="0"/>
    <x v="1"/>
    <x v="1"/>
    <x v="7"/>
    <x v="2"/>
    <x v="2"/>
    <x v="0"/>
    <x v="1"/>
    <x v="1"/>
    <x v="1"/>
    <x v="1"/>
    <x v="1"/>
    <x v="1"/>
    <x v="0"/>
    <x v="0"/>
  </r>
  <r>
    <x v="5"/>
    <x v="11"/>
    <x v="0"/>
    <x v="0"/>
    <x v="0"/>
    <x v="16"/>
    <x v="1"/>
    <x v="2"/>
    <x v="13"/>
    <x v="0"/>
    <x v="0"/>
    <n v="1.0002466011047364"/>
    <x v="11"/>
    <x v="1"/>
    <x v="3"/>
    <x v="3"/>
    <x v="1"/>
    <x v="0"/>
    <x v="0"/>
    <x v="0"/>
    <x v="1"/>
    <x v="0"/>
    <x v="0"/>
    <x v="1"/>
    <x v="1"/>
    <x v="7"/>
    <x v="2"/>
    <x v="2"/>
    <x v="0"/>
    <x v="1"/>
    <x v="1"/>
    <x v="1"/>
    <x v="1"/>
    <x v="1"/>
    <x v="1"/>
    <x v="0"/>
    <x v="0"/>
  </r>
  <r>
    <x v="5"/>
    <x v="11"/>
    <x v="0"/>
    <x v="0"/>
    <x v="0"/>
    <x v="16"/>
    <x v="1"/>
    <x v="2"/>
    <x v="13"/>
    <x v="0"/>
    <x v="1"/>
    <n v="1.0002487993240359"/>
    <x v="11"/>
    <x v="1"/>
    <x v="3"/>
    <x v="3"/>
    <x v="1"/>
    <x v="0"/>
    <x v="0"/>
    <x v="0"/>
    <x v="1"/>
    <x v="0"/>
    <x v="0"/>
    <x v="1"/>
    <x v="1"/>
    <x v="7"/>
    <x v="2"/>
    <x v="2"/>
    <x v="0"/>
    <x v="1"/>
    <x v="1"/>
    <x v="1"/>
    <x v="1"/>
    <x v="1"/>
    <x v="1"/>
    <x v="0"/>
    <x v="0"/>
  </r>
  <r>
    <x v="5"/>
    <x v="11"/>
    <x v="0"/>
    <x v="0"/>
    <x v="0"/>
    <x v="16"/>
    <x v="1"/>
    <x v="2"/>
    <x v="13"/>
    <x v="0"/>
    <x v="3"/>
    <n v="1.0002432012557982"/>
    <x v="11"/>
    <x v="1"/>
    <x v="3"/>
    <x v="3"/>
    <x v="1"/>
    <x v="0"/>
    <x v="0"/>
    <x v="0"/>
    <x v="1"/>
    <x v="0"/>
    <x v="0"/>
    <x v="1"/>
    <x v="1"/>
    <x v="7"/>
    <x v="2"/>
    <x v="2"/>
    <x v="0"/>
    <x v="1"/>
    <x v="1"/>
    <x v="1"/>
    <x v="1"/>
    <x v="1"/>
    <x v="1"/>
    <x v="0"/>
    <x v="0"/>
  </r>
  <r>
    <x v="5"/>
    <x v="11"/>
    <x v="0"/>
    <x v="0"/>
    <x v="0"/>
    <x v="16"/>
    <x v="1"/>
    <x v="2"/>
    <x v="13"/>
    <x v="0"/>
    <x v="0"/>
    <n v="1.0002466011047364"/>
    <x v="11"/>
    <x v="1"/>
    <x v="3"/>
    <x v="3"/>
    <x v="1"/>
    <x v="0"/>
    <x v="0"/>
    <x v="0"/>
    <x v="1"/>
    <x v="0"/>
    <x v="0"/>
    <x v="1"/>
    <x v="1"/>
    <x v="7"/>
    <x v="2"/>
    <x v="2"/>
    <x v="0"/>
    <x v="1"/>
    <x v="1"/>
    <x v="1"/>
    <x v="1"/>
    <x v="1"/>
    <x v="1"/>
    <x v="0"/>
    <x v="0"/>
  </r>
  <r>
    <x v="5"/>
    <x v="11"/>
    <x v="0"/>
    <x v="0"/>
    <x v="0"/>
    <x v="16"/>
    <x v="1"/>
    <x v="2"/>
    <x v="13"/>
    <x v="0"/>
    <x v="3"/>
    <n v="1.0002432012557982"/>
    <x v="11"/>
    <x v="1"/>
    <x v="3"/>
    <x v="3"/>
    <x v="1"/>
    <x v="0"/>
    <x v="0"/>
    <x v="0"/>
    <x v="1"/>
    <x v="0"/>
    <x v="0"/>
    <x v="1"/>
    <x v="1"/>
    <x v="7"/>
    <x v="2"/>
    <x v="2"/>
    <x v="0"/>
    <x v="1"/>
    <x v="1"/>
    <x v="1"/>
    <x v="1"/>
    <x v="1"/>
    <x v="1"/>
    <x v="0"/>
    <x v="0"/>
  </r>
  <r>
    <x v="5"/>
    <x v="11"/>
    <x v="0"/>
    <x v="0"/>
    <x v="0"/>
    <x v="16"/>
    <x v="1"/>
    <x v="2"/>
    <x v="13"/>
    <x v="0"/>
    <x v="1"/>
    <n v="1.0002487993240359"/>
    <x v="11"/>
    <x v="1"/>
    <x v="3"/>
    <x v="3"/>
    <x v="1"/>
    <x v="0"/>
    <x v="0"/>
    <x v="0"/>
    <x v="1"/>
    <x v="0"/>
    <x v="0"/>
    <x v="1"/>
    <x v="1"/>
    <x v="7"/>
    <x v="2"/>
    <x v="2"/>
    <x v="0"/>
    <x v="1"/>
    <x v="1"/>
    <x v="1"/>
    <x v="1"/>
    <x v="1"/>
    <x v="1"/>
    <x v="0"/>
    <x v="0"/>
  </r>
  <r>
    <x v="5"/>
    <x v="11"/>
    <x v="0"/>
    <x v="0"/>
    <x v="0"/>
    <x v="16"/>
    <x v="1"/>
    <x v="2"/>
    <x v="13"/>
    <x v="0"/>
    <x v="0"/>
    <n v="1.0002466011047364"/>
    <x v="11"/>
    <x v="1"/>
    <x v="3"/>
    <x v="3"/>
    <x v="1"/>
    <x v="0"/>
    <x v="0"/>
    <x v="0"/>
    <x v="1"/>
    <x v="0"/>
    <x v="0"/>
    <x v="1"/>
    <x v="1"/>
    <x v="7"/>
    <x v="2"/>
    <x v="2"/>
    <x v="0"/>
    <x v="1"/>
    <x v="1"/>
    <x v="1"/>
    <x v="1"/>
    <x v="1"/>
    <x v="1"/>
    <x v="0"/>
    <x v="0"/>
  </r>
  <r>
    <x v="5"/>
    <x v="11"/>
    <x v="0"/>
    <x v="0"/>
    <x v="0"/>
    <x v="16"/>
    <x v="1"/>
    <x v="2"/>
    <x v="13"/>
    <x v="0"/>
    <x v="2"/>
    <n v="1.0002207994461056"/>
    <x v="11"/>
    <x v="1"/>
    <x v="3"/>
    <x v="3"/>
    <x v="1"/>
    <x v="0"/>
    <x v="0"/>
    <x v="0"/>
    <x v="1"/>
    <x v="0"/>
    <x v="0"/>
    <x v="1"/>
    <x v="1"/>
    <x v="7"/>
    <x v="2"/>
    <x v="2"/>
    <x v="0"/>
    <x v="1"/>
    <x v="1"/>
    <x v="1"/>
    <x v="1"/>
    <x v="1"/>
    <x v="1"/>
    <x v="0"/>
    <x v="0"/>
  </r>
  <r>
    <x v="5"/>
    <x v="11"/>
    <x v="0"/>
    <x v="0"/>
    <x v="0"/>
    <x v="17"/>
    <x v="0"/>
    <x v="2"/>
    <x v="13"/>
    <x v="0"/>
    <x v="3"/>
    <n v="0.99999537576328612"/>
    <x v="12"/>
    <x v="0"/>
    <x v="3"/>
    <x v="3"/>
    <x v="1"/>
    <x v="0"/>
    <x v="0"/>
    <x v="0"/>
    <x v="1"/>
    <x v="0"/>
    <x v="0"/>
    <x v="1"/>
    <x v="1"/>
    <x v="5"/>
    <x v="4"/>
    <x v="1"/>
    <x v="0"/>
    <x v="0"/>
    <x v="1"/>
    <x v="0"/>
    <x v="0"/>
    <x v="1"/>
    <x v="1"/>
    <x v="0"/>
    <x v="0"/>
  </r>
  <r>
    <x v="5"/>
    <x v="11"/>
    <x v="0"/>
    <x v="0"/>
    <x v="0"/>
    <x v="17"/>
    <x v="0"/>
    <x v="2"/>
    <x v="13"/>
    <x v="0"/>
    <x v="2"/>
    <n v="0.99999519393901637"/>
    <x v="12"/>
    <x v="0"/>
    <x v="3"/>
    <x v="3"/>
    <x v="1"/>
    <x v="0"/>
    <x v="0"/>
    <x v="0"/>
    <x v="1"/>
    <x v="0"/>
    <x v="0"/>
    <x v="1"/>
    <x v="1"/>
    <x v="5"/>
    <x v="4"/>
    <x v="1"/>
    <x v="0"/>
    <x v="0"/>
    <x v="1"/>
    <x v="0"/>
    <x v="0"/>
    <x v="1"/>
    <x v="1"/>
    <x v="0"/>
    <x v="0"/>
  </r>
  <r>
    <x v="5"/>
    <x v="11"/>
    <x v="0"/>
    <x v="0"/>
    <x v="0"/>
    <x v="17"/>
    <x v="0"/>
    <x v="2"/>
    <x v="13"/>
    <x v="0"/>
    <x v="0"/>
    <n v="0.99999528685001404"/>
    <x v="12"/>
    <x v="0"/>
    <x v="3"/>
    <x v="3"/>
    <x v="1"/>
    <x v="0"/>
    <x v="0"/>
    <x v="0"/>
    <x v="1"/>
    <x v="0"/>
    <x v="0"/>
    <x v="1"/>
    <x v="1"/>
    <x v="5"/>
    <x v="4"/>
    <x v="1"/>
    <x v="0"/>
    <x v="0"/>
    <x v="1"/>
    <x v="0"/>
    <x v="0"/>
    <x v="1"/>
    <x v="1"/>
    <x v="0"/>
    <x v="0"/>
  </r>
  <r>
    <x v="5"/>
    <x v="11"/>
    <x v="0"/>
    <x v="0"/>
    <x v="0"/>
    <x v="17"/>
    <x v="0"/>
    <x v="2"/>
    <x v="13"/>
    <x v="0"/>
    <x v="1"/>
    <n v="0.99999545858363903"/>
    <x v="12"/>
    <x v="0"/>
    <x v="3"/>
    <x v="3"/>
    <x v="1"/>
    <x v="0"/>
    <x v="0"/>
    <x v="0"/>
    <x v="1"/>
    <x v="0"/>
    <x v="0"/>
    <x v="1"/>
    <x v="1"/>
    <x v="5"/>
    <x v="4"/>
    <x v="1"/>
    <x v="0"/>
    <x v="0"/>
    <x v="1"/>
    <x v="0"/>
    <x v="0"/>
    <x v="1"/>
    <x v="1"/>
    <x v="0"/>
    <x v="0"/>
  </r>
  <r>
    <x v="5"/>
    <x v="11"/>
    <x v="0"/>
    <x v="0"/>
    <x v="0"/>
    <x v="17"/>
    <x v="0"/>
    <x v="2"/>
    <x v="13"/>
    <x v="0"/>
    <x v="0"/>
    <n v="0.99999528685001404"/>
    <x v="12"/>
    <x v="0"/>
    <x v="3"/>
    <x v="3"/>
    <x v="1"/>
    <x v="0"/>
    <x v="0"/>
    <x v="0"/>
    <x v="1"/>
    <x v="0"/>
    <x v="0"/>
    <x v="1"/>
    <x v="1"/>
    <x v="5"/>
    <x v="4"/>
    <x v="1"/>
    <x v="0"/>
    <x v="0"/>
    <x v="1"/>
    <x v="0"/>
    <x v="0"/>
    <x v="1"/>
    <x v="1"/>
    <x v="0"/>
    <x v="0"/>
  </r>
  <r>
    <x v="5"/>
    <x v="11"/>
    <x v="0"/>
    <x v="0"/>
    <x v="0"/>
    <x v="17"/>
    <x v="0"/>
    <x v="2"/>
    <x v="13"/>
    <x v="0"/>
    <x v="1"/>
    <n v="0.99999545858363903"/>
    <x v="12"/>
    <x v="0"/>
    <x v="3"/>
    <x v="3"/>
    <x v="1"/>
    <x v="0"/>
    <x v="0"/>
    <x v="0"/>
    <x v="1"/>
    <x v="0"/>
    <x v="0"/>
    <x v="1"/>
    <x v="1"/>
    <x v="5"/>
    <x v="4"/>
    <x v="1"/>
    <x v="0"/>
    <x v="0"/>
    <x v="1"/>
    <x v="0"/>
    <x v="0"/>
    <x v="1"/>
    <x v="1"/>
    <x v="0"/>
    <x v="0"/>
  </r>
  <r>
    <x v="5"/>
    <x v="11"/>
    <x v="0"/>
    <x v="0"/>
    <x v="0"/>
    <x v="17"/>
    <x v="0"/>
    <x v="2"/>
    <x v="13"/>
    <x v="0"/>
    <x v="3"/>
    <n v="0.99999537576328612"/>
    <x v="12"/>
    <x v="0"/>
    <x v="3"/>
    <x v="3"/>
    <x v="1"/>
    <x v="0"/>
    <x v="0"/>
    <x v="0"/>
    <x v="1"/>
    <x v="0"/>
    <x v="0"/>
    <x v="1"/>
    <x v="1"/>
    <x v="5"/>
    <x v="4"/>
    <x v="1"/>
    <x v="0"/>
    <x v="0"/>
    <x v="1"/>
    <x v="0"/>
    <x v="0"/>
    <x v="1"/>
    <x v="1"/>
    <x v="0"/>
    <x v="0"/>
  </r>
  <r>
    <x v="5"/>
    <x v="11"/>
    <x v="0"/>
    <x v="0"/>
    <x v="0"/>
    <x v="17"/>
    <x v="0"/>
    <x v="2"/>
    <x v="13"/>
    <x v="0"/>
    <x v="2"/>
    <n v="0.99999519393901637"/>
    <x v="12"/>
    <x v="0"/>
    <x v="3"/>
    <x v="3"/>
    <x v="1"/>
    <x v="0"/>
    <x v="0"/>
    <x v="0"/>
    <x v="1"/>
    <x v="0"/>
    <x v="0"/>
    <x v="1"/>
    <x v="1"/>
    <x v="5"/>
    <x v="4"/>
    <x v="1"/>
    <x v="0"/>
    <x v="0"/>
    <x v="1"/>
    <x v="0"/>
    <x v="0"/>
    <x v="1"/>
    <x v="1"/>
    <x v="0"/>
    <x v="0"/>
  </r>
  <r>
    <x v="5"/>
    <x v="11"/>
    <x v="0"/>
    <x v="0"/>
    <x v="0"/>
    <x v="18"/>
    <x v="1"/>
    <x v="2"/>
    <x v="14"/>
    <x v="0"/>
    <x v="0"/>
    <n v="1.0002466011047364"/>
    <x v="11"/>
    <x v="1"/>
    <x v="3"/>
    <x v="3"/>
    <x v="1"/>
    <x v="0"/>
    <x v="0"/>
    <x v="0"/>
    <x v="1"/>
    <x v="0"/>
    <x v="0"/>
    <x v="1"/>
    <x v="1"/>
    <x v="7"/>
    <x v="2"/>
    <x v="2"/>
    <x v="0"/>
    <x v="1"/>
    <x v="1"/>
    <x v="1"/>
    <x v="1"/>
    <x v="1"/>
    <x v="1"/>
    <x v="0"/>
    <x v="0"/>
  </r>
  <r>
    <x v="5"/>
    <x v="11"/>
    <x v="0"/>
    <x v="0"/>
    <x v="0"/>
    <x v="17"/>
    <x v="0"/>
    <x v="2"/>
    <x v="14"/>
    <x v="0"/>
    <x v="2"/>
    <n v="0.99999519393901637"/>
    <x v="12"/>
    <x v="0"/>
    <x v="3"/>
    <x v="3"/>
    <x v="1"/>
    <x v="0"/>
    <x v="0"/>
    <x v="0"/>
    <x v="1"/>
    <x v="0"/>
    <x v="0"/>
    <x v="1"/>
    <x v="1"/>
    <x v="5"/>
    <x v="4"/>
    <x v="1"/>
    <x v="0"/>
    <x v="0"/>
    <x v="1"/>
    <x v="0"/>
    <x v="0"/>
    <x v="1"/>
    <x v="1"/>
    <x v="0"/>
    <x v="0"/>
  </r>
  <r>
    <x v="5"/>
    <x v="11"/>
    <x v="0"/>
    <x v="0"/>
    <x v="0"/>
    <x v="18"/>
    <x v="1"/>
    <x v="2"/>
    <x v="14"/>
    <x v="0"/>
    <x v="1"/>
    <n v="1.0002487993240359"/>
    <x v="11"/>
    <x v="1"/>
    <x v="3"/>
    <x v="3"/>
    <x v="1"/>
    <x v="0"/>
    <x v="0"/>
    <x v="0"/>
    <x v="1"/>
    <x v="0"/>
    <x v="0"/>
    <x v="1"/>
    <x v="1"/>
    <x v="7"/>
    <x v="2"/>
    <x v="2"/>
    <x v="0"/>
    <x v="1"/>
    <x v="1"/>
    <x v="1"/>
    <x v="1"/>
    <x v="1"/>
    <x v="1"/>
    <x v="0"/>
    <x v="0"/>
  </r>
  <r>
    <x v="5"/>
    <x v="11"/>
    <x v="0"/>
    <x v="0"/>
    <x v="0"/>
    <x v="18"/>
    <x v="1"/>
    <x v="2"/>
    <x v="14"/>
    <x v="0"/>
    <x v="3"/>
    <n v="1.0002432012557982"/>
    <x v="11"/>
    <x v="1"/>
    <x v="3"/>
    <x v="3"/>
    <x v="1"/>
    <x v="0"/>
    <x v="0"/>
    <x v="0"/>
    <x v="1"/>
    <x v="0"/>
    <x v="0"/>
    <x v="1"/>
    <x v="1"/>
    <x v="7"/>
    <x v="2"/>
    <x v="2"/>
    <x v="0"/>
    <x v="1"/>
    <x v="1"/>
    <x v="1"/>
    <x v="1"/>
    <x v="1"/>
    <x v="1"/>
    <x v="0"/>
    <x v="0"/>
  </r>
  <r>
    <x v="5"/>
    <x v="11"/>
    <x v="0"/>
    <x v="0"/>
    <x v="0"/>
    <x v="18"/>
    <x v="1"/>
    <x v="2"/>
    <x v="14"/>
    <x v="0"/>
    <x v="2"/>
    <n v="1.0002207994461056"/>
    <x v="11"/>
    <x v="1"/>
    <x v="3"/>
    <x v="3"/>
    <x v="1"/>
    <x v="0"/>
    <x v="0"/>
    <x v="0"/>
    <x v="1"/>
    <x v="0"/>
    <x v="0"/>
    <x v="1"/>
    <x v="1"/>
    <x v="7"/>
    <x v="2"/>
    <x v="2"/>
    <x v="0"/>
    <x v="1"/>
    <x v="1"/>
    <x v="1"/>
    <x v="1"/>
    <x v="1"/>
    <x v="1"/>
    <x v="0"/>
    <x v="0"/>
  </r>
  <r>
    <x v="5"/>
    <x v="11"/>
    <x v="0"/>
    <x v="0"/>
    <x v="0"/>
    <x v="18"/>
    <x v="1"/>
    <x v="2"/>
    <x v="14"/>
    <x v="0"/>
    <x v="1"/>
    <n v="1.0002487993240359"/>
    <x v="11"/>
    <x v="1"/>
    <x v="3"/>
    <x v="3"/>
    <x v="1"/>
    <x v="0"/>
    <x v="0"/>
    <x v="0"/>
    <x v="1"/>
    <x v="0"/>
    <x v="0"/>
    <x v="1"/>
    <x v="1"/>
    <x v="7"/>
    <x v="2"/>
    <x v="2"/>
    <x v="0"/>
    <x v="1"/>
    <x v="1"/>
    <x v="1"/>
    <x v="1"/>
    <x v="1"/>
    <x v="1"/>
    <x v="0"/>
    <x v="0"/>
  </r>
  <r>
    <x v="5"/>
    <x v="11"/>
    <x v="0"/>
    <x v="0"/>
    <x v="0"/>
    <x v="18"/>
    <x v="1"/>
    <x v="2"/>
    <x v="14"/>
    <x v="0"/>
    <x v="0"/>
    <n v="1.0002466011047364"/>
    <x v="11"/>
    <x v="1"/>
    <x v="3"/>
    <x v="3"/>
    <x v="1"/>
    <x v="0"/>
    <x v="0"/>
    <x v="0"/>
    <x v="1"/>
    <x v="0"/>
    <x v="0"/>
    <x v="1"/>
    <x v="1"/>
    <x v="7"/>
    <x v="2"/>
    <x v="2"/>
    <x v="0"/>
    <x v="1"/>
    <x v="1"/>
    <x v="1"/>
    <x v="1"/>
    <x v="1"/>
    <x v="1"/>
    <x v="0"/>
    <x v="0"/>
  </r>
  <r>
    <x v="5"/>
    <x v="11"/>
    <x v="0"/>
    <x v="0"/>
    <x v="0"/>
    <x v="18"/>
    <x v="1"/>
    <x v="2"/>
    <x v="14"/>
    <x v="0"/>
    <x v="1"/>
    <n v="1.0002487993240359"/>
    <x v="11"/>
    <x v="1"/>
    <x v="3"/>
    <x v="3"/>
    <x v="1"/>
    <x v="0"/>
    <x v="0"/>
    <x v="0"/>
    <x v="1"/>
    <x v="0"/>
    <x v="0"/>
    <x v="1"/>
    <x v="1"/>
    <x v="7"/>
    <x v="2"/>
    <x v="2"/>
    <x v="0"/>
    <x v="1"/>
    <x v="1"/>
    <x v="1"/>
    <x v="1"/>
    <x v="1"/>
    <x v="1"/>
    <x v="0"/>
    <x v="0"/>
  </r>
  <r>
    <x v="5"/>
    <x v="11"/>
    <x v="0"/>
    <x v="0"/>
    <x v="0"/>
    <x v="18"/>
    <x v="1"/>
    <x v="2"/>
    <x v="14"/>
    <x v="0"/>
    <x v="0"/>
    <n v="1.0002466011047364"/>
    <x v="11"/>
    <x v="1"/>
    <x v="3"/>
    <x v="3"/>
    <x v="1"/>
    <x v="0"/>
    <x v="0"/>
    <x v="0"/>
    <x v="1"/>
    <x v="0"/>
    <x v="0"/>
    <x v="1"/>
    <x v="1"/>
    <x v="7"/>
    <x v="2"/>
    <x v="2"/>
    <x v="0"/>
    <x v="1"/>
    <x v="1"/>
    <x v="1"/>
    <x v="1"/>
    <x v="1"/>
    <x v="1"/>
    <x v="0"/>
    <x v="0"/>
  </r>
  <r>
    <x v="5"/>
    <x v="11"/>
    <x v="0"/>
    <x v="0"/>
    <x v="0"/>
    <x v="18"/>
    <x v="1"/>
    <x v="2"/>
    <x v="14"/>
    <x v="0"/>
    <x v="2"/>
    <n v="1.0002207994461056"/>
    <x v="11"/>
    <x v="1"/>
    <x v="3"/>
    <x v="3"/>
    <x v="1"/>
    <x v="0"/>
    <x v="0"/>
    <x v="0"/>
    <x v="1"/>
    <x v="0"/>
    <x v="0"/>
    <x v="1"/>
    <x v="1"/>
    <x v="7"/>
    <x v="2"/>
    <x v="2"/>
    <x v="0"/>
    <x v="1"/>
    <x v="1"/>
    <x v="1"/>
    <x v="1"/>
    <x v="1"/>
    <x v="1"/>
    <x v="0"/>
    <x v="0"/>
  </r>
  <r>
    <x v="5"/>
    <x v="11"/>
    <x v="0"/>
    <x v="0"/>
    <x v="0"/>
    <x v="18"/>
    <x v="1"/>
    <x v="2"/>
    <x v="14"/>
    <x v="0"/>
    <x v="1"/>
    <n v="1.0002487993240359"/>
    <x v="11"/>
    <x v="1"/>
    <x v="3"/>
    <x v="3"/>
    <x v="1"/>
    <x v="0"/>
    <x v="0"/>
    <x v="0"/>
    <x v="1"/>
    <x v="0"/>
    <x v="0"/>
    <x v="1"/>
    <x v="1"/>
    <x v="7"/>
    <x v="2"/>
    <x v="2"/>
    <x v="0"/>
    <x v="1"/>
    <x v="1"/>
    <x v="1"/>
    <x v="1"/>
    <x v="1"/>
    <x v="1"/>
    <x v="0"/>
    <x v="0"/>
  </r>
  <r>
    <x v="5"/>
    <x v="11"/>
    <x v="0"/>
    <x v="0"/>
    <x v="0"/>
    <x v="18"/>
    <x v="1"/>
    <x v="2"/>
    <x v="14"/>
    <x v="0"/>
    <x v="3"/>
    <n v="1.0002432012557982"/>
    <x v="11"/>
    <x v="1"/>
    <x v="3"/>
    <x v="3"/>
    <x v="1"/>
    <x v="0"/>
    <x v="0"/>
    <x v="0"/>
    <x v="1"/>
    <x v="0"/>
    <x v="0"/>
    <x v="1"/>
    <x v="1"/>
    <x v="7"/>
    <x v="2"/>
    <x v="2"/>
    <x v="0"/>
    <x v="1"/>
    <x v="1"/>
    <x v="1"/>
    <x v="1"/>
    <x v="1"/>
    <x v="1"/>
    <x v="0"/>
    <x v="0"/>
  </r>
  <r>
    <x v="5"/>
    <x v="11"/>
    <x v="0"/>
    <x v="0"/>
    <x v="0"/>
    <x v="18"/>
    <x v="1"/>
    <x v="2"/>
    <x v="14"/>
    <x v="0"/>
    <x v="3"/>
    <n v="1.0002432012557982"/>
    <x v="11"/>
    <x v="1"/>
    <x v="3"/>
    <x v="3"/>
    <x v="1"/>
    <x v="0"/>
    <x v="0"/>
    <x v="0"/>
    <x v="1"/>
    <x v="0"/>
    <x v="0"/>
    <x v="1"/>
    <x v="1"/>
    <x v="7"/>
    <x v="2"/>
    <x v="2"/>
    <x v="0"/>
    <x v="1"/>
    <x v="1"/>
    <x v="1"/>
    <x v="1"/>
    <x v="1"/>
    <x v="1"/>
    <x v="0"/>
    <x v="0"/>
  </r>
  <r>
    <x v="5"/>
    <x v="11"/>
    <x v="0"/>
    <x v="0"/>
    <x v="0"/>
    <x v="18"/>
    <x v="1"/>
    <x v="2"/>
    <x v="14"/>
    <x v="0"/>
    <x v="2"/>
    <n v="1.0002207994461056"/>
    <x v="11"/>
    <x v="1"/>
    <x v="3"/>
    <x v="3"/>
    <x v="1"/>
    <x v="0"/>
    <x v="0"/>
    <x v="0"/>
    <x v="1"/>
    <x v="0"/>
    <x v="0"/>
    <x v="1"/>
    <x v="1"/>
    <x v="7"/>
    <x v="2"/>
    <x v="2"/>
    <x v="0"/>
    <x v="1"/>
    <x v="1"/>
    <x v="1"/>
    <x v="1"/>
    <x v="1"/>
    <x v="1"/>
    <x v="0"/>
    <x v="0"/>
  </r>
  <r>
    <x v="5"/>
    <x v="11"/>
    <x v="0"/>
    <x v="0"/>
    <x v="0"/>
    <x v="18"/>
    <x v="1"/>
    <x v="2"/>
    <x v="14"/>
    <x v="0"/>
    <x v="3"/>
    <n v="1.0002432012557982"/>
    <x v="11"/>
    <x v="1"/>
    <x v="3"/>
    <x v="3"/>
    <x v="1"/>
    <x v="0"/>
    <x v="0"/>
    <x v="0"/>
    <x v="1"/>
    <x v="0"/>
    <x v="0"/>
    <x v="1"/>
    <x v="1"/>
    <x v="7"/>
    <x v="2"/>
    <x v="2"/>
    <x v="0"/>
    <x v="1"/>
    <x v="1"/>
    <x v="1"/>
    <x v="1"/>
    <x v="1"/>
    <x v="1"/>
    <x v="0"/>
    <x v="0"/>
  </r>
  <r>
    <x v="5"/>
    <x v="11"/>
    <x v="0"/>
    <x v="0"/>
    <x v="0"/>
    <x v="18"/>
    <x v="1"/>
    <x v="2"/>
    <x v="14"/>
    <x v="0"/>
    <x v="0"/>
    <n v="1.0002466011047364"/>
    <x v="11"/>
    <x v="1"/>
    <x v="3"/>
    <x v="3"/>
    <x v="1"/>
    <x v="0"/>
    <x v="0"/>
    <x v="0"/>
    <x v="1"/>
    <x v="0"/>
    <x v="0"/>
    <x v="1"/>
    <x v="1"/>
    <x v="7"/>
    <x v="2"/>
    <x v="2"/>
    <x v="0"/>
    <x v="1"/>
    <x v="1"/>
    <x v="1"/>
    <x v="1"/>
    <x v="1"/>
    <x v="1"/>
    <x v="0"/>
    <x v="0"/>
  </r>
  <r>
    <x v="5"/>
    <x v="11"/>
    <x v="0"/>
    <x v="0"/>
    <x v="0"/>
    <x v="16"/>
    <x v="1"/>
    <x v="2"/>
    <x v="14"/>
    <x v="0"/>
    <x v="2"/>
    <n v="1.0002207994461056"/>
    <x v="11"/>
    <x v="1"/>
    <x v="3"/>
    <x v="3"/>
    <x v="1"/>
    <x v="0"/>
    <x v="0"/>
    <x v="0"/>
    <x v="1"/>
    <x v="0"/>
    <x v="0"/>
    <x v="1"/>
    <x v="1"/>
    <x v="7"/>
    <x v="2"/>
    <x v="2"/>
    <x v="0"/>
    <x v="1"/>
    <x v="1"/>
    <x v="1"/>
    <x v="1"/>
    <x v="1"/>
    <x v="1"/>
    <x v="0"/>
    <x v="0"/>
  </r>
  <r>
    <x v="5"/>
    <x v="11"/>
    <x v="0"/>
    <x v="0"/>
    <x v="0"/>
    <x v="16"/>
    <x v="1"/>
    <x v="2"/>
    <x v="14"/>
    <x v="0"/>
    <x v="3"/>
    <n v="1.0002432012557982"/>
    <x v="11"/>
    <x v="1"/>
    <x v="3"/>
    <x v="3"/>
    <x v="1"/>
    <x v="0"/>
    <x v="0"/>
    <x v="0"/>
    <x v="1"/>
    <x v="0"/>
    <x v="0"/>
    <x v="1"/>
    <x v="1"/>
    <x v="7"/>
    <x v="2"/>
    <x v="2"/>
    <x v="0"/>
    <x v="1"/>
    <x v="1"/>
    <x v="1"/>
    <x v="1"/>
    <x v="1"/>
    <x v="1"/>
    <x v="0"/>
    <x v="0"/>
  </r>
  <r>
    <x v="5"/>
    <x v="11"/>
    <x v="0"/>
    <x v="0"/>
    <x v="0"/>
    <x v="16"/>
    <x v="1"/>
    <x v="2"/>
    <x v="14"/>
    <x v="0"/>
    <x v="0"/>
    <n v="1.0002466011047364"/>
    <x v="11"/>
    <x v="1"/>
    <x v="3"/>
    <x v="3"/>
    <x v="1"/>
    <x v="0"/>
    <x v="0"/>
    <x v="0"/>
    <x v="1"/>
    <x v="0"/>
    <x v="0"/>
    <x v="1"/>
    <x v="1"/>
    <x v="7"/>
    <x v="2"/>
    <x v="2"/>
    <x v="0"/>
    <x v="1"/>
    <x v="1"/>
    <x v="1"/>
    <x v="1"/>
    <x v="1"/>
    <x v="1"/>
    <x v="0"/>
    <x v="0"/>
  </r>
  <r>
    <x v="5"/>
    <x v="11"/>
    <x v="0"/>
    <x v="0"/>
    <x v="0"/>
    <x v="18"/>
    <x v="1"/>
    <x v="2"/>
    <x v="14"/>
    <x v="0"/>
    <x v="1"/>
    <n v="1.0002487993240359"/>
    <x v="11"/>
    <x v="1"/>
    <x v="3"/>
    <x v="3"/>
    <x v="1"/>
    <x v="0"/>
    <x v="0"/>
    <x v="0"/>
    <x v="1"/>
    <x v="0"/>
    <x v="0"/>
    <x v="1"/>
    <x v="1"/>
    <x v="7"/>
    <x v="2"/>
    <x v="2"/>
    <x v="0"/>
    <x v="1"/>
    <x v="1"/>
    <x v="1"/>
    <x v="1"/>
    <x v="1"/>
    <x v="1"/>
    <x v="0"/>
    <x v="0"/>
  </r>
  <r>
    <x v="5"/>
    <x v="11"/>
    <x v="0"/>
    <x v="0"/>
    <x v="0"/>
    <x v="18"/>
    <x v="1"/>
    <x v="2"/>
    <x v="14"/>
    <x v="0"/>
    <x v="3"/>
    <n v="1.0002432012557982"/>
    <x v="11"/>
    <x v="1"/>
    <x v="3"/>
    <x v="3"/>
    <x v="1"/>
    <x v="0"/>
    <x v="0"/>
    <x v="0"/>
    <x v="1"/>
    <x v="0"/>
    <x v="0"/>
    <x v="1"/>
    <x v="1"/>
    <x v="7"/>
    <x v="2"/>
    <x v="2"/>
    <x v="0"/>
    <x v="1"/>
    <x v="1"/>
    <x v="1"/>
    <x v="1"/>
    <x v="1"/>
    <x v="1"/>
    <x v="0"/>
    <x v="0"/>
  </r>
  <r>
    <x v="5"/>
    <x v="11"/>
    <x v="0"/>
    <x v="0"/>
    <x v="0"/>
    <x v="18"/>
    <x v="1"/>
    <x v="2"/>
    <x v="14"/>
    <x v="0"/>
    <x v="2"/>
    <n v="1.0002207994461056"/>
    <x v="11"/>
    <x v="1"/>
    <x v="3"/>
    <x v="3"/>
    <x v="1"/>
    <x v="0"/>
    <x v="0"/>
    <x v="0"/>
    <x v="1"/>
    <x v="0"/>
    <x v="0"/>
    <x v="1"/>
    <x v="1"/>
    <x v="7"/>
    <x v="2"/>
    <x v="2"/>
    <x v="0"/>
    <x v="1"/>
    <x v="1"/>
    <x v="1"/>
    <x v="1"/>
    <x v="1"/>
    <x v="1"/>
    <x v="0"/>
    <x v="0"/>
  </r>
  <r>
    <x v="5"/>
    <x v="11"/>
    <x v="0"/>
    <x v="0"/>
    <x v="0"/>
    <x v="18"/>
    <x v="1"/>
    <x v="2"/>
    <x v="14"/>
    <x v="0"/>
    <x v="2"/>
    <n v="1.0002207994461056"/>
    <x v="11"/>
    <x v="1"/>
    <x v="3"/>
    <x v="3"/>
    <x v="1"/>
    <x v="0"/>
    <x v="0"/>
    <x v="0"/>
    <x v="1"/>
    <x v="0"/>
    <x v="0"/>
    <x v="1"/>
    <x v="1"/>
    <x v="7"/>
    <x v="2"/>
    <x v="2"/>
    <x v="0"/>
    <x v="1"/>
    <x v="1"/>
    <x v="1"/>
    <x v="1"/>
    <x v="1"/>
    <x v="1"/>
    <x v="0"/>
    <x v="0"/>
  </r>
  <r>
    <x v="5"/>
    <x v="11"/>
    <x v="0"/>
    <x v="0"/>
    <x v="0"/>
    <x v="18"/>
    <x v="1"/>
    <x v="2"/>
    <x v="14"/>
    <x v="0"/>
    <x v="1"/>
    <n v="1.0002487993240359"/>
    <x v="11"/>
    <x v="1"/>
    <x v="3"/>
    <x v="3"/>
    <x v="1"/>
    <x v="0"/>
    <x v="0"/>
    <x v="0"/>
    <x v="1"/>
    <x v="0"/>
    <x v="0"/>
    <x v="1"/>
    <x v="1"/>
    <x v="7"/>
    <x v="2"/>
    <x v="2"/>
    <x v="0"/>
    <x v="1"/>
    <x v="1"/>
    <x v="1"/>
    <x v="1"/>
    <x v="1"/>
    <x v="1"/>
    <x v="0"/>
    <x v="0"/>
  </r>
  <r>
    <x v="5"/>
    <x v="11"/>
    <x v="0"/>
    <x v="0"/>
    <x v="0"/>
    <x v="18"/>
    <x v="1"/>
    <x v="2"/>
    <x v="14"/>
    <x v="0"/>
    <x v="3"/>
    <n v="1.0002432012557982"/>
    <x v="11"/>
    <x v="1"/>
    <x v="3"/>
    <x v="3"/>
    <x v="1"/>
    <x v="0"/>
    <x v="0"/>
    <x v="0"/>
    <x v="1"/>
    <x v="0"/>
    <x v="0"/>
    <x v="1"/>
    <x v="1"/>
    <x v="7"/>
    <x v="2"/>
    <x v="2"/>
    <x v="0"/>
    <x v="1"/>
    <x v="1"/>
    <x v="1"/>
    <x v="1"/>
    <x v="1"/>
    <x v="1"/>
    <x v="0"/>
    <x v="0"/>
  </r>
  <r>
    <x v="5"/>
    <x v="11"/>
    <x v="0"/>
    <x v="0"/>
    <x v="0"/>
    <x v="18"/>
    <x v="1"/>
    <x v="2"/>
    <x v="14"/>
    <x v="0"/>
    <x v="2"/>
    <n v="1.0002207994461056"/>
    <x v="11"/>
    <x v="1"/>
    <x v="3"/>
    <x v="3"/>
    <x v="1"/>
    <x v="0"/>
    <x v="0"/>
    <x v="0"/>
    <x v="1"/>
    <x v="0"/>
    <x v="0"/>
    <x v="1"/>
    <x v="1"/>
    <x v="7"/>
    <x v="2"/>
    <x v="2"/>
    <x v="0"/>
    <x v="1"/>
    <x v="1"/>
    <x v="1"/>
    <x v="1"/>
    <x v="1"/>
    <x v="1"/>
    <x v="0"/>
    <x v="0"/>
  </r>
  <r>
    <x v="5"/>
    <x v="11"/>
    <x v="0"/>
    <x v="0"/>
    <x v="0"/>
    <x v="18"/>
    <x v="1"/>
    <x v="2"/>
    <x v="14"/>
    <x v="0"/>
    <x v="0"/>
    <n v="1.0002466011047364"/>
    <x v="11"/>
    <x v="1"/>
    <x v="3"/>
    <x v="3"/>
    <x v="1"/>
    <x v="0"/>
    <x v="0"/>
    <x v="0"/>
    <x v="1"/>
    <x v="0"/>
    <x v="0"/>
    <x v="1"/>
    <x v="1"/>
    <x v="7"/>
    <x v="2"/>
    <x v="2"/>
    <x v="0"/>
    <x v="1"/>
    <x v="1"/>
    <x v="1"/>
    <x v="1"/>
    <x v="1"/>
    <x v="1"/>
    <x v="0"/>
    <x v="0"/>
  </r>
  <r>
    <x v="5"/>
    <x v="11"/>
    <x v="0"/>
    <x v="0"/>
    <x v="0"/>
    <x v="16"/>
    <x v="1"/>
    <x v="2"/>
    <x v="14"/>
    <x v="0"/>
    <x v="2"/>
    <n v="1.0002207994461056"/>
    <x v="11"/>
    <x v="1"/>
    <x v="3"/>
    <x v="3"/>
    <x v="1"/>
    <x v="0"/>
    <x v="0"/>
    <x v="0"/>
    <x v="1"/>
    <x v="0"/>
    <x v="0"/>
    <x v="1"/>
    <x v="1"/>
    <x v="7"/>
    <x v="2"/>
    <x v="2"/>
    <x v="0"/>
    <x v="1"/>
    <x v="1"/>
    <x v="1"/>
    <x v="1"/>
    <x v="1"/>
    <x v="1"/>
    <x v="0"/>
    <x v="0"/>
  </r>
  <r>
    <x v="5"/>
    <x v="11"/>
    <x v="0"/>
    <x v="0"/>
    <x v="0"/>
    <x v="16"/>
    <x v="1"/>
    <x v="2"/>
    <x v="14"/>
    <x v="0"/>
    <x v="2"/>
    <n v="1.0002207994461056"/>
    <x v="11"/>
    <x v="1"/>
    <x v="3"/>
    <x v="3"/>
    <x v="1"/>
    <x v="0"/>
    <x v="0"/>
    <x v="0"/>
    <x v="1"/>
    <x v="0"/>
    <x v="0"/>
    <x v="1"/>
    <x v="1"/>
    <x v="7"/>
    <x v="2"/>
    <x v="2"/>
    <x v="0"/>
    <x v="1"/>
    <x v="1"/>
    <x v="1"/>
    <x v="1"/>
    <x v="1"/>
    <x v="1"/>
    <x v="0"/>
    <x v="0"/>
  </r>
  <r>
    <x v="5"/>
    <x v="11"/>
    <x v="0"/>
    <x v="0"/>
    <x v="0"/>
    <x v="16"/>
    <x v="1"/>
    <x v="2"/>
    <x v="14"/>
    <x v="0"/>
    <x v="1"/>
    <n v="1.0002487993240359"/>
    <x v="11"/>
    <x v="1"/>
    <x v="3"/>
    <x v="3"/>
    <x v="1"/>
    <x v="0"/>
    <x v="0"/>
    <x v="0"/>
    <x v="1"/>
    <x v="0"/>
    <x v="0"/>
    <x v="1"/>
    <x v="1"/>
    <x v="7"/>
    <x v="2"/>
    <x v="2"/>
    <x v="0"/>
    <x v="1"/>
    <x v="1"/>
    <x v="1"/>
    <x v="1"/>
    <x v="1"/>
    <x v="1"/>
    <x v="0"/>
    <x v="0"/>
  </r>
  <r>
    <x v="5"/>
    <x v="11"/>
    <x v="0"/>
    <x v="0"/>
    <x v="0"/>
    <x v="16"/>
    <x v="1"/>
    <x v="2"/>
    <x v="14"/>
    <x v="0"/>
    <x v="0"/>
    <n v="1.0002466011047364"/>
    <x v="11"/>
    <x v="1"/>
    <x v="3"/>
    <x v="3"/>
    <x v="1"/>
    <x v="0"/>
    <x v="0"/>
    <x v="0"/>
    <x v="1"/>
    <x v="0"/>
    <x v="0"/>
    <x v="1"/>
    <x v="1"/>
    <x v="7"/>
    <x v="2"/>
    <x v="2"/>
    <x v="0"/>
    <x v="1"/>
    <x v="1"/>
    <x v="1"/>
    <x v="1"/>
    <x v="1"/>
    <x v="1"/>
    <x v="0"/>
    <x v="0"/>
  </r>
  <r>
    <x v="5"/>
    <x v="11"/>
    <x v="0"/>
    <x v="0"/>
    <x v="0"/>
    <x v="16"/>
    <x v="1"/>
    <x v="2"/>
    <x v="14"/>
    <x v="0"/>
    <x v="3"/>
    <n v="1.0002432012557982"/>
    <x v="11"/>
    <x v="1"/>
    <x v="3"/>
    <x v="3"/>
    <x v="1"/>
    <x v="0"/>
    <x v="0"/>
    <x v="0"/>
    <x v="1"/>
    <x v="0"/>
    <x v="0"/>
    <x v="1"/>
    <x v="1"/>
    <x v="7"/>
    <x v="2"/>
    <x v="2"/>
    <x v="0"/>
    <x v="1"/>
    <x v="1"/>
    <x v="1"/>
    <x v="1"/>
    <x v="1"/>
    <x v="1"/>
    <x v="0"/>
    <x v="0"/>
  </r>
  <r>
    <x v="5"/>
    <x v="11"/>
    <x v="0"/>
    <x v="0"/>
    <x v="0"/>
    <x v="16"/>
    <x v="1"/>
    <x v="2"/>
    <x v="14"/>
    <x v="0"/>
    <x v="1"/>
    <n v="1.0002487993240359"/>
    <x v="11"/>
    <x v="1"/>
    <x v="3"/>
    <x v="3"/>
    <x v="1"/>
    <x v="0"/>
    <x v="0"/>
    <x v="0"/>
    <x v="1"/>
    <x v="0"/>
    <x v="0"/>
    <x v="1"/>
    <x v="1"/>
    <x v="7"/>
    <x v="2"/>
    <x v="2"/>
    <x v="0"/>
    <x v="1"/>
    <x v="1"/>
    <x v="1"/>
    <x v="1"/>
    <x v="1"/>
    <x v="1"/>
    <x v="0"/>
    <x v="0"/>
  </r>
  <r>
    <x v="5"/>
    <x v="11"/>
    <x v="0"/>
    <x v="0"/>
    <x v="0"/>
    <x v="16"/>
    <x v="1"/>
    <x v="2"/>
    <x v="14"/>
    <x v="0"/>
    <x v="3"/>
    <n v="1.0002432012557982"/>
    <x v="11"/>
    <x v="1"/>
    <x v="3"/>
    <x v="3"/>
    <x v="1"/>
    <x v="0"/>
    <x v="0"/>
    <x v="0"/>
    <x v="1"/>
    <x v="0"/>
    <x v="0"/>
    <x v="1"/>
    <x v="1"/>
    <x v="7"/>
    <x v="2"/>
    <x v="2"/>
    <x v="0"/>
    <x v="1"/>
    <x v="1"/>
    <x v="1"/>
    <x v="1"/>
    <x v="1"/>
    <x v="1"/>
    <x v="0"/>
    <x v="0"/>
  </r>
  <r>
    <x v="5"/>
    <x v="11"/>
    <x v="0"/>
    <x v="0"/>
    <x v="0"/>
    <x v="16"/>
    <x v="1"/>
    <x v="2"/>
    <x v="14"/>
    <x v="0"/>
    <x v="1"/>
    <n v="1.0002487993240359"/>
    <x v="11"/>
    <x v="1"/>
    <x v="3"/>
    <x v="3"/>
    <x v="1"/>
    <x v="0"/>
    <x v="0"/>
    <x v="0"/>
    <x v="1"/>
    <x v="0"/>
    <x v="0"/>
    <x v="1"/>
    <x v="1"/>
    <x v="7"/>
    <x v="2"/>
    <x v="2"/>
    <x v="0"/>
    <x v="1"/>
    <x v="1"/>
    <x v="1"/>
    <x v="1"/>
    <x v="1"/>
    <x v="1"/>
    <x v="0"/>
    <x v="0"/>
  </r>
  <r>
    <x v="5"/>
    <x v="11"/>
    <x v="0"/>
    <x v="0"/>
    <x v="0"/>
    <x v="16"/>
    <x v="1"/>
    <x v="2"/>
    <x v="14"/>
    <x v="0"/>
    <x v="2"/>
    <n v="1.0002207994461056"/>
    <x v="11"/>
    <x v="1"/>
    <x v="3"/>
    <x v="3"/>
    <x v="1"/>
    <x v="0"/>
    <x v="0"/>
    <x v="0"/>
    <x v="1"/>
    <x v="0"/>
    <x v="0"/>
    <x v="1"/>
    <x v="1"/>
    <x v="7"/>
    <x v="2"/>
    <x v="2"/>
    <x v="0"/>
    <x v="1"/>
    <x v="1"/>
    <x v="1"/>
    <x v="1"/>
    <x v="1"/>
    <x v="1"/>
    <x v="0"/>
    <x v="0"/>
  </r>
  <r>
    <x v="5"/>
    <x v="11"/>
    <x v="0"/>
    <x v="0"/>
    <x v="0"/>
    <x v="16"/>
    <x v="1"/>
    <x v="2"/>
    <x v="14"/>
    <x v="0"/>
    <x v="0"/>
    <n v="1.0002466011047364"/>
    <x v="11"/>
    <x v="1"/>
    <x v="3"/>
    <x v="3"/>
    <x v="1"/>
    <x v="0"/>
    <x v="0"/>
    <x v="0"/>
    <x v="1"/>
    <x v="0"/>
    <x v="0"/>
    <x v="1"/>
    <x v="1"/>
    <x v="7"/>
    <x v="2"/>
    <x v="2"/>
    <x v="0"/>
    <x v="1"/>
    <x v="1"/>
    <x v="1"/>
    <x v="1"/>
    <x v="1"/>
    <x v="1"/>
    <x v="0"/>
    <x v="0"/>
  </r>
  <r>
    <x v="5"/>
    <x v="11"/>
    <x v="0"/>
    <x v="0"/>
    <x v="0"/>
    <x v="16"/>
    <x v="1"/>
    <x v="2"/>
    <x v="14"/>
    <x v="0"/>
    <x v="2"/>
    <n v="1.0002207994461056"/>
    <x v="11"/>
    <x v="1"/>
    <x v="3"/>
    <x v="3"/>
    <x v="1"/>
    <x v="0"/>
    <x v="0"/>
    <x v="0"/>
    <x v="1"/>
    <x v="0"/>
    <x v="0"/>
    <x v="1"/>
    <x v="1"/>
    <x v="7"/>
    <x v="2"/>
    <x v="2"/>
    <x v="0"/>
    <x v="1"/>
    <x v="1"/>
    <x v="1"/>
    <x v="1"/>
    <x v="1"/>
    <x v="1"/>
    <x v="0"/>
    <x v="0"/>
  </r>
  <r>
    <x v="5"/>
    <x v="11"/>
    <x v="0"/>
    <x v="0"/>
    <x v="0"/>
    <x v="16"/>
    <x v="1"/>
    <x v="2"/>
    <x v="14"/>
    <x v="0"/>
    <x v="2"/>
    <n v="1.0002207994461056"/>
    <x v="11"/>
    <x v="1"/>
    <x v="3"/>
    <x v="3"/>
    <x v="1"/>
    <x v="0"/>
    <x v="0"/>
    <x v="0"/>
    <x v="1"/>
    <x v="0"/>
    <x v="0"/>
    <x v="1"/>
    <x v="1"/>
    <x v="7"/>
    <x v="2"/>
    <x v="2"/>
    <x v="0"/>
    <x v="1"/>
    <x v="1"/>
    <x v="1"/>
    <x v="1"/>
    <x v="1"/>
    <x v="1"/>
    <x v="0"/>
    <x v="0"/>
  </r>
  <r>
    <x v="5"/>
    <x v="11"/>
    <x v="0"/>
    <x v="0"/>
    <x v="0"/>
    <x v="16"/>
    <x v="1"/>
    <x v="2"/>
    <x v="14"/>
    <x v="0"/>
    <x v="3"/>
    <n v="1.0002432012557982"/>
    <x v="11"/>
    <x v="1"/>
    <x v="3"/>
    <x v="3"/>
    <x v="1"/>
    <x v="0"/>
    <x v="0"/>
    <x v="0"/>
    <x v="1"/>
    <x v="0"/>
    <x v="0"/>
    <x v="1"/>
    <x v="1"/>
    <x v="7"/>
    <x v="2"/>
    <x v="2"/>
    <x v="0"/>
    <x v="1"/>
    <x v="1"/>
    <x v="1"/>
    <x v="1"/>
    <x v="1"/>
    <x v="1"/>
    <x v="0"/>
    <x v="0"/>
  </r>
  <r>
    <x v="5"/>
    <x v="11"/>
    <x v="0"/>
    <x v="0"/>
    <x v="0"/>
    <x v="16"/>
    <x v="1"/>
    <x v="2"/>
    <x v="14"/>
    <x v="0"/>
    <x v="1"/>
    <n v="1.0002487993240359"/>
    <x v="11"/>
    <x v="1"/>
    <x v="3"/>
    <x v="3"/>
    <x v="1"/>
    <x v="0"/>
    <x v="0"/>
    <x v="0"/>
    <x v="1"/>
    <x v="0"/>
    <x v="0"/>
    <x v="1"/>
    <x v="1"/>
    <x v="7"/>
    <x v="2"/>
    <x v="2"/>
    <x v="0"/>
    <x v="1"/>
    <x v="1"/>
    <x v="1"/>
    <x v="1"/>
    <x v="1"/>
    <x v="1"/>
    <x v="0"/>
    <x v="0"/>
  </r>
  <r>
    <x v="5"/>
    <x v="11"/>
    <x v="0"/>
    <x v="0"/>
    <x v="0"/>
    <x v="16"/>
    <x v="1"/>
    <x v="2"/>
    <x v="14"/>
    <x v="0"/>
    <x v="0"/>
    <n v="1.0002466011047364"/>
    <x v="11"/>
    <x v="1"/>
    <x v="3"/>
    <x v="3"/>
    <x v="1"/>
    <x v="0"/>
    <x v="0"/>
    <x v="0"/>
    <x v="1"/>
    <x v="0"/>
    <x v="0"/>
    <x v="1"/>
    <x v="1"/>
    <x v="7"/>
    <x v="2"/>
    <x v="2"/>
    <x v="0"/>
    <x v="1"/>
    <x v="1"/>
    <x v="1"/>
    <x v="1"/>
    <x v="1"/>
    <x v="1"/>
    <x v="0"/>
    <x v="0"/>
  </r>
  <r>
    <x v="5"/>
    <x v="11"/>
    <x v="0"/>
    <x v="0"/>
    <x v="0"/>
    <x v="16"/>
    <x v="1"/>
    <x v="2"/>
    <x v="14"/>
    <x v="0"/>
    <x v="1"/>
    <n v="1.0002487993240359"/>
    <x v="11"/>
    <x v="1"/>
    <x v="3"/>
    <x v="3"/>
    <x v="1"/>
    <x v="0"/>
    <x v="0"/>
    <x v="0"/>
    <x v="1"/>
    <x v="0"/>
    <x v="0"/>
    <x v="1"/>
    <x v="1"/>
    <x v="7"/>
    <x v="2"/>
    <x v="2"/>
    <x v="0"/>
    <x v="1"/>
    <x v="1"/>
    <x v="1"/>
    <x v="1"/>
    <x v="1"/>
    <x v="1"/>
    <x v="0"/>
    <x v="0"/>
  </r>
  <r>
    <x v="5"/>
    <x v="11"/>
    <x v="0"/>
    <x v="0"/>
    <x v="0"/>
    <x v="16"/>
    <x v="1"/>
    <x v="2"/>
    <x v="14"/>
    <x v="0"/>
    <x v="3"/>
    <n v="1.0002432012557982"/>
    <x v="11"/>
    <x v="1"/>
    <x v="3"/>
    <x v="3"/>
    <x v="1"/>
    <x v="0"/>
    <x v="0"/>
    <x v="0"/>
    <x v="1"/>
    <x v="0"/>
    <x v="0"/>
    <x v="1"/>
    <x v="1"/>
    <x v="7"/>
    <x v="2"/>
    <x v="2"/>
    <x v="0"/>
    <x v="1"/>
    <x v="1"/>
    <x v="1"/>
    <x v="1"/>
    <x v="1"/>
    <x v="1"/>
    <x v="0"/>
    <x v="0"/>
  </r>
  <r>
    <x v="5"/>
    <x v="11"/>
    <x v="0"/>
    <x v="0"/>
    <x v="0"/>
    <x v="16"/>
    <x v="1"/>
    <x v="2"/>
    <x v="14"/>
    <x v="0"/>
    <x v="0"/>
    <n v="1.0002466011047364"/>
    <x v="11"/>
    <x v="1"/>
    <x v="3"/>
    <x v="3"/>
    <x v="1"/>
    <x v="0"/>
    <x v="0"/>
    <x v="0"/>
    <x v="1"/>
    <x v="0"/>
    <x v="0"/>
    <x v="1"/>
    <x v="1"/>
    <x v="7"/>
    <x v="2"/>
    <x v="2"/>
    <x v="0"/>
    <x v="1"/>
    <x v="1"/>
    <x v="1"/>
    <x v="1"/>
    <x v="1"/>
    <x v="1"/>
    <x v="0"/>
    <x v="0"/>
  </r>
  <r>
    <x v="5"/>
    <x v="11"/>
    <x v="0"/>
    <x v="0"/>
    <x v="0"/>
    <x v="16"/>
    <x v="1"/>
    <x v="2"/>
    <x v="14"/>
    <x v="0"/>
    <x v="3"/>
    <n v="1.0002432012557982"/>
    <x v="11"/>
    <x v="1"/>
    <x v="3"/>
    <x v="3"/>
    <x v="1"/>
    <x v="0"/>
    <x v="0"/>
    <x v="0"/>
    <x v="1"/>
    <x v="0"/>
    <x v="0"/>
    <x v="1"/>
    <x v="1"/>
    <x v="7"/>
    <x v="2"/>
    <x v="2"/>
    <x v="0"/>
    <x v="1"/>
    <x v="1"/>
    <x v="1"/>
    <x v="1"/>
    <x v="1"/>
    <x v="1"/>
    <x v="0"/>
    <x v="0"/>
  </r>
  <r>
    <x v="5"/>
    <x v="11"/>
    <x v="0"/>
    <x v="0"/>
    <x v="0"/>
    <x v="16"/>
    <x v="1"/>
    <x v="2"/>
    <x v="14"/>
    <x v="0"/>
    <x v="1"/>
    <n v="1.0002487993240359"/>
    <x v="11"/>
    <x v="1"/>
    <x v="3"/>
    <x v="3"/>
    <x v="1"/>
    <x v="0"/>
    <x v="0"/>
    <x v="0"/>
    <x v="1"/>
    <x v="0"/>
    <x v="0"/>
    <x v="1"/>
    <x v="1"/>
    <x v="7"/>
    <x v="2"/>
    <x v="2"/>
    <x v="0"/>
    <x v="1"/>
    <x v="1"/>
    <x v="1"/>
    <x v="1"/>
    <x v="1"/>
    <x v="1"/>
    <x v="0"/>
    <x v="0"/>
  </r>
  <r>
    <x v="5"/>
    <x v="11"/>
    <x v="0"/>
    <x v="0"/>
    <x v="0"/>
    <x v="16"/>
    <x v="1"/>
    <x v="2"/>
    <x v="14"/>
    <x v="0"/>
    <x v="0"/>
    <n v="1.0002466011047364"/>
    <x v="11"/>
    <x v="1"/>
    <x v="3"/>
    <x v="3"/>
    <x v="1"/>
    <x v="0"/>
    <x v="0"/>
    <x v="0"/>
    <x v="1"/>
    <x v="0"/>
    <x v="0"/>
    <x v="1"/>
    <x v="1"/>
    <x v="7"/>
    <x v="2"/>
    <x v="2"/>
    <x v="0"/>
    <x v="1"/>
    <x v="1"/>
    <x v="1"/>
    <x v="1"/>
    <x v="1"/>
    <x v="1"/>
    <x v="0"/>
    <x v="0"/>
  </r>
  <r>
    <x v="5"/>
    <x v="11"/>
    <x v="0"/>
    <x v="0"/>
    <x v="0"/>
    <x v="17"/>
    <x v="0"/>
    <x v="2"/>
    <x v="14"/>
    <x v="0"/>
    <x v="3"/>
    <n v="0.99999537576328612"/>
    <x v="12"/>
    <x v="0"/>
    <x v="3"/>
    <x v="3"/>
    <x v="1"/>
    <x v="0"/>
    <x v="0"/>
    <x v="0"/>
    <x v="1"/>
    <x v="0"/>
    <x v="0"/>
    <x v="1"/>
    <x v="1"/>
    <x v="5"/>
    <x v="4"/>
    <x v="1"/>
    <x v="0"/>
    <x v="0"/>
    <x v="1"/>
    <x v="0"/>
    <x v="0"/>
    <x v="1"/>
    <x v="1"/>
    <x v="0"/>
    <x v="0"/>
  </r>
  <r>
    <x v="5"/>
    <x v="11"/>
    <x v="0"/>
    <x v="0"/>
    <x v="0"/>
    <x v="17"/>
    <x v="0"/>
    <x v="2"/>
    <x v="14"/>
    <x v="0"/>
    <x v="2"/>
    <n v="0.99999519393901637"/>
    <x v="12"/>
    <x v="0"/>
    <x v="3"/>
    <x v="3"/>
    <x v="1"/>
    <x v="0"/>
    <x v="0"/>
    <x v="0"/>
    <x v="1"/>
    <x v="0"/>
    <x v="0"/>
    <x v="1"/>
    <x v="1"/>
    <x v="5"/>
    <x v="4"/>
    <x v="1"/>
    <x v="0"/>
    <x v="0"/>
    <x v="1"/>
    <x v="0"/>
    <x v="0"/>
    <x v="1"/>
    <x v="1"/>
    <x v="0"/>
    <x v="0"/>
  </r>
  <r>
    <x v="5"/>
    <x v="11"/>
    <x v="0"/>
    <x v="0"/>
    <x v="0"/>
    <x v="17"/>
    <x v="0"/>
    <x v="2"/>
    <x v="14"/>
    <x v="0"/>
    <x v="0"/>
    <n v="0.99999528685001404"/>
    <x v="12"/>
    <x v="0"/>
    <x v="3"/>
    <x v="3"/>
    <x v="1"/>
    <x v="0"/>
    <x v="0"/>
    <x v="0"/>
    <x v="1"/>
    <x v="0"/>
    <x v="0"/>
    <x v="1"/>
    <x v="1"/>
    <x v="5"/>
    <x v="4"/>
    <x v="1"/>
    <x v="0"/>
    <x v="0"/>
    <x v="1"/>
    <x v="0"/>
    <x v="0"/>
    <x v="1"/>
    <x v="1"/>
    <x v="0"/>
    <x v="0"/>
  </r>
  <r>
    <x v="5"/>
    <x v="11"/>
    <x v="0"/>
    <x v="0"/>
    <x v="0"/>
    <x v="17"/>
    <x v="0"/>
    <x v="2"/>
    <x v="14"/>
    <x v="0"/>
    <x v="1"/>
    <n v="0.99999545858363903"/>
    <x v="12"/>
    <x v="0"/>
    <x v="3"/>
    <x v="3"/>
    <x v="1"/>
    <x v="0"/>
    <x v="0"/>
    <x v="0"/>
    <x v="1"/>
    <x v="0"/>
    <x v="0"/>
    <x v="1"/>
    <x v="1"/>
    <x v="5"/>
    <x v="4"/>
    <x v="1"/>
    <x v="0"/>
    <x v="0"/>
    <x v="1"/>
    <x v="0"/>
    <x v="0"/>
    <x v="1"/>
    <x v="1"/>
    <x v="0"/>
    <x v="0"/>
  </r>
  <r>
    <x v="5"/>
    <x v="11"/>
    <x v="0"/>
    <x v="0"/>
    <x v="0"/>
    <x v="17"/>
    <x v="0"/>
    <x v="2"/>
    <x v="14"/>
    <x v="0"/>
    <x v="0"/>
    <n v="0.99999528685001404"/>
    <x v="12"/>
    <x v="0"/>
    <x v="3"/>
    <x v="3"/>
    <x v="1"/>
    <x v="0"/>
    <x v="0"/>
    <x v="0"/>
    <x v="1"/>
    <x v="0"/>
    <x v="0"/>
    <x v="1"/>
    <x v="1"/>
    <x v="5"/>
    <x v="4"/>
    <x v="1"/>
    <x v="0"/>
    <x v="0"/>
    <x v="1"/>
    <x v="0"/>
    <x v="0"/>
    <x v="1"/>
    <x v="1"/>
    <x v="0"/>
    <x v="0"/>
  </r>
  <r>
    <x v="5"/>
    <x v="11"/>
    <x v="0"/>
    <x v="0"/>
    <x v="0"/>
    <x v="17"/>
    <x v="0"/>
    <x v="2"/>
    <x v="14"/>
    <x v="0"/>
    <x v="1"/>
    <n v="0.99999545858363903"/>
    <x v="12"/>
    <x v="0"/>
    <x v="3"/>
    <x v="3"/>
    <x v="1"/>
    <x v="0"/>
    <x v="0"/>
    <x v="0"/>
    <x v="1"/>
    <x v="0"/>
    <x v="0"/>
    <x v="1"/>
    <x v="1"/>
    <x v="5"/>
    <x v="4"/>
    <x v="1"/>
    <x v="0"/>
    <x v="0"/>
    <x v="1"/>
    <x v="0"/>
    <x v="0"/>
    <x v="1"/>
    <x v="1"/>
    <x v="0"/>
    <x v="0"/>
  </r>
  <r>
    <x v="5"/>
    <x v="11"/>
    <x v="0"/>
    <x v="0"/>
    <x v="0"/>
    <x v="17"/>
    <x v="0"/>
    <x v="2"/>
    <x v="14"/>
    <x v="0"/>
    <x v="3"/>
    <n v="0.99999537576328612"/>
    <x v="12"/>
    <x v="0"/>
    <x v="3"/>
    <x v="3"/>
    <x v="1"/>
    <x v="0"/>
    <x v="0"/>
    <x v="0"/>
    <x v="1"/>
    <x v="0"/>
    <x v="0"/>
    <x v="1"/>
    <x v="1"/>
    <x v="5"/>
    <x v="4"/>
    <x v="1"/>
    <x v="0"/>
    <x v="0"/>
    <x v="1"/>
    <x v="0"/>
    <x v="0"/>
    <x v="1"/>
    <x v="1"/>
    <x v="0"/>
    <x v="0"/>
  </r>
  <r>
    <x v="5"/>
    <x v="11"/>
    <x v="0"/>
    <x v="0"/>
    <x v="0"/>
    <x v="18"/>
    <x v="1"/>
    <x v="2"/>
    <x v="14"/>
    <x v="0"/>
    <x v="0"/>
    <n v="1.0002466011047364"/>
    <x v="11"/>
    <x v="1"/>
    <x v="3"/>
    <x v="3"/>
    <x v="1"/>
    <x v="0"/>
    <x v="0"/>
    <x v="0"/>
    <x v="1"/>
    <x v="0"/>
    <x v="0"/>
    <x v="1"/>
    <x v="1"/>
    <x v="7"/>
    <x v="2"/>
    <x v="2"/>
    <x v="0"/>
    <x v="1"/>
    <x v="1"/>
    <x v="1"/>
    <x v="1"/>
    <x v="1"/>
    <x v="1"/>
    <x v="0"/>
    <x v="0"/>
  </r>
  <r>
    <x v="5"/>
    <x v="11"/>
    <x v="0"/>
    <x v="0"/>
    <x v="0"/>
    <x v="18"/>
    <x v="1"/>
    <x v="2"/>
    <x v="15"/>
    <x v="0"/>
    <x v="0"/>
    <n v="1.0002466011047364"/>
    <x v="11"/>
    <x v="1"/>
    <x v="3"/>
    <x v="3"/>
    <x v="1"/>
    <x v="0"/>
    <x v="0"/>
    <x v="0"/>
    <x v="1"/>
    <x v="0"/>
    <x v="0"/>
    <x v="1"/>
    <x v="1"/>
    <x v="7"/>
    <x v="2"/>
    <x v="2"/>
    <x v="0"/>
    <x v="1"/>
    <x v="1"/>
    <x v="1"/>
    <x v="1"/>
    <x v="1"/>
    <x v="1"/>
    <x v="0"/>
    <x v="0"/>
  </r>
  <r>
    <x v="5"/>
    <x v="11"/>
    <x v="0"/>
    <x v="0"/>
    <x v="0"/>
    <x v="17"/>
    <x v="0"/>
    <x v="2"/>
    <x v="15"/>
    <x v="0"/>
    <x v="2"/>
    <n v="0.99999519393901637"/>
    <x v="12"/>
    <x v="0"/>
    <x v="3"/>
    <x v="3"/>
    <x v="1"/>
    <x v="0"/>
    <x v="0"/>
    <x v="0"/>
    <x v="1"/>
    <x v="0"/>
    <x v="0"/>
    <x v="1"/>
    <x v="1"/>
    <x v="5"/>
    <x v="4"/>
    <x v="1"/>
    <x v="0"/>
    <x v="0"/>
    <x v="1"/>
    <x v="0"/>
    <x v="0"/>
    <x v="1"/>
    <x v="1"/>
    <x v="0"/>
    <x v="0"/>
  </r>
  <r>
    <x v="5"/>
    <x v="11"/>
    <x v="0"/>
    <x v="0"/>
    <x v="0"/>
    <x v="18"/>
    <x v="1"/>
    <x v="2"/>
    <x v="15"/>
    <x v="0"/>
    <x v="3"/>
    <n v="1.0002432012557982"/>
    <x v="11"/>
    <x v="1"/>
    <x v="3"/>
    <x v="3"/>
    <x v="1"/>
    <x v="0"/>
    <x v="0"/>
    <x v="0"/>
    <x v="1"/>
    <x v="0"/>
    <x v="0"/>
    <x v="1"/>
    <x v="1"/>
    <x v="7"/>
    <x v="2"/>
    <x v="2"/>
    <x v="0"/>
    <x v="1"/>
    <x v="1"/>
    <x v="1"/>
    <x v="1"/>
    <x v="1"/>
    <x v="1"/>
    <x v="0"/>
    <x v="0"/>
  </r>
  <r>
    <x v="5"/>
    <x v="11"/>
    <x v="0"/>
    <x v="0"/>
    <x v="0"/>
    <x v="18"/>
    <x v="1"/>
    <x v="2"/>
    <x v="15"/>
    <x v="0"/>
    <x v="2"/>
    <n v="1.0002207994461056"/>
    <x v="11"/>
    <x v="1"/>
    <x v="3"/>
    <x v="3"/>
    <x v="1"/>
    <x v="0"/>
    <x v="0"/>
    <x v="0"/>
    <x v="1"/>
    <x v="0"/>
    <x v="0"/>
    <x v="1"/>
    <x v="1"/>
    <x v="7"/>
    <x v="2"/>
    <x v="2"/>
    <x v="0"/>
    <x v="1"/>
    <x v="1"/>
    <x v="1"/>
    <x v="1"/>
    <x v="1"/>
    <x v="1"/>
    <x v="0"/>
    <x v="0"/>
  </r>
  <r>
    <x v="5"/>
    <x v="11"/>
    <x v="0"/>
    <x v="0"/>
    <x v="0"/>
    <x v="18"/>
    <x v="1"/>
    <x v="2"/>
    <x v="15"/>
    <x v="0"/>
    <x v="1"/>
    <n v="1.0002487993240359"/>
    <x v="11"/>
    <x v="1"/>
    <x v="3"/>
    <x v="3"/>
    <x v="1"/>
    <x v="0"/>
    <x v="0"/>
    <x v="0"/>
    <x v="1"/>
    <x v="0"/>
    <x v="0"/>
    <x v="1"/>
    <x v="1"/>
    <x v="7"/>
    <x v="2"/>
    <x v="2"/>
    <x v="0"/>
    <x v="1"/>
    <x v="1"/>
    <x v="1"/>
    <x v="1"/>
    <x v="1"/>
    <x v="1"/>
    <x v="0"/>
    <x v="0"/>
  </r>
  <r>
    <x v="5"/>
    <x v="11"/>
    <x v="0"/>
    <x v="0"/>
    <x v="0"/>
    <x v="18"/>
    <x v="1"/>
    <x v="2"/>
    <x v="15"/>
    <x v="0"/>
    <x v="0"/>
    <n v="1.0002466011047364"/>
    <x v="11"/>
    <x v="1"/>
    <x v="3"/>
    <x v="3"/>
    <x v="1"/>
    <x v="0"/>
    <x v="0"/>
    <x v="0"/>
    <x v="1"/>
    <x v="0"/>
    <x v="0"/>
    <x v="1"/>
    <x v="1"/>
    <x v="7"/>
    <x v="2"/>
    <x v="2"/>
    <x v="0"/>
    <x v="1"/>
    <x v="1"/>
    <x v="1"/>
    <x v="1"/>
    <x v="1"/>
    <x v="1"/>
    <x v="0"/>
    <x v="0"/>
  </r>
  <r>
    <x v="5"/>
    <x v="11"/>
    <x v="0"/>
    <x v="0"/>
    <x v="0"/>
    <x v="18"/>
    <x v="1"/>
    <x v="2"/>
    <x v="15"/>
    <x v="0"/>
    <x v="1"/>
    <n v="1.0002487993240359"/>
    <x v="11"/>
    <x v="1"/>
    <x v="3"/>
    <x v="3"/>
    <x v="1"/>
    <x v="0"/>
    <x v="0"/>
    <x v="0"/>
    <x v="1"/>
    <x v="0"/>
    <x v="0"/>
    <x v="1"/>
    <x v="1"/>
    <x v="7"/>
    <x v="2"/>
    <x v="2"/>
    <x v="0"/>
    <x v="1"/>
    <x v="1"/>
    <x v="1"/>
    <x v="1"/>
    <x v="1"/>
    <x v="1"/>
    <x v="0"/>
    <x v="0"/>
  </r>
  <r>
    <x v="5"/>
    <x v="11"/>
    <x v="0"/>
    <x v="0"/>
    <x v="0"/>
    <x v="18"/>
    <x v="1"/>
    <x v="2"/>
    <x v="15"/>
    <x v="0"/>
    <x v="0"/>
    <n v="1.0002466011047364"/>
    <x v="11"/>
    <x v="1"/>
    <x v="3"/>
    <x v="3"/>
    <x v="1"/>
    <x v="0"/>
    <x v="0"/>
    <x v="0"/>
    <x v="1"/>
    <x v="0"/>
    <x v="0"/>
    <x v="1"/>
    <x v="1"/>
    <x v="7"/>
    <x v="2"/>
    <x v="2"/>
    <x v="0"/>
    <x v="1"/>
    <x v="1"/>
    <x v="1"/>
    <x v="1"/>
    <x v="1"/>
    <x v="1"/>
    <x v="0"/>
    <x v="0"/>
  </r>
  <r>
    <x v="5"/>
    <x v="11"/>
    <x v="0"/>
    <x v="0"/>
    <x v="0"/>
    <x v="18"/>
    <x v="1"/>
    <x v="2"/>
    <x v="15"/>
    <x v="0"/>
    <x v="2"/>
    <n v="1.0002207994461056"/>
    <x v="11"/>
    <x v="1"/>
    <x v="3"/>
    <x v="3"/>
    <x v="1"/>
    <x v="0"/>
    <x v="0"/>
    <x v="0"/>
    <x v="1"/>
    <x v="0"/>
    <x v="0"/>
    <x v="1"/>
    <x v="1"/>
    <x v="7"/>
    <x v="2"/>
    <x v="2"/>
    <x v="0"/>
    <x v="1"/>
    <x v="1"/>
    <x v="1"/>
    <x v="1"/>
    <x v="1"/>
    <x v="1"/>
    <x v="0"/>
    <x v="0"/>
  </r>
  <r>
    <x v="5"/>
    <x v="11"/>
    <x v="0"/>
    <x v="0"/>
    <x v="0"/>
    <x v="18"/>
    <x v="1"/>
    <x v="2"/>
    <x v="15"/>
    <x v="0"/>
    <x v="1"/>
    <n v="1.0002487993240359"/>
    <x v="11"/>
    <x v="1"/>
    <x v="3"/>
    <x v="3"/>
    <x v="1"/>
    <x v="0"/>
    <x v="0"/>
    <x v="0"/>
    <x v="1"/>
    <x v="0"/>
    <x v="0"/>
    <x v="1"/>
    <x v="1"/>
    <x v="7"/>
    <x v="2"/>
    <x v="2"/>
    <x v="0"/>
    <x v="1"/>
    <x v="1"/>
    <x v="1"/>
    <x v="1"/>
    <x v="1"/>
    <x v="1"/>
    <x v="0"/>
    <x v="0"/>
  </r>
  <r>
    <x v="5"/>
    <x v="11"/>
    <x v="0"/>
    <x v="0"/>
    <x v="0"/>
    <x v="18"/>
    <x v="1"/>
    <x v="2"/>
    <x v="15"/>
    <x v="0"/>
    <x v="3"/>
    <n v="1.0002432012557982"/>
    <x v="11"/>
    <x v="1"/>
    <x v="3"/>
    <x v="3"/>
    <x v="1"/>
    <x v="0"/>
    <x v="0"/>
    <x v="0"/>
    <x v="1"/>
    <x v="0"/>
    <x v="0"/>
    <x v="1"/>
    <x v="1"/>
    <x v="7"/>
    <x v="2"/>
    <x v="2"/>
    <x v="0"/>
    <x v="1"/>
    <x v="1"/>
    <x v="1"/>
    <x v="1"/>
    <x v="1"/>
    <x v="1"/>
    <x v="0"/>
    <x v="0"/>
  </r>
  <r>
    <x v="5"/>
    <x v="11"/>
    <x v="0"/>
    <x v="0"/>
    <x v="0"/>
    <x v="18"/>
    <x v="1"/>
    <x v="2"/>
    <x v="15"/>
    <x v="0"/>
    <x v="3"/>
    <n v="1.0002432012557982"/>
    <x v="11"/>
    <x v="1"/>
    <x v="3"/>
    <x v="3"/>
    <x v="1"/>
    <x v="0"/>
    <x v="0"/>
    <x v="0"/>
    <x v="1"/>
    <x v="0"/>
    <x v="0"/>
    <x v="1"/>
    <x v="1"/>
    <x v="7"/>
    <x v="2"/>
    <x v="2"/>
    <x v="0"/>
    <x v="1"/>
    <x v="1"/>
    <x v="1"/>
    <x v="1"/>
    <x v="1"/>
    <x v="1"/>
    <x v="0"/>
    <x v="0"/>
  </r>
  <r>
    <x v="5"/>
    <x v="11"/>
    <x v="0"/>
    <x v="0"/>
    <x v="0"/>
    <x v="18"/>
    <x v="1"/>
    <x v="2"/>
    <x v="15"/>
    <x v="0"/>
    <x v="2"/>
    <n v="1.0002207994461056"/>
    <x v="11"/>
    <x v="1"/>
    <x v="3"/>
    <x v="3"/>
    <x v="1"/>
    <x v="0"/>
    <x v="0"/>
    <x v="0"/>
    <x v="1"/>
    <x v="0"/>
    <x v="0"/>
    <x v="1"/>
    <x v="1"/>
    <x v="7"/>
    <x v="2"/>
    <x v="2"/>
    <x v="0"/>
    <x v="1"/>
    <x v="1"/>
    <x v="1"/>
    <x v="1"/>
    <x v="1"/>
    <x v="1"/>
    <x v="0"/>
    <x v="0"/>
  </r>
  <r>
    <x v="5"/>
    <x v="11"/>
    <x v="0"/>
    <x v="0"/>
    <x v="0"/>
    <x v="18"/>
    <x v="1"/>
    <x v="2"/>
    <x v="15"/>
    <x v="0"/>
    <x v="3"/>
    <n v="1.0002432012557982"/>
    <x v="11"/>
    <x v="1"/>
    <x v="3"/>
    <x v="3"/>
    <x v="1"/>
    <x v="0"/>
    <x v="0"/>
    <x v="0"/>
    <x v="1"/>
    <x v="0"/>
    <x v="0"/>
    <x v="1"/>
    <x v="1"/>
    <x v="7"/>
    <x v="2"/>
    <x v="2"/>
    <x v="0"/>
    <x v="1"/>
    <x v="1"/>
    <x v="1"/>
    <x v="1"/>
    <x v="1"/>
    <x v="1"/>
    <x v="0"/>
    <x v="0"/>
  </r>
  <r>
    <x v="5"/>
    <x v="11"/>
    <x v="0"/>
    <x v="0"/>
    <x v="0"/>
    <x v="18"/>
    <x v="1"/>
    <x v="2"/>
    <x v="15"/>
    <x v="0"/>
    <x v="0"/>
    <n v="1.0002466011047364"/>
    <x v="11"/>
    <x v="1"/>
    <x v="3"/>
    <x v="3"/>
    <x v="1"/>
    <x v="0"/>
    <x v="0"/>
    <x v="0"/>
    <x v="1"/>
    <x v="0"/>
    <x v="0"/>
    <x v="1"/>
    <x v="1"/>
    <x v="7"/>
    <x v="2"/>
    <x v="2"/>
    <x v="0"/>
    <x v="1"/>
    <x v="1"/>
    <x v="1"/>
    <x v="1"/>
    <x v="1"/>
    <x v="1"/>
    <x v="0"/>
    <x v="0"/>
  </r>
  <r>
    <x v="5"/>
    <x v="11"/>
    <x v="0"/>
    <x v="0"/>
    <x v="0"/>
    <x v="18"/>
    <x v="1"/>
    <x v="2"/>
    <x v="15"/>
    <x v="0"/>
    <x v="0"/>
    <n v="1.0002466011047364"/>
    <x v="11"/>
    <x v="1"/>
    <x v="3"/>
    <x v="3"/>
    <x v="1"/>
    <x v="0"/>
    <x v="0"/>
    <x v="0"/>
    <x v="1"/>
    <x v="0"/>
    <x v="0"/>
    <x v="1"/>
    <x v="1"/>
    <x v="7"/>
    <x v="2"/>
    <x v="2"/>
    <x v="0"/>
    <x v="1"/>
    <x v="1"/>
    <x v="1"/>
    <x v="1"/>
    <x v="1"/>
    <x v="1"/>
    <x v="0"/>
    <x v="0"/>
  </r>
  <r>
    <x v="5"/>
    <x v="11"/>
    <x v="0"/>
    <x v="0"/>
    <x v="0"/>
    <x v="16"/>
    <x v="1"/>
    <x v="2"/>
    <x v="15"/>
    <x v="0"/>
    <x v="2"/>
    <n v="1.0002207994461056"/>
    <x v="11"/>
    <x v="1"/>
    <x v="3"/>
    <x v="3"/>
    <x v="1"/>
    <x v="0"/>
    <x v="0"/>
    <x v="0"/>
    <x v="1"/>
    <x v="0"/>
    <x v="0"/>
    <x v="1"/>
    <x v="1"/>
    <x v="7"/>
    <x v="2"/>
    <x v="2"/>
    <x v="0"/>
    <x v="1"/>
    <x v="1"/>
    <x v="1"/>
    <x v="1"/>
    <x v="1"/>
    <x v="1"/>
    <x v="0"/>
    <x v="0"/>
  </r>
  <r>
    <x v="5"/>
    <x v="11"/>
    <x v="0"/>
    <x v="0"/>
    <x v="0"/>
    <x v="16"/>
    <x v="1"/>
    <x v="2"/>
    <x v="15"/>
    <x v="0"/>
    <x v="3"/>
    <n v="1.0002432012557982"/>
    <x v="11"/>
    <x v="1"/>
    <x v="3"/>
    <x v="3"/>
    <x v="1"/>
    <x v="0"/>
    <x v="0"/>
    <x v="0"/>
    <x v="1"/>
    <x v="0"/>
    <x v="0"/>
    <x v="1"/>
    <x v="1"/>
    <x v="7"/>
    <x v="2"/>
    <x v="2"/>
    <x v="0"/>
    <x v="1"/>
    <x v="1"/>
    <x v="1"/>
    <x v="1"/>
    <x v="1"/>
    <x v="1"/>
    <x v="0"/>
    <x v="0"/>
  </r>
  <r>
    <x v="5"/>
    <x v="11"/>
    <x v="0"/>
    <x v="0"/>
    <x v="0"/>
    <x v="16"/>
    <x v="1"/>
    <x v="2"/>
    <x v="15"/>
    <x v="0"/>
    <x v="0"/>
    <n v="1.0002466011047364"/>
    <x v="11"/>
    <x v="1"/>
    <x v="3"/>
    <x v="3"/>
    <x v="1"/>
    <x v="0"/>
    <x v="0"/>
    <x v="0"/>
    <x v="1"/>
    <x v="0"/>
    <x v="0"/>
    <x v="1"/>
    <x v="1"/>
    <x v="7"/>
    <x v="2"/>
    <x v="2"/>
    <x v="0"/>
    <x v="1"/>
    <x v="1"/>
    <x v="1"/>
    <x v="1"/>
    <x v="1"/>
    <x v="1"/>
    <x v="0"/>
    <x v="0"/>
  </r>
  <r>
    <x v="5"/>
    <x v="11"/>
    <x v="0"/>
    <x v="0"/>
    <x v="0"/>
    <x v="18"/>
    <x v="1"/>
    <x v="2"/>
    <x v="15"/>
    <x v="0"/>
    <x v="1"/>
    <n v="1.0002487993240359"/>
    <x v="11"/>
    <x v="1"/>
    <x v="3"/>
    <x v="3"/>
    <x v="1"/>
    <x v="0"/>
    <x v="0"/>
    <x v="0"/>
    <x v="1"/>
    <x v="0"/>
    <x v="0"/>
    <x v="1"/>
    <x v="1"/>
    <x v="7"/>
    <x v="2"/>
    <x v="2"/>
    <x v="0"/>
    <x v="1"/>
    <x v="1"/>
    <x v="1"/>
    <x v="1"/>
    <x v="1"/>
    <x v="1"/>
    <x v="0"/>
    <x v="0"/>
  </r>
  <r>
    <x v="5"/>
    <x v="11"/>
    <x v="0"/>
    <x v="0"/>
    <x v="0"/>
    <x v="18"/>
    <x v="1"/>
    <x v="2"/>
    <x v="15"/>
    <x v="0"/>
    <x v="3"/>
    <n v="1.0002432012557982"/>
    <x v="11"/>
    <x v="1"/>
    <x v="3"/>
    <x v="3"/>
    <x v="1"/>
    <x v="0"/>
    <x v="0"/>
    <x v="0"/>
    <x v="1"/>
    <x v="0"/>
    <x v="0"/>
    <x v="1"/>
    <x v="1"/>
    <x v="7"/>
    <x v="2"/>
    <x v="2"/>
    <x v="0"/>
    <x v="1"/>
    <x v="1"/>
    <x v="1"/>
    <x v="1"/>
    <x v="1"/>
    <x v="1"/>
    <x v="0"/>
    <x v="0"/>
  </r>
  <r>
    <x v="5"/>
    <x v="11"/>
    <x v="0"/>
    <x v="0"/>
    <x v="0"/>
    <x v="18"/>
    <x v="1"/>
    <x v="2"/>
    <x v="15"/>
    <x v="0"/>
    <x v="2"/>
    <n v="1.0002207994461056"/>
    <x v="11"/>
    <x v="1"/>
    <x v="3"/>
    <x v="3"/>
    <x v="1"/>
    <x v="0"/>
    <x v="0"/>
    <x v="0"/>
    <x v="1"/>
    <x v="0"/>
    <x v="0"/>
    <x v="1"/>
    <x v="1"/>
    <x v="7"/>
    <x v="2"/>
    <x v="2"/>
    <x v="0"/>
    <x v="1"/>
    <x v="1"/>
    <x v="1"/>
    <x v="1"/>
    <x v="1"/>
    <x v="1"/>
    <x v="0"/>
    <x v="0"/>
  </r>
  <r>
    <x v="5"/>
    <x v="11"/>
    <x v="0"/>
    <x v="0"/>
    <x v="0"/>
    <x v="18"/>
    <x v="1"/>
    <x v="2"/>
    <x v="15"/>
    <x v="0"/>
    <x v="2"/>
    <n v="1.0002207994461056"/>
    <x v="11"/>
    <x v="1"/>
    <x v="3"/>
    <x v="3"/>
    <x v="1"/>
    <x v="0"/>
    <x v="0"/>
    <x v="0"/>
    <x v="1"/>
    <x v="0"/>
    <x v="0"/>
    <x v="1"/>
    <x v="1"/>
    <x v="7"/>
    <x v="2"/>
    <x v="2"/>
    <x v="0"/>
    <x v="1"/>
    <x v="1"/>
    <x v="1"/>
    <x v="1"/>
    <x v="1"/>
    <x v="1"/>
    <x v="0"/>
    <x v="0"/>
  </r>
  <r>
    <x v="5"/>
    <x v="11"/>
    <x v="0"/>
    <x v="0"/>
    <x v="0"/>
    <x v="18"/>
    <x v="1"/>
    <x v="2"/>
    <x v="15"/>
    <x v="0"/>
    <x v="1"/>
    <n v="1.0002487993240359"/>
    <x v="11"/>
    <x v="1"/>
    <x v="3"/>
    <x v="3"/>
    <x v="1"/>
    <x v="0"/>
    <x v="0"/>
    <x v="0"/>
    <x v="1"/>
    <x v="0"/>
    <x v="0"/>
    <x v="1"/>
    <x v="1"/>
    <x v="7"/>
    <x v="2"/>
    <x v="2"/>
    <x v="0"/>
    <x v="1"/>
    <x v="1"/>
    <x v="1"/>
    <x v="1"/>
    <x v="1"/>
    <x v="1"/>
    <x v="0"/>
    <x v="0"/>
  </r>
  <r>
    <x v="5"/>
    <x v="11"/>
    <x v="0"/>
    <x v="0"/>
    <x v="0"/>
    <x v="18"/>
    <x v="1"/>
    <x v="2"/>
    <x v="15"/>
    <x v="0"/>
    <x v="3"/>
    <n v="1.0002432012557982"/>
    <x v="11"/>
    <x v="1"/>
    <x v="3"/>
    <x v="3"/>
    <x v="1"/>
    <x v="0"/>
    <x v="0"/>
    <x v="0"/>
    <x v="1"/>
    <x v="0"/>
    <x v="0"/>
    <x v="1"/>
    <x v="1"/>
    <x v="7"/>
    <x v="2"/>
    <x v="2"/>
    <x v="0"/>
    <x v="1"/>
    <x v="1"/>
    <x v="1"/>
    <x v="1"/>
    <x v="1"/>
    <x v="1"/>
    <x v="0"/>
    <x v="0"/>
  </r>
  <r>
    <x v="5"/>
    <x v="11"/>
    <x v="0"/>
    <x v="0"/>
    <x v="0"/>
    <x v="18"/>
    <x v="1"/>
    <x v="2"/>
    <x v="15"/>
    <x v="0"/>
    <x v="2"/>
    <n v="1.0002207994461056"/>
    <x v="11"/>
    <x v="1"/>
    <x v="3"/>
    <x v="3"/>
    <x v="1"/>
    <x v="0"/>
    <x v="0"/>
    <x v="0"/>
    <x v="1"/>
    <x v="0"/>
    <x v="0"/>
    <x v="1"/>
    <x v="1"/>
    <x v="7"/>
    <x v="2"/>
    <x v="2"/>
    <x v="0"/>
    <x v="1"/>
    <x v="1"/>
    <x v="1"/>
    <x v="1"/>
    <x v="1"/>
    <x v="1"/>
    <x v="0"/>
    <x v="0"/>
  </r>
  <r>
    <x v="5"/>
    <x v="11"/>
    <x v="0"/>
    <x v="0"/>
    <x v="0"/>
    <x v="18"/>
    <x v="1"/>
    <x v="2"/>
    <x v="15"/>
    <x v="0"/>
    <x v="0"/>
    <n v="1.0002466011047364"/>
    <x v="11"/>
    <x v="1"/>
    <x v="3"/>
    <x v="3"/>
    <x v="1"/>
    <x v="0"/>
    <x v="0"/>
    <x v="0"/>
    <x v="1"/>
    <x v="0"/>
    <x v="0"/>
    <x v="1"/>
    <x v="1"/>
    <x v="7"/>
    <x v="2"/>
    <x v="2"/>
    <x v="0"/>
    <x v="1"/>
    <x v="1"/>
    <x v="1"/>
    <x v="1"/>
    <x v="1"/>
    <x v="1"/>
    <x v="0"/>
    <x v="0"/>
  </r>
  <r>
    <x v="5"/>
    <x v="11"/>
    <x v="0"/>
    <x v="0"/>
    <x v="0"/>
    <x v="16"/>
    <x v="1"/>
    <x v="2"/>
    <x v="15"/>
    <x v="0"/>
    <x v="2"/>
    <n v="1.0002207994461056"/>
    <x v="11"/>
    <x v="1"/>
    <x v="3"/>
    <x v="3"/>
    <x v="1"/>
    <x v="0"/>
    <x v="0"/>
    <x v="0"/>
    <x v="1"/>
    <x v="0"/>
    <x v="0"/>
    <x v="1"/>
    <x v="1"/>
    <x v="7"/>
    <x v="2"/>
    <x v="2"/>
    <x v="0"/>
    <x v="1"/>
    <x v="1"/>
    <x v="1"/>
    <x v="1"/>
    <x v="1"/>
    <x v="1"/>
    <x v="0"/>
    <x v="0"/>
  </r>
  <r>
    <x v="5"/>
    <x v="11"/>
    <x v="0"/>
    <x v="0"/>
    <x v="0"/>
    <x v="16"/>
    <x v="1"/>
    <x v="2"/>
    <x v="15"/>
    <x v="0"/>
    <x v="1"/>
    <n v="1.0002487993240359"/>
    <x v="11"/>
    <x v="1"/>
    <x v="3"/>
    <x v="3"/>
    <x v="1"/>
    <x v="0"/>
    <x v="0"/>
    <x v="0"/>
    <x v="1"/>
    <x v="0"/>
    <x v="0"/>
    <x v="1"/>
    <x v="1"/>
    <x v="7"/>
    <x v="2"/>
    <x v="2"/>
    <x v="0"/>
    <x v="1"/>
    <x v="1"/>
    <x v="1"/>
    <x v="1"/>
    <x v="1"/>
    <x v="1"/>
    <x v="0"/>
    <x v="0"/>
  </r>
  <r>
    <x v="5"/>
    <x v="11"/>
    <x v="0"/>
    <x v="0"/>
    <x v="0"/>
    <x v="16"/>
    <x v="1"/>
    <x v="2"/>
    <x v="15"/>
    <x v="0"/>
    <x v="0"/>
    <n v="1.0002466011047364"/>
    <x v="11"/>
    <x v="1"/>
    <x v="3"/>
    <x v="3"/>
    <x v="1"/>
    <x v="0"/>
    <x v="0"/>
    <x v="0"/>
    <x v="1"/>
    <x v="0"/>
    <x v="0"/>
    <x v="1"/>
    <x v="1"/>
    <x v="7"/>
    <x v="2"/>
    <x v="2"/>
    <x v="0"/>
    <x v="1"/>
    <x v="1"/>
    <x v="1"/>
    <x v="1"/>
    <x v="1"/>
    <x v="1"/>
    <x v="0"/>
    <x v="0"/>
  </r>
  <r>
    <x v="5"/>
    <x v="11"/>
    <x v="0"/>
    <x v="0"/>
    <x v="0"/>
    <x v="16"/>
    <x v="1"/>
    <x v="2"/>
    <x v="15"/>
    <x v="0"/>
    <x v="3"/>
    <n v="1.0002432012557982"/>
    <x v="11"/>
    <x v="1"/>
    <x v="3"/>
    <x v="3"/>
    <x v="1"/>
    <x v="0"/>
    <x v="0"/>
    <x v="0"/>
    <x v="1"/>
    <x v="0"/>
    <x v="0"/>
    <x v="1"/>
    <x v="1"/>
    <x v="7"/>
    <x v="2"/>
    <x v="2"/>
    <x v="0"/>
    <x v="1"/>
    <x v="1"/>
    <x v="1"/>
    <x v="1"/>
    <x v="1"/>
    <x v="1"/>
    <x v="0"/>
    <x v="0"/>
  </r>
  <r>
    <x v="5"/>
    <x v="11"/>
    <x v="0"/>
    <x v="0"/>
    <x v="0"/>
    <x v="16"/>
    <x v="1"/>
    <x v="2"/>
    <x v="15"/>
    <x v="0"/>
    <x v="1"/>
    <n v="1.0002487993240359"/>
    <x v="11"/>
    <x v="1"/>
    <x v="3"/>
    <x v="3"/>
    <x v="1"/>
    <x v="0"/>
    <x v="0"/>
    <x v="0"/>
    <x v="1"/>
    <x v="0"/>
    <x v="0"/>
    <x v="1"/>
    <x v="1"/>
    <x v="7"/>
    <x v="2"/>
    <x v="2"/>
    <x v="0"/>
    <x v="1"/>
    <x v="1"/>
    <x v="1"/>
    <x v="1"/>
    <x v="1"/>
    <x v="1"/>
    <x v="0"/>
    <x v="0"/>
  </r>
  <r>
    <x v="5"/>
    <x v="11"/>
    <x v="0"/>
    <x v="0"/>
    <x v="0"/>
    <x v="16"/>
    <x v="1"/>
    <x v="2"/>
    <x v="15"/>
    <x v="0"/>
    <x v="3"/>
    <n v="1.0002432012557982"/>
    <x v="11"/>
    <x v="1"/>
    <x v="3"/>
    <x v="3"/>
    <x v="1"/>
    <x v="0"/>
    <x v="0"/>
    <x v="0"/>
    <x v="1"/>
    <x v="0"/>
    <x v="0"/>
    <x v="1"/>
    <x v="1"/>
    <x v="7"/>
    <x v="2"/>
    <x v="2"/>
    <x v="0"/>
    <x v="1"/>
    <x v="1"/>
    <x v="1"/>
    <x v="1"/>
    <x v="1"/>
    <x v="1"/>
    <x v="0"/>
    <x v="0"/>
  </r>
  <r>
    <x v="5"/>
    <x v="11"/>
    <x v="0"/>
    <x v="0"/>
    <x v="0"/>
    <x v="16"/>
    <x v="1"/>
    <x v="2"/>
    <x v="15"/>
    <x v="0"/>
    <x v="1"/>
    <n v="1.0002487993240359"/>
    <x v="11"/>
    <x v="1"/>
    <x v="3"/>
    <x v="3"/>
    <x v="1"/>
    <x v="0"/>
    <x v="0"/>
    <x v="0"/>
    <x v="1"/>
    <x v="0"/>
    <x v="0"/>
    <x v="1"/>
    <x v="1"/>
    <x v="7"/>
    <x v="2"/>
    <x v="2"/>
    <x v="0"/>
    <x v="1"/>
    <x v="1"/>
    <x v="1"/>
    <x v="1"/>
    <x v="1"/>
    <x v="1"/>
    <x v="0"/>
    <x v="0"/>
  </r>
  <r>
    <x v="5"/>
    <x v="11"/>
    <x v="0"/>
    <x v="0"/>
    <x v="0"/>
    <x v="16"/>
    <x v="1"/>
    <x v="2"/>
    <x v="15"/>
    <x v="0"/>
    <x v="2"/>
    <n v="1.0002207994461056"/>
    <x v="11"/>
    <x v="1"/>
    <x v="3"/>
    <x v="3"/>
    <x v="1"/>
    <x v="0"/>
    <x v="0"/>
    <x v="0"/>
    <x v="1"/>
    <x v="0"/>
    <x v="0"/>
    <x v="1"/>
    <x v="1"/>
    <x v="7"/>
    <x v="2"/>
    <x v="2"/>
    <x v="0"/>
    <x v="1"/>
    <x v="1"/>
    <x v="1"/>
    <x v="1"/>
    <x v="1"/>
    <x v="1"/>
    <x v="0"/>
    <x v="0"/>
  </r>
  <r>
    <x v="5"/>
    <x v="11"/>
    <x v="0"/>
    <x v="0"/>
    <x v="0"/>
    <x v="16"/>
    <x v="1"/>
    <x v="2"/>
    <x v="15"/>
    <x v="0"/>
    <x v="0"/>
    <n v="1.0002466011047364"/>
    <x v="11"/>
    <x v="1"/>
    <x v="3"/>
    <x v="3"/>
    <x v="1"/>
    <x v="0"/>
    <x v="0"/>
    <x v="0"/>
    <x v="1"/>
    <x v="0"/>
    <x v="0"/>
    <x v="1"/>
    <x v="1"/>
    <x v="7"/>
    <x v="2"/>
    <x v="2"/>
    <x v="0"/>
    <x v="1"/>
    <x v="1"/>
    <x v="1"/>
    <x v="1"/>
    <x v="1"/>
    <x v="1"/>
    <x v="0"/>
    <x v="0"/>
  </r>
  <r>
    <x v="5"/>
    <x v="11"/>
    <x v="0"/>
    <x v="0"/>
    <x v="0"/>
    <x v="16"/>
    <x v="1"/>
    <x v="2"/>
    <x v="15"/>
    <x v="0"/>
    <x v="2"/>
    <n v="1.0002207994461056"/>
    <x v="11"/>
    <x v="1"/>
    <x v="3"/>
    <x v="3"/>
    <x v="1"/>
    <x v="0"/>
    <x v="0"/>
    <x v="0"/>
    <x v="1"/>
    <x v="0"/>
    <x v="0"/>
    <x v="1"/>
    <x v="1"/>
    <x v="7"/>
    <x v="2"/>
    <x v="2"/>
    <x v="0"/>
    <x v="1"/>
    <x v="1"/>
    <x v="1"/>
    <x v="1"/>
    <x v="1"/>
    <x v="1"/>
    <x v="0"/>
    <x v="0"/>
  </r>
  <r>
    <x v="5"/>
    <x v="11"/>
    <x v="0"/>
    <x v="0"/>
    <x v="0"/>
    <x v="16"/>
    <x v="1"/>
    <x v="2"/>
    <x v="15"/>
    <x v="0"/>
    <x v="2"/>
    <n v="1.0002207994461056"/>
    <x v="11"/>
    <x v="1"/>
    <x v="3"/>
    <x v="3"/>
    <x v="1"/>
    <x v="0"/>
    <x v="0"/>
    <x v="0"/>
    <x v="1"/>
    <x v="0"/>
    <x v="0"/>
    <x v="1"/>
    <x v="1"/>
    <x v="7"/>
    <x v="2"/>
    <x v="2"/>
    <x v="0"/>
    <x v="1"/>
    <x v="1"/>
    <x v="1"/>
    <x v="1"/>
    <x v="1"/>
    <x v="1"/>
    <x v="0"/>
    <x v="0"/>
  </r>
  <r>
    <x v="5"/>
    <x v="11"/>
    <x v="0"/>
    <x v="0"/>
    <x v="0"/>
    <x v="16"/>
    <x v="1"/>
    <x v="2"/>
    <x v="15"/>
    <x v="0"/>
    <x v="3"/>
    <n v="1.0002432012557982"/>
    <x v="11"/>
    <x v="1"/>
    <x v="3"/>
    <x v="3"/>
    <x v="1"/>
    <x v="0"/>
    <x v="0"/>
    <x v="0"/>
    <x v="1"/>
    <x v="0"/>
    <x v="0"/>
    <x v="1"/>
    <x v="1"/>
    <x v="7"/>
    <x v="2"/>
    <x v="2"/>
    <x v="0"/>
    <x v="1"/>
    <x v="1"/>
    <x v="1"/>
    <x v="1"/>
    <x v="1"/>
    <x v="1"/>
    <x v="0"/>
    <x v="0"/>
  </r>
  <r>
    <x v="5"/>
    <x v="11"/>
    <x v="0"/>
    <x v="0"/>
    <x v="0"/>
    <x v="16"/>
    <x v="1"/>
    <x v="2"/>
    <x v="15"/>
    <x v="0"/>
    <x v="1"/>
    <n v="1.0002487993240359"/>
    <x v="11"/>
    <x v="1"/>
    <x v="3"/>
    <x v="3"/>
    <x v="1"/>
    <x v="0"/>
    <x v="0"/>
    <x v="0"/>
    <x v="1"/>
    <x v="0"/>
    <x v="0"/>
    <x v="1"/>
    <x v="1"/>
    <x v="7"/>
    <x v="2"/>
    <x v="2"/>
    <x v="0"/>
    <x v="1"/>
    <x v="1"/>
    <x v="1"/>
    <x v="1"/>
    <x v="1"/>
    <x v="1"/>
    <x v="0"/>
    <x v="0"/>
  </r>
  <r>
    <x v="5"/>
    <x v="11"/>
    <x v="0"/>
    <x v="0"/>
    <x v="0"/>
    <x v="16"/>
    <x v="1"/>
    <x v="2"/>
    <x v="15"/>
    <x v="0"/>
    <x v="0"/>
    <n v="1.0002466011047364"/>
    <x v="11"/>
    <x v="1"/>
    <x v="3"/>
    <x v="3"/>
    <x v="1"/>
    <x v="0"/>
    <x v="0"/>
    <x v="0"/>
    <x v="1"/>
    <x v="0"/>
    <x v="0"/>
    <x v="1"/>
    <x v="1"/>
    <x v="7"/>
    <x v="2"/>
    <x v="2"/>
    <x v="0"/>
    <x v="1"/>
    <x v="1"/>
    <x v="1"/>
    <x v="1"/>
    <x v="1"/>
    <x v="1"/>
    <x v="0"/>
    <x v="0"/>
  </r>
  <r>
    <x v="5"/>
    <x v="11"/>
    <x v="0"/>
    <x v="0"/>
    <x v="0"/>
    <x v="16"/>
    <x v="1"/>
    <x v="2"/>
    <x v="15"/>
    <x v="0"/>
    <x v="1"/>
    <n v="1.0002487993240359"/>
    <x v="11"/>
    <x v="1"/>
    <x v="3"/>
    <x v="3"/>
    <x v="1"/>
    <x v="0"/>
    <x v="0"/>
    <x v="0"/>
    <x v="1"/>
    <x v="0"/>
    <x v="0"/>
    <x v="1"/>
    <x v="1"/>
    <x v="7"/>
    <x v="2"/>
    <x v="2"/>
    <x v="0"/>
    <x v="1"/>
    <x v="1"/>
    <x v="1"/>
    <x v="1"/>
    <x v="1"/>
    <x v="1"/>
    <x v="0"/>
    <x v="0"/>
  </r>
  <r>
    <x v="5"/>
    <x v="11"/>
    <x v="0"/>
    <x v="0"/>
    <x v="0"/>
    <x v="16"/>
    <x v="1"/>
    <x v="2"/>
    <x v="15"/>
    <x v="0"/>
    <x v="3"/>
    <n v="1.0002432012557982"/>
    <x v="11"/>
    <x v="1"/>
    <x v="3"/>
    <x v="3"/>
    <x v="1"/>
    <x v="0"/>
    <x v="0"/>
    <x v="0"/>
    <x v="1"/>
    <x v="0"/>
    <x v="0"/>
    <x v="1"/>
    <x v="1"/>
    <x v="7"/>
    <x v="2"/>
    <x v="2"/>
    <x v="0"/>
    <x v="1"/>
    <x v="1"/>
    <x v="1"/>
    <x v="1"/>
    <x v="1"/>
    <x v="1"/>
    <x v="0"/>
    <x v="0"/>
  </r>
  <r>
    <x v="5"/>
    <x v="11"/>
    <x v="0"/>
    <x v="0"/>
    <x v="0"/>
    <x v="16"/>
    <x v="1"/>
    <x v="2"/>
    <x v="15"/>
    <x v="0"/>
    <x v="0"/>
    <n v="1.0002466011047364"/>
    <x v="11"/>
    <x v="1"/>
    <x v="3"/>
    <x v="3"/>
    <x v="1"/>
    <x v="0"/>
    <x v="0"/>
    <x v="0"/>
    <x v="1"/>
    <x v="0"/>
    <x v="0"/>
    <x v="1"/>
    <x v="1"/>
    <x v="7"/>
    <x v="2"/>
    <x v="2"/>
    <x v="0"/>
    <x v="1"/>
    <x v="1"/>
    <x v="1"/>
    <x v="1"/>
    <x v="1"/>
    <x v="1"/>
    <x v="0"/>
    <x v="0"/>
  </r>
  <r>
    <x v="5"/>
    <x v="11"/>
    <x v="0"/>
    <x v="0"/>
    <x v="0"/>
    <x v="16"/>
    <x v="1"/>
    <x v="2"/>
    <x v="15"/>
    <x v="0"/>
    <x v="3"/>
    <n v="1.0002432012557982"/>
    <x v="11"/>
    <x v="1"/>
    <x v="3"/>
    <x v="3"/>
    <x v="1"/>
    <x v="0"/>
    <x v="0"/>
    <x v="0"/>
    <x v="1"/>
    <x v="0"/>
    <x v="0"/>
    <x v="1"/>
    <x v="1"/>
    <x v="7"/>
    <x v="2"/>
    <x v="2"/>
    <x v="0"/>
    <x v="1"/>
    <x v="1"/>
    <x v="1"/>
    <x v="1"/>
    <x v="1"/>
    <x v="1"/>
    <x v="0"/>
    <x v="0"/>
  </r>
  <r>
    <x v="5"/>
    <x v="11"/>
    <x v="0"/>
    <x v="0"/>
    <x v="0"/>
    <x v="16"/>
    <x v="1"/>
    <x v="2"/>
    <x v="15"/>
    <x v="0"/>
    <x v="1"/>
    <n v="1.0002487993240359"/>
    <x v="11"/>
    <x v="1"/>
    <x v="3"/>
    <x v="3"/>
    <x v="1"/>
    <x v="0"/>
    <x v="0"/>
    <x v="0"/>
    <x v="1"/>
    <x v="0"/>
    <x v="0"/>
    <x v="1"/>
    <x v="1"/>
    <x v="7"/>
    <x v="2"/>
    <x v="2"/>
    <x v="0"/>
    <x v="1"/>
    <x v="1"/>
    <x v="1"/>
    <x v="1"/>
    <x v="1"/>
    <x v="1"/>
    <x v="0"/>
    <x v="0"/>
  </r>
  <r>
    <x v="5"/>
    <x v="11"/>
    <x v="0"/>
    <x v="0"/>
    <x v="0"/>
    <x v="16"/>
    <x v="1"/>
    <x v="2"/>
    <x v="15"/>
    <x v="0"/>
    <x v="0"/>
    <n v="1.0002466011047364"/>
    <x v="11"/>
    <x v="1"/>
    <x v="3"/>
    <x v="3"/>
    <x v="1"/>
    <x v="0"/>
    <x v="0"/>
    <x v="0"/>
    <x v="1"/>
    <x v="0"/>
    <x v="0"/>
    <x v="1"/>
    <x v="1"/>
    <x v="7"/>
    <x v="2"/>
    <x v="2"/>
    <x v="0"/>
    <x v="1"/>
    <x v="1"/>
    <x v="1"/>
    <x v="1"/>
    <x v="1"/>
    <x v="1"/>
    <x v="0"/>
    <x v="0"/>
  </r>
  <r>
    <x v="5"/>
    <x v="11"/>
    <x v="0"/>
    <x v="0"/>
    <x v="0"/>
    <x v="16"/>
    <x v="1"/>
    <x v="2"/>
    <x v="15"/>
    <x v="0"/>
    <x v="2"/>
    <n v="1.0002207994461056"/>
    <x v="11"/>
    <x v="1"/>
    <x v="3"/>
    <x v="3"/>
    <x v="1"/>
    <x v="0"/>
    <x v="0"/>
    <x v="0"/>
    <x v="1"/>
    <x v="0"/>
    <x v="0"/>
    <x v="1"/>
    <x v="1"/>
    <x v="7"/>
    <x v="2"/>
    <x v="2"/>
    <x v="0"/>
    <x v="1"/>
    <x v="1"/>
    <x v="1"/>
    <x v="1"/>
    <x v="1"/>
    <x v="1"/>
    <x v="0"/>
    <x v="0"/>
  </r>
  <r>
    <x v="5"/>
    <x v="11"/>
    <x v="0"/>
    <x v="0"/>
    <x v="0"/>
    <x v="17"/>
    <x v="0"/>
    <x v="2"/>
    <x v="15"/>
    <x v="0"/>
    <x v="3"/>
    <n v="0.99999537576328612"/>
    <x v="12"/>
    <x v="0"/>
    <x v="3"/>
    <x v="3"/>
    <x v="1"/>
    <x v="0"/>
    <x v="0"/>
    <x v="0"/>
    <x v="1"/>
    <x v="0"/>
    <x v="0"/>
    <x v="1"/>
    <x v="1"/>
    <x v="5"/>
    <x v="4"/>
    <x v="1"/>
    <x v="0"/>
    <x v="0"/>
    <x v="1"/>
    <x v="0"/>
    <x v="0"/>
    <x v="1"/>
    <x v="1"/>
    <x v="0"/>
    <x v="0"/>
  </r>
  <r>
    <x v="5"/>
    <x v="11"/>
    <x v="0"/>
    <x v="0"/>
    <x v="0"/>
    <x v="17"/>
    <x v="0"/>
    <x v="2"/>
    <x v="15"/>
    <x v="0"/>
    <x v="2"/>
    <n v="0.99999519393901637"/>
    <x v="12"/>
    <x v="0"/>
    <x v="3"/>
    <x v="3"/>
    <x v="1"/>
    <x v="0"/>
    <x v="0"/>
    <x v="0"/>
    <x v="1"/>
    <x v="0"/>
    <x v="0"/>
    <x v="1"/>
    <x v="1"/>
    <x v="5"/>
    <x v="4"/>
    <x v="1"/>
    <x v="0"/>
    <x v="0"/>
    <x v="1"/>
    <x v="0"/>
    <x v="0"/>
    <x v="1"/>
    <x v="1"/>
    <x v="0"/>
    <x v="0"/>
  </r>
  <r>
    <x v="5"/>
    <x v="11"/>
    <x v="0"/>
    <x v="0"/>
    <x v="0"/>
    <x v="17"/>
    <x v="0"/>
    <x v="2"/>
    <x v="15"/>
    <x v="0"/>
    <x v="0"/>
    <n v="0.99999528685001404"/>
    <x v="12"/>
    <x v="0"/>
    <x v="3"/>
    <x v="3"/>
    <x v="1"/>
    <x v="0"/>
    <x v="0"/>
    <x v="0"/>
    <x v="1"/>
    <x v="0"/>
    <x v="0"/>
    <x v="1"/>
    <x v="1"/>
    <x v="5"/>
    <x v="4"/>
    <x v="1"/>
    <x v="0"/>
    <x v="0"/>
    <x v="1"/>
    <x v="0"/>
    <x v="0"/>
    <x v="1"/>
    <x v="1"/>
    <x v="0"/>
    <x v="0"/>
  </r>
  <r>
    <x v="5"/>
    <x v="11"/>
    <x v="0"/>
    <x v="0"/>
    <x v="0"/>
    <x v="17"/>
    <x v="0"/>
    <x v="2"/>
    <x v="15"/>
    <x v="0"/>
    <x v="1"/>
    <n v="0.99999545858363903"/>
    <x v="12"/>
    <x v="0"/>
    <x v="3"/>
    <x v="3"/>
    <x v="1"/>
    <x v="0"/>
    <x v="0"/>
    <x v="0"/>
    <x v="1"/>
    <x v="0"/>
    <x v="0"/>
    <x v="1"/>
    <x v="1"/>
    <x v="5"/>
    <x v="4"/>
    <x v="1"/>
    <x v="0"/>
    <x v="0"/>
    <x v="1"/>
    <x v="0"/>
    <x v="0"/>
    <x v="1"/>
    <x v="1"/>
    <x v="0"/>
    <x v="0"/>
  </r>
  <r>
    <x v="5"/>
    <x v="11"/>
    <x v="0"/>
    <x v="0"/>
    <x v="0"/>
    <x v="17"/>
    <x v="0"/>
    <x v="2"/>
    <x v="15"/>
    <x v="0"/>
    <x v="0"/>
    <n v="0.99999528685001404"/>
    <x v="12"/>
    <x v="0"/>
    <x v="3"/>
    <x v="3"/>
    <x v="1"/>
    <x v="0"/>
    <x v="0"/>
    <x v="0"/>
    <x v="1"/>
    <x v="0"/>
    <x v="0"/>
    <x v="1"/>
    <x v="1"/>
    <x v="5"/>
    <x v="4"/>
    <x v="1"/>
    <x v="0"/>
    <x v="0"/>
    <x v="1"/>
    <x v="0"/>
    <x v="0"/>
    <x v="1"/>
    <x v="1"/>
    <x v="0"/>
    <x v="0"/>
  </r>
  <r>
    <x v="5"/>
    <x v="11"/>
    <x v="0"/>
    <x v="0"/>
    <x v="0"/>
    <x v="17"/>
    <x v="0"/>
    <x v="2"/>
    <x v="15"/>
    <x v="0"/>
    <x v="1"/>
    <n v="0.99999545858363903"/>
    <x v="12"/>
    <x v="0"/>
    <x v="3"/>
    <x v="3"/>
    <x v="1"/>
    <x v="0"/>
    <x v="0"/>
    <x v="0"/>
    <x v="1"/>
    <x v="0"/>
    <x v="0"/>
    <x v="1"/>
    <x v="1"/>
    <x v="5"/>
    <x v="4"/>
    <x v="1"/>
    <x v="0"/>
    <x v="0"/>
    <x v="1"/>
    <x v="0"/>
    <x v="0"/>
    <x v="1"/>
    <x v="1"/>
    <x v="0"/>
    <x v="0"/>
  </r>
  <r>
    <x v="5"/>
    <x v="11"/>
    <x v="0"/>
    <x v="0"/>
    <x v="0"/>
    <x v="17"/>
    <x v="0"/>
    <x v="2"/>
    <x v="15"/>
    <x v="0"/>
    <x v="3"/>
    <n v="0.99999537576328612"/>
    <x v="12"/>
    <x v="0"/>
    <x v="3"/>
    <x v="3"/>
    <x v="1"/>
    <x v="0"/>
    <x v="0"/>
    <x v="0"/>
    <x v="1"/>
    <x v="0"/>
    <x v="0"/>
    <x v="1"/>
    <x v="1"/>
    <x v="5"/>
    <x v="4"/>
    <x v="1"/>
    <x v="0"/>
    <x v="0"/>
    <x v="1"/>
    <x v="0"/>
    <x v="0"/>
    <x v="1"/>
    <x v="1"/>
    <x v="0"/>
    <x v="0"/>
  </r>
  <r>
    <x v="5"/>
    <x v="11"/>
    <x v="0"/>
    <x v="0"/>
    <x v="0"/>
    <x v="18"/>
    <x v="1"/>
    <x v="2"/>
    <x v="15"/>
    <x v="0"/>
    <x v="1"/>
    <n v="1.0002487993240359"/>
    <x v="11"/>
    <x v="1"/>
    <x v="3"/>
    <x v="3"/>
    <x v="1"/>
    <x v="0"/>
    <x v="0"/>
    <x v="0"/>
    <x v="1"/>
    <x v="0"/>
    <x v="0"/>
    <x v="1"/>
    <x v="1"/>
    <x v="7"/>
    <x v="2"/>
    <x v="2"/>
    <x v="0"/>
    <x v="1"/>
    <x v="1"/>
    <x v="1"/>
    <x v="1"/>
    <x v="1"/>
    <x v="1"/>
    <x v="0"/>
    <x v="0"/>
  </r>
  <r>
    <x v="5"/>
    <x v="11"/>
    <x v="0"/>
    <x v="0"/>
    <x v="0"/>
    <x v="18"/>
    <x v="1"/>
    <x v="2"/>
    <x v="16"/>
    <x v="0"/>
    <x v="0"/>
    <n v="1.0002466011047364"/>
    <x v="11"/>
    <x v="1"/>
    <x v="3"/>
    <x v="3"/>
    <x v="1"/>
    <x v="0"/>
    <x v="0"/>
    <x v="0"/>
    <x v="1"/>
    <x v="0"/>
    <x v="0"/>
    <x v="1"/>
    <x v="1"/>
    <x v="7"/>
    <x v="2"/>
    <x v="2"/>
    <x v="0"/>
    <x v="1"/>
    <x v="1"/>
    <x v="1"/>
    <x v="1"/>
    <x v="1"/>
    <x v="1"/>
    <x v="0"/>
    <x v="0"/>
  </r>
  <r>
    <x v="5"/>
    <x v="11"/>
    <x v="0"/>
    <x v="0"/>
    <x v="0"/>
    <x v="17"/>
    <x v="0"/>
    <x v="2"/>
    <x v="16"/>
    <x v="0"/>
    <x v="2"/>
    <n v="0.99999519393901637"/>
    <x v="12"/>
    <x v="0"/>
    <x v="3"/>
    <x v="3"/>
    <x v="1"/>
    <x v="0"/>
    <x v="0"/>
    <x v="0"/>
    <x v="1"/>
    <x v="0"/>
    <x v="0"/>
    <x v="1"/>
    <x v="1"/>
    <x v="5"/>
    <x v="4"/>
    <x v="1"/>
    <x v="0"/>
    <x v="0"/>
    <x v="1"/>
    <x v="0"/>
    <x v="0"/>
    <x v="1"/>
    <x v="1"/>
    <x v="0"/>
    <x v="0"/>
  </r>
  <r>
    <x v="5"/>
    <x v="11"/>
    <x v="0"/>
    <x v="0"/>
    <x v="0"/>
    <x v="18"/>
    <x v="1"/>
    <x v="2"/>
    <x v="16"/>
    <x v="0"/>
    <x v="1"/>
    <n v="1.0002487993240359"/>
    <x v="11"/>
    <x v="1"/>
    <x v="3"/>
    <x v="3"/>
    <x v="1"/>
    <x v="0"/>
    <x v="0"/>
    <x v="0"/>
    <x v="1"/>
    <x v="0"/>
    <x v="0"/>
    <x v="1"/>
    <x v="1"/>
    <x v="7"/>
    <x v="2"/>
    <x v="2"/>
    <x v="0"/>
    <x v="1"/>
    <x v="1"/>
    <x v="1"/>
    <x v="1"/>
    <x v="1"/>
    <x v="1"/>
    <x v="0"/>
    <x v="0"/>
  </r>
  <r>
    <x v="5"/>
    <x v="11"/>
    <x v="0"/>
    <x v="0"/>
    <x v="0"/>
    <x v="18"/>
    <x v="1"/>
    <x v="2"/>
    <x v="16"/>
    <x v="0"/>
    <x v="3"/>
    <n v="1.0002432012557982"/>
    <x v="11"/>
    <x v="1"/>
    <x v="3"/>
    <x v="3"/>
    <x v="1"/>
    <x v="0"/>
    <x v="0"/>
    <x v="0"/>
    <x v="1"/>
    <x v="0"/>
    <x v="0"/>
    <x v="1"/>
    <x v="1"/>
    <x v="7"/>
    <x v="2"/>
    <x v="2"/>
    <x v="0"/>
    <x v="1"/>
    <x v="1"/>
    <x v="1"/>
    <x v="1"/>
    <x v="1"/>
    <x v="1"/>
    <x v="0"/>
    <x v="0"/>
  </r>
  <r>
    <x v="5"/>
    <x v="11"/>
    <x v="0"/>
    <x v="0"/>
    <x v="0"/>
    <x v="18"/>
    <x v="1"/>
    <x v="2"/>
    <x v="16"/>
    <x v="0"/>
    <x v="2"/>
    <n v="1.0002207994461056"/>
    <x v="11"/>
    <x v="1"/>
    <x v="3"/>
    <x v="3"/>
    <x v="1"/>
    <x v="0"/>
    <x v="0"/>
    <x v="0"/>
    <x v="1"/>
    <x v="0"/>
    <x v="0"/>
    <x v="1"/>
    <x v="1"/>
    <x v="7"/>
    <x v="2"/>
    <x v="2"/>
    <x v="0"/>
    <x v="1"/>
    <x v="1"/>
    <x v="1"/>
    <x v="1"/>
    <x v="1"/>
    <x v="1"/>
    <x v="0"/>
    <x v="0"/>
  </r>
  <r>
    <x v="5"/>
    <x v="11"/>
    <x v="0"/>
    <x v="0"/>
    <x v="0"/>
    <x v="18"/>
    <x v="1"/>
    <x v="2"/>
    <x v="16"/>
    <x v="0"/>
    <x v="1"/>
    <n v="1.0002487993240359"/>
    <x v="11"/>
    <x v="1"/>
    <x v="3"/>
    <x v="3"/>
    <x v="1"/>
    <x v="0"/>
    <x v="0"/>
    <x v="0"/>
    <x v="1"/>
    <x v="0"/>
    <x v="0"/>
    <x v="1"/>
    <x v="1"/>
    <x v="7"/>
    <x v="2"/>
    <x v="2"/>
    <x v="0"/>
    <x v="1"/>
    <x v="1"/>
    <x v="1"/>
    <x v="1"/>
    <x v="1"/>
    <x v="1"/>
    <x v="0"/>
    <x v="0"/>
  </r>
  <r>
    <x v="5"/>
    <x v="11"/>
    <x v="0"/>
    <x v="0"/>
    <x v="0"/>
    <x v="18"/>
    <x v="1"/>
    <x v="2"/>
    <x v="16"/>
    <x v="0"/>
    <x v="0"/>
    <n v="1.0002466011047364"/>
    <x v="11"/>
    <x v="1"/>
    <x v="3"/>
    <x v="3"/>
    <x v="1"/>
    <x v="0"/>
    <x v="0"/>
    <x v="0"/>
    <x v="1"/>
    <x v="0"/>
    <x v="0"/>
    <x v="1"/>
    <x v="1"/>
    <x v="7"/>
    <x v="2"/>
    <x v="2"/>
    <x v="0"/>
    <x v="1"/>
    <x v="1"/>
    <x v="1"/>
    <x v="1"/>
    <x v="1"/>
    <x v="1"/>
    <x v="0"/>
    <x v="0"/>
  </r>
  <r>
    <x v="5"/>
    <x v="11"/>
    <x v="0"/>
    <x v="0"/>
    <x v="0"/>
    <x v="18"/>
    <x v="1"/>
    <x v="2"/>
    <x v="16"/>
    <x v="0"/>
    <x v="1"/>
    <n v="1.0002487993240359"/>
    <x v="11"/>
    <x v="1"/>
    <x v="3"/>
    <x v="3"/>
    <x v="1"/>
    <x v="0"/>
    <x v="0"/>
    <x v="0"/>
    <x v="1"/>
    <x v="0"/>
    <x v="0"/>
    <x v="1"/>
    <x v="1"/>
    <x v="7"/>
    <x v="2"/>
    <x v="2"/>
    <x v="0"/>
    <x v="1"/>
    <x v="1"/>
    <x v="1"/>
    <x v="1"/>
    <x v="1"/>
    <x v="1"/>
    <x v="0"/>
    <x v="0"/>
  </r>
  <r>
    <x v="5"/>
    <x v="11"/>
    <x v="0"/>
    <x v="0"/>
    <x v="0"/>
    <x v="18"/>
    <x v="1"/>
    <x v="2"/>
    <x v="16"/>
    <x v="0"/>
    <x v="0"/>
    <n v="1.0002466011047364"/>
    <x v="11"/>
    <x v="1"/>
    <x v="3"/>
    <x v="3"/>
    <x v="1"/>
    <x v="0"/>
    <x v="0"/>
    <x v="0"/>
    <x v="1"/>
    <x v="0"/>
    <x v="0"/>
    <x v="1"/>
    <x v="1"/>
    <x v="7"/>
    <x v="2"/>
    <x v="2"/>
    <x v="0"/>
    <x v="1"/>
    <x v="1"/>
    <x v="1"/>
    <x v="1"/>
    <x v="1"/>
    <x v="1"/>
    <x v="0"/>
    <x v="0"/>
  </r>
  <r>
    <x v="5"/>
    <x v="11"/>
    <x v="0"/>
    <x v="0"/>
    <x v="0"/>
    <x v="18"/>
    <x v="1"/>
    <x v="2"/>
    <x v="16"/>
    <x v="0"/>
    <x v="2"/>
    <n v="1.0002207994461056"/>
    <x v="11"/>
    <x v="1"/>
    <x v="3"/>
    <x v="3"/>
    <x v="1"/>
    <x v="0"/>
    <x v="0"/>
    <x v="0"/>
    <x v="1"/>
    <x v="0"/>
    <x v="0"/>
    <x v="1"/>
    <x v="1"/>
    <x v="7"/>
    <x v="2"/>
    <x v="2"/>
    <x v="0"/>
    <x v="1"/>
    <x v="1"/>
    <x v="1"/>
    <x v="1"/>
    <x v="1"/>
    <x v="1"/>
    <x v="0"/>
    <x v="0"/>
  </r>
  <r>
    <x v="5"/>
    <x v="11"/>
    <x v="0"/>
    <x v="0"/>
    <x v="0"/>
    <x v="18"/>
    <x v="1"/>
    <x v="2"/>
    <x v="16"/>
    <x v="0"/>
    <x v="1"/>
    <n v="1.0002487993240359"/>
    <x v="11"/>
    <x v="1"/>
    <x v="3"/>
    <x v="3"/>
    <x v="1"/>
    <x v="0"/>
    <x v="0"/>
    <x v="0"/>
    <x v="1"/>
    <x v="0"/>
    <x v="0"/>
    <x v="1"/>
    <x v="1"/>
    <x v="7"/>
    <x v="2"/>
    <x v="2"/>
    <x v="0"/>
    <x v="1"/>
    <x v="1"/>
    <x v="1"/>
    <x v="1"/>
    <x v="1"/>
    <x v="1"/>
    <x v="0"/>
    <x v="0"/>
  </r>
  <r>
    <x v="5"/>
    <x v="11"/>
    <x v="0"/>
    <x v="0"/>
    <x v="0"/>
    <x v="18"/>
    <x v="1"/>
    <x v="2"/>
    <x v="16"/>
    <x v="0"/>
    <x v="3"/>
    <n v="1.0002432012557982"/>
    <x v="11"/>
    <x v="1"/>
    <x v="3"/>
    <x v="3"/>
    <x v="1"/>
    <x v="0"/>
    <x v="0"/>
    <x v="0"/>
    <x v="1"/>
    <x v="0"/>
    <x v="0"/>
    <x v="1"/>
    <x v="1"/>
    <x v="7"/>
    <x v="2"/>
    <x v="2"/>
    <x v="0"/>
    <x v="1"/>
    <x v="1"/>
    <x v="1"/>
    <x v="1"/>
    <x v="1"/>
    <x v="1"/>
    <x v="0"/>
    <x v="0"/>
  </r>
  <r>
    <x v="5"/>
    <x v="11"/>
    <x v="0"/>
    <x v="0"/>
    <x v="0"/>
    <x v="18"/>
    <x v="1"/>
    <x v="2"/>
    <x v="16"/>
    <x v="0"/>
    <x v="3"/>
    <n v="1.0002432012557982"/>
    <x v="11"/>
    <x v="1"/>
    <x v="3"/>
    <x v="3"/>
    <x v="1"/>
    <x v="0"/>
    <x v="0"/>
    <x v="0"/>
    <x v="1"/>
    <x v="0"/>
    <x v="0"/>
    <x v="1"/>
    <x v="1"/>
    <x v="7"/>
    <x v="2"/>
    <x v="2"/>
    <x v="0"/>
    <x v="1"/>
    <x v="1"/>
    <x v="1"/>
    <x v="1"/>
    <x v="1"/>
    <x v="1"/>
    <x v="0"/>
    <x v="0"/>
  </r>
  <r>
    <x v="5"/>
    <x v="11"/>
    <x v="0"/>
    <x v="0"/>
    <x v="0"/>
    <x v="18"/>
    <x v="1"/>
    <x v="2"/>
    <x v="16"/>
    <x v="0"/>
    <x v="2"/>
    <n v="1.0002207994461056"/>
    <x v="11"/>
    <x v="1"/>
    <x v="3"/>
    <x v="3"/>
    <x v="1"/>
    <x v="0"/>
    <x v="0"/>
    <x v="0"/>
    <x v="1"/>
    <x v="0"/>
    <x v="0"/>
    <x v="1"/>
    <x v="1"/>
    <x v="7"/>
    <x v="2"/>
    <x v="2"/>
    <x v="0"/>
    <x v="1"/>
    <x v="1"/>
    <x v="1"/>
    <x v="1"/>
    <x v="1"/>
    <x v="1"/>
    <x v="0"/>
    <x v="0"/>
  </r>
  <r>
    <x v="5"/>
    <x v="11"/>
    <x v="0"/>
    <x v="0"/>
    <x v="0"/>
    <x v="18"/>
    <x v="1"/>
    <x v="2"/>
    <x v="16"/>
    <x v="0"/>
    <x v="3"/>
    <n v="1.0002432012557982"/>
    <x v="11"/>
    <x v="1"/>
    <x v="3"/>
    <x v="3"/>
    <x v="1"/>
    <x v="0"/>
    <x v="0"/>
    <x v="0"/>
    <x v="1"/>
    <x v="0"/>
    <x v="0"/>
    <x v="1"/>
    <x v="1"/>
    <x v="7"/>
    <x v="2"/>
    <x v="2"/>
    <x v="0"/>
    <x v="1"/>
    <x v="1"/>
    <x v="1"/>
    <x v="1"/>
    <x v="1"/>
    <x v="1"/>
    <x v="0"/>
    <x v="0"/>
  </r>
  <r>
    <x v="5"/>
    <x v="11"/>
    <x v="0"/>
    <x v="0"/>
    <x v="0"/>
    <x v="18"/>
    <x v="1"/>
    <x v="2"/>
    <x v="16"/>
    <x v="0"/>
    <x v="0"/>
    <n v="1.0002466011047364"/>
    <x v="11"/>
    <x v="1"/>
    <x v="3"/>
    <x v="3"/>
    <x v="1"/>
    <x v="0"/>
    <x v="0"/>
    <x v="0"/>
    <x v="1"/>
    <x v="0"/>
    <x v="0"/>
    <x v="1"/>
    <x v="1"/>
    <x v="7"/>
    <x v="2"/>
    <x v="2"/>
    <x v="0"/>
    <x v="1"/>
    <x v="1"/>
    <x v="1"/>
    <x v="1"/>
    <x v="1"/>
    <x v="1"/>
    <x v="0"/>
    <x v="0"/>
  </r>
  <r>
    <x v="5"/>
    <x v="11"/>
    <x v="0"/>
    <x v="0"/>
    <x v="0"/>
    <x v="16"/>
    <x v="1"/>
    <x v="2"/>
    <x v="16"/>
    <x v="0"/>
    <x v="2"/>
    <n v="1.0002207994461056"/>
    <x v="11"/>
    <x v="1"/>
    <x v="3"/>
    <x v="3"/>
    <x v="1"/>
    <x v="0"/>
    <x v="0"/>
    <x v="0"/>
    <x v="1"/>
    <x v="0"/>
    <x v="0"/>
    <x v="1"/>
    <x v="1"/>
    <x v="7"/>
    <x v="2"/>
    <x v="2"/>
    <x v="0"/>
    <x v="1"/>
    <x v="1"/>
    <x v="1"/>
    <x v="1"/>
    <x v="1"/>
    <x v="1"/>
    <x v="0"/>
    <x v="0"/>
  </r>
  <r>
    <x v="5"/>
    <x v="11"/>
    <x v="0"/>
    <x v="0"/>
    <x v="0"/>
    <x v="16"/>
    <x v="1"/>
    <x v="2"/>
    <x v="16"/>
    <x v="0"/>
    <x v="3"/>
    <n v="1.0002432012557982"/>
    <x v="11"/>
    <x v="1"/>
    <x v="3"/>
    <x v="3"/>
    <x v="1"/>
    <x v="0"/>
    <x v="0"/>
    <x v="0"/>
    <x v="1"/>
    <x v="0"/>
    <x v="0"/>
    <x v="1"/>
    <x v="1"/>
    <x v="7"/>
    <x v="2"/>
    <x v="2"/>
    <x v="0"/>
    <x v="1"/>
    <x v="1"/>
    <x v="1"/>
    <x v="1"/>
    <x v="1"/>
    <x v="1"/>
    <x v="0"/>
    <x v="0"/>
  </r>
  <r>
    <x v="5"/>
    <x v="11"/>
    <x v="0"/>
    <x v="0"/>
    <x v="0"/>
    <x v="16"/>
    <x v="1"/>
    <x v="2"/>
    <x v="16"/>
    <x v="0"/>
    <x v="0"/>
    <n v="1.0002466011047364"/>
    <x v="11"/>
    <x v="1"/>
    <x v="3"/>
    <x v="3"/>
    <x v="1"/>
    <x v="0"/>
    <x v="0"/>
    <x v="0"/>
    <x v="1"/>
    <x v="0"/>
    <x v="0"/>
    <x v="1"/>
    <x v="1"/>
    <x v="7"/>
    <x v="2"/>
    <x v="2"/>
    <x v="0"/>
    <x v="1"/>
    <x v="1"/>
    <x v="1"/>
    <x v="1"/>
    <x v="1"/>
    <x v="1"/>
    <x v="0"/>
    <x v="0"/>
  </r>
  <r>
    <x v="5"/>
    <x v="11"/>
    <x v="0"/>
    <x v="0"/>
    <x v="0"/>
    <x v="18"/>
    <x v="1"/>
    <x v="2"/>
    <x v="16"/>
    <x v="0"/>
    <x v="1"/>
    <n v="1.0002487993240359"/>
    <x v="11"/>
    <x v="1"/>
    <x v="3"/>
    <x v="3"/>
    <x v="1"/>
    <x v="0"/>
    <x v="0"/>
    <x v="0"/>
    <x v="1"/>
    <x v="0"/>
    <x v="0"/>
    <x v="1"/>
    <x v="1"/>
    <x v="7"/>
    <x v="2"/>
    <x v="2"/>
    <x v="0"/>
    <x v="1"/>
    <x v="1"/>
    <x v="1"/>
    <x v="1"/>
    <x v="1"/>
    <x v="1"/>
    <x v="0"/>
    <x v="0"/>
  </r>
  <r>
    <x v="5"/>
    <x v="11"/>
    <x v="0"/>
    <x v="0"/>
    <x v="0"/>
    <x v="18"/>
    <x v="1"/>
    <x v="2"/>
    <x v="16"/>
    <x v="0"/>
    <x v="3"/>
    <n v="1.0002432012557982"/>
    <x v="11"/>
    <x v="1"/>
    <x v="3"/>
    <x v="3"/>
    <x v="1"/>
    <x v="0"/>
    <x v="0"/>
    <x v="0"/>
    <x v="1"/>
    <x v="0"/>
    <x v="0"/>
    <x v="1"/>
    <x v="1"/>
    <x v="7"/>
    <x v="2"/>
    <x v="2"/>
    <x v="0"/>
    <x v="1"/>
    <x v="1"/>
    <x v="1"/>
    <x v="1"/>
    <x v="1"/>
    <x v="1"/>
    <x v="0"/>
    <x v="0"/>
  </r>
  <r>
    <x v="5"/>
    <x v="11"/>
    <x v="0"/>
    <x v="0"/>
    <x v="0"/>
    <x v="18"/>
    <x v="1"/>
    <x v="2"/>
    <x v="16"/>
    <x v="0"/>
    <x v="2"/>
    <n v="1.0002207994461056"/>
    <x v="11"/>
    <x v="1"/>
    <x v="3"/>
    <x v="3"/>
    <x v="1"/>
    <x v="0"/>
    <x v="0"/>
    <x v="0"/>
    <x v="1"/>
    <x v="0"/>
    <x v="0"/>
    <x v="1"/>
    <x v="1"/>
    <x v="7"/>
    <x v="2"/>
    <x v="2"/>
    <x v="0"/>
    <x v="1"/>
    <x v="1"/>
    <x v="1"/>
    <x v="1"/>
    <x v="1"/>
    <x v="1"/>
    <x v="0"/>
    <x v="0"/>
  </r>
  <r>
    <x v="5"/>
    <x v="11"/>
    <x v="0"/>
    <x v="0"/>
    <x v="0"/>
    <x v="18"/>
    <x v="1"/>
    <x v="2"/>
    <x v="16"/>
    <x v="0"/>
    <x v="2"/>
    <n v="1.0002207994461056"/>
    <x v="11"/>
    <x v="1"/>
    <x v="3"/>
    <x v="3"/>
    <x v="1"/>
    <x v="0"/>
    <x v="0"/>
    <x v="0"/>
    <x v="1"/>
    <x v="0"/>
    <x v="0"/>
    <x v="1"/>
    <x v="1"/>
    <x v="7"/>
    <x v="2"/>
    <x v="2"/>
    <x v="0"/>
    <x v="1"/>
    <x v="1"/>
    <x v="1"/>
    <x v="1"/>
    <x v="1"/>
    <x v="1"/>
    <x v="0"/>
    <x v="0"/>
  </r>
  <r>
    <x v="5"/>
    <x v="11"/>
    <x v="0"/>
    <x v="0"/>
    <x v="0"/>
    <x v="18"/>
    <x v="1"/>
    <x v="2"/>
    <x v="16"/>
    <x v="0"/>
    <x v="1"/>
    <n v="1.0002487993240359"/>
    <x v="11"/>
    <x v="1"/>
    <x v="3"/>
    <x v="3"/>
    <x v="1"/>
    <x v="0"/>
    <x v="0"/>
    <x v="0"/>
    <x v="1"/>
    <x v="0"/>
    <x v="0"/>
    <x v="1"/>
    <x v="1"/>
    <x v="7"/>
    <x v="2"/>
    <x v="2"/>
    <x v="0"/>
    <x v="1"/>
    <x v="1"/>
    <x v="1"/>
    <x v="1"/>
    <x v="1"/>
    <x v="1"/>
    <x v="0"/>
    <x v="0"/>
  </r>
  <r>
    <x v="5"/>
    <x v="11"/>
    <x v="0"/>
    <x v="0"/>
    <x v="0"/>
    <x v="18"/>
    <x v="1"/>
    <x v="2"/>
    <x v="16"/>
    <x v="0"/>
    <x v="3"/>
    <n v="1.0002432012557982"/>
    <x v="11"/>
    <x v="1"/>
    <x v="3"/>
    <x v="3"/>
    <x v="1"/>
    <x v="0"/>
    <x v="0"/>
    <x v="0"/>
    <x v="1"/>
    <x v="0"/>
    <x v="0"/>
    <x v="1"/>
    <x v="1"/>
    <x v="7"/>
    <x v="2"/>
    <x v="2"/>
    <x v="0"/>
    <x v="1"/>
    <x v="1"/>
    <x v="1"/>
    <x v="1"/>
    <x v="1"/>
    <x v="1"/>
    <x v="0"/>
    <x v="0"/>
  </r>
  <r>
    <x v="5"/>
    <x v="11"/>
    <x v="0"/>
    <x v="0"/>
    <x v="0"/>
    <x v="18"/>
    <x v="1"/>
    <x v="2"/>
    <x v="16"/>
    <x v="0"/>
    <x v="2"/>
    <n v="1.0002207994461056"/>
    <x v="11"/>
    <x v="1"/>
    <x v="3"/>
    <x v="3"/>
    <x v="1"/>
    <x v="0"/>
    <x v="0"/>
    <x v="0"/>
    <x v="1"/>
    <x v="0"/>
    <x v="0"/>
    <x v="1"/>
    <x v="1"/>
    <x v="7"/>
    <x v="2"/>
    <x v="2"/>
    <x v="0"/>
    <x v="1"/>
    <x v="1"/>
    <x v="1"/>
    <x v="1"/>
    <x v="1"/>
    <x v="1"/>
    <x v="0"/>
    <x v="0"/>
  </r>
  <r>
    <x v="5"/>
    <x v="11"/>
    <x v="0"/>
    <x v="0"/>
    <x v="0"/>
    <x v="18"/>
    <x v="1"/>
    <x v="2"/>
    <x v="16"/>
    <x v="0"/>
    <x v="0"/>
    <n v="1.0002466011047364"/>
    <x v="11"/>
    <x v="1"/>
    <x v="3"/>
    <x v="3"/>
    <x v="1"/>
    <x v="0"/>
    <x v="0"/>
    <x v="0"/>
    <x v="1"/>
    <x v="0"/>
    <x v="0"/>
    <x v="1"/>
    <x v="1"/>
    <x v="7"/>
    <x v="2"/>
    <x v="2"/>
    <x v="0"/>
    <x v="1"/>
    <x v="1"/>
    <x v="1"/>
    <x v="1"/>
    <x v="1"/>
    <x v="1"/>
    <x v="0"/>
    <x v="0"/>
  </r>
  <r>
    <x v="5"/>
    <x v="11"/>
    <x v="0"/>
    <x v="0"/>
    <x v="0"/>
    <x v="16"/>
    <x v="1"/>
    <x v="2"/>
    <x v="16"/>
    <x v="0"/>
    <x v="2"/>
    <n v="1.0002207994461056"/>
    <x v="11"/>
    <x v="1"/>
    <x v="3"/>
    <x v="3"/>
    <x v="1"/>
    <x v="0"/>
    <x v="0"/>
    <x v="0"/>
    <x v="1"/>
    <x v="0"/>
    <x v="0"/>
    <x v="1"/>
    <x v="1"/>
    <x v="7"/>
    <x v="2"/>
    <x v="2"/>
    <x v="0"/>
    <x v="1"/>
    <x v="1"/>
    <x v="1"/>
    <x v="1"/>
    <x v="1"/>
    <x v="1"/>
    <x v="0"/>
    <x v="0"/>
  </r>
  <r>
    <x v="5"/>
    <x v="11"/>
    <x v="0"/>
    <x v="0"/>
    <x v="0"/>
    <x v="16"/>
    <x v="1"/>
    <x v="2"/>
    <x v="16"/>
    <x v="0"/>
    <x v="2"/>
    <n v="1.0002207994461056"/>
    <x v="11"/>
    <x v="1"/>
    <x v="3"/>
    <x v="3"/>
    <x v="1"/>
    <x v="0"/>
    <x v="0"/>
    <x v="0"/>
    <x v="1"/>
    <x v="0"/>
    <x v="0"/>
    <x v="1"/>
    <x v="1"/>
    <x v="7"/>
    <x v="2"/>
    <x v="2"/>
    <x v="0"/>
    <x v="1"/>
    <x v="1"/>
    <x v="1"/>
    <x v="1"/>
    <x v="1"/>
    <x v="1"/>
    <x v="0"/>
    <x v="0"/>
  </r>
  <r>
    <x v="5"/>
    <x v="11"/>
    <x v="0"/>
    <x v="0"/>
    <x v="0"/>
    <x v="16"/>
    <x v="1"/>
    <x v="2"/>
    <x v="16"/>
    <x v="0"/>
    <x v="1"/>
    <n v="1.0002487993240359"/>
    <x v="11"/>
    <x v="1"/>
    <x v="3"/>
    <x v="3"/>
    <x v="1"/>
    <x v="0"/>
    <x v="0"/>
    <x v="0"/>
    <x v="1"/>
    <x v="0"/>
    <x v="0"/>
    <x v="1"/>
    <x v="1"/>
    <x v="7"/>
    <x v="2"/>
    <x v="2"/>
    <x v="0"/>
    <x v="1"/>
    <x v="1"/>
    <x v="1"/>
    <x v="1"/>
    <x v="1"/>
    <x v="1"/>
    <x v="0"/>
    <x v="0"/>
  </r>
  <r>
    <x v="5"/>
    <x v="11"/>
    <x v="0"/>
    <x v="0"/>
    <x v="0"/>
    <x v="16"/>
    <x v="1"/>
    <x v="2"/>
    <x v="16"/>
    <x v="0"/>
    <x v="0"/>
    <n v="1.0002466011047364"/>
    <x v="11"/>
    <x v="1"/>
    <x v="3"/>
    <x v="3"/>
    <x v="1"/>
    <x v="0"/>
    <x v="0"/>
    <x v="0"/>
    <x v="1"/>
    <x v="0"/>
    <x v="0"/>
    <x v="1"/>
    <x v="1"/>
    <x v="7"/>
    <x v="2"/>
    <x v="2"/>
    <x v="0"/>
    <x v="1"/>
    <x v="1"/>
    <x v="1"/>
    <x v="1"/>
    <x v="1"/>
    <x v="1"/>
    <x v="0"/>
    <x v="0"/>
  </r>
  <r>
    <x v="5"/>
    <x v="11"/>
    <x v="0"/>
    <x v="0"/>
    <x v="0"/>
    <x v="16"/>
    <x v="1"/>
    <x v="2"/>
    <x v="16"/>
    <x v="0"/>
    <x v="3"/>
    <n v="1.0002432012557982"/>
    <x v="11"/>
    <x v="1"/>
    <x v="3"/>
    <x v="3"/>
    <x v="1"/>
    <x v="0"/>
    <x v="0"/>
    <x v="0"/>
    <x v="1"/>
    <x v="0"/>
    <x v="0"/>
    <x v="1"/>
    <x v="1"/>
    <x v="7"/>
    <x v="2"/>
    <x v="2"/>
    <x v="0"/>
    <x v="1"/>
    <x v="1"/>
    <x v="1"/>
    <x v="1"/>
    <x v="1"/>
    <x v="1"/>
    <x v="0"/>
    <x v="0"/>
  </r>
  <r>
    <x v="5"/>
    <x v="11"/>
    <x v="0"/>
    <x v="0"/>
    <x v="0"/>
    <x v="16"/>
    <x v="1"/>
    <x v="2"/>
    <x v="16"/>
    <x v="0"/>
    <x v="1"/>
    <n v="1.0002487993240359"/>
    <x v="11"/>
    <x v="1"/>
    <x v="3"/>
    <x v="3"/>
    <x v="1"/>
    <x v="0"/>
    <x v="0"/>
    <x v="0"/>
    <x v="1"/>
    <x v="0"/>
    <x v="0"/>
    <x v="1"/>
    <x v="1"/>
    <x v="7"/>
    <x v="2"/>
    <x v="2"/>
    <x v="0"/>
    <x v="1"/>
    <x v="1"/>
    <x v="1"/>
    <x v="1"/>
    <x v="1"/>
    <x v="1"/>
    <x v="0"/>
    <x v="0"/>
  </r>
  <r>
    <x v="5"/>
    <x v="11"/>
    <x v="0"/>
    <x v="0"/>
    <x v="0"/>
    <x v="16"/>
    <x v="1"/>
    <x v="2"/>
    <x v="16"/>
    <x v="0"/>
    <x v="3"/>
    <n v="1.0002432012557982"/>
    <x v="11"/>
    <x v="1"/>
    <x v="3"/>
    <x v="3"/>
    <x v="1"/>
    <x v="0"/>
    <x v="0"/>
    <x v="0"/>
    <x v="1"/>
    <x v="0"/>
    <x v="0"/>
    <x v="1"/>
    <x v="1"/>
    <x v="7"/>
    <x v="2"/>
    <x v="2"/>
    <x v="0"/>
    <x v="1"/>
    <x v="1"/>
    <x v="1"/>
    <x v="1"/>
    <x v="1"/>
    <x v="1"/>
    <x v="0"/>
    <x v="0"/>
  </r>
  <r>
    <x v="5"/>
    <x v="11"/>
    <x v="0"/>
    <x v="0"/>
    <x v="0"/>
    <x v="16"/>
    <x v="1"/>
    <x v="2"/>
    <x v="16"/>
    <x v="0"/>
    <x v="1"/>
    <n v="1.0002487993240359"/>
    <x v="11"/>
    <x v="1"/>
    <x v="3"/>
    <x v="3"/>
    <x v="1"/>
    <x v="0"/>
    <x v="0"/>
    <x v="0"/>
    <x v="1"/>
    <x v="0"/>
    <x v="0"/>
    <x v="1"/>
    <x v="1"/>
    <x v="7"/>
    <x v="2"/>
    <x v="2"/>
    <x v="0"/>
    <x v="1"/>
    <x v="1"/>
    <x v="1"/>
    <x v="1"/>
    <x v="1"/>
    <x v="1"/>
    <x v="0"/>
    <x v="0"/>
  </r>
  <r>
    <x v="5"/>
    <x v="11"/>
    <x v="0"/>
    <x v="0"/>
    <x v="0"/>
    <x v="16"/>
    <x v="1"/>
    <x v="2"/>
    <x v="16"/>
    <x v="0"/>
    <x v="2"/>
    <n v="1.0002207994461056"/>
    <x v="11"/>
    <x v="1"/>
    <x v="3"/>
    <x v="3"/>
    <x v="1"/>
    <x v="0"/>
    <x v="0"/>
    <x v="0"/>
    <x v="1"/>
    <x v="0"/>
    <x v="0"/>
    <x v="1"/>
    <x v="1"/>
    <x v="7"/>
    <x v="2"/>
    <x v="2"/>
    <x v="0"/>
    <x v="1"/>
    <x v="1"/>
    <x v="1"/>
    <x v="1"/>
    <x v="1"/>
    <x v="1"/>
    <x v="0"/>
    <x v="0"/>
  </r>
  <r>
    <x v="5"/>
    <x v="11"/>
    <x v="0"/>
    <x v="0"/>
    <x v="0"/>
    <x v="16"/>
    <x v="1"/>
    <x v="2"/>
    <x v="16"/>
    <x v="0"/>
    <x v="0"/>
    <n v="1.0002466011047364"/>
    <x v="11"/>
    <x v="1"/>
    <x v="3"/>
    <x v="3"/>
    <x v="1"/>
    <x v="0"/>
    <x v="0"/>
    <x v="0"/>
    <x v="1"/>
    <x v="0"/>
    <x v="0"/>
    <x v="1"/>
    <x v="1"/>
    <x v="7"/>
    <x v="2"/>
    <x v="2"/>
    <x v="0"/>
    <x v="1"/>
    <x v="1"/>
    <x v="1"/>
    <x v="1"/>
    <x v="1"/>
    <x v="1"/>
    <x v="0"/>
    <x v="0"/>
  </r>
  <r>
    <x v="5"/>
    <x v="11"/>
    <x v="0"/>
    <x v="0"/>
    <x v="0"/>
    <x v="16"/>
    <x v="1"/>
    <x v="2"/>
    <x v="16"/>
    <x v="0"/>
    <x v="2"/>
    <n v="1.0002207994461056"/>
    <x v="11"/>
    <x v="1"/>
    <x v="3"/>
    <x v="3"/>
    <x v="1"/>
    <x v="0"/>
    <x v="0"/>
    <x v="0"/>
    <x v="1"/>
    <x v="0"/>
    <x v="0"/>
    <x v="1"/>
    <x v="1"/>
    <x v="7"/>
    <x v="2"/>
    <x v="2"/>
    <x v="0"/>
    <x v="1"/>
    <x v="1"/>
    <x v="1"/>
    <x v="1"/>
    <x v="1"/>
    <x v="1"/>
    <x v="0"/>
    <x v="0"/>
  </r>
  <r>
    <x v="5"/>
    <x v="11"/>
    <x v="0"/>
    <x v="0"/>
    <x v="0"/>
    <x v="16"/>
    <x v="1"/>
    <x v="2"/>
    <x v="16"/>
    <x v="0"/>
    <x v="2"/>
    <n v="1.0002207994461056"/>
    <x v="11"/>
    <x v="1"/>
    <x v="3"/>
    <x v="3"/>
    <x v="1"/>
    <x v="0"/>
    <x v="0"/>
    <x v="0"/>
    <x v="1"/>
    <x v="0"/>
    <x v="0"/>
    <x v="1"/>
    <x v="1"/>
    <x v="7"/>
    <x v="2"/>
    <x v="2"/>
    <x v="0"/>
    <x v="1"/>
    <x v="1"/>
    <x v="1"/>
    <x v="1"/>
    <x v="1"/>
    <x v="1"/>
    <x v="0"/>
    <x v="0"/>
  </r>
  <r>
    <x v="5"/>
    <x v="11"/>
    <x v="0"/>
    <x v="0"/>
    <x v="0"/>
    <x v="16"/>
    <x v="1"/>
    <x v="2"/>
    <x v="16"/>
    <x v="0"/>
    <x v="3"/>
    <n v="1.0002432012557982"/>
    <x v="11"/>
    <x v="1"/>
    <x v="3"/>
    <x v="3"/>
    <x v="1"/>
    <x v="0"/>
    <x v="0"/>
    <x v="0"/>
    <x v="1"/>
    <x v="0"/>
    <x v="0"/>
    <x v="1"/>
    <x v="1"/>
    <x v="7"/>
    <x v="2"/>
    <x v="2"/>
    <x v="0"/>
    <x v="1"/>
    <x v="1"/>
    <x v="1"/>
    <x v="1"/>
    <x v="1"/>
    <x v="1"/>
    <x v="0"/>
    <x v="0"/>
  </r>
  <r>
    <x v="5"/>
    <x v="11"/>
    <x v="0"/>
    <x v="0"/>
    <x v="0"/>
    <x v="16"/>
    <x v="1"/>
    <x v="2"/>
    <x v="16"/>
    <x v="0"/>
    <x v="1"/>
    <n v="1.0002487993240359"/>
    <x v="11"/>
    <x v="1"/>
    <x v="3"/>
    <x v="3"/>
    <x v="1"/>
    <x v="0"/>
    <x v="0"/>
    <x v="0"/>
    <x v="1"/>
    <x v="0"/>
    <x v="0"/>
    <x v="1"/>
    <x v="1"/>
    <x v="7"/>
    <x v="2"/>
    <x v="2"/>
    <x v="0"/>
    <x v="1"/>
    <x v="1"/>
    <x v="1"/>
    <x v="1"/>
    <x v="1"/>
    <x v="1"/>
    <x v="0"/>
    <x v="0"/>
  </r>
  <r>
    <x v="5"/>
    <x v="11"/>
    <x v="0"/>
    <x v="0"/>
    <x v="0"/>
    <x v="16"/>
    <x v="1"/>
    <x v="2"/>
    <x v="16"/>
    <x v="0"/>
    <x v="0"/>
    <n v="1.0002466011047364"/>
    <x v="11"/>
    <x v="1"/>
    <x v="3"/>
    <x v="3"/>
    <x v="1"/>
    <x v="0"/>
    <x v="0"/>
    <x v="0"/>
    <x v="1"/>
    <x v="0"/>
    <x v="0"/>
    <x v="1"/>
    <x v="1"/>
    <x v="7"/>
    <x v="2"/>
    <x v="2"/>
    <x v="0"/>
    <x v="1"/>
    <x v="1"/>
    <x v="1"/>
    <x v="1"/>
    <x v="1"/>
    <x v="1"/>
    <x v="0"/>
    <x v="0"/>
  </r>
  <r>
    <x v="5"/>
    <x v="11"/>
    <x v="0"/>
    <x v="0"/>
    <x v="0"/>
    <x v="16"/>
    <x v="1"/>
    <x v="2"/>
    <x v="16"/>
    <x v="0"/>
    <x v="1"/>
    <n v="1.0002487993240359"/>
    <x v="11"/>
    <x v="1"/>
    <x v="3"/>
    <x v="3"/>
    <x v="1"/>
    <x v="0"/>
    <x v="0"/>
    <x v="0"/>
    <x v="1"/>
    <x v="0"/>
    <x v="0"/>
    <x v="1"/>
    <x v="1"/>
    <x v="7"/>
    <x v="2"/>
    <x v="2"/>
    <x v="0"/>
    <x v="1"/>
    <x v="1"/>
    <x v="1"/>
    <x v="1"/>
    <x v="1"/>
    <x v="1"/>
    <x v="0"/>
    <x v="0"/>
  </r>
  <r>
    <x v="5"/>
    <x v="11"/>
    <x v="0"/>
    <x v="0"/>
    <x v="0"/>
    <x v="16"/>
    <x v="1"/>
    <x v="2"/>
    <x v="16"/>
    <x v="0"/>
    <x v="3"/>
    <n v="1.0002432012557982"/>
    <x v="11"/>
    <x v="1"/>
    <x v="3"/>
    <x v="3"/>
    <x v="1"/>
    <x v="0"/>
    <x v="0"/>
    <x v="0"/>
    <x v="1"/>
    <x v="0"/>
    <x v="0"/>
    <x v="1"/>
    <x v="1"/>
    <x v="7"/>
    <x v="2"/>
    <x v="2"/>
    <x v="0"/>
    <x v="1"/>
    <x v="1"/>
    <x v="1"/>
    <x v="1"/>
    <x v="1"/>
    <x v="1"/>
    <x v="0"/>
    <x v="0"/>
  </r>
  <r>
    <x v="5"/>
    <x v="11"/>
    <x v="0"/>
    <x v="0"/>
    <x v="0"/>
    <x v="16"/>
    <x v="1"/>
    <x v="2"/>
    <x v="16"/>
    <x v="0"/>
    <x v="0"/>
    <n v="1.0002466011047364"/>
    <x v="11"/>
    <x v="1"/>
    <x v="3"/>
    <x v="3"/>
    <x v="1"/>
    <x v="0"/>
    <x v="0"/>
    <x v="0"/>
    <x v="1"/>
    <x v="0"/>
    <x v="0"/>
    <x v="1"/>
    <x v="1"/>
    <x v="7"/>
    <x v="2"/>
    <x v="2"/>
    <x v="0"/>
    <x v="1"/>
    <x v="1"/>
    <x v="1"/>
    <x v="1"/>
    <x v="1"/>
    <x v="1"/>
    <x v="0"/>
    <x v="0"/>
  </r>
  <r>
    <x v="5"/>
    <x v="11"/>
    <x v="0"/>
    <x v="0"/>
    <x v="0"/>
    <x v="16"/>
    <x v="1"/>
    <x v="2"/>
    <x v="16"/>
    <x v="0"/>
    <x v="3"/>
    <n v="1.0002432012557982"/>
    <x v="11"/>
    <x v="1"/>
    <x v="3"/>
    <x v="3"/>
    <x v="1"/>
    <x v="0"/>
    <x v="0"/>
    <x v="0"/>
    <x v="1"/>
    <x v="0"/>
    <x v="0"/>
    <x v="1"/>
    <x v="1"/>
    <x v="7"/>
    <x v="2"/>
    <x v="2"/>
    <x v="0"/>
    <x v="1"/>
    <x v="1"/>
    <x v="1"/>
    <x v="1"/>
    <x v="1"/>
    <x v="1"/>
    <x v="0"/>
    <x v="0"/>
  </r>
  <r>
    <x v="5"/>
    <x v="11"/>
    <x v="0"/>
    <x v="0"/>
    <x v="0"/>
    <x v="16"/>
    <x v="1"/>
    <x v="2"/>
    <x v="16"/>
    <x v="0"/>
    <x v="1"/>
    <n v="1.0002487993240359"/>
    <x v="11"/>
    <x v="1"/>
    <x v="3"/>
    <x v="3"/>
    <x v="1"/>
    <x v="0"/>
    <x v="0"/>
    <x v="0"/>
    <x v="1"/>
    <x v="0"/>
    <x v="0"/>
    <x v="1"/>
    <x v="1"/>
    <x v="7"/>
    <x v="2"/>
    <x v="2"/>
    <x v="0"/>
    <x v="1"/>
    <x v="1"/>
    <x v="1"/>
    <x v="1"/>
    <x v="1"/>
    <x v="1"/>
    <x v="0"/>
    <x v="0"/>
  </r>
  <r>
    <x v="5"/>
    <x v="11"/>
    <x v="0"/>
    <x v="0"/>
    <x v="0"/>
    <x v="16"/>
    <x v="1"/>
    <x v="2"/>
    <x v="16"/>
    <x v="0"/>
    <x v="0"/>
    <n v="1.0002466011047364"/>
    <x v="11"/>
    <x v="1"/>
    <x v="3"/>
    <x v="3"/>
    <x v="1"/>
    <x v="0"/>
    <x v="0"/>
    <x v="0"/>
    <x v="1"/>
    <x v="0"/>
    <x v="0"/>
    <x v="1"/>
    <x v="1"/>
    <x v="7"/>
    <x v="2"/>
    <x v="2"/>
    <x v="0"/>
    <x v="1"/>
    <x v="1"/>
    <x v="1"/>
    <x v="1"/>
    <x v="1"/>
    <x v="1"/>
    <x v="0"/>
    <x v="0"/>
  </r>
  <r>
    <x v="5"/>
    <x v="11"/>
    <x v="0"/>
    <x v="0"/>
    <x v="0"/>
    <x v="17"/>
    <x v="0"/>
    <x v="2"/>
    <x v="16"/>
    <x v="0"/>
    <x v="3"/>
    <n v="0.99999537576328612"/>
    <x v="12"/>
    <x v="0"/>
    <x v="3"/>
    <x v="3"/>
    <x v="1"/>
    <x v="0"/>
    <x v="0"/>
    <x v="0"/>
    <x v="1"/>
    <x v="0"/>
    <x v="0"/>
    <x v="1"/>
    <x v="1"/>
    <x v="5"/>
    <x v="4"/>
    <x v="1"/>
    <x v="0"/>
    <x v="0"/>
    <x v="1"/>
    <x v="0"/>
    <x v="0"/>
    <x v="1"/>
    <x v="1"/>
    <x v="0"/>
    <x v="0"/>
  </r>
  <r>
    <x v="5"/>
    <x v="11"/>
    <x v="0"/>
    <x v="0"/>
    <x v="0"/>
    <x v="17"/>
    <x v="0"/>
    <x v="2"/>
    <x v="16"/>
    <x v="0"/>
    <x v="2"/>
    <n v="0.99999519393901637"/>
    <x v="12"/>
    <x v="0"/>
    <x v="3"/>
    <x v="3"/>
    <x v="1"/>
    <x v="0"/>
    <x v="0"/>
    <x v="0"/>
    <x v="1"/>
    <x v="0"/>
    <x v="0"/>
    <x v="1"/>
    <x v="1"/>
    <x v="5"/>
    <x v="4"/>
    <x v="1"/>
    <x v="0"/>
    <x v="0"/>
    <x v="1"/>
    <x v="0"/>
    <x v="0"/>
    <x v="1"/>
    <x v="1"/>
    <x v="0"/>
    <x v="0"/>
  </r>
  <r>
    <x v="5"/>
    <x v="11"/>
    <x v="0"/>
    <x v="0"/>
    <x v="0"/>
    <x v="17"/>
    <x v="0"/>
    <x v="2"/>
    <x v="16"/>
    <x v="0"/>
    <x v="0"/>
    <n v="0.99999528685001404"/>
    <x v="12"/>
    <x v="0"/>
    <x v="3"/>
    <x v="3"/>
    <x v="1"/>
    <x v="0"/>
    <x v="0"/>
    <x v="0"/>
    <x v="1"/>
    <x v="0"/>
    <x v="0"/>
    <x v="1"/>
    <x v="1"/>
    <x v="5"/>
    <x v="4"/>
    <x v="1"/>
    <x v="0"/>
    <x v="0"/>
    <x v="1"/>
    <x v="0"/>
    <x v="0"/>
    <x v="1"/>
    <x v="1"/>
    <x v="0"/>
    <x v="0"/>
  </r>
  <r>
    <x v="5"/>
    <x v="11"/>
    <x v="0"/>
    <x v="0"/>
    <x v="0"/>
    <x v="17"/>
    <x v="0"/>
    <x v="2"/>
    <x v="16"/>
    <x v="0"/>
    <x v="1"/>
    <n v="0.99999545858363903"/>
    <x v="12"/>
    <x v="0"/>
    <x v="3"/>
    <x v="3"/>
    <x v="1"/>
    <x v="0"/>
    <x v="0"/>
    <x v="0"/>
    <x v="1"/>
    <x v="0"/>
    <x v="0"/>
    <x v="1"/>
    <x v="1"/>
    <x v="5"/>
    <x v="4"/>
    <x v="1"/>
    <x v="0"/>
    <x v="0"/>
    <x v="1"/>
    <x v="0"/>
    <x v="0"/>
    <x v="1"/>
    <x v="1"/>
    <x v="0"/>
    <x v="0"/>
  </r>
  <r>
    <x v="5"/>
    <x v="11"/>
    <x v="0"/>
    <x v="0"/>
    <x v="0"/>
    <x v="17"/>
    <x v="0"/>
    <x v="2"/>
    <x v="16"/>
    <x v="0"/>
    <x v="0"/>
    <n v="0.99999528685001404"/>
    <x v="12"/>
    <x v="0"/>
    <x v="3"/>
    <x v="3"/>
    <x v="1"/>
    <x v="0"/>
    <x v="0"/>
    <x v="0"/>
    <x v="1"/>
    <x v="0"/>
    <x v="0"/>
    <x v="1"/>
    <x v="1"/>
    <x v="5"/>
    <x v="4"/>
    <x v="1"/>
    <x v="0"/>
    <x v="0"/>
    <x v="1"/>
    <x v="0"/>
    <x v="0"/>
    <x v="1"/>
    <x v="1"/>
    <x v="0"/>
    <x v="0"/>
  </r>
  <r>
    <x v="5"/>
    <x v="11"/>
    <x v="0"/>
    <x v="0"/>
    <x v="0"/>
    <x v="17"/>
    <x v="0"/>
    <x v="2"/>
    <x v="16"/>
    <x v="0"/>
    <x v="1"/>
    <n v="0.99999545858363903"/>
    <x v="12"/>
    <x v="0"/>
    <x v="3"/>
    <x v="3"/>
    <x v="1"/>
    <x v="0"/>
    <x v="0"/>
    <x v="0"/>
    <x v="1"/>
    <x v="0"/>
    <x v="0"/>
    <x v="1"/>
    <x v="1"/>
    <x v="5"/>
    <x v="4"/>
    <x v="1"/>
    <x v="0"/>
    <x v="0"/>
    <x v="1"/>
    <x v="0"/>
    <x v="0"/>
    <x v="1"/>
    <x v="1"/>
    <x v="0"/>
    <x v="0"/>
  </r>
  <r>
    <x v="5"/>
    <x v="11"/>
    <x v="0"/>
    <x v="0"/>
    <x v="0"/>
    <x v="17"/>
    <x v="0"/>
    <x v="2"/>
    <x v="16"/>
    <x v="0"/>
    <x v="3"/>
    <n v="0.99999537576328612"/>
    <x v="12"/>
    <x v="0"/>
    <x v="3"/>
    <x v="3"/>
    <x v="1"/>
    <x v="0"/>
    <x v="0"/>
    <x v="0"/>
    <x v="1"/>
    <x v="0"/>
    <x v="0"/>
    <x v="1"/>
    <x v="1"/>
    <x v="5"/>
    <x v="4"/>
    <x v="1"/>
    <x v="0"/>
    <x v="0"/>
    <x v="1"/>
    <x v="0"/>
    <x v="0"/>
    <x v="1"/>
    <x v="1"/>
    <x v="0"/>
    <x v="0"/>
  </r>
  <r>
    <x v="5"/>
    <x v="11"/>
    <x v="0"/>
    <x v="0"/>
    <x v="0"/>
    <x v="18"/>
    <x v="1"/>
    <x v="2"/>
    <x v="16"/>
    <x v="0"/>
    <x v="0"/>
    <n v="1.0002466011047364"/>
    <x v="11"/>
    <x v="1"/>
    <x v="3"/>
    <x v="3"/>
    <x v="1"/>
    <x v="0"/>
    <x v="0"/>
    <x v="0"/>
    <x v="1"/>
    <x v="0"/>
    <x v="0"/>
    <x v="1"/>
    <x v="1"/>
    <x v="7"/>
    <x v="2"/>
    <x v="2"/>
    <x v="0"/>
    <x v="1"/>
    <x v="1"/>
    <x v="1"/>
    <x v="1"/>
    <x v="1"/>
    <x v="1"/>
    <x v="0"/>
    <x v="0"/>
  </r>
  <r>
    <x v="4"/>
    <x v="12"/>
    <x v="0"/>
    <x v="0"/>
    <x v="0"/>
    <x v="19"/>
    <x v="0"/>
    <x v="7"/>
    <x v="17"/>
    <x v="0"/>
    <x v="3"/>
    <n v="2.3669691888653501E-2"/>
    <x v="9"/>
    <x v="0"/>
    <x v="3"/>
    <x v="1"/>
    <x v="1"/>
    <x v="0"/>
    <x v="3"/>
    <x v="0"/>
    <x v="0"/>
    <x v="0"/>
    <x v="0"/>
    <x v="0"/>
    <x v="0"/>
    <x v="5"/>
    <x v="1"/>
    <x v="1"/>
    <x v="3"/>
    <x v="0"/>
    <x v="0"/>
    <x v="0"/>
    <x v="0"/>
    <x v="0"/>
    <x v="0"/>
    <x v="0"/>
    <x v="0"/>
  </r>
  <r>
    <x v="4"/>
    <x v="12"/>
    <x v="0"/>
    <x v="0"/>
    <x v="0"/>
    <x v="19"/>
    <x v="0"/>
    <x v="7"/>
    <x v="17"/>
    <x v="0"/>
    <x v="1"/>
    <n v="2.3599208471726398E-2"/>
    <x v="9"/>
    <x v="0"/>
    <x v="3"/>
    <x v="1"/>
    <x v="1"/>
    <x v="0"/>
    <x v="3"/>
    <x v="0"/>
    <x v="0"/>
    <x v="0"/>
    <x v="0"/>
    <x v="0"/>
    <x v="0"/>
    <x v="5"/>
    <x v="1"/>
    <x v="1"/>
    <x v="3"/>
    <x v="0"/>
    <x v="0"/>
    <x v="0"/>
    <x v="0"/>
    <x v="0"/>
    <x v="0"/>
    <x v="0"/>
    <x v="0"/>
  </r>
  <r>
    <x v="4"/>
    <x v="12"/>
    <x v="0"/>
    <x v="0"/>
    <x v="0"/>
    <x v="19"/>
    <x v="0"/>
    <x v="7"/>
    <x v="17"/>
    <x v="0"/>
    <x v="0"/>
    <n v="2.351007300980237E-2"/>
    <x v="9"/>
    <x v="0"/>
    <x v="3"/>
    <x v="1"/>
    <x v="1"/>
    <x v="0"/>
    <x v="3"/>
    <x v="0"/>
    <x v="0"/>
    <x v="0"/>
    <x v="0"/>
    <x v="0"/>
    <x v="0"/>
    <x v="5"/>
    <x v="1"/>
    <x v="1"/>
    <x v="3"/>
    <x v="0"/>
    <x v="0"/>
    <x v="0"/>
    <x v="0"/>
    <x v="0"/>
    <x v="0"/>
    <x v="0"/>
    <x v="0"/>
  </r>
  <r>
    <x v="4"/>
    <x v="12"/>
    <x v="0"/>
    <x v="0"/>
    <x v="0"/>
    <x v="19"/>
    <x v="0"/>
    <x v="7"/>
    <x v="17"/>
    <x v="0"/>
    <x v="2"/>
    <n v="2.3593002995666194E-2"/>
    <x v="9"/>
    <x v="0"/>
    <x v="3"/>
    <x v="1"/>
    <x v="1"/>
    <x v="0"/>
    <x v="3"/>
    <x v="0"/>
    <x v="0"/>
    <x v="0"/>
    <x v="0"/>
    <x v="0"/>
    <x v="0"/>
    <x v="5"/>
    <x v="1"/>
    <x v="1"/>
    <x v="3"/>
    <x v="0"/>
    <x v="0"/>
    <x v="0"/>
    <x v="0"/>
    <x v="0"/>
    <x v="0"/>
    <x v="0"/>
    <x v="0"/>
  </r>
  <r>
    <x v="1"/>
    <x v="13"/>
    <x v="0"/>
    <x v="0"/>
    <x v="0"/>
    <x v="20"/>
    <x v="0"/>
    <x v="2"/>
    <x v="18"/>
    <x v="0"/>
    <x v="2"/>
    <n v="6.8853840799274336E-4"/>
    <x v="3"/>
    <x v="0"/>
    <x v="1"/>
    <x v="1"/>
    <x v="1"/>
    <x v="0"/>
    <x v="0"/>
    <x v="0"/>
    <x v="1"/>
    <x v="1"/>
    <x v="1"/>
    <x v="0"/>
    <x v="1"/>
    <x v="1"/>
    <x v="1"/>
    <x v="1"/>
    <x v="0"/>
    <x v="0"/>
    <x v="1"/>
    <x v="1"/>
    <x v="1"/>
    <x v="0"/>
    <x v="1"/>
    <x v="0"/>
    <x v="0"/>
  </r>
  <r>
    <x v="1"/>
    <x v="13"/>
    <x v="0"/>
    <x v="0"/>
    <x v="0"/>
    <x v="20"/>
    <x v="0"/>
    <x v="2"/>
    <x v="18"/>
    <x v="0"/>
    <x v="0"/>
    <n v="7.1434837066099979E-4"/>
    <x v="3"/>
    <x v="0"/>
    <x v="1"/>
    <x v="1"/>
    <x v="1"/>
    <x v="0"/>
    <x v="0"/>
    <x v="0"/>
    <x v="1"/>
    <x v="1"/>
    <x v="1"/>
    <x v="0"/>
    <x v="1"/>
    <x v="1"/>
    <x v="1"/>
    <x v="1"/>
    <x v="0"/>
    <x v="0"/>
    <x v="1"/>
    <x v="1"/>
    <x v="1"/>
    <x v="0"/>
    <x v="1"/>
    <x v="0"/>
    <x v="0"/>
  </r>
  <r>
    <x v="1"/>
    <x v="13"/>
    <x v="0"/>
    <x v="0"/>
    <x v="0"/>
    <x v="20"/>
    <x v="0"/>
    <x v="2"/>
    <x v="18"/>
    <x v="0"/>
    <x v="1"/>
    <n v="8.296358752585127E-4"/>
    <x v="3"/>
    <x v="0"/>
    <x v="1"/>
    <x v="1"/>
    <x v="1"/>
    <x v="0"/>
    <x v="0"/>
    <x v="0"/>
    <x v="1"/>
    <x v="1"/>
    <x v="1"/>
    <x v="0"/>
    <x v="1"/>
    <x v="1"/>
    <x v="1"/>
    <x v="1"/>
    <x v="0"/>
    <x v="0"/>
    <x v="1"/>
    <x v="1"/>
    <x v="1"/>
    <x v="0"/>
    <x v="1"/>
    <x v="0"/>
    <x v="0"/>
  </r>
  <r>
    <x v="1"/>
    <x v="13"/>
    <x v="0"/>
    <x v="0"/>
    <x v="0"/>
    <x v="21"/>
    <x v="1"/>
    <x v="2"/>
    <x v="18"/>
    <x v="0"/>
    <x v="2"/>
    <n v="6.1391353607177736E-4"/>
    <x v="13"/>
    <x v="1"/>
    <x v="1"/>
    <x v="1"/>
    <x v="1"/>
    <x v="0"/>
    <x v="0"/>
    <x v="0"/>
    <x v="1"/>
    <x v="1"/>
    <x v="1"/>
    <x v="0"/>
    <x v="1"/>
    <x v="8"/>
    <x v="2"/>
    <x v="2"/>
    <x v="0"/>
    <x v="1"/>
    <x v="1"/>
    <x v="0"/>
    <x v="0"/>
    <x v="0"/>
    <x v="1"/>
    <x v="0"/>
    <x v="0"/>
  </r>
  <r>
    <x v="1"/>
    <x v="13"/>
    <x v="0"/>
    <x v="0"/>
    <x v="0"/>
    <x v="21"/>
    <x v="1"/>
    <x v="2"/>
    <x v="18"/>
    <x v="0"/>
    <x v="3"/>
    <n v="6.9290399551391612E-4"/>
    <x v="13"/>
    <x v="1"/>
    <x v="1"/>
    <x v="1"/>
    <x v="1"/>
    <x v="0"/>
    <x v="0"/>
    <x v="0"/>
    <x v="1"/>
    <x v="1"/>
    <x v="1"/>
    <x v="0"/>
    <x v="1"/>
    <x v="8"/>
    <x v="2"/>
    <x v="2"/>
    <x v="0"/>
    <x v="1"/>
    <x v="1"/>
    <x v="0"/>
    <x v="0"/>
    <x v="0"/>
    <x v="1"/>
    <x v="0"/>
    <x v="0"/>
  </r>
  <r>
    <x v="1"/>
    <x v="13"/>
    <x v="0"/>
    <x v="0"/>
    <x v="0"/>
    <x v="20"/>
    <x v="0"/>
    <x v="2"/>
    <x v="18"/>
    <x v="0"/>
    <x v="3"/>
    <n v="7.4152185348327275E-4"/>
    <x v="3"/>
    <x v="0"/>
    <x v="1"/>
    <x v="1"/>
    <x v="1"/>
    <x v="0"/>
    <x v="0"/>
    <x v="0"/>
    <x v="1"/>
    <x v="1"/>
    <x v="1"/>
    <x v="0"/>
    <x v="1"/>
    <x v="1"/>
    <x v="1"/>
    <x v="1"/>
    <x v="0"/>
    <x v="0"/>
    <x v="1"/>
    <x v="1"/>
    <x v="1"/>
    <x v="0"/>
    <x v="1"/>
    <x v="0"/>
    <x v="0"/>
  </r>
  <r>
    <x v="1"/>
    <x v="13"/>
    <x v="0"/>
    <x v="0"/>
    <x v="0"/>
    <x v="21"/>
    <x v="1"/>
    <x v="2"/>
    <x v="18"/>
    <x v="0"/>
    <x v="0"/>
    <n v="6.9009304046630849E-4"/>
    <x v="13"/>
    <x v="1"/>
    <x v="1"/>
    <x v="1"/>
    <x v="1"/>
    <x v="0"/>
    <x v="0"/>
    <x v="0"/>
    <x v="1"/>
    <x v="1"/>
    <x v="1"/>
    <x v="0"/>
    <x v="1"/>
    <x v="8"/>
    <x v="2"/>
    <x v="2"/>
    <x v="0"/>
    <x v="1"/>
    <x v="1"/>
    <x v="0"/>
    <x v="0"/>
    <x v="0"/>
    <x v="1"/>
    <x v="0"/>
    <x v="0"/>
  </r>
  <r>
    <x v="1"/>
    <x v="13"/>
    <x v="0"/>
    <x v="0"/>
    <x v="0"/>
    <x v="21"/>
    <x v="1"/>
    <x v="2"/>
    <x v="18"/>
    <x v="0"/>
    <x v="1"/>
    <n v="8.6115717887878427E-4"/>
    <x v="13"/>
    <x v="1"/>
    <x v="1"/>
    <x v="1"/>
    <x v="1"/>
    <x v="0"/>
    <x v="0"/>
    <x v="0"/>
    <x v="1"/>
    <x v="1"/>
    <x v="1"/>
    <x v="0"/>
    <x v="1"/>
    <x v="8"/>
    <x v="2"/>
    <x v="2"/>
    <x v="0"/>
    <x v="1"/>
    <x v="1"/>
    <x v="0"/>
    <x v="0"/>
    <x v="0"/>
    <x v="1"/>
    <x v="0"/>
    <x v="0"/>
  </r>
  <r>
    <x v="3"/>
    <x v="14"/>
    <x v="0"/>
    <x v="0"/>
    <x v="0"/>
    <x v="22"/>
    <x v="0"/>
    <x v="8"/>
    <x v="19"/>
    <x v="0"/>
    <x v="1"/>
    <n v="1.7265885210037232E-2"/>
    <x v="10"/>
    <x v="0"/>
    <x v="4"/>
    <x v="0"/>
    <x v="1"/>
    <x v="0"/>
    <x v="6"/>
    <x v="0"/>
    <x v="0"/>
    <x v="0"/>
    <x v="0"/>
    <x v="0"/>
    <x v="0"/>
    <x v="6"/>
    <x v="2"/>
    <x v="2"/>
    <x v="6"/>
    <x v="0"/>
    <x v="0"/>
    <x v="0"/>
    <x v="0"/>
    <x v="0"/>
    <x v="0"/>
    <x v="0"/>
    <x v="0"/>
  </r>
  <r>
    <x v="3"/>
    <x v="14"/>
    <x v="0"/>
    <x v="0"/>
    <x v="0"/>
    <x v="22"/>
    <x v="0"/>
    <x v="8"/>
    <x v="19"/>
    <x v="0"/>
    <x v="3"/>
    <n v="1.7381435847282412E-2"/>
    <x v="10"/>
    <x v="0"/>
    <x v="4"/>
    <x v="0"/>
    <x v="1"/>
    <x v="0"/>
    <x v="6"/>
    <x v="0"/>
    <x v="0"/>
    <x v="0"/>
    <x v="0"/>
    <x v="0"/>
    <x v="0"/>
    <x v="6"/>
    <x v="2"/>
    <x v="2"/>
    <x v="6"/>
    <x v="0"/>
    <x v="0"/>
    <x v="0"/>
    <x v="0"/>
    <x v="0"/>
    <x v="0"/>
    <x v="0"/>
    <x v="0"/>
  </r>
  <r>
    <x v="3"/>
    <x v="14"/>
    <x v="0"/>
    <x v="0"/>
    <x v="0"/>
    <x v="22"/>
    <x v="0"/>
    <x v="8"/>
    <x v="19"/>
    <x v="0"/>
    <x v="0"/>
    <n v="1.7136653184890747E-2"/>
    <x v="10"/>
    <x v="0"/>
    <x v="4"/>
    <x v="0"/>
    <x v="1"/>
    <x v="0"/>
    <x v="6"/>
    <x v="0"/>
    <x v="0"/>
    <x v="0"/>
    <x v="0"/>
    <x v="0"/>
    <x v="0"/>
    <x v="6"/>
    <x v="2"/>
    <x v="2"/>
    <x v="6"/>
    <x v="0"/>
    <x v="0"/>
    <x v="0"/>
    <x v="0"/>
    <x v="0"/>
    <x v="0"/>
    <x v="0"/>
    <x v="0"/>
  </r>
  <r>
    <x v="3"/>
    <x v="14"/>
    <x v="0"/>
    <x v="0"/>
    <x v="0"/>
    <x v="23"/>
    <x v="0"/>
    <x v="8"/>
    <x v="19"/>
    <x v="0"/>
    <x v="2"/>
    <n v="1.7203151154518127E-2"/>
    <x v="10"/>
    <x v="0"/>
    <x v="4"/>
    <x v="0"/>
    <x v="1"/>
    <x v="0"/>
    <x v="6"/>
    <x v="0"/>
    <x v="0"/>
    <x v="0"/>
    <x v="0"/>
    <x v="0"/>
    <x v="0"/>
    <x v="6"/>
    <x v="2"/>
    <x v="2"/>
    <x v="6"/>
    <x v="0"/>
    <x v="0"/>
    <x v="0"/>
    <x v="0"/>
    <x v="0"/>
    <x v="0"/>
    <x v="0"/>
    <x v="0"/>
  </r>
  <r>
    <x v="3"/>
    <x v="14"/>
    <x v="0"/>
    <x v="0"/>
    <x v="0"/>
    <x v="23"/>
    <x v="0"/>
    <x v="8"/>
    <x v="19"/>
    <x v="0"/>
    <x v="0"/>
    <n v="1.7136653184890747E-2"/>
    <x v="10"/>
    <x v="0"/>
    <x v="4"/>
    <x v="0"/>
    <x v="1"/>
    <x v="0"/>
    <x v="6"/>
    <x v="0"/>
    <x v="0"/>
    <x v="0"/>
    <x v="0"/>
    <x v="0"/>
    <x v="0"/>
    <x v="6"/>
    <x v="2"/>
    <x v="2"/>
    <x v="6"/>
    <x v="0"/>
    <x v="0"/>
    <x v="0"/>
    <x v="0"/>
    <x v="0"/>
    <x v="0"/>
    <x v="0"/>
    <x v="0"/>
  </r>
  <r>
    <x v="3"/>
    <x v="14"/>
    <x v="0"/>
    <x v="0"/>
    <x v="0"/>
    <x v="23"/>
    <x v="0"/>
    <x v="8"/>
    <x v="19"/>
    <x v="0"/>
    <x v="1"/>
    <n v="1.7265885210037232E-2"/>
    <x v="10"/>
    <x v="0"/>
    <x v="4"/>
    <x v="0"/>
    <x v="1"/>
    <x v="0"/>
    <x v="6"/>
    <x v="0"/>
    <x v="0"/>
    <x v="0"/>
    <x v="0"/>
    <x v="0"/>
    <x v="0"/>
    <x v="6"/>
    <x v="2"/>
    <x v="2"/>
    <x v="6"/>
    <x v="0"/>
    <x v="0"/>
    <x v="0"/>
    <x v="0"/>
    <x v="0"/>
    <x v="0"/>
    <x v="0"/>
    <x v="0"/>
  </r>
  <r>
    <x v="3"/>
    <x v="14"/>
    <x v="0"/>
    <x v="0"/>
    <x v="0"/>
    <x v="23"/>
    <x v="0"/>
    <x v="8"/>
    <x v="19"/>
    <x v="0"/>
    <x v="3"/>
    <n v="1.7381435847282412E-2"/>
    <x v="10"/>
    <x v="0"/>
    <x v="4"/>
    <x v="0"/>
    <x v="1"/>
    <x v="0"/>
    <x v="6"/>
    <x v="0"/>
    <x v="0"/>
    <x v="0"/>
    <x v="0"/>
    <x v="0"/>
    <x v="0"/>
    <x v="6"/>
    <x v="2"/>
    <x v="2"/>
    <x v="6"/>
    <x v="0"/>
    <x v="0"/>
    <x v="0"/>
    <x v="0"/>
    <x v="0"/>
    <x v="0"/>
    <x v="0"/>
    <x v="0"/>
  </r>
  <r>
    <x v="3"/>
    <x v="14"/>
    <x v="0"/>
    <x v="0"/>
    <x v="0"/>
    <x v="24"/>
    <x v="0"/>
    <x v="8"/>
    <x v="19"/>
    <x v="0"/>
    <x v="0"/>
    <n v="1.7195901560783388E-2"/>
    <x v="10"/>
    <x v="0"/>
    <x v="4"/>
    <x v="0"/>
    <x v="1"/>
    <x v="0"/>
    <x v="6"/>
    <x v="0"/>
    <x v="0"/>
    <x v="0"/>
    <x v="0"/>
    <x v="0"/>
    <x v="0"/>
    <x v="6"/>
    <x v="0"/>
    <x v="1"/>
    <x v="6"/>
    <x v="0"/>
    <x v="0"/>
    <x v="0"/>
    <x v="0"/>
    <x v="0"/>
    <x v="0"/>
    <x v="0"/>
    <x v="0"/>
  </r>
  <r>
    <x v="3"/>
    <x v="14"/>
    <x v="0"/>
    <x v="0"/>
    <x v="0"/>
    <x v="24"/>
    <x v="0"/>
    <x v="8"/>
    <x v="19"/>
    <x v="0"/>
    <x v="3"/>
    <n v="1.7443094038963318E-2"/>
    <x v="10"/>
    <x v="0"/>
    <x v="4"/>
    <x v="0"/>
    <x v="1"/>
    <x v="0"/>
    <x v="6"/>
    <x v="0"/>
    <x v="0"/>
    <x v="0"/>
    <x v="0"/>
    <x v="0"/>
    <x v="0"/>
    <x v="6"/>
    <x v="0"/>
    <x v="1"/>
    <x v="6"/>
    <x v="0"/>
    <x v="0"/>
    <x v="0"/>
    <x v="0"/>
    <x v="0"/>
    <x v="0"/>
    <x v="0"/>
    <x v="0"/>
  </r>
  <r>
    <x v="3"/>
    <x v="14"/>
    <x v="0"/>
    <x v="0"/>
    <x v="0"/>
    <x v="24"/>
    <x v="0"/>
    <x v="8"/>
    <x v="19"/>
    <x v="0"/>
    <x v="1"/>
    <n v="1.7325792717933653E-2"/>
    <x v="10"/>
    <x v="0"/>
    <x v="4"/>
    <x v="0"/>
    <x v="1"/>
    <x v="0"/>
    <x v="6"/>
    <x v="0"/>
    <x v="0"/>
    <x v="0"/>
    <x v="0"/>
    <x v="0"/>
    <x v="0"/>
    <x v="6"/>
    <x v="0"/>
    <x v="1"/>
    <x v="6"/>
    <x v="0"/>
    <x v="0"/>
    <x v="0"/>
    <x v="0"/>
    <x v="0"/>
    <x v="0"/>
    <x v="0"/>
    <x v="0"/>
  </r>
  <r>
    <x v="3"/>
    <x v="14"/>
    <x v="0"/>
    <x v="0"/>
    <x v="0"/>
    <x v="24"/>
    <x v="0"/>
    <x v="8"/>
    <x v="19"/>
    <x v="0"/>
    <x v="2"/>
    <n v="1.726202816963196E-2"/>
    <x v="10"/>
    <x v="0"/>
    <x v="4"/>
    <x v="0"/>
    <x v="1"/>
    <x v="0"/>
    <x v="6"/>
    <x v="0"/>
    <x v="0"/>
    <x v="0"/>
    <x v="0"/>
    <x v="0"/>
    <x v="0"/>
    <x v="6"/>
    <x v="0"/>
    <x v="1"/>
    <x v="6"/>
    <x v="0"/>
    <x v="0"/>
    <x v="0"/>
    <x v="0"/>
    <x v="0"/>
    <x v="0"/>
    <x v="0"/>
    <x v="0"/>
  </r>
  <r>
    <x v="3"/>
    <x v="14"/>
    <x v="0"/>
    <x v="0"/>
    <x v="0"/>
    <x v="25"/>
    <x v="0"/>
    <x v="8"/>
    <x v="19"/>
    <x v="0"/>
    <x v="0"/>
    <n v="1.7134700417518616E-2"/>
    <x v="10"/>
    <x v="0"/>
    <x v="4"/>
    <x v="0"/>
    <x v="1"/>
    <x v="0"/>
    <x v="6"/>
    <x v="0"/>
    <x v="0"/>
    <x v="0"/>
    <x v="0"/>
    <x v="0"/>
    <x v="0"/>
    <x v="6"/>
    <x v="2"/>
    <x v="2"/>
    <x v="6"/>
    <x v="0"/>
    <x v="0"/>
    <x v="0"/>
    <x v="0"/>
    <x v="0"/>
    <x v="0"/>
    <x v="0"/>
    <x v="0"/>
  </r>
  <r>
    <x v="3"/>
    <x v="14"/>
    <x v="0"/>
    <x v="0"/>
    <x v="0"/>
    <x v="25"/>
    <x v="0"/>
    <x v="8"/>
    <x v="19"/>
    <x v="0"/>
    <x v="3"/>
    <n v="1.7379380917549134E-2"/>
    <x v="10"/>
    <x v="0"/>
    <x v="4"/>
    <x v="0"/>
    <x v="1"/>
    <x v="0"/>
    <x v="6"/>
    <x v="0"/>
    <x v="0"/>
    <x v="0"/>
    <x v="0"/>
    <x v="0"/>
    <x v="0"/>
    <x v="6"/>
    <x v="2"/>
    <x v="2"/>
    <x v="6"/>
    <x v="0"/>
    <x v="0"/>
    <x v="0"/>
    <x v="0"/>
    <x v="0"/>
    <x v="0"/>
    <x v="0"/>
    <x v="0"/>
  </r>
  <r>
    <x v="3"/>
    <x v="14"/>
    <x v="0"/>
    <x v="0"/>
    <x v="0"/>
    <x v="25"/>
    <x v="0"/>
    <x v="8"/>
    <x v="19"/>
    <x v="0"/>
    <x v="1"/>
    <n v="1.7263900375366212E-2"/>
    <x v="10"/>
    <x v="0"/>
    <x v="4"/>
    <x v="0"/>
    <x v="1"/>
    <x v="0"/>
    <x v="6"/>
    <x v="0"/>
    <x v="0"/>
    <x v="0"/>
    <x v="0"/>
    <x v="0"/>
    <x v="0"/>
    <x v="6"/>
    <x v="2"/>
    <x v="2"/>
    <x v="6"/>
    <x v="0"/>
    <x v="0"/>
    <x v="0"/>
    <x v="0"/>
    <x v="0"/>
    <x v="0"/>
    <x v="0"/>
    <x v="0"/>
  </r>
  <r>
    <x v="3"/>
    <x v="14"/>
    <x v="0"/>
    <x v="0"/>
    <x v="0"/>
    <x v="25"/>
    <x v="0"/>
    <x v="8"/>
    <x v="19"/>
    <x v="0"/>
    <x v="2"/>
    <n v="1.7201192593574523E-2"/>
    <x v="10"/>
    <x v="0"/>
    <x v="4"/>
    <x v="0"/>
    <x v="1"/>
    <x v="0"/>
    <x v="6"/>
    <x v="0"/>
    <x v="0"/>
    <x v="0"/>
    <x v="0"/>
    <x v="0"/>
    <x v="0"/>
    <x v="6"/>
    <x v="2"/>
    <x v="2"/>
    <x v="6"/>
    <x v="0"/>
    <x v="0"/>
    <x v="0"/>
    <x v="0"/>
    <x v="0"/>
    <x v="0"/>
    <x v="0"/>
    <x v="0"/>
  </r>
  <r>
    <x v="3"/>
    <x v="14"/>
    <x v="0"/>
    <x v="0"/>
    <x v="0"/>
    <x v="26"/>
    <x v="0"/>
    <x v="8"/>
    <x v="19"/>
    <x v="0"/>
    <x v="0"/>
    <n v="1.7142051315307619E-2"/>
    <x v="10"/>
    <x v="0"/>
    <x v="4"/>
    <x v="0"/>
    <x v="1"/>
    <x v="0"/>
    <x v="6"/>
    <x v="0"/>
    <x v="0"/>
    <x v="0"/>
    <x v="0"/>
    <x v="0"/>
    <x v="0"/>
    <x v="6"/>
    <x v="2"/>
    <x v="2"/>
    <x v="6"/>
    <x v="0"/>
    <x v="0"/>
    <x v="0"/>
    <x v="0"/>
    <x v="0"/>
    <x v="0"/>
    <x v="0"/>
    <x v="0"/>
  </r>
  <r>
    <x v="3"/>
    <x v="14"/>
    <x v="0"/>
    <x v="0"/>
    <x v="0"/>
    <x v="26"/>
    <x v="0"/>
    <x v="8"/>
    <x v="19"/>
    <x v="0"/>
    <x v="3"/>
    <n v="1.7387642002105713E-2"/>
    <x v="10"/>
    <x v="0"/>
    <x v="4"/>
    <x v="0"/>
    <x v="1"/>
    <x v="0"/>
    <x v="6"/>
    <x v="0"/>
    <x v="0"/>
    <x v="0"/>
    <x v="0"/>
    <x v="0"/>
    <x v="0"/>
    <x v="6"/>
    <x v="2"/>
    <x v="2"/>
    <x v="6"/>
    <x v="0"/>
    <x v="0"/>
    <x v="0"/>
    <x v="0"/>
    <x v="0"/>
    <x v="0"/>
    <x v="0"/>
    <x v="0"/>
  </r>
  <r>
    <x v="3"/>
    <x v="14"/>
    <x v="0"/>
    <x v="0"/>
    <x v="0"/>
    <x v="26"/>
    <x v="0"/>
    <x v="8"/>
    <x v="19"/>
    <x v="0"/>
    <x v="1"/>
    <n v="1.7271606397628782E-2"/>
    <x v="10"/>
    <x v="0"/>
    <x v="4"/>
    <x v="0"/>
    <x v="1"/>
    <x v="0"/>
    <x v="6"/>
    <x v="0"/>
    <x v="0"/>
    <x v="0"/>
    <x v="0"/>
    <x v="0"/>
    <x v="0"/>
    <x v="6"/>
    <x v="2"/>
    <x v="2"/>
    <x v="6"/>
    <x v="0"/>
    <x v="0"/>
    <x v="0"/>
    <x v="0"/>
    <x v="0"/>
    <x v="0"/>
    <x v="0"/>
    <x v="0"/>
  </r>
  <r>
    <x v="3"/>
    <x v="14"/>
    <x v="0"/>
    <x v="0"/>
    <x v="0"/>
    <x v="26"/>
    <x v="0"/>
    <x v="8"/>
    <x v="19"/>
    <x v="0"/>
    <x v="2"/>
    <n v="1.7208378934860231E-2"/>
    <x v="10"/>
    <x v="0"/>
    <x v="4"/>
    <x v="0"/>
    <x v="1"/>
    <x v="0"/>
    <x v="6"/>
    <x v="0"/>
    <x v="0"/>
    <x v="0"/>
    <x v="0"/>
    <x v="0"/>
    <x v="0"/>
    <x v="6"/>
    <x v="2"/>
    <x v="2"/>
    <x v="6"/>
    <x v="0"/>
    <x v="0"/>
    <x v="0"/>
    <x v="0"/>
    <x v="0"/>
    <x v="0"/>
    <x v="0"/>
    <x v="0"/>
  </r>
  <r>
    <x v="3"/>
    <x v="14"/>
    <x v="0"/>
    <x v="0"/>
    <x v="0"/>
    <x v="27"/>
    <x v="0"/>
    <x v="8"/>
    <x v="19"/>
    <x v="0"/>
    <x v="0"/>
    <n v="1.7266891694068909E-2"/>
    <x v="10"/>
    <x v="0"/>
    <x v="4"/>
    <x v="0"/>
    <x v="1"/>
    <x v="0"/>
    <x v="6"/>
    <x v="0"/>
    <x v="0"/>
    <x v="0"/>
    <x v="0"/>
    <x v="0"/>
    <x v="0"/>
    <x v="6"/>
    <x v="2"/>
    <x v="2"/>
    <x v="6"/>
    <x v="0"/>
    <x v="0"/>
    <x v="0"/>
    <x v="0"/>
    <x v="0"/>
    <x v="0"/>
    <x v="0"/>
    <x v="0"/>
  </r>
  <r>
    <x v="3"/>
    <x v="14"/>
    <x v="0"/>
    <x v="0"/>
    <x v="0"/>
    <x v="27"/>
    <x v="0"/>
    <x v="8"/>
    <x v="19"/>
    <x v="0"/>
    <x v="2"/>
    <n v="1.7333237624168395E-2"/>
    <x v="10"/>
    <x v="0"/>
    <x v="4"/>
    <x v="0"/>
    <x v="1"/>
    <x v="0"/>
    <x v="6"/>
    <x v="0"/>
    <x v="0"/>
    <x v="0"/>
    <x v="0"/>
    <x v="0"/>
    <x v="0"/>
    <x v="6"/>
    <x v="2"/>
    <x v="2"/>
    <x v="6"/>
    <x v="0"/>
    <x v="0"/>
    <x v="0"/>
    <x v="0"/>
    <x v="0"/>
    <x v="0"/>
    <x v="0"/>
    <x v="0"/>
  </r>
  <r>
    <x v="3"/>
    <x v="14"/>
    <x v="0"/>
    <x v="0"/>
    <x v="0"/>
    <x v="27"/>
    <x v="0"/>
    <x v="8"/>
    <x v="19"/>
    <x v="0"/>
    <x v="1"/>
    <n v="1.7398249435424805E-2"/>
    <x v="10"/>
    <x v="0"/>
    <x v="4"/>
    <x v="0"/>
    <x v="1"/>
    <x v="0"/>
    <x v="6"/>
    <x v="0"/>
    <x v="0"/>
    <x v="0"/>
    <x v="0"/>
    <x v="0"/>
    <x v="0"/>
    <x v="6"/>
    <x v="2"/>
    <x v="2"/>
    <x v="6"/>
    <x v="0"/>
    <x v="0"/>
    <x v="0"/>
    <x v="0"/>
    <x v="0"/>
    <x v="0"/>
    <x v="0"/>
    <x v="0"/>
  </r>
  <r>
    <x v="3"/>
    <x v="14"/>
    <x v="0"/>
    <x v="0"/>
    <x v="0"/>
    <x v="27"/>
    <x v="0"/>
    <x v="8"/>
    <x v="19"/>
    <x v="0"/>
    <x v="3"/>
    <n v="1.7517638254165649E-2"/>
    <x v="10"/>
    <x v="0"/>
    <x v="4"/>
    <x v="0"/>
    <x v="1"/>
    <x v="0"/>
    <x v="6"/>
    <x v="0"/>
    <x v="0"/>
    <x v="0"/>
    <x v="0"/>
    <x v="0"/>
    <x v="0"/>
    <x v="6"/>
    <x v="2"/>
    <x v="2"/>
    <x v="6"/>
    <x v="0"/>
    <x v="0"/>
    <x v="0"/>
    <x v="0"/>
    <x v="0"/>
    <x v="0"/>
    <x v="0"/>
    <x v="0"/>
  </r>
  <r>
    <x v="3"/>
    <x v="14"/>
    <x v="0"/>
    <x v="0"/>
    <x v="0"/>
    <x v="28"/>
    <x v="0"/>
    <x v="8"/>
    <x v="19"/>
    <x v="0"/>
    <x v="0"/>
    <n v="1.7143211174011231E-2"/>
    <x v="10"/>
    <x v="0"/>
    <x v="4"/>
    <x v="0"/>
    <x v="1"/>
    <x v="0"/>
    <x v="6"/>
    <x v="0"/>
    <x v="0"/>
    <x v="0"/>
    <x v="0"/>
    <x v="0"/>
    <x v="0"/>
    <x v="6"/>
    <x v="2"/>
    <x v="2"/>
    <x v="6"/>
    <x v="0"/>
    <x v="0"/>
    <x v="0"/>
    <x v="0"/>
    <x v="0"/>
    <x v="0"/>
    <x v="0"/>
    <x v="0"/>
  </r>
  <r>
    <x v="3"/>
    <x v="14"/>
    <x v="0"/>
    <x v="0"/>
    <x v="0"/>
    <x v="28"/>
    <x v="0"/>
    <x v="8"/>
    <x v="19"/>
    <x v="0"/>
    <x v="3"/>
    <n v="1.7388414812088013E-2"/>
    <x v="10"/>
    <x v="0"/>
    <x v="4"/>
    <x v="0"/>
    <x v="1"/>
    <x v="0"/>
    <x v="6"/>
    <x v="0"/>
    <x v="0"/>
    <x v="0"/>
    <x v="0"/>
    <x v="0"/>
    <x v="0"/>
    <x v="6"/>
    <x v="2"/>
    <x v="2"/>
    <x v="6"/>
    <x v="0"/>
    <x v="0"/>
    <x v="0"/>
    <x v="0"/>
    <x v="0"/>
    <x v="0"/>
    <x v="0"/>
    <x v="0"/>
  </r>
  <r>
    <x v="3"/>
    <x v="14"/>
    <x v="0"/>
    <x v="0"/>
    <x v="0"/>
    <x v="28"/>
    <x v="0"/>
    <x v="8"/>
    <x v="19"/>
    <x v="0"/>
    <x v="2"/>
    <n v="1.7209784197807311E-2"/>
    <x v="10"/>
    <x v="0"/>
    <x v="4"/>
    <x v="0"/>
    <x v="1"/>
    <x v="0"/>
    <x v="6"/>
    <x v="0"/>
    <x v="0"/>
    <x v="0"/>
    <x v="0"/>
    <x v="0"/>
    <x v="0"/>
    <x v="6"/>
    <x v="2"/>
    <x v="2"/>
    <x v="6"/>
    <x v="0"/>
    <x v="0"/>
    <x v="0"/>
    <x v="0"/>
    <x v="0"/>
    <x v="0"/>
    <x v="0"/>
    <x v="0"/>
  </r>
  <r>
    <x v="3"/>
    <x v="14"/>
    <x v="0"/>
    <x v="0"/>
    <x v="0"/>
    <x v="28"/>
    <x v="0"/>
    <x v="8"/>
    <x v="19"/>
    <x v="0"/>
    <x v="1"/>
    <n v="1.7272645020484926E-2"/>
    <x v="10"/>
    <x v="0"/>
    <x v="4"/>
    <x v="0"/>
    <x v="1"/>
    <x v="0"/>
    <x v="6"/>
    <x v="0"/>
    <x v="0"/>
    <x v="0"/>
    <x v="0"/>
    <x v="0"/>
    <x v="0"/>
    <x v="6"/>
    <x v="2"/>
    <x v="2"/>
    <x v="6"/>
    <x v="0"/>
    <x v="0"/>
    <x v="0"/>
    <x v="0"/>
    <x v="0"/>
    <x v="0"/>
    <x v="0"/>
    <x v="0"/>
  </r>
  <r>
    <x v="3"/>
    <x v="14"/>
    <x v="0"/>
    <x v="0"/>
    <x v="0"/>
    <x v="29"/>
    <x v="0"/>
    <x v="8"/>
    <x v="19"/>
    <x v="0"/>
    <x v="0"/>
    <n v="1.7136123728752138E-2"/>
    <x v="10"/>
    <x v="0"/>
    <x v="4"/>
    <x v="0"/>
    <x v="1"/>
    <x v="0"/>
    <x v="6"/>
    <x v="0"/>
    <x v="0"/>
    <x v="0"/>
    <x v="0"/>
    <x v="0"/>
    <x v="0"/>
    <x v="6"/>
    <x v="2"/>
    <x v="2"/>
    <x v="6"/>
    <x v="0"/>
    <x v="0"/>
    <x v="0"/>
    <x v="0"/>
    <x v="0"/>
    <x v="0"/>
    <x v="0"/>
    <x v="0"/>
  </r>
  <r>
    <x v="3"/>
    <x v="14"/>
    <x v="0"/>
    <x v="0"/>
    <x v="0"/>
    <x v="29"/>
    <x v="0"/>
    <x v="8"/>
    <x v="19"/>
    <x v="0"/>
    <x v="3"/>
    <n v="1.7381380844116213E-2"/>
    <x v="10"/>
    <x v="0"/>
    <x v="4"/>
    <x v="0"/>
    <x v="1"/>
    <x v="0"/>
    <x v="6"/>
    <x v="0"/>
    <x v="0"/>
    <x v="0"/>
    <x v="0"/>
    <x v="0"/>
    <x v="0"/>
    <x v="6"/>
    <x v="2"/>
    <x v="2"/>
    <x v="6"/>
    <x v="0"/>
    <x v="0"/>
    <x v="0"/>
    <x v="0"/>
    <x v="0"/>
    <x v="0"/>
    <x v="0"/>
    <x v="0"/>
  </r>
  <r>
    <x v="3"/>
    <x v="14"/>
    <x v="0"/>
    <x v="0"/>
    <x v="0"/>
    <x v="29"/>
    <x v="0"/>
    <x v="8"/>
    <x v="19"/>
    <x v="0"/>
    <x v="1"/>
    <n v="1.7265558505058287E-2"/>
    <x v="10"/>
    <x v="0"/>
    <x v="4"/>
    <x v="0"/>
    <x v="1"/>
    <x v="0"/>
    <x v="6"/>
    <x v="0"/>
    <x v="0"/>
    <x v="0"/>
    <x v="0"/>
    <x v="0"/>
    <x v="0"/>
    <x v="6"/>
    <x v="2"/>
    <x v="2"/>
    <x v="6"/>
    <x v="0"/>
    <x v="0"/>
    <x v="0"/>
    <x v="0"/>
    <x v="0"/>
    <x v="0"/>
    <x v="0"/>
    <x v="0"/>
  </r>
  <r>
    <x v="3"/>
    <x v="14"/>
    <x v="0"/>
    <x v="0"/>
    <x v="0"/>
    <x v="29"/>
    <x v="0"/>
    <x v="8"/>
    <x v="19"/>
    <x v="0"/>
    <x v="2"/>
    <n v="1.7202461528778076E-2"/>
    <x v="10"/>
    <x v="0"/>
    <x v="4"/>
    <x v="0"/>
    <x v="1"/>
    <x v="0"/>
    <x v="6"/>
    <x v="0"/>
    <x v="0"/>
    <x v="0"/>
    <x v="0"/>
    <x v="0"/>
    <x v="0"/>
    <x v="6"/>
    <x v="2"/>
    <x v="2"/>
    <x v="6"/>
    <x v="0"/>
    <x v="0"/>
    <x v="0"/>
    <x v="0"/>
    <x v="0"/>
    <x v="0"/>
    <x v="0"/>
    <x v="0"/>
  </r>
  <r>
    <x v="3"/>
    <x v="14"/>
    <x v="0"/>
    <x v="0"/>
    <x v="0"/>
    <x v="30"/>
    <x v="0"/>
    <x v="8"/>
    <x v="19"/>
    <x v="0"/>
    <x v="1"/>
    <n v="1.7398865962028505E-2"/>
    <x v="10"/>
    <x v="0"/>
    <x v="4"/>
    <x v="0"/>
    <x v="1"/>
    <x v="0"/>
    <x v="6"/>
    <x v="0"/>
    <x v="0"/>
    <x v="0"/>
    <x v="0"/>
    <x v="0"/>
    <x v="0"/>
    <x v="6"/>
    <x v="2"/>
    <x v="2"/>
    <x v="6"/>
    <x v="0"/>
    <x v="0"/>
    <x v="0"/>
    <x v="0"/>
    <x v="0"/>
    <x v="0"/>
    <x v="0"/>
    <x v="0"/>
  </r>
  <r>
    <x v="3"/>
    <x v="14"/>
    <x v="0"/>
    <x v="0"/>
    <x v="0"/>
    <x v="30"/>
    <x v="0"/>
    <x v="8"/>
    <x v="19"/>
    <x v="0"/>
    <x v="0"/>
    <n v="1.7267510080337525E-2"/>
    <x v="10"/>
    <x v="0"/>
    <x v="4"/>
    <x v="0"/>
    <x v="1"/>
    <x v="0"/>
    <x v="6"/>
    <x v="0"/>
    <x v="0"/>
    <x v="0"/>
    <x v="0"/>
    <x v="0"/>
    <x v="0"/>
    <x v="6"/>
    <x v="2"/>
    <x v="2"/>
    <x v="6"/>
    <x v="0"/>
    <x v="0"/>
    <x v="0"/>
    <x v="0"/>
    <x v="0"/>
    <x v="0"/>
    <x v="0"/>
    <x v="0"/>
  </r>
  <r>
    <x v="3"/>
    <x v="14"/>
    <x v="0"/>
    <x v="0"/>
    <x v="0"/>
    <x v="30"/>
    <x v="0"/>
    <x v="8"/>
    <x v="19"/>
    <x v="0"/>
    <x v="3"/>
    <n v="1.7518277168273925E-2"/>
    <x v="10"/>
    <x v="0"/>
    <x v="4"/>
    <x v="0"/>
    <x v="1"/>
    <x v="0"/>
    <x v="6"/>
    <x v="0"/>
    <x v="0"/>
    <x v="0"/>
    <x v="0"/>
    <x v="0"/>
    <x v="0"/>
    <x v="6"/>
    <x v="2"/>
    <x v="2"/>
    <x v="6"/>
    <x v="0"/>
    <x v="0"/>
    <x v="0"/>
    <x v="0"/>
    <x v="0"/>
    <x v="0"/>
    <x v="0"/>
    <x v="0"/>
  </r>
  <r>
    <x v="3"/>
    <x v="14"/>
    <x v="0"/>
    <x v="0"/>
    <x v="0"/>
    <x v="30"/>
    <x v="0"/>
    <x v="8"/>
    <x v="19"/>
    <x v="0"/>
    <x v="2"/>
    <n v="1.7333837509155275E-2"/>
    <x v="10"/>
    <x v="0"/>
    <x v="4"/>
    <x v="0"/>
    <x v="1"/>
    <x v="0"/>
    <x v="6"/>
    <x v="0"/>
    <x v="0"/>
    <x v="0"/>
    <x v="0"/>
    <x v="0"/>
    <x v="0"/>
    <x v="6"/>
    <x v="2"/>
    <x v="2"/>
    <x v="6"/>
    <x v="0"/>
    <x v="0"/>
    <x v="0"/>
    <x v="0"/>
    <x v="0"/>
    <x v="0"/>
    <x v="0"/>
    <x v="0"/>
  </r>
  <r>
    <x v="3"/>
    <x v="14"/>
    <x v="0"/>
    <x v="0"/>
    <x v="0"/>
    <x v="22"/>
    <x v="0"/>
    <x v="8"/>
    <x v="19"/>
    <x v="0"/>
    <x v="2"/>
    <n v="1.7203151154518127E-2"/>
    <x v="10"/>
    <x v="0"/>
    <x v="4"/>
    <x v="0"/>
    <x v="1"/>
    <x v="0"/>
    <x v="6"/>
    <x v="0"/>
    <x v="0"/>
    <x v="0"/>
    <x v="0"/>
    <x v="0"/>
    <x v="0"/>
    <x v="6"/>
    <x v="2"/>
    <x v="2"/>
    <x v="6"/>
    <x v="0"/>
    <x v="0"/>
    <x v="0"/>
    <x v="0"/>
    <x v="0"/>
    <x v="0"/>
    <x v="0"/>
    <x v="0"/>
  </r>
  <r>
    <x v="3"/>
    <x v="14"/>
    <x v="0"/>
    <x v="0"/>
    <x v="0"/>
    <x v="31"/>
    <x v="0"/>
    <x v="8"/>
    <x v="19"/>
    <x v="0"/>
    <x v="1"/>
    <n v="1.7302017617225648E-2"/>
    <x v="10"/>
    <x v="0"/>
    <x v="4"/>
    <x v="0"/>
    <x v="1"/>
    <x v="0"/>
    <x v="6"/>
    <x v="0"/>
    <x v="0"/>
    <x v="0"/>
    <x v="0"/>
    <x v="0"/>
    <x v="0"/>
    <x v="6"/>
    <x v="2"/>
    <x v="2"/>
    <x v="6"/>
    <x v="0"/>
    <x v="0"/>
    <x v="0"/>
    <x v="0"/>
    <x v="0"/>
    <x v="0"/>
    <x v="0"/>
    <x v="0"/>
  </r>
  <r>
    <x v="3"/>
    <x v="14"/>
    <x v="0"/>
    <x v="0"/>
    <x v="0"/>
    <x v="31"/>
    <x v="0"/>
    <x v="8"/>
    <x v="19"/>
    <x v="0"/>
    <x v="0"/>
    <n v="1.7171673703193665E-2"/>
    <x v="10"/>
    <x v="0"/>
    <x v="4"/>
    <x v="0"/>
    <x v="1"/>
    <x v="0"/>
    <x v="6"/>
    <x v="0"/>
    <x v="0"/>
    <x v="0"/>
    <x v="0"/>
    <x v="0"/>
    <x v="0"/>
    <x v="6"/>
    <x v="2"/>
    <x v="2"/>
    <x v="6"/>
    <x v="0"/>
    <x v="0"/>
    <x v="0"/>
    <x v="0"/>
    <x v="0"/>
    <x v="0"/>
    <x v="0"/>
    <x v="0"/>
  </r>
  <r>
    <x v="3"/>
    <x v="14"/>
    <x v="0"/>
    <x v="0"/>
    <x v="0"/>
    <x v="31"/>
    <x v="0"/>
    <x v="8"/>
    <x v="19"/>
    <x v="0"/>
    <x v="2"/>
    <n v="1.7238692760467529E-2"/>
    <x v="10"/>
    <x v="0"/>
    <x v="4"/>
    <x v="0"/>
    <x v="1"/>
    <x v="0"/>
    <x v="6"/>
    <x v="0"/>
    <x v="0"/>
    <x v="0"/>
    <x v="0"/>
    <x v="0"/>
    <x v="0"/>
    <x v="6"/>
    <x v="2"/>
    <x v="2"/>
    <x v="6"/>
    <x v="0"/>
    <x v="0"/>
    <x v="0"/>
    <x v="0"/>
    <x v="0"/>
    <x v="0"/>
    <x v="0"/>
    <x v="0"/>
  </r>
  <r>
    <x v="3"/>
    <x v="14"/>
    <x v="0"/>
    <x v="0"/>
    <x v="0"/>
    <x v="31"/>
    <x v="0"/>
    <x v="8"/>
    <x v="19"/>
    <x v="0"/>
    <x v="3"/>
    <n v="1.7419006276130678E-2"/>
    <x v="10"/>
    <x v="0"/>
    <x v="4"/>
    <x v="0"/>
    <x v="1"/>
    <x v="0"/>
    <x v="6"/>
    <x v="0"/>
    <x v="0"/>
    <x v="0"/>
    <x v="0"/>
    <x v="0"/>
    <x v="0"/>
    <x v="6"/>
    <x v="2"/>
    <x v="2"/>
    <x v="6"/>
    <x v="0"/>
    <x v="0"/>
    <x v="0"/>
    <x v="0"/>
    <x v="0"/>
    <x v="0"/>
    <x v="0"/>
    <x v="0"/>
  </r>
  <r>
    <x v="3"/>
    <x v="14"/>
    <x v="0"/>
    <x v="0"/>
    <x v="0"/>
    <x v="32"/>
    <x v="0"/>
    <x v="8"/>
    <x v="19"/>
    <x v="0"/>
    <x v="1"/>
    <n v="1.7267183804512025E-2"/>
    <x v="10"/>
    <x v="0"/>
    <x v="4"/>
    <x v="0"/>
    <x v="1"/>
    <x v="0"/>
    <x v="6"/>
    <x v="0"/>
    <x v="0"/>
    <x v="0"/>
    <x v="0"/>
    <x v="0"/>
    <x v="0"/>
    <x v="6"/>
    <x v="2"/>
    <x v="2"/>
    <x v="6"/>
    <x v="0"/>
    <x v="0"/>
    <x v="0"/>
    <x v="0"/>
    <x v="0"/>
    <x v="0"/>
    <x v="0"/>
    <x v="0"/>
  </r>
  <r>
    <x v="3"/>
    <x v="14"/>
    <x v="0"/>
    <x v="0"/>
    <x v="0"/>
    <x v="32"/>
    <x v="0"/>
    <x v="8"/>
    <x v="19"/>
    <x v="0"/>
    <x v="2"/>
    <n v="1.7204051947593689E-2"/>
    <x v="10"/>
    <x v="0"/>
    <x v="4"/>
    <x v="0"/>
    <x v="1"/>
    <x v="0"/>
    <x v="6"/>
    <x v="0"/>
    <x v="0"/>
    <x v="0"/>
    <x v="0"/>
    <x v="0"/>
    <x v="0"/>
    <x v="6"/>
    <x v="2"/>
    <x v="2"/>
    <x v="6"/>
    <x v="0"/>
    <x v="0"/>
    <x v="0"/>
    <x v="0"/>
    <x v="0"/>
    <x v="0"/>
    <x v="0"/>
    <x v="0"/>
  </r>
  <r>
    <x v="3"/>
    <x v="14"/>
    <x v="0"/>
    <x v="0"/>
    <x v="0"/>
    <x v="32"/>
    <x v="0"/>
    <x v="8"/>
    <x v="19"/>
    <x v="0"/>
    <x v="3"/>
    <n v="1.7383063411712647E-2"/>
    <x v="10"/>
    <x v="0"/>
    <x v="4"/>
    <x v="0"/>
    <x v="1"/>
    <x v="0"/>
    <x v="6"/>
    <x v="0"/>
    <x v="0"/>
    <x v="0"/>
    <x v="0"/>
    <x v="0"/>
    <x v="0"/>
    <x v="6"/>
    <x v="2"/>
    <x v="2"/>
    <x v="6"/>
    <x v="0"/>
    <x v="0"/>
    <x v="0"/>
    <x v="0"/>
    <x v="0"/>
    <x v="0"/>
    <x v="0"/>
    <x v="0"/>
  </r>
  <r>
    <x v="3"/>
    <x v="14"/>
    <x v="0"/>
    <x v="0"/>
    <x v="0"/>
    <x v="32"/>
    <x v="0"/>
    <x v="8"/>
    <x v="19"/>
    <x v="0"/>
    <x v="0"/>
    <n v="1.7137716698646544E-2"/>
    <x v="10"/>
    <x v="0"/>
    <x v="4"/>
    <x v="0"/>
    <x v="1"/>
    <x v="0"/>
    <x v="6"/>
    <x v="0"/>
    <x v="0"/>
    <x v="0"/>
    <x v="0"/>
    <x v="0"/>
    <x v="0"/>
    <x v="6"/>
    <x v="2"/>
    <x v="2"/>
    <x v="6"/>
    <x v="0"/>
    <x v="0"/>
    <x v="0"/>
    <x v="0"/>
    <x v="0"/>
    <x v="0"/>
    <x v="0"/>
    <x v="0"/>
  </r>
  <r>
    <x v="4"/>
    <x v="15"/>
    <x v="0"/>
    <x v="0"/>
    <x v="0"/>
    <x v="33"/>
    <x v="0"/>
    <x v="6"/>
    <x v="20"/>
    <x v="0"/>
    <x v="2"/>
    <n v="2.6600271317423606E-2"/>
    <x v="9"/>
    <x v="0"/>
    <x v="3"/>
    <x v="0"/>
    <x v="1"/>
    <x v="0"/>
    <x v="3"/>
    <x v="0"/>
    <x v="0"/>
    <x v="0"/>
    <x v="0"/>
    <x v="0"/>
    <x v="0"/>
    <x v="5"/>
    <x v="0"/>
    <x v="1"/>
    <x v="3"/>
    <x v="0"/>
    <x v="0"/>
    <x v="0"/>
    <x v="0"/>
    <x v="0"/>
    <x v="0"/>
    <x v="0"/>
    <x v="0"/>
  </r>
  <r>
    <x v="4"/>
    <x v="15"/>
    <x v="0"/>
    <x v="0"/>
    <x v="0"/>
    <x v="33"/>
    <x v="0"/>
    <x v="6"/>
    <x v="20"/>
    <x v="0"/>
    <x v="0"/>
    <n v="2.6614075777482014E-2"/>
    <x v="9"/>
    <x v="0"/>
    <x v="3"/>
    <x v="0"/>
    <x v="1"/>
    <x v="0"/>
    <x v="3"/>
    <x v="0"/>
    <x v="0"/>
    <x v="0"/>
    <x v="0"/>
    <x v="0"/>
    <x v="0"/>
    <x v="5"/>
    <x v="0"/>
    <x v="1"/>
    <x v="3"/>
    <x v="0"/>
    <x v="0"/>
    <x v="0"/>
    <x v="0"/>
    <x v="0"/>
    <x v="0"/>
    <x v="0"/>
    <x v="0"/>
  </r>
  <r>
    <x v="4"/>
    <x v="15"/>
    <x v="0"/>
    <x v="0"/>
    <x v="0"/>
    <x v="33"/>
    <x v="0"/>
    <x v="6"/>
    <x v="20"/>
    <x v="0"/>
    <x v="3"/>
    <n v="2.6787980600279204E-2"/>
    <x v="9"/>
    <x v="0"/>
    <x v="3"/>
    <x v="0"/>
    <x v="1"/>
    <x v="0"/>
    <x v="3"/>
    <x v="0"/>
    <x v="0"/>
    <x v="0"/>
    <x v="0"/>
    <x v="0"/>
    <x v="0"/>
    <x v="5"/>
    <x v="0"/>
    <x v="1"/>
    <x v="3"/>
    <x v="0"/>
    <x v="0"/>
    <x v="0"/>
    <x v="0"/>
    <x v="0"/>
    <x v="0"/>
    <x v="0"/>
    <x v="0"/>
  </r>
  <r>
    <x v="4"/>
    <x v="15"/>
    <x v="0"/>
    <x v="0"/>
    <x v="0"/>
    <x v="33"/>
    <x v="0"/>
    <x v="6"/>
    <x v="20"/>
    <x v="0"/>
    <x v="1"/>
    <n v="2.6869509268780144E-2"/>
    <x v="9"/>
    <x v="0"/>
    <x v="3"/>
    <x v="0"/>
    <x v="1"/>
    <x v="0"/>
    <x v="3"/>
    <x v="0"/>
    <x v="0"/>
    <x v="0"/>
    <x v="0"/>
    <x v="0"/>
    <x v="0"/>
    <x v="5"/>
    <x v="0"/>
    <x v="1"/>
    <x v="3"/>
    <x v="0"/>
    <x v="0"/>
    <x v="0"/>
    <x v="0"/>
    <x v="0"/>
    <x v="0"/>
    <x v="0"/>
    <x v="0"/>
  </r>
  <r>
    <x v="3"/>
    <x v="16"/>
    <x v="0"/>
    <x v="0"/>
    <x v="0"/>
    <x v="34"/>
    <x v="0"/>
    <x v="9"/>
    <x v="21"/>
    <x v="0"/>
    <x v="1"/>
    <n v="1.6676857566833497E-2"/>
    <x v="8"/>
    <x v="0"/>
    <x v="2"/>
    <x v="0"/>
    <x v="1"/>
    <x v="0"/>
    <x v="5"/>
    <x v="0"/>
    <x v="0"/>
    <x v="0"/>
    <x v="0"/>
    <x v="0"/>
    <x v="0"/>
    <x v="4"/>
    <x v="2"/>
    <x v="2"/>
    <x v="5"/>
    <x v="0"/>
    <x v="0"/>
    <x v="0"/>
    <x v="0"/>
    <x v="0"/>
    <x v="0"/>
    <x v="0"/>
    <x v="0"/>
  </r>
  <r>
    <x v="3"/>
    <x v="16"/>
    <x v="0"/>
    <x v="0"/>
    <x v="0"/>
    <x v="34"/>
    <x v="0"/>
    <x v="9"/>
    <x v="21"/>
    <x v="0"/>
    <x v="2"/>
    <n v="1.6726148700714111E-2"/>
    <x v="8"/>
    <x v="0"/>
    <x v="2"/>
    <x v="0"/>
    <x v="1"/>
    <x v="0"/>
    <x v="5"/>
    <x v="0"/>
    <x v="0"/>
    <x v="0"/>
    <x v="0"/>
    <x v="0"/>
    <x v="0"/>
    <x v="4"/>
    <x v="2"/>
    <x v="2"/>
    <x v="5"/>
    <x v="0"/>
    <x v="0"/>
    <x v="0"/>
    <x v="0"/>
    <x v="0"/>
    <x v="0"/>
    <x v="0"/>
    <x v="0"/>
  </r>
  <r>
    <x v="3"/>
    <x v="16"/>
    <x v="0"/>
    <x v="0"/>
    <x v="0"/>
    <x v="34"/>
    <x v="0"/>
    <x v="9"/>
    <x v="21"/>
    <x v="0"/>
    <x v="0"/>
    <n v="1.6691918635368348E-2"/>
    <x v="8"/>
    <x v="0"/>
    <x v="2"/>
    <x v="0"/>
    <x v="1"/>
    <x v="0"/>
    <x v="5"/>
    <x v="0"/>
    <x v="0"/>
    <x v="0"/>
    <x v="0"/>
    <x v="0"/>
    <x v="0"/>
    <x v="4"/>
    <x v="2"/>
    <x v="2"/>
    <x v="5"/>
    <x v="0"/>
    <x v="0"/>
    <x v="0"/>
    <x v="0"/>
    <x v="0"/>
    <x v="0"/>
    <x v="0"/>
    <x v="0"/>
  </r>
  <r>
    <x v="3"/>
    <x v="16"/>
    <x v="0"/>
    <x v="0"/>
    <x v="0"/>
    <x v="34"/>
    <x v="0"/>
    <x v="9"/>
    <x v="21"/>
    <x v="0"/>
    <x v="3"/>
    <n v="1.6702634453773499E-2"/>
    <x v="8"/>
    <x v="0"/>
    <x v="2"/>
    <x v="0"/>
    <x v="1"/>
    <x v="0"/>
    <x v="5"/>
    <x v="0"/>
    <x v="0"/>
    <x v="0"/>
    <x v="0"/>
    <x v="0"/>
    <x v="0"/>
    <x v="4"/>
    <x v="2"/>
    <x v="2"/>
    <x v="5"/>
    <x v="0"/>
    <x v="0"/>
    <x v="0"/>
    <x v="0"/>
    <x v="0"/>
    <x v="0"/>
    <x v="0"/>
    <x v="0"/>
  </r>
  <r>
    <x v="3"/>
    <x v="16"/>
    <x v="0"/>
    <x v="0"/>
    <x v="0"/>
    <x v="35"/>
    <x v="0"/>
    <x v="9"/>
    <x v="21"/>
    <x v="0"/>
    <x v="0"/>
    <n v="1.6588329124450685E-2"/>
    <x v="8"/>
    <x v="0"/>
    <x v="2"/>
    <x v="0"/>
    <x v="1"/>
    <x v="0"/>
    <x v="5"/>
    <x v="0"/>
    <x v="0"/>
    <x v="0"/>
    <x v="0"/>
    <x v="0"/>
    <x v="0"/>
    <x v="4"/>
    <x v="2"/>
    <x v="2"/>
    <x v="5"/>
    <x v="0"/>
    <x v="0"/>
    <x v="0"/>
    <x v="0"/>
    <x v="0"/>
    <x v="0"/>
    <x v="0"/>
    <x v="0"/>
  </r>
  <r>
    <x v="3"/>
    <x v="16"/>
    <x v="0"/>
    <x v="0"/>
    <x v="0"/>
    <x v="35"/>
    <x v="0"/>
    <x v="9"/>
    <x v="21"/>
    <x v="0"/>
    <x v="3"/>
    <n v="1.6608742475509645E-2"/>
    <x v="8"/>
    <x v="0"/>
    <x v="2"/>
    <x v="0"/>
    <x v="1"/>
    <x v="0"/>
    <x v="5"/>
    <x v="0"/>
    <x v="0"/>
    <x v="0"/>
    <x v="0"/>
    <x v="0"/>
    <x v="0"/>
    <x v="4"/>
    <x v="2"/>
    <x v="2"/>
    <x v="5"/>
    <x v="0"/>
    <x v="0"/>
    <x v="0"/>
    <x v="0"/>
    <x v="0"/>
    <x v="0"/>
    <x v="0"/>
    <x v="0"/>
  </r>
  <r>
    <x v="3"/>
    <x v="16"/>
    <x v="0"/>
    <x v="0"/>
    <x v="0"/>
    <x v="35"/>
    <x v="0"/>
    <x v="9"/>
    <x v="21"/>
    <x v="0"/>
    <x v="2"/>
    <n v="1.6628196740150453E-2"/>
    <x v="8"/>
    <x v="0"/>
    <x v="2"/>
    <x v="0"/>
    <x v="1"/>
    <x v="0"/>
    <x v="5"/>
    <x v="0"/>
    <x v="0"/>
    <x v="0"/>
    <x v="0"/>
    <x v="0"/>
    <x v="0"/>
    <x v="4"/>
    <x v="2"/>
    <x v="2"/>
    <x v="5"/>
    <x v="0"/>
    <x v="0"/>
    <x v="0"/>
    <x v="0"/>
    <x v="0"/>
    <x v="0"/>
    <x v="0"/>
    <x v="0"/>
  </r>
  <r>
    <x v="3"/>
    <x v="16"/>
    <x v="0"/>
    <x v="0"/>
    <x v="0"/>
    <x v="36"/>
    <x v="0"/>
    <x v="9"/>
    <x v="21"/>
    <x v="0"/>
    <x v="0"/>
    <n v="1.6632540822029113E-2"/>
    <x v="8"/>
    <x v="0"/>
    <x v="2"/>
    <x v="0"/>
    <x v="1"/>
    <x v="0"/>
    <x v="5"/>
    <x v="0"/>
    <x v="0"/>
    <x v="0"/>
    <x v="0"/>
    <x v="0"/>
    <x v="0"/>
    <x v="4"/>
    <x v="0"/>
    <x v="1"/>
    <x v="5"/>
    <x v="0"/>
    <x v="0"/>
    <x v="0"/>
    <x v="0"/>
    <x v="0"/>
    <x v="0"/>
    <x v="0"/>
    <x v="0"/>
  </r>
  <r>
    <x v="3"/>
    <x v="16"/>
    <x v="0"/>
    <x v="0"/>
    <x v="0"/>
    <x v="36"/>
    <x v="0"/>
    <x v="9"/>
    <x v="21"/>
    <x v="0"/>
    <x v="1"/>
    <n v="1.6622676444053651E-2"/>
    <x v="8"/>
    <x v="0"/>
    <x v="2"/>
    <x v="0"/>
    <x v="1"/>
    <x v="0"/>
    <x v="5"/>
    <x v="0"/>
    <x v="0"/>
    <x v="0"/>
    <x v="0"/>
    <x v="0"/>
    <x v="0"/>
    <x v="4"/>
    <x v="0"/>
    <x v="1"/>
    <x v="5"/>
    <x v="0"/>
    <x v="0"/>
    <x v="0"/>
    <x v="0"/>
    <x v="0"/>
    <x v="0"/>
    <x v="0"/>
    <x v="0"/>
  </r>
  <r>
    <x v="3"/>
    <x v="16"/>
    <x v="0"/>
    <x v="0"/>
    <x v="0"/>
    <x v="35"/>
    <x v="0"/>
    <x v="9"/>
    <x v="21"/>
    <x v="0"/>
    <x v="1"/>
    <n v="1.658615686893463E-2"/>
    <x v="8"/>
    <x v="0"/>
    <x v="2"/>
    <x v="0"/>
    <x v="1"/>
    <x v="0"/>
    <x v="5"/>
    <x v="0"/>
    <x v="0"/>
    <x v="0"/>
    <x v="0"/>
    <x v="0"/>
    <x v="0"/>
    <x v="4"/>
    <x v="2"/>
    <x v="2"/>
    <x v="5"/>
    <x v="0"/>
    <x v="0"/>
    <x v="0"/>
    <x v="0"/>
    <x v="0"/>
    <x v="0"/>
    <x v="0"/>
    <x v="0"/>
  </r>
  <r>
    <x v="3"/>
    <x v="16"/>
    <x v="0"/>
    <x v="0"/>
    <x v="0"/>
    <x v="36"/>
    <x v="0"/>
    <x v="9"/>
    <x v="21"/>
    <x v="0"/>
    <x v="3"/>
    <n v="1.6647048258781435E-2"/>
    <x v="8"/>
    <x v="0"/>
    <x v="2"/>
    <x v="0"/>
    <x v="1"/>
    <x v="0"/>
    <x v="5"/>
    <x v="0"/>
    <x v="0"/>
    <x v="0"/>
    <x v="0"/>
    <x v="0"/>
    <x v="0"/>
    <x v="4"/>
    <x v="0"/>
    <x v="1"/>
    <x v="5"/>
    <x v="0"/>
    <x v="0"/>
    <x v="0"/>
    <x v="0"/>
    <x v="0"/>
    <x v="0"/>
    <x v="0"/>
    <x v="0"/>
  </r>
  <r>
    <x v="3"/>
    <x v="16"/>
    <x v="0"/>
    <x v="0"/>
    <x v="0"/>
    <x v="36"/>
    <x v="0"/>
    <x v="9"/>
    <x v="21"/>
    <x v="0"/>
    <x v="2"/>
    <n v="1.6669017863273621E-2"/>
    <x v="8"/>
    <x v="0"/>
    <x v="2"/>
    <x v="0"/>
    <x v="1"/>
    <x v="0"/>
    <x v="5"/>
    <x v="0"/>
    <x v="0"/>
    <x v="0"/>
    <x v="0"/>
    <x v="0"/>
    <x v="0"/>
    <x v="4"/>
    <x v="0"/>
    <x v="1"/>
    <x v="5"/>
    <x v="0"/>
    <x v="0"/>
    <x v="0"/>
    <x v="0"/>
    <x v="0"/>
    <x v="0"/>
    <x v="0"/>
    <x v="0"/>
  </r>
  <r>
    <x v="4"/>
    <x v="17"/>
    <x v="0"/>
    <x v="0"/>
    <x v="0"/>
    <x v="37"/>
    <x v="0"/>
    <x v="10"/>
    <x v="22"/>
    <x v="0"/>
    <x v="1"/>
    <n v="1.6036033630371095E-5"/>
    <x v="9"/>
    <x v="0"/>
    <x v="3"/>
    <x v="1"/>
    <x v="1"/>
    <x v="0"/>
    <x v="3"/>
    <x v="0"/>
    <x v="0"/>
    <x v="0"/>
    <x v="0"/>
    <x v="0"/>
    <x v="1"/>
    <x v="5"/>
    <x v="1"/>
    <x v="1"/>
    <x v="3"/>
    <x v="0"/>
    <x v="0"/>
    <x v="0"/>
    <x v="0"/>
    <x v="0"/>
    <x v="1"/>
    <x v="1"/>
    <x v="0"/>
  </r>
  <r>
    <x v="4"/>
    <x v="17"/>
    <x v="0"/>
    <x v="0"/>
    <x v="0"/>
    <x v="37"/>
    <x v="0"/>
    <x v="10"/>
    <x v="22"/>
    <x v="0"/>
    <x v="2"/>
    <n v="1.6051676808571331E-5"/>
    <x v="9"/>
    <x v="0"/>
    <x v="3"/>
    <x v="1"/>
    <x v="1"/>
    <x v="0"/>
    <x v="3"/>
    <x v="0"/>
    <x v="0"/>
    <x v="0"/>
    <x v="0"/>
    <x v="0"/>
    <x v="1"/>
    <x v="5"/>
    <x v="1"/>
    <x v="1"/>
    <x v="3"/>
    <x v="0"/>
    <x v="0"/>
    <x v="0"/>
    <x v="0"/>
    <x v="0"/>
    <x v="1"/>
    <x v="1"/>
    <x v="0"/>
  </r>
  <r>
    <x v="4"/>
    <x v="17"/>
    <x v="0"/>
    <x v="0"/>
    <x v="0"/>
    <x v="37"/>
    <x v="0"/>
    <x v="10"/>
    <x v="22"/>
    <x v="0"/>
    <x v="3"/>
    <n v="1.7478101107538965E-5"/>
    <x v="9"/>
    <x v="0"/>
    <x v="3"/>
    <x v="1"/>
    <x v="1"/>
    <x v="0"/>
    <x v="3"/>
    <x v="0"/>
    <x v="0"/>
    <x v="0"/>
    <x v="0"/>
    <x v="0"/>
    <x v="1"/>
    <x v="5"/>
    <x v="1"/>
    <x v="1"/>
    <x v="3"/>
    <x v="0"/>
    <x v="0"/>
    <x v="0"/>
    <x v="0"/>
    <x v="0"/>
    <x v="1"/>
    <x v="1"/>
    <x v="0"/>
  </r>
  <r>
    <x v="4"/>
    <x v="17"/>
    <x v="0"/>
    <x v="0"/>
    <x v="0"/>
    <x v="37"/>
    <x v="0"/>
    <x v="10"/>
    <x v="22"/>
    <x v="0"/>
    <x v="0"/>
    <n v="1.5928623627643199E-5"/>
    <x v="9"/>
    <x v="0"/>
    <x v="3"/>
    <x v="1"/>
    <x v="1"/>
    <x v="0"/>
    <x v="3"/>
    <x v="0"/>
    <x v="0"/>
    <x v="0"/>
    <x v="0"/>
    <x v="0"/>
    <x v="1"/>
    <x v="5"/>
    <x v="1"/>
    <x v="1"/>
    <x v="3"/>
    <x v="0"/>
    <x v="0"/>
    <x v="0"/>
    <x v="0"/>
    <x v="0"/>
    <x v="1"/>
    <x v="1"/>
    <x v="0"/>
  </r>
  <r>
    <x v="1"/>
    <x v="18"/>
    <x v="0"/>
    <x v="0"/>
    <x v="0"/>
    <x v="38"/>
    <x v="0"/>
    <x v="2"/>
    <x v="23"/>
    <x v="0"/>
    <x v="1"/>
    <n v="8.2877816692475349E-4"/>
    <x v="3"/>
    <x v="0"/>
    <x v="1"/>
    <x v="1"/>
    <x v="1"/>
    <x v="0"/>
    <x v="1"/>
    <x v="0"/>
    <x v="1"/>
    <x v="1"/>
    <x v="1"/>
    <x v="0"/>
    <x v="1"/>
    <x v="1"/>
    <x v="1"/>
    <x v="1"/>
    <x v="1"/>
    <x v="0"/>
    <x v="1"/>
    <x v="1"/>
    <x v="1"/>
    <x v="0"/>
    <x v="1"/>
    <x v="0"/>
    <x v="0"/>
  </r>
  <r>
    <x v="1"/>
    <x v="18"/>
    <x v="0"/>
    <x v="0"/>
    <x v="0"/>
    <x v="38"/>
    <x v="0"/>
    <x v="2"/>
    <x v="23"/>
    <x v="0"/>
    <x v="3"/>
    <n v="7.963346906246678E-4"/>
    <x v="3"/>
    <x v="0"/>
    <x v="1"/>
    <x v="1"/>
    <x v="1"/>
    <x v="0"/>
    <x v="1"/>
    <x v="0"/>
    <x v="1"/>
    <x v="1"/>
    <x v="1"/>
    <x v="0"/>
    <x v="1"/>
    <x v="1"/>
    <x v="1"/>
    <x v="1"/>
    <x v="1"/>
    <x v="0"/>
    <x v="1"/>
    <x v="1"/>
    <x v="1"/>
    <x v="0"/>
    <x v="1"/>
    <x v="0"/>
    <x v="0"/>
  </r>
  <r>
    <x v="1"/>
    <x v="18"/>
    <x v="0"/>
    <x v="0"/>
    <x v="0"/>
    <x v="38"/>
    <x v="0"/>
    <x v="2"/>
    <x v="23"/>
    <x v="0"/>
    <x v="2"/>
    <n v="9.1390219426924183E-4"/>
    <x v="3"/>
    <x v="0"/>
    <x v="1"/>
    <x v="1"/>
    <x v="1"/>
    <x v="0"/>
    <x v="1"/>
    <x v="0"/>
    <x v="1"/>
    <x v="1"/>
    <x v="1"/>
    <x v="0"/>
    <x v="1"/>
    <x v="1"/>
    <x v="1"/>
    <x v="1"/>
    <x v="1"/>
    <x v="0"/>
    <x v="1"/>
    <x v="1"/>
    <x v="1"/>
    <x v="0"/>
    <x v="1"/>
    <x v="0"/>
    <x v="0"/>
  </r>
  <r>
    <x v="1"/>
    <x v="18"/>
    <x v="0"/>
    <x v="0"/>
    <x v="0"/>
    <x v="38"/>
    <x v="0"/>
    <x v="2"/>
    <x v="23"/>
    <x v="0"/>
    <x v="0"/>
    <n v="7.7064605009171273E-4"/>
    <x v="3"/>
    <x v="0"/>
    <x v="1"/>
    <x v="1"/>
    <x v="1"/>
    <x v="0"/>
    <x v="1"/>
    <x v="0"/>
    <x v="1"/>
    <x v="1"/>
    <x v="1"/>
    <x v="0"/>
    <x v="1"/>
    <x v="1"/>
    <x v="1"/>
    <x v="1"/>
    <x v="1"/>
    <x v="0"/>
    <x v="1"/>
    <x v="1"/>
    <x v="1"/>
    <x v="0"/>
    <x v="1"/>
    <x v="0"/>
    <x v="0"/>
  </r>
  <r>
    <x v="0"/>
    <x v="19"/>
    <x v="0"/>
    <x v="0"/>
    <x v="0"/>
    <x v="39"/>
    <x v="0"/>
    <x v="3"/>
    <x v="24"/>
    <x v="0"/>
    <x v="0"/>
    <n v="5.6298593282699582E-3"/>
    <x v="0"/>
    <x v="0"/>
    <x v="0"/>
    <x v="0"/>
    <x v="0"/>
    <x v="0"/>
    <x v="0"/>
    <x v="0"/>
    <x v="0"/>
    <x v="0"/>
    <x v="0"/>
    <x v="0"/>
    <x v="0"/>
    <x v="0"/>
    <x v="0"/>
    <x v="0"/>
    <x v="0"/>
    <x v="0"/>
    <x v="0"/>
    <x v="0"/>
    <x v="0"/>
    <x v="0"/>
    <x v="0"/>
    <x v="0"/>
    <x v="0"/>
  </r>
  <r>
    <x v="0"/>
    <x v="19"/>
    <x v="0"/>
    <x v="0"/>
    <x v="0"/>
    <x v="39"/>
    <x v="0"/>
    <x v="3"/>
    <x v="24"/>
    <x v="0"/>
    <x v="3"/>
    <n v="5.6861515045166016E-3"/>
    <x v="0"/>
    <x v="0"/>
    <x v="0"/>
    <x v="0"/>
    <x v="0"/>
    <x v="0"/>
    <x v="0"/>
    <x v="0"/>
    <x v="0"/>
    <x v="0"/>
    <x v="0"/>
    <x v="0"/>
    <x v="0"/>
    <x v="0"/>
    <x v="0"/>
    <x v="0"/>
    <x v="0"/>
    <x v="0"/>
    <x v="0"/>
    <x v="0"/>
    <x v="0"/>
    <x v="0"/>
    <x v="0"/>
    <x v="0"/>
    <x v="0"/>
  </r>
  <r>
    <x v="0"/>
    <x v="19"/>
    <x v="0"/>
    <x v="0"/>
    <x v="0"/>
    <x v="39"/>
    <x v="0"/>
    <x v="3"/>
    <x v="24"/>
    <x v="0"/>
    <x v="2"/>
    <n v="5.6580277681350715E-3"/>
    <x v="0"/>
    <x v="0"/>
    <x v="0"/>
    <x v="0"/>
    <x v="0"/>
    <x v="0"/>
    <x v="0"/>
    <x v="0"/>
    <x v="0"/>
    <x v="0"/>
    <x v="0"/>
    <x v="0"/>
    <x v="0"/>
    <x v="0"/>
    <x v="0"/>
    <x v="0"/>
    <x v="0"/>
    <x v="0"/>
    <x v="0"/>
    <x v="0"/>
    <x v="0"/>
    <x v="0"/>
    <x v="0"/>
    <x v="0"/>
    <x v="0"/>
  </r>
  <r>
    <x v="0"/>
    <x v="19"/>
    <x v="0"/>
    <x v="0"/>
    <x v="0"/>
    <x v="39"/>
    <x v="0"/>
    <x v="3"/>
    <x v="24"/>
    <x v="0"/>
    <x v="1"/>
    <n v="5.6580277681350715E-3"/>
    <x v="0"/>
    <x v="0"/>
    <x v="0"/>
    <x v="0"/>
    <x v="0"/>
    <x v="0"/>
    <x v="0"/>
    <x v="0"/>
    <x v="0"/>
    <x v="0"/>
    <x v="0"/>
    <x v="0"/>
    <x v="0"/>
    <x v="0"/>
    <x v="0"/>
    <x v="0"/>
    <x v="0"/>
    <x v="0"/>
    <x v="0"/>
    <x v="0"/>
    <x v="0"/>
    <x v="0"/>
    <x v="0"/>
    <x v="0"/>
    <x v="0"/>
  </r>
  <r>
    <x v="0"/>
    <x v="20"/>
    <x v="0"/>
    <x v="0"/>
    <x v="0"/>
    <x v="40"/>
    <x v="0"/>
    <x v="0"/>
    <x v="25"/>
    <x v="0"/>
    <x v="1"/>
    <n v="5.758959650993347E-3"/>
    <x v="0"/>
    <x v="0"/>
    <x v="0"/>
    <x v="0"/>
    <x v="0"/>
    <x v="0"/>
    <x v="0"/>
    <x v="0"/>
    <x v="0"/>
    <x v="0"/>
    <x v="0"/>
    <x v="0"/>
    <x v="0"/>
    <x v="0"/>
    <x v="0"/>
    <x v="0"/>
    <x v="0"/>
    <x v="0"/>
    <x v="0"/>
    <x v="0"/>
    <x v="0"/>
    <x v="0"/>
    <x v="0"/>
    <x v="0"/>
    <x v="0"/>
  </r>
  <r>
    <x v="0"/>
    <x v="20"/>
    <x v="0"/>
    <x v="0"/>
    <x v="0"/>
    <x v="40"/>
    <x v="0"/>
    <x v="0"/>
    <x v="25"/>
    <x v="0"/>
    <x v="2"/>
    <n v="5.758959650993347E-3"/>
    <x v="0"/>
    <x v="0"/>
    <x v="0"/>
    <x v="0"/>
    <x v="0"/>
    <x v="0"/>
    <x v="0"/>
    <x v="0"/>
    <x v="0"/>
    <x v="0"/>
    <x v="0"/>
    <x v="0"/>
    <x v="0"/>
    <x v="0"/>
    <x v="0"/>
    <x v="0"/>
    <x v="0"/>
    <x v="0"/>
    <x v="0"/>
    <x v="0"/>
    <x v="0"/>
    <x v="0"/>
    <x v="0"/>
    <x v="0"/>
    <x v="0"/>
  </r>
  <r>
    <x v="0"/>
    <x v="20"/>
    <x v="0"/>
    <x v="0"/>
    <x v="0"/>
    <x v="40"/>
    <x v="0"/>
    <x v="0"/>
    <x v="25"/>
    <x v="0"/>
    <x v="0"/>
    <n v="5.7302839756011954E-3"/>
    <x v="0"/>
    <x v="0"/>
    <x v="0"/>
    <x v="0"/>
    <x v="0"/>
    <x v="0"/>
    <x v="0"/>
    <x v="0"/>
    <x v="0"/>
    <x v="0"/>
    <x v="0"/>
    <x v="0"/>
    <x v="0"/>
    <x v="0"/>
    <x v="0"/>
    <x v="0"/>
    <x v="0"/>
    <x v="0"/>
    <x v="0"/>
    <x v="0"/>
    <x v="0"/>
    <x v="0"/>
    <x v="0"/>
    <x v="0"/>
    <x v="0"/>
  </r>
  <r>
    <x v="0"/>
    <x v="20"/>
    <x v="0"/>
    <x v="0"/>
    <x v="0"/>
    <x v="40"/>
    <x v="0"/>
    <x v="0"/>
    <x v="25"/>
    <x v="0"/>
    <x v="3"/>
    <n v="5.7876321077346806E-3"/>
    <x v="0"/>
    <x v="0"/>
    <x v="0"/>
    <x v="0"/>
    <x v="0"/>
    <x v="0"/>
    <x v="0"/>
    <x v="0"/>
    <x v="0"/>
    <x v="0"/>
    <x v="0"/>
    <x v="0"/>
    <x v="0"/>
    <x v="0"/>
    <x v="0"/>
    <x v="0"/>
    <x v="0"/>
    <x v="0"/>
    <x v="0"/>
    <x v="0"/>
    <x v="0"/>
    <x v="0"/>
    <x v="0"/>
    <x v="0"/>
    <x v="0"/>
  </r>
  <r>
    <x v="4"/>
    <x v="21"/>
    <x v="0"/>
    <x v="0"/>
    <x v="0"/>
    <x v="41"/>
    <x v="0"/>
    <x v="11"/>
    <x v="26"/>
    <x v="0"/>
    <x v="3"/>
    <n v="2.229430415192429E-2"/>
    <x v="9"/>
    <x v="0"/>
    <x v="3"/>
    <x v="1"/>
    <x v="1"/>
    <x v="0"/>
    <x v="3"/>
    <x v="0"/>
    <x v="0"/>
    <x v="0"/>
    <x v="0"/>
    <x v="0"/>
    <x v="0"/>
    <x v="5"/>
    <x v="1"/>
    <x v="1"/>
    <x v="3"/>
    <x v="0"/>
    <x v="0"/>
    <x v="0"/>
    <x v="0"/>
    <x v="0"/>
    <x v="0"/>
    <x v="1"/>
    <x v="0"/>
  </r>
  <r>
    <x v="4"/>
    <x v="21"/>
    <x v="0"/>
    <x v="0"/>
    <x v="0"/>
    <x v="41"/>
    <x v="0"/>
    <x v="11"/>
    <x v="26"/>
    <x v="0"/>
    <x v="0"/>
    <n v="2.2063709716407622E-2"/>
    <x v="9"/>
    <x v="0"/>
    <x v="3"/>
    <x v="1"/>
    <x v="1"/>
    <x v="0"/>
    <x v="3"/>
    <x v="0"/>
    <x v="0"/>
    <x v="0"/>
    <x v="0"/>
    <x v="0"/>
    <x v="0"/>
    <x v="5"/>
    <x v="1"/>
    <x v="1"/>
    <x v="3"/>
    <x v="0"/>
    <x v="0"/>
    <x v="0"/>
    <x v="0"/>
    <x v="0"/>
    <x v="0"/>
    <x v="1"/>
    <x v="0"/>
  </r>
  <r>
    <x v="4"/>
    <x v="21"/>
    <x v="0"/>
    <x v="0"/>
    <x v="0"/>
    <x v="41"/>
    <x v="0"/>
    <x v="11"/>
    <x v="26"/>
    <x v="0"/>
    <x v="1"/>
    <n v="2.2182553447022729E-2"/>
    <x v="9"/>
    <x v="0"/>
    <x v="3"/>
    <x v="1"/>
    <x v="1"/>
    <x v="0"/>
    <x v="3"/>
    <x v="0"/>
    <x v="0"/>
    <x v="0"/>
    <x v="0"/>
    <x v="0"/>
    <x v="0"/>
    <x v="5"/>
    <x v="1"/>
    <x v="1"/>
    <x v="3"/>
    <x v="0"/>
    <x v="0"/>
    <x v="0"/>
    <x v="0"/>
    <x v="0"/>
    <x v="0"/>
    <x v="1"/>
    <x v="0"/>
  </r>
  <r>
    <x v="4"/>
    <x v="21"/>
    <x v="0"/>
    <x v="0"/>
    <x v="0"/>
    <x v="41"/>
    <x v="0"/>
    <x v="11"/>
    <x v="26"/>
    <x v="0"/>
    <x v="2"/>
    <n v="2.2170548001114204E-2"/>
    <x v="9"/>
    <x v="0"/>
    <x v="3"/>
    <x v="1"/>
    <x v="1"/>
    <x v="0"/>
    <x v="3"/>
    <x v="0"/>
    <x v="0"/>
    <x v="0"/>
    <x v="0"/>
    <x v="0"/>
    <x v="0"/>
    <x v="5"/>
    <x v="1"/>
    <x v="1"/>
    <x v="3"/>
    <x v="0"/>
    <x v="0"/>
    <x v="0"/>
    <x v="0"/>
    <x v="0"/>
    <x v="0"/>
    <x v="1"/>
    <x v="0"/>
  </r>
  <r>
    <x v="3"/>
    <x v="22"/>
    <x v="0"/>
    <x v="0"/>
    <x v="0"/>
    <x v="42"/>
    <x v="0"/>
    <x v="2"/>
    <x v="27"/>
    <x v="0"/>
    <x v="0"/>
    <n v="1.676713789632182E-2"/>
    <x v="9"/>
    <x v="0"/>
    <x v="3"/>
    <x v="0"/>
    <x v="1"/>
    <x v="0"/>
    <x v="4"/>
    <x v="0"/>
    <x v="0"/>
    <x v="0"/>
    <x v="0"/>
    <x v="0"/>
    <x v="0"/>
    <x v="5"/>
    <x v="0"/>
    <x v="1"/>
    <x v="4"/>
    <x v="0"/>
    <x v="0"/>
    <x v="0"/>
    <x v="0"/>
    <x v="0"/>
    <x v="0"/>
    <x v="1"/>
    <x v="0"/>
  </r>
  <r>
    <x v="3"/>
    <x v="22"/>
    <x v="0"/>
    <x v="0"/>
    <x v="0"/>
    <x v="42"/>
    <x v="0"/>
    <x v="2"/>
    <x v="27"/>
    <x v="0"/>
    <x v="2"/>
    <n v="1.6919528530212585E-2"/>
    <x v="9"/>
    <x v="0"/>
    <x v="3"/>
    <x v="0"/>
    <x v="1"/>
    <x v="0"/>
    <x v="4"/>
    <x v="0"/>
    <x v="0"/>
    <x v="0"/>
    <x v="0"/>
    <x v="0"/>
    <x v="0"/>
    <x v="5"/>
    <x v="0"/>
    <x v="1"/>
    <x v="4"/>
    <x v="0"/>
    <x v="0"/>
    <x v="0"/>
    <x v="0"/>
    <x v="0"/>
    <x v="0"/>
    <x v="1"/>
    <x v="0"/>
  </r>
  <r>
    <x v="3"/>
    <x v="22"/>
    <x v="0"/>
    <x v="0"/>
    <x v="0"/>
    <x v="42"/>
    <x v="0"/>
    <x v="2"/>
    <x v="27"/>
    <x v="0"/>
    <x v="3"/>
    <n v="1.6905600202824167E-2"/>
    <x v="9"/>
    <x v="0"/>
    <x v="3"/>
    <x v="0"/>
    <x v="1"/>
    <x v="0"/>
    <x v="4"/>
    <x v="0"/>
    <x v="0"/>
    <x v="0"/>
    <x v="0"/>
    <x v="0"/>
    <x v="0"/>
    <x v="5"/>
    <x v="0"/>
    <x v="1"/>
    <x v="4"/>
    <x v="0"/>
    <x v="0"/>
    <x v="0"/>
    <x v="0"/>
    <x v="0"/>
    <x v="0"/>
    <x v="1"/>
    <x v="0"/>
  </r>
  <r>
    <x v="3"/>
    <x v="22"/>
    <x v="0"/>
    <x v="0"/>
    <x v="0"/>
    <x v="42"/>
    <x v="0"/>
    <x v="2"/>
    <x v="27"/>
    <x v="0"/>
    <x v="1"/>
    <n v="1.6899575092988405E-2"/>
    <x v="9"/>
    <x v="0"/>
    <x v="3"/>
    <x v="0"/>
    <x v="1"/>
    <x v="0"/>
    <x v="4"/>
    <x v="0"/>
    <x v="0"/>
    <x v="0"/>
    <x v="0"/>
    <x v="0"/>
    <x v="0"/>
    <x v="5"/>
    <x v="0"/>
    <x v="1"/>
    <x v="4"/>
    <x v="0"/>
    <x v="0"/>
    <x v="0"/>
    <x v="0"/>
    <x v="0"/>
    <x v="0"/>
    <x v="1"/>
    <x v="0"/>
  </r>
  <r>
    <x v="3"/>
    <x v="22"/>
    <x v="0"/>
    <x v="0"/>
    <x v="0"/>
    <x v="43"/>
    <x v="0"/>
    <x v="2"/>
    <x v="27"/>
    <x v="0"/>
    <x v="2"/>
    <n v="1.6919528530212585E-2"/>
    <x v="9"/>
    <x v="0"/>
    <x v="3"/>
    <x v="0"/>
    <x v="1"/>
    <x v="0"/>
    <x v="4"/>
    <x v="0"/>
    <x v="0"/>
    <x v="0"/>
    <x v="0"/>
    <x v="0"/>
    <x v="0"/>
    <x v="5"/>
    <x v="2"/>
    <x v="2"/>
    <x v="4"/>
    <x v="0"/>
    <x v="0"/>
    <x v="0"/>
    <x v="0"/>
    <x v="0"/>
    <x v="0"/>
    <x v="1"/>
    <x v="0"/>
  </r>
  <r>
    <x v="3"/>
    <x v="22"/>
    <x v="0"/>
    <x v="0"/>
    <x v="0"/>
    <x v="43"/>
    <x v="0"/>
    <x v="2"/>
    <x v="27"/>
    <x v="0"/>
    <x v="1"/>
    <n v="1.6899575092988405E-2"/>
    <x v="9"/>
    <x v="0"/>
    <x v="3"/>
    <x v="0"/>
    <x v="1"/>
    <x v="0"/>
    <x v="4"/>
    <x v="0"/>
    <x v="0"/>
    <x v="0"/>
    <x v="0"/>
    <x v="0"/>
    <x v="0"/>
    <x v="5"/>
    <x v="2"/>
    <x v="2"/>
    <x v="4"/>
    <x v="0"/>
    <x v="0"/>
    <x v="0"/>
    <x v="0"/>
    <x v="0"/>
    <x v="0"/>
    <x v="1"/>
    <x v="0"/>
  </r>
  <r>
    <x v="3"/>
    <x v="22"/>
    <x v="0"/>
    <x v="0"/>
    <x v="0"/>
    <x v="43"/>
    <x v="0"/>
    <x v="2"/>
    <x v="27"/>
    <x v="0"/>
    <x v="0"/>
    <n v="1.676713789632182E-2"/>
    <x v="9"/>
    <x v="0"/>
    <x v="3"/>
    <x v="0"/>
    <x v="1"/>
    <x v="0"/>
    <x v="4"/>
    <x v="0"/>
    <x v="0"/>
    <x v="0"/>
    <x v="0"/>
    <x v="0"/>
    <x v="0"/>
    <x v="5"/>
    <x v="2"/>
    <x v="2"/>
    <x v="4"/>
    <x v="0"/>
    <x v="0"/>
    <x v="0"/>
    <x v="0"/>
    <x v="0"/>
    <x v="0"/>
    <x v="1"/>
    <x v="0"/>
  </r>
  <r>
    <x v="3"/>
    <x v="22"/>
    <x v="0"/>
    <x v="0"/>
    <x v="0"/>
    <x v="43"/>
    <x v="0"/>
    <x v="2"/>
    <x v="27"/>
    <x v="0"/>
    <x v="3"/>
    <n v="1.6905600202824167E-2"/>
    <x v="9"/>
    <x v="0"/>
    <x v="3"/>
    <x v="0"/>
    <x v="1"/>
    <x v="0"/>
    <x v="4"/>
    <x v="0"/>
    <x v="0"/>
    <x v="0"/>
    <x v="0"/>
    <x v="0"/>
    <x v="0"/>
    <x v="5"/>
    <x v="2"/>
    <x v="2"/>
    <x v="4"/>
    <x v="0"/>
    <x v="0"/>
    <x v="0"/>
    <x v="0"/>
    <x v="0"/>
    <x v="0"/>
    <x v="1"/>
    <x v="0"/>
  </r>
  <r>
    <x v="4"/>
    <x v="23"/>
    <x v="0"/>
    <x v="0"/>
    <x v="0"/>
    <x v="44"/>
    <x v="0"/>
    <x v="6"/>
    <x v="28"/>
    <x v="0"/>
    <x v="3"/>
    <n v="2.6022362879344396E-2"/>
    <x v="9"/>
    <x v="0"/>
    <x v="3"/>
    <x v="0"/>
    <x v="1"/>
    <x v="0"/>
    <x v="3"/>
    <x v="0"/>
    <x v="0"/>
    <x v="0"/>
    <x v="0"/>
    <x v="0"/>
    <x v="0"/>
    <x v="5"/>
    <x v="0"/>
    <x v="1"/>
    <x v="3"/>
    <x v="0"/>
    <x v="0"/>
    <x v="0"/>
    <x v="0"/>
    <x v="0"/>
    <x v="0"/>
    <x v="1"/>
    <x v="0"/>
  </r>
  <r>
    <x v="4"/>
    <x v="23"/>
    <x v="0"/>
    <x v="0"/>
    <x v="0"/>
    <x v="44"/>
    <x v="0"/>
    <x v="6"/>
    <x v="28"/>
    <x v="0"/>
    <x v="1"/>
    <n v="2.5910218467517773E-2"/>
    <x v="9"/>
    <x v="0"/>
    <x v="3"/>
    <x v="0"/>
    <x v="1"/>
    <x v="0"/>
    <x v="3"/>
    <x v="0"/>
    <x v="0"/>
    <x v="0"/>
    <x v="0"/>
    <x v="0"/>
    <x v="0"/>
    <x v="5"/>
    <x v="0"/>
    <x v="1"/>
    <x v="3"/>
    <x v="0"/>
    <x v="0"/>
    <x v="0"/>
    <x v="0"/>
    <x v="0"/>
    <x v="0"/>
    <x v="1"/>
    <x v="0"/>
  </r>
  <r>
    <x v="4"/>
    <x v="23"/>
    <x v="0"/>
    <x v="0"/>
    <x v="0"/>
    <x v="44"/>
    <x v="0"/>
    <x v="6"/>
    <x v="28"/>
    <x v="0"/>
    <x v="2"/>
    <n v="2.5868618293684358E-2"/>
    <x v="9"/>
    <x v="0"/>
    <x v="3"/>
    <x v="0"/>
    <x v="1"/>
    <x v="0"/>
    <x v="3"/>
    <x v="0"/>
    <x v="0"/>
    <x v="0"/>
    <x v="0"/>
    <x v="0"/>
    <x v="0"/>
    <x v="5"/>
    <x v="0"/>
    <x v="1"/>
    <x v="3"/>
    <x v="0"/>
    <x v="0"/>
    <x v="0"/>
    <x v="0"/>
    <x v="0"/>
    <x v="0"/>
    <x v="1"/>
    <x v="0"/>
  </r>
  <r>
    <x v="4"/>
    <x v="23"/>
    <x v="0"/>
    <x v="0"/>
    <x v="0"/>
    <x v="44"/>
    <x v="0"/>
    <x v="6"/>
    <x v="28"/>
    <x v="0"/>
    <x v="0"/>
    <n v="2.5994007709074993E-2"/>
    <x v="9"/>
    <x v="0"/>
    <x v="3"/>
    <x v="0"/>
    <x v="1"/>
    <x v="0"/>
    <x v="3"/>
    <x v="0"/>
    <x v="0"/>
    <x v="0"/>
    <x v="0"/>
    <x v="0"/>
    <x v="0"/>
    <x v="5"/>
    <x v="0"/>
    <x v="1"/>
    <x v="3"/>
    <x v="0"/>
    <x v="0"/>
    <x v="0"/>
    <x v="0"/>
    <x v="0"/>
    <x v="0"/>
    <x v="1"/>
    <x v="0"/>
  </r>
  <r>
    <x v="3"/>
    <x v="24"/>
    <x v="0"/>
    <x v="0"/>
    <x v="0"/>
    <x v="45"/>
    <x v="0"/>
    <x v="12"/>
    <x v="29"/>
    <x v="0"/>
    <x v="1"/>
    <n v="1.5717563743820651E-2"/>
    <x v="9"/>
    <x v="0"/>
    <x v="3"/>
    <x v="0"/>
    <x v="1"/>
    <x v="0"/>
    <x v="4"/>
    <x v="0"/>
    <x v="0"/>
    <x v="0"/>
    <x v="0"/>
    <x v="0"/>
    <x v="0"/>
    <x v="5"/>
    <x v="2"/>
    <x v="2"/>
    <x v="4"/>
    <x v="0"/>
    <x v="0"/>
    <x v="0"/>
    <x v="0"/>
    <x v="0"/>
    <x v="0"/>
    <x v="0"/>
    <x v="0"/>
  </r>
  <r>
    <x v="3"/>
    <x v="24"/>
    <x v="0"/>
    <x v="0"/>
    <x v="0"/>
    <x v="46"/>
    <x v="0"/>
    <x v="12"/>
    <x v="29"/>
    <x v="0"/>
    <x v="2"/>
    <n v="1.5798301137759835E-2"/>
    <x v="9"/>
    <x v="0"/>
    <x v="3"/>
    <x v="0"/>
    <x v="1"/>
    <x v="0"/>
    <x v="4"/>
    <x v="0"/>
    <x v="0"/>
    <x v="0"/>
    <x v="0"/>
    <x v="0"/>
    <x v="0"/>
    <x v="5"/>
    <x v="2"/>
    <x v="2"/>
    <x v="4"/>
    <x v="0"/>
    <x v="0"/>
    <x v="0"/>
    <x v="0"/>
    <x v="0"/>
    <x v="0"/>
    <x v="0"/>
    <x v="0"/>
  </r>
  <r>
    <x v="3"/>
    <x v="24"/>
    <x v="0"/>
    <x v="0"/>
    <x v="0"/>
    <x v="45"/>
    <x v="0"/>
    <x v="12"/>
    <x v="29"/>
    <x v="0"/>
    <x v="3"/>
    <n v="1.5816221781866348E-2"/>
    <x v="9"/>
    <x v="0"/>
    <x v="3"/>
    <x v="0"/>
    <x v="1"/>
    <x v="0"/>
    <x v="4"/>
    <x v="0"/>
    <x v="0"/>
    <x v="0"/>
    <x v="0"/>
    <x v="0"/>
    <x v="0"/>
    <x v="5"/>
    <x v="2"/>
    <x v="2"/>
    <x v="4"/>
    <x v="0"/>
    <x v="0"/>
    <x v="0"/>
    <x v="0"/>
    <x v="0"/>
    <x v="0"/>
    <x v="0"/>
    <x v="0"/>
  </r>
  <r>
    <x v="3"/>
    <x v="24"/>
    <x v="0"/>
    <x v="0"/>
    <x v="0"/>
    <x v="45"/>
    <x v="0"/>
    <x v="12"/>
    <x v="29"/>
    <x v="0"/>
    <x v="2"/>
    <n v="1.5798043368574613E-2"/>
    <x v="9"/>
    <x v="0"/>
    <x v="3"/>
    <x v="0"/>
    <x v="1"/>
    <x v="0"/>
    <x v="4"/>
    <x v="0"/>
    <x v="0"/>
    <x v="0"/>
    <x v="0"/>
    <x v="0"/>
    <x v="0"/>
    <x v="5"/>
    <x v="2"/>
    <x v="2"/>
    <x v="4"/>
    <x v="0"/>
    <x v="0"/>
    <x v="0"/>
    <x v="0"/>
    <x v="0"/>
    <x v="0"/>
    <x v="0"/>
    <x v="0"/>
  </r>
  <r>
    <x v="3"/>
    <x v="24"/>
    <x v="0"/>
    <x v="0"/>
    <x v="0"/>
    <x v="47"/>
    <x v="0"/>
    <x v="12"/>
    <x v="29"/>
    <x v="0"/>
    <x v="1"/>
    <n v="1.5717563743820651E-2"/>
    <x v="9"/>
    <x v="0"/>
    <x v="3"/>
    <x v="0"/>
    <x v="1"/>
    <x v="0"/>
    <x v="4"/>
    <x v="0"/>
    <x v="0"/>
    <x v="0"/>
    <x v="0"/>
    <x v="0"/>
    <x v="0"/>
    <x v="5"/>
    <x v="2"/>
    <x v="2"/>
    <x v="4"/>
    <x v="0"/>
    <x v="0"/>
    <x v="0"/>
    <x v="0"/>
    <x v="0"/>
    <x v="0"/>
    <x v="0"/>
    <x v="0"/>
  </r>
  <r>
    <x v="3"/>
    <x v="24"/>
    <x v="0"/>
    <x v="0"/>
    <x v="0"/>
    <x v="47"/>
    <x v="0"/>
    <x v="12"/>
    <x v="29"/>
    <x v="0"/>
    <x v="0"/>
    <n v="1.569445264602233E-2"/>
    <x v="9"/>
    <x v="0"/>
    <x v="3"/>
    <x v="0"/>
    <x v="1"/>
    <x v="0"/>
    <x v="4"/>
    <x v="0"/>
    <x v="0"/>
    <x v="0"/>
    <x v="0"/>
    <x v="0"/>
    <x v="0"/>
    <x v="5"/>
    <x v="2"/>
    <x v="2"/>
    <x v="4"/>
    <x v="0"/>
    <x v="0"/>
    <x v="0"/>
    <x v="0"/>
    <x v="0"/>
    <x v="0"/>
    <x v="0"/>
    <x v="0"/>
  </r>
  <r>
    <x v="3"/>
    <x v="24"/>
    <x v="0"/>
    <x v="0"/>
    <x v="0"/>
    <x v="47"/>
    <x v="0"/>
    <x v="12"/>
    <x v="29"/>
    <x v="0"/>
    <x v="3"/>
    <n v="1.5816221781866348E-2"/>
    <x v="9"/>
    <x v="0"/>
    <x v="3"/>
    <x v="0"/>
    <x v="1"/>
    <x v="0"/>
    <x v="4"/>
    <x v="0"/>
    <x v="0"/>
    <x v="0"/>
    <x v="0"/>
    <x v="0"/>
    <x v="0"/>
    <x v="5"/>
    <x v="2"/>
    <x v="2"/>
    <x v="4"/>
    <x v="0"/>
    <x v="0"/>
    <x v="0"/>
    <x v="0"/>
    <x v="0"/>
    <x v="0"/>
    <x v="0"/>
    <x v="0"/>
  </r>
  <r>
    <x v="3"/>
    <x v="24"/>
    <x v="0"/>
    <x v="0"/>
    <x v="0"/>
    <x v="47"/>
    <x v="0"/>
    <x v="12"/>
    <x v="29"/>
    <x v="0"/>
    <x v="2"/>
    <n v="1.5798043368574613E-2"/>
    <x v="9"/>
    <x v="0"/>
    <x v="3"/>
    <x v="0"/>
    <x v="1"/>
    <x v="0"/>
    <x v="4"/>
    <x v="0"/>
    <x v="0"/>
    <x v="0"/>
    <x v="0"/>
    <x v="0"/>
    <x v="0"/>
    <x v="5"/>
    <x v="2"/>
    <x v="2"/>
    <x v="4"/>
    <x v="0"/>
    <x v="0"/>
    <x v="0"/>
    <x v="0"/>
    <x v="0"/>
    <x v="0"/>
    <x v="0"/>
    <x v="0"/>
  </r>
  <r>
    <x v="3"/>
    <x v="24"/>
    <x v="0"/>
    <x v="0"/>
    <x v="0"/>
    <x v="48"/>
    <x v="0"/>
    <x v="12"/>
    <x v="29"/>
    <x v="0"/>
    <x v="3"/>
    <n v="1.5816221781866348E-2"/>
    <x v="9"/>
    <x v="0"/>
    <x v="3"/>
    <x v="0"/>
    <x v="1"/>
    <x v="0"/>
    <x v="4"/>
    <x v="0"/>
    <x v="0"/>
    <x v="0"/>
    <x v="0"/>
    <x v="0"/>
    <x v="0"/>
    <x v="5"/>
    <x v="0"/>
    <x v="1"/>
    <x v="4"/>
    <x v="0"/>
    <x v="0"/>
    <x v="0"/>
    <x v="0"/>
    <x v="0"/>
    <x v="0"/>
    <x v="0"/>
    <x v="0"/>
  </r>
  <r>
    <x v="3"/>
    <x v="24"/>
    <x v="0"/>
    <x v="0"/>
    <x v="0"/>
    <x v="48"/>
    <x v="0"/>
    <x v="12"/>
    <x v="29"/>
    <x v="0"/>
    <x v="2"/>
    <n v="1.5798043368574613E-2"/>
    <x v="9"/>
    <x v="0"/>
    <x v="3"/>
    <x v="0"/>
    <x v="1"/>
    <x v="0"/>
    <x v="4"/>
    <x v="0"/>
    <x v="0"/>
    <x v="0"/>
    <x v="0"/>
    <x v="0"/>
    <x v="0"/>
    <x v="5"/>
    <x v="0"/>
    <x v="1"/>
    <x v="4"/>
    <x v="0"/>
    <x v="0"/>
    <x v="0"/>
    <x v="0"/>
    <x v="0"/>
    <x v="0"/>
    <x v="0"/>
    <x v="0"/>
  </r>
  <r>
    <x v="3"/>
    <x v="24"/>
    <x v="0"/>
    <x v="0"/>
    <x v="0"/>
    <x v="48"/>
    <x v="0"/>
    <x v="12"/>
    <x v="29"/>
    <x v="0"/>
    <x v="0"/>
    <n v="1.569445264602233E-2"/>
    <x v="9"/>
    <x v="0"/>
    <x v="3"/>
    <x v="0"/>
    <x v="1"/>
    <x v="0"/>
    <x v="4"/>
    <x v="0"/>
    <x v="0"/>
    <x v="0"/>
    <x v="0"/>
    <x v="0"/>
    <x v="0"/>
    <x v="5"/>
    <x v="0"/>
    <x v="1"/>
    <x v="4"/>
    <x v="0"/>
    <x v="0"/>
    <x v="0"/>
    <x v="0"/>
    <x v="0"/>
    <x v="0"/>
    <x v="0"/>
    <x v="0"/>
  </r>
  <r>
    <x v="3"/>
    <x v="24"/>
    <x v="0"/>
    <x v="0"/>
    <x v="0"/>
    <x v="48"/>
    <x v="0"/>
    <x v="12"/>
    <x v="29"/>
    <x v="0"/>
    <x v="1"/>
    <n v="1.5717563743820651E-2"/>
    <x v="9"/>
    <x v="0"/>
    <x v="3"/>
    <x v="0"/>
    <x v="1"/>
    <x v="0"/>
    <x v="4"/>
    <x v="0"/>
    <x v="0"/>
    <x v="0"/>
    <x v="0"/>
    <x v="0"/>
    <x v="0"/>
    <x v="5"/>
    <x v="0"/>
    <x v="1"/>
    <x v="4"/>
    <x v="0"/>
    <x v="0"/>
    <x v="0"/>
    <x v="0"/>
    <x v="0"/>
    <x v="0"/>
    <x v="0"/>
    <x v="0"/>
  </r>
  <r>
    <x v="3"/>
    <x v="24"/>
    <x v="0"/>
    <x v="0"/>
    <x v="0"/>
    <x v="49"/>
    <x v="1"/>
    <x v="12"/>
    <x v="29"/>
    <x v="0"/>
    <x v="0"/>
    <n v="7.8112721443176266E-3"/>
    <x v="14"/>
    <x v="1"/>
    <x v="3"/>
    <x v="0"/>
    <x v="1"/>
    <x v="0"/>
    <x v="4"/>
    <x v="0"/>
    <x v="0"/>
    <x v="0"/>
    <x v="0"/>
    <x v="0"/>
    <x v="0"/>
    <x v="9"/>
    <x v="2"/>
    <x v="2"/>
    <x v="4"/>
    <x v="1"/>
    <x v="0"/>
    <x v="0"/>
    <x v="0"/>
    <x v="0"/>
    <x v="0"/>
    <x v="0"/>
    <x v="0"/>
  </r>
  <r>
    <x v="3"/>
    <x v="24"/>
    <x v="0"/>
    <x v="0"/>
    <x v="0"/>
    <x v="49"/>
    <x v="1"/>
    <x v="12"/>
    <x v="29"/>
    <x v="0"/>
    <x v="3"/>
    <n v="7.8783631324768066E-3"/>
    <x v="14"/>
    <x v="1"/>
    <x v="3"/>
    <x v="0"/>
    <x v="1"/>
    <x v="0"/>
    <x v="4"/>
    <x v="0"/>
    <x v="0"/>
    <x v="0"/>
    <x v="0"/>
    <x v="0"/>
    <x v="0"/>
    <x v="9"/>
    <x v="2"/>
    <x v="2"/>
    <x v="4"/>
    <x v="1"/>
    <x v="0"/>
    <x v="0"/>
    <x v="0"/>
    <x v="0"/>
    <x v="0"/>
    <x v="0"/>
    <x v="0"/>
  </r>
  <r>
    <x v="3"/>
    <x v="24"/>
    <x v="0"/>
    <x v="0"/>
    <x v="0"/>
    <x v="49"/>
    <x v="1"/>
    <x v="12"/>
    <x v="29"/>
    <x v="0"/>
    <x v="2"/>
    <n v="7.8108787536621113E-3"/>
    <x v="14"/>
    <x v="1"/>
    <x v="3"/>
    <x v="0"/>
    <x v="1"/>
    <x v="0"/>
    <x v="4"/>
    <x v="0"/>
    <x v="0"/>
    <x v="0"/>
    <x v="0"/>
    <x v="0"/>
    <x v="0"/>
    <x v="9"/>
    <x v="2"/>
    <x v="2"/>
    <x v="4"/>
    <x v="1"/>
    <x v="0"/>
    <x v="0"/>
    <x v="0"/>
    <x v="0"/>
    <x v="0"/>
    <x v="0"/>
    <x v="0"/>
  </r>
  <r>
    <x v="3"/>
    <x v="24"/>
    <x v="0"/>
    <x v="0"/>
    <x v="0"/>
    <x v="49"/>
    <x v="1"/>
    <x v="12"/>
    <x v="29"/>
    <x v="0"/>
    <x v="1"/>
    <n v="7.9487919807434086E-3"/>
    <x v="14"/>
    <x v="1"/>
    <x v="3"/>
    <x v="0"/>
    <x v="1"/>
    <x v="0"/>
    <x v="4"/>
    <x v="0"/>
    <x v="0"/>
    <x v="0"/>
    <x v="0"/>
    <x v="0"/>
    <x v="0"/>
    <x v="9"/>
    <x v="2"/>
    <x v="2"/>
    <x v="4"/>
    <x v="1"/>
    <x v="0"/>
    <x v="0"/>
    <x v="0"/>
    <x v="0"/>
    <x v="0"/>
    <x v="0"/>
    <x v="0"/>
  </r>
  <r>
    <x v="3"/>
    <x v="24"/>
    <x v="0"/>
    <x v="0"/>
    <x v="0"/>
    <x v="46"/>
    <x v="0"/>
    <x v="12"/>
    <x v="29"/>
    <x v="0"/>
    <x v="0"/>
    <n v="1.5694711944144332E-2"/>
    <x v="9"/>
    <x v="0"/>
    <x v="3"/>
    <x v="0"/>
    <x v="1"/>
    <x v="0"/>
    <x v="4"/>
    <x v="0"/>
    <x v="0"/>
    <x v="0"/>
    <x v="0"/>
    <x v="0"/>
    <x v="0"/>
    <x v="5"/>
    <x v="2"/>
    <x v="2"/>
    <x v="4"/>
    <x v="0"/>
    <x v="0"/>
    <x v="0"/>
    <x v="0"/>
    <x v="0"/>
    <x v="0"/>
    <x v="0"/>
    <x v="0"/>
  </r>
  <r>
    <x v="3"/>
    <x v="24"/>
    <x v="0"/>
    <x v="0"/>
    <x v="0"/>
    <x v="46"/>
    <x v="0"/>
    <x v="12"/>
    <x v="29"/>
    <x v="0"/>
    <x v="3"/>
    <n v="1.5816484209530818E-2"/>
    <x v="9"/>
    <x v="0"/>
    <x v="3"/>
    <x v="0"/>
    <x v="1"/>
    <x v="0"/>
    <x v="4"/>
    <x v="0"/>
    <x v="0"/>
    <x v="0"/>
    <x v="0"/>
    <x v="0"/>
    <x v="0"/>
    <x v="5"/>
    <x v="2"/>
    <x v="2"/>
    <x v="4"/>
    <x v="0"/>
    <x v="0"/>
    <x v="0"/>
    <x v="0"/>
    <x v="0"/>
    <x v="0"/>
    <x v="0"/>
    <x v="0"/>
  </r>
  <r>
    <x v="3"/>
    <x v="24"/>
    <x v="0"/>
    <x v="0"/>
    <x v="0"/>
    <x v="46"/>
    <x v="0"/>
    <x v="12"/>
    <x v="29"/>
    <x v="0"/>
    <x v="1"/>
    <n v="1.5717822564149907E-2"/>
    <x v="9"/>
    <x v="0"/>
    <x v="3"/>
    <x v="0"/>
    <x v="1"/>
    <x v="0"/>
    <x v="4"/>
    <x v="0"/>
    <x v="0"/>
    <x v="0"/>
    <x v="0"/>
    <x v="0"/>
    <x v="0"/>
    <x v="5"/>
    <x v="2"/>
    <x v="2"/>
    <x v="4"/>
    <x v="0"/>
    <x v="0"/>
    <x v="0"/>
    <x v="0"/>
    <x v="0"/>
    <x v="0"/>
    <x v="0"/>
    <x v="0"/>
  </r>
  <r>
    <x v="3"/>
    <x v="24"/>
    <x v="0"/>
    <x v="0"/>
    <x v="0"/>
    <x v="45"/>
    <x v="0"/>
    <x v="12"/>
    <x v="29"/>
    <x v="0"/>
    <x v="0"/>
    <n v="1.569445264602233E-2"/>
    <x v="9"/>
    <x v="0"/>
    <x v="3"/>
    <x v="0"/>
    <x v="1"/>
    <x v="0"/>
    <x v="4"/>
    <x v="0"/>
    <x v="0"/>
    <x v="0"/>
    <x v="0"/>
    <x v="0"/>
    <x v="0"/>
    <x v="5"/>
    <x v="2"/>
    <x v="2"/>
    <x v="4"/>
    <x v="0"/>
    <x v="0"/>
    <x v="0"/>
    <x v="0"/>
    <x v="0"/>
    <x v="0"/>
    <x v="0"/>
    <x v="0"/>
  </r>
  <r>
    <x v="3"/>
    <x v="25"/>
    <x v="0"/>
    <x v="0"/>
    <x v="0"/>
    <x v="50"/>
    <x v="0"/>
    <x v="2"/>
    <x v="30"/>
    <x v="0"/>
    <x v="0"/>
    <n v="1.7785189843177795E-2"/>
    <x v="10"/>
    <x v="0"/>
    <x v="4"/>
    <x v="0"/>
    <x v="1"/>
    <x v="0"/>
    <x v="6"/>
    <x v="0"/>
    <x v="0"/>
    <x v="0"/>
    <x v="0"/>
    <x v="0"/>
    <x v="0"/>
    <x v="6"/>
    <x v="0"/>
    <x v="1"/>
    <x v="6"/>
    <x v="0"/>
    <x v="0"/>
    <x v="0"/>
    <x v="0"/>
    <x v="0"/>
    <x v="0"/>
    <x v="1"/>
    <x v="0"/>
  </r>
  <r>
    <x v="3"/>
    <x v="25"/>
    <x v="0"/>
    <x v="0"/>
    <x v="0"/>
    <x v="50"/>
    <x v="0"/>
    <x v="2"/>
    <x v="30"/>
    <x v="0"/>
    <x v="2"/>
    <n v="1.7786547303199767E-2"/>
    <x v="10"/>
    <x v="0"/>
    <x v="4"/>
    <x v="0"/>
    <x v="1"/>
    <x v="0"/>
    <x v="6"/>
    <x v="0"/>
    <x v="0"/>
    <x v="0"/>
    <x v="0"/>
    <x v="0"/>
    <x v="0"/>
    <x v="6"/>
    <x v="0"/>
    <x v="1"/>
    <x v="6"/>
    <x v="0"/>
    <x v="0"/>
    <x v="0"/>
    <x v="0"/>
    <x v="0"/>
    <x v="0"/>
    <x v="1"/>
    <x v="0"/>
  </r>
  <r>
    <x v="3"/>
    <x v="25"/>
    <x v="0"/>
    <x v="0"/>
    <x v="0"/>
    <x v="50"/>
    <x v="0"/>
    <x v="2"/>
    <x v="30"/>
    <x v="0"/>
    <x v="1"/>
    <n v="1.7969452166557313E-2"/>
    <x v="10"/>
    <x v="0"/>
    <x v="4"/>
    <x v="0"/>
    <x v="1"/>
    <x v="0"/>
    <x v="6"/>
    <x v="0"/>
    <x v="0"/>
    <x v="0"/>
    <x v="0"/>
    <x v="0"/>
    <x v="0"/>
    <x v="6"/>
    <x v="0"/>
    <x v="1"/>
    <x v="6"/>
    <x v="0"/>
    <x v="0"/>
    <x v="0"/>
    <x v="0"/>
    <x v="0"/>
    <x v="0"/>
    <x v="1"/>
    <x v="0"/>
  </r>
  <r>
    <x v="3"/>
    <x v="25"/>
    <x v="0"/>
    <x v="0"/>
    <x v="0"/>
    <x v="50"/>
    <x v="0"/>
    <x v="2"/>
    <x v="30"/>
    <x v="0"/>
    <x v="3"/>
    <n v="1.8112470197677612E-2"/>
    <x v="10"/>
    <x v="0"/>
    <x v="4"/>
    <x v="0"/>
    <x v="1"/>
    <x v="0"/>
    <x v="6"/>
    <x v="0"/>
    <x v="0"/>
    <x v="0"/>
    <x v="0"/>
    <x v="0"/>
    <x v="0"/>
    <x v="6"/>
    <x v="0"/>
    <x v="1"/>
    <x v="6"/>
    <x v="0"/>
    <x v="0"/>
    <x v="0"/>
    <x v="0"/>
    <x v="0"/>
    <x v="0"/>
    <x v="1"/>
    <x v="0"/>
  </r>
  <r>
    <x v="1"/>
    <x v="26"/>
    <x v="0"/>
    <x v="0"/>
    <x v="0"/>
    <x v="51"/>
    <x v="1"/>
    <x v="2"/>
    <x v="31"/>
    <x v="0"/>
    <x v="0"/>
    <n v="6.951367855072021E-4"/>
    <x v="15"/>
    <x v="1"/>
    <x v="1"/>
    <x v="1"/>
    <x v="1"/>
    <x v="0"/>
    <x v="3"/>
    <x v="0"/>
    <x v="1"/>
    <x v="1"/>
    <x v="1"/>
    <x v="0"/>
    <x v="1"/>
    <x v="10"/>
    <x v="2"/>
    <x v="2"/>
    <x v="3"/>
    <x v="1"/>
    <x v="1"/>
    <x v="0"/>
    <x v="0"/>
    <x v="0"/>
    <x v="1"/>
    <x v="0"/>
    <x v="0"/>
  </r>
  <r>
    <x v="1"/>
    <x v="26"/>
    <x v="0"/>
    <x v="0"/>
    <x v="0"/>
    <x v="51"/>
    <x v="1"/>
    <x v="2"/>
    <x v="31"/>
    <x v="0"/>
    <x v="3"/>
    <n v="7.4031233787536616E-4"/>
    <x v="15"/>
    <x v="1"/>
    <x v="1"/>
    <x v="1"/>
    <x v="1"/>
    <x v="0"/>
    <x v="3"/>
    <x v="0"/>
    <x v="1"/>
    <x v="1"/>
    <x v="1"/>
    <x v="0"/>
    <x v="1"/>
    <x v="10"/>
    <x v="2"/>
    <x v="2"/>
    <x v="3"/>
    <x v="1"/>
    <x v="1"/>
    <x v="0"/>
    <x v="0"/>
    <x v="0"/>
    <x v="1"/>
    <x v="0"/>
    <x v="0"/>
  </r>
  <r>
    <x v="1"/>
    <x v="26"/>
    <x v="0"/>
    <x v="0"/>
    <x v="0"/>
    <x v="51"/>
    <x v="1"/>
    <x v="2"/>
    <x v="31"/>
    <x v="0"/>
    <x v="1"/>
    <n v="8.6626410484313954E-4"/>
    <x v="15"/>
    <x v="1"/>
    <x v="1"/>
    <x v="1"/>
    <x v="1"/>
    <x v="0"/>
    <x v="3"/>
    <x v="0"/>
    <x v="1"/>
    <x v="1"/>
    <x v="1"/>
    <x v="0"/>
    <x v="1"/>
    <x v="10"/>
    <x v="2"/>
    <x v="2"/>
    <x v="3"/>
    <x v="1"/>
    <x v="1"/>
    <x v="0"/>
    <x v="0"/>
    <x v="0"/>
    <x v="1"/>
    <x v="0"/>
    <x v="0"/>
  </r>
  <r>
    <x v="1"/>
    <x v="26"/>
    <x v="0"/>
    <x v="0"/>
    <x v="0"/>
    <x v="51"/>
    <x v="1"/>
    <x v="2"/>
    <x v="31"/>
    <x v="0"/>
    <x v="2"/>
    <n v="8.2597732543945293E-4"/>
    <x v="15"/>
    <x v="1"/>
    <x v="1"/>
    <x v="1"/>
    <x v="1"/>
    <x v="0"/>
    <x v="3"/>
    <x v="0"/>
    <x v="1"/>
    <x v="1"/>
    <x v="1"/>
    <x v="0"/>
    <x v="1"/>
    <x v="10"/>
    <x v="2"/>
    <x v="2"/>
    <x v="3"/>
    <x v="1"/>
    <x v="1"/>
    <x v="0"/>
    <x v="0"/>
    <x v="0"/>
    <x v="1"/>
    <x v="0"/>
    <x v="0"/>
  </r>
  <r>
    <x v="1"/>
    <x v="26"/>
    <x v="0"/>
    <x v="0"/>
    <x v="0"/>
    <x v="52"/>
    <x v="0"/>
    <x v="2"/>
    <x v="31"/>
    <x v="0"/>
    <x v="0"/>
    <n v="7.6890164589786146E-4"/>
    <x v="3"/>
    <x v="0"/>
    <x v="1"/>
    <x v="1"/>
    <x v="1"/>
    <x v="0"/>
    <x v="3"/>
    <x v="0"/>
    <x v="1"/>
    <x v="1"/>
    <x v="1"/>
    <x v="0"/>
    <x v="1"/>
    <x v="1"/>
    <x v="1"/>
    <x v="1"/>
    <x v="3"/>
    <x v="0"/>
    <x v="1"/>
    <x v="1"/>
    <x v="1"/>
    <x v="0"/>
    <x v="1"/>
    <x v="0"/>
    <x v="0"/>
  </r>
  <r>
    <x v="1"/>
    <x v="26"/>
    <x v="0"/>
    <x v="0"/>
    <x v="0"/>
    <x v="52"/>
    <x v="0"/>
    <x v="2"/>
    <x v="31"/>
    <x v="0"/>
    <x v="2"/>
    <n v="9.0684271241766386E-4"/>
    <x v="3"/>
    <x v="0"/>
    <x v="1"/>
    <x v="1"/>
    <x v="1"/>
    <x v="0"/>
    <x v="3"/>
    <x v="0"/>
    <x v="1"/>
    <x v="1"/>
    <x v="1"/>
    <x v="0"/>
    <x v="1"/>
    <x v="1"/>
    <x v="1"/>
    <x v="1"/>
    <x v="3"/>
    <x v="0"/>
    <x v="1"/>
    <x v="1"/>
    <x v="1"/>
    <x v="0"/>
    <x v="1"/>
    <x v="0"/>
    <x v="0"/>
  </r>
  <r>
    <x v="1"/>
    <x v="26"/>
    <x v="0"/>
    <x v="0"/>
    <x v="0"/>
    <x v="52"/>
    <x v="0"/>
    <x v="2"/>
    <x v="31"/>
    <x v="0"/>
    <x v="3"/>
    <n v="7.9464241682765E-4"/>
    <x v="3"/>
    <x v="0"/>
    <x v="1"/>
    <x v="1"/>
    <x v="1"/>
    <x v="0"/>
    <x v="3"/>
    <x v="0"/>
    <x v="1"/>
    <x v="1"/>
    <x v="1"/>
    <x v="0"/>
    <x v="1"/>
    <x v="1"/>
    <x v="1"/>
    <x v="1"/>
    <x v="3"/>
    <x v="0"/>
    <x v="1"/>
    <x v="1"/>
    <x v="1"/>
    <x v="0"/>
    <x v="1"/>
    <x v="0"/>
    <x v="0"/>
  </r>
  <r>
    <x v="1"/>
    <x v="26"/>
    <x v="0"/>
    <x v="0"/>
    <x v="0"/>
    <x v="52"/>
    <x v="0"/>
    <x v="2"/>
    <x v="31"/>
    <x v="0"/>
    <x v="1"/>
    <n v="8.2920695404451058E-4"/>
    <x v="3"/>
    <x v="0"/>
    <x v="1"/>
    <x v="1"/>
    <x v="1"/>
    <x v="0"/>
    <x v="3"/>
    <x v="0"/>
    <x v="1"/>
    <x v="1"/>
    <x v="1"/>
    <x v="0"/>
    <x v="1"/>
    <x v="1"/>
    <x v="1"/>
    <x v="1"/>
    <x v="3"/>
    <x v="0"/>
    <x v="1"/>
    <x v="1"/>
    <x v="1"/>
    <x v="0"/>
    <x v="1"/>
    <x v="0"/>
    <x v="0"/>
  </r>
  <r>
    <x v="0"/>
    <x v="27"/>
    <x v="0"/>
    <x v="0"/>
    <x v="0"/>
    <x v="53"/>
    <x v="1"/>
    <x v="3"/>
    <x v="32"/>
    <x v="0"/>
    <x v="0"/>
    <n v="3.7845827639102925E-3"/>
    <x v="16"/>
    <x v="1"/>
    <x v="0"/>
    <x v="0"/>
    <x v="0"/>
    <x v="0"/>
    <x v="0"/>
    <x v="0"/>
    <x v="0"/>
    <x v="0"/>
    <x v="0"/>
    <x v="0"/>
    <x v="0"/>
    <x v="11"/>
    <x v="2"/>
    <x v="2"/>
    <x v="0"/>
    <x v="2"/>
    <x v="0"/>
    <x v="0"/>
    <x v="0"/>
    <x v="0"/>
    <x v="0"/>
    <x v="0"/>
    <x v="0"/>
  </r>
  <r>
    <x v="0"/>
    <x v="27"/>
    <x v="0"/>
    <x v="0"/>
    <x v="0"/>
    <x v="54"/>
    <x v="1"/>
    <x v="3"/>
    <x v="32"/>
    <x v="0"/>
    <x v="2"/>
    <n v="5.1356506347656249E-3"/>
    <x v="17"/>
    <x v="1"/>
    <x v="0"/>
    <x v="0"/>
    <x v="0"/>
    <x v="0"/>
    <x v="0"/>
    <x v="0"/>
    <x v="0"/>
    <x v="0"/>
    <x v="0"/>
    <x v="0"/>
    <x v="0"/>
    <x v="7"/>
    <x v="2"/>
    <x v="2"/>
    <x v="0"/>
    <x v="2"/>
    <x v="0"/>
    <x v="0"/>
    <x v="0"/>
    <x v="0"/>
    <x v="0"/>
    <x v="0"/>
    <x v="0"/>
  </r>
  <r>
    <x v="0"/>
    <x v="27"/>
    <x v="0"/>
    <x v="0"/>
    <x v="0"/>
    <x v="53"/>
    <x v="1"/>
    <x v="3"/>
    <x v="32"/>
    <x v="0"/>
    <x v="1"/>
    <n v="3.8036234676837922E-3"/>
    <x v="16"/>
    <x v="1"/>
    <x v="0"/>
    <x v="0"/>
    <x v="0"/>
    <x v="0"/>
    <x v="0"/>
    <x v="0"/>
    <x v="0"/>
    <x v="0"/>
    <x v="0"/>
    <x v="0"/>
    <x v="0"/>
    <x v="11"/>
    <x v="2"/>
    <x v="2"/>
    <x v="0"/>
    <x v="2"/>
    <x v="0"/>
    <x v="0"/>
    <x v="0"/>
    <x v="0"/>
    <x v="0"/>
    <x v="0"/>
    <x v="0"/>
  </r>
  <r>
    <x v="0"/>
    <x v="27"/>
    <x v="0"/>
    <x v="0"/>
    <x v="0"/>
    <x v="53"/>
    <x v="1"/>
    <x v="3"/>
    <x v="32"/>
    <x v="0"/>
    <x v="3"/>
    <n v="3.8229718804359439E-3"/>
    <x v="16"/>
    <x v="1"/>
    <x v="0"/>
    <x v="0"/>
    <x v="0"/>
    <x v="0"/>
    <x v="0"/>
    <x v="0"/>
    <x v="0"/>
    <x v="0"/>
    <x v="0"/>
    <x v="0"/>
    <x v="0"/>
    <x v="11"/>
    <x v="2"/>
    <x v="2"/>
    <x v="0"/>
    <x v="2"/>
    <x v="0"/>
    <x v="0"/>
    <x v="0"/>
    <x v="0"/>
    <x v="0"/>
    <x v="0"/>
    <x v="0"/>
  </r>
  <r>
    <x v="0"/>
    <x v="27"/>
    <x v="0"/>
    <x v="0"/>
    <x v="0"/>
    <x v="55"/>
    <x v="0"/>
    <x v="3"/>
    <x v="32"/>
    <x v="0"/>
    <x v="0"/>
    <n v="1.8883680105209349E-3"/>
    <x v="0"/>
    <x v="0"/>
    <x v="0"/>
    <x v="0"/>
    <x v="0"/>
    <x v="0"/>
    <x v="0"/>
    <x v="0"/>
    <x v="0"/>
    <x v="0"/>
    <x v="0"/>
    <x v="0"/>
    <x v="0"/>
    <x v="0"/>
    <x v="0"/>
    <x v="0"/>
    <x v="0"/>
    <x v="0"/>
    <x v="0"/>
    <x v="0"/>
    <x v="0"/>
    <x v="0"/>
    <x v="0"/>
    <x v="0"/>
    <x v="0"/>
  </r>
  <r>
    <x v="0"/>
    <x v="27"/>
    <x v="0"/>
    <x v="0"/>
    <x v="0"/>
    <x v="55"/>
    <x v="0"/>
    <x v="3"/>
    <x v="32"/>
    <x v="0"/>
    <x v="2"/>
    <n v="1.8942195177078249E-3"/>
    <x v="0"/>
    <x v="0"/>
    <x v="0"/>
    <x v="0"/>
    <x v="0"/>
    <x v="0"/>
    <x v="0"/>
    <x v="0"/>
    <x v="0"/>
    <x v="0"/>
    <x v="0"/>
    <x v="0"/>
    <x v="0"/>
    <x v="0"/>
    <x v="0"/>
    <x v="0"/>
    <x v="0"/>
    <x v="0"/>
    <x v="0"/>
    <x v="0"/>
    <x v="0"/>
    <x v="0"/>
    <x v="0"/>
    <x v="0"/>
    <x v="0"/>
  </r>
  <r>
    <x v="0"/>
    <x v="27"/>
    <x v="0"/>
    <x v="0"/>
    <x v="0"/>
    <x v="55"/>
    <x v="0"/>
    <x v="3"/>
    <x v="32"/>
    <x v="0"/>
    <x v="1"/>
    <n v="1.8979628086090087E-3"/>
    <x v="0"/>
    <x v="0"/>
    <x v="0"/>
    <x v="0"/>
    <x v="0"/>
    <x v="0"/>
    <x v="0"/>
    <x v="0"/>
    <x v="0"/>
    <x v="0"/>
    <x v="0"/>
    <x v="0"/>
    <x v="0"/>
    <x v="0"/>
    <x v="0"/>
    <x v="0"/>
    <x v="0"/>
    <x v="0"/>
    <x v="0"/>
    <x v="0"/>
    <x v="0"/>
    <x v="0"/>
    <x v="0"/>
    <x v="0"/>
    <x v="0"/>
  </r>
  <r>
    <x v="0"/>
    <x v="27"/>
    <x v="0"/>
    <x v="0"/>
    <x v="0"/>
    <x v="55"/>
    <x v="0"/>
    <x v="3"/>
    <x v="32"/>
    <x v="0"/>
    <x v="3"/>
    <n v="1.9036248922348023E-3"/>
    <x v="0"/>
    <x v="0"/>
    <x v="0"/>
    <x v="0"/>
    <x v="0"/>
    <x v="0"/>
    <x v="0"/>
    <x v="0"/>
    <x v="0"/>
    <x v="0"/>
    <x v="0"/>
    <x v="0"/>
    <x v="0"/>
    <x v="0"/>
    <x v="0"/>
    <x v="0"/>
    <x v="0"/>
    <x v="0"/>
    <x v="0"/>
    <x v="0"/>
    <x v="0"/>
    <x v="0"/>
    <x v="0"/>
    <x v="0"/>
    <x v="0"/>
  </r>
  <r>
    <x v="0"/>
    <x v="27"/>
    <x v="0"/>
    <x v="0"/>
    <x v="0"/>
    <x v="56"/>
    <x v="1"/>
    <x v="3"/>
    <x v="32"/>
    <x v="0"/>
    <x v="2"/>
    <n v="4.5294070243835456E-3"/>
    <x v="17"/>
    <x v="1"/>
    <x v="0"/>
    <x v="0"/>
    <x v="0"/>
    <x v="0"/>
    <x v="0"/>
    <x v="0"/>
    <x v="0"/>
    <x v="0"/>
    <x v="0"/>
    <x v="0"/>
    <x v="0"/>
    <x v="7"/>
    <x v="2"/>
    <x v="2"/>
    <x v="0"/>
    <x v="2"/>
    <x v="0"/>
    <x v="0"/>
    <x v="0"/>
    <x v="0"/>
    <x v="0"/>
    <x v="0"/>
    <x v="0"/>
  </r>
  <r>
    <x v="0"/>
    <x v="27"/>
    <x v="0"/>
    <x v="0"/>
    <x v="0"/>
    <x v="56"/>
    <x v="1"/>
    <x v="3"/>
    <x v="32"/>
    <x v="0"/>
    <x v="1"/>
    <n v="4.5088601112365729E-3"/>
    <x v="17"/>
    <x v="1"/>
    <x v="0"/>
    <x v="0"/>
    <x v="0"/>
    <x v="0"/>
    <x v="0"/>
    <x v="0"/>
    <x v="0"/>
    <x v="0"/>
    <x v="0"/>
    <x v="0"/>
    <x v="0"/>
    <x v="7"/>
    <x v="2"/>
    <x v="2"/>
    <x v="0"/>
    <x v="2"/>
    <x v="0"/>
    <x v="0"/>
    <x v="0"/>
    <x v="0"/>
    <x v="0"/>
    <x v="0"/>
    <x v="0"/>
  </r>
  <r>
    <x v="0"/>
    <x v="27"/>
    <x v="0"/>
    <x v="0"/>
    <x v="0"/>
    <x v="56"/>
    <x v="1"/>
    <x v="3"/>
    <x v="32"/>
    <x v="0"/>
    <x v="3"/>
    <n v="4.5187997817993158E-3"/>
    <x v="17"/>
    <x v="1"/>
    <x v="0"/>
    <x v="0"/>
    <x v="0"/>
    <x v="0"/>
    <x v="0"/>
    <x v="0"/>
    <x v="0"/>
    <x v="0"/>
    <x v="0"/>
    <x v="0"/>
    <x v="0"/>
    <x v="7"/>
    <x v="2"/>
    <x v="2"/>
    <x v="0"/>
    <x v="2"/>
    <x v="0"/>
    <x v="0"/>
    <x v="0"/>
    <x v="0"/>
    <x v="0"/>
    <x v="0"/>
    <x v="0"/>
  </r>
  <r>
    <x v="0"/>
    <x v="27"/>
    <x v="0"/>
    <x v="0"/>
    <x v="0"/>
    <x v="56"/>
    <x v="1"/>
    <x v="3"/>
    <x v="32"/>
    <x v="0"/>
    <x v="0"/>
    <n v="4.4821667671203621E-3"/>
    <x v="17"/>
    <x v="1"/>
    <x v="0"/>
    <x v="0"/>
    <x v="0"/>
    <x v="0"/>
    <x v="0"/>
    <x v="0"/>
    <x v="0"/>
    <x v="0"/>
    <x v="0"/>
    <x v="0"/>
    <x v="0"/>
    <x v="7"/>
    <x v="2"/>
    <x v="2"/>
    <x v="0"/>
    <x v="2"/>
    <x v="0"/>
    <x v="0"/>
    <x v="0"/>
    <x v="0"/>
    <x v="0"/>
    <x v="0"/>
    <x v="0"/>
  </r>
  <r>
    <x v="0"/>
    <x v="27"/>
    <x v="0"/>
    <x v="0"/>
    <x v="0"/>
    <x v="57"/>
    <x v="1"/>
    <x v="3"/>
    <x v="32"/>
    <x v="0"/>
    <x v="0"/>
    <n v="3.9401221275329598E-3"/>
    <x v="17"/>
    <x v="1"/>
    <x v="0"/>
    <x v="0"/>
    <x v="0"/>
    <x v="0"/>
    <x v="0"/>
    <x v="0"/>
    <x v="0"/>
    <x v="0"/>
    <x v="0"/>
    <x v="0"/>
    <x v="0"/>
    <x v="7"/>
    <x v="2"/>
    <x v="2"/>
    <x v="0"/>
    <x v="2"/>
    <x v="0"/>
    <x v="0"/>
    <x v="0"/>
    <x v="0"/>
    <x v="0"/>
    <x v="0"/>
    <x v="0"/>
  </r>
  <r>
    <x v="0"/>
    <x v="27"/>
    <x v="0"/>
    <x v="0"/>
    <x v="0"/>
    <x v="57"/>
    <x v="1"/>
    <x v="3"/>
    <x v="32"/>
    <x v="0"/>
    <x v="3"/>
    <n v="4.0226769447326656E-3"/>
    <x v="17"/>
    <x v="1"/>
    <x v="0"/>
    <x v="0"/>
    <x v="0"/>
    <x v="0"/>
    <x v="0"/>
    <x v="0"/>
    <x v="0"/>
    <x v="0"/>
    <x v="0"/>
    <x v="0"/>
    <x v="0"/>
    <x v="7"/>
    <x v="2"/>
    <x v="2"/>
    <x v="0"/>
    <x v="2"/>
    <x v="0"/>
    <x v="0"/>
    <x v="0"/>
    <x v="0"/>
    <x v="0"/>
    <x v="0"/>
    <x v="0"/>
  </r>
  <r>
    <x v="0"/>
    <x v="27"/>
    <x v="0"/>
    <x v="0"/>
    <x v="0"/>
    <x v="57"/>
    <x v="1"/>
    <x v="3"/>
    <x v="32"/>
    <x v="0"/>
    <x v="2"/>
    <n v="3.9971137046813966E-3"/>
    <x v="17"/>
    <x v="1"/>
    <x v="0"/>
    <x v="0"/>
    <x v="0"/>
    <x v="0"/>
    <x v="0"/>
    <x v="0"/>
    <x v="0"/>
    <x v="0"/>
    <x v="0"/>
    <x v="0"/>
    <x v="0"/>
    <x v="7"/>
    <x v="2"/>
    <x v="2"/>
    <x v="0"/>
    <x v="2"/>
    <x v="0"/>
    <x v="0"/>
    <x v="0"/>
    <x v="0"/>
    <x v="0"/>
    <x v="0"/>
    <x v="0"/>
  </r>
  <r>
    <x v="0"/>
    <x v="27"/>
    <x v="0"/>
    <x v="0"/>
    <x v="0"/>
    <x v="57"/>
    <x v="1"/>
    <x v="3"/>
    <x v="32"/>
    <x v="0"/>
    <x v="1"/>
    <n v="3.9564228057861325E-3"/>
    <x v="17"/>
    <x v="1"/>
    <x v="0"/>
    <x v="0"/>
    <x v="0"/>
    <x v="0"/>
    <x v="0"/>
    <x v="0"/>
    <x v="0"/>
    <x v="0"/>
    <x v="0"/>
    <x v="0"/>
    <x v="0"/>
    <x v="7"/>
    <x v="2"/>
    <x v="2"/>
    <x v="0"/>
    <x v="2"/>
    <x v="0"/>
    <x v="0"/>
    <x v="0"/>
    <x v="0"/>
    <x v="0"/>
    <x v="0"/>
    <x v="0"/>
  </r>
  <r>
    <x v="0"/>
    <x v="27"/>
    <x v="0"/>
    <x v="0"/>
    <x v="0"/>
    <x v="58"/>
    <x v="1"/>
    <x v="3"/>
    <x v="32"/>
    <x v="0"/>
    <x v="1"/>
    <n v="5.4741362730662043E-3"/>
    <x v="18"/>
    <x v="1"/>
    <x v="0"/>
    <x v="0"/>
    <x v="0"/>
    <x v="0"/>
    <x v="0"/>
    <x v="0"/>
    <x v="0"/>
    <x v="0"/>
    <x v="0"/>
    <x v="0"/>
    <x v="0"/>
    <x v="3"/>
    <x v="2"/>
    <x v="2"/>
    <x v="0"/>
    <x v="2"/>
    <x v="0"/>
    <x v="0"/>
    <x v="0"/>
    <x v="0"/>
    <x v="0"/>
    <x v="0"/>
    <x v="0"/>
  </r>
  <r>
    <x v="0"/>
    <x v="27"/>
    <x v="0"/>
    <x v="0"/>
    <x v="0"/>
    <x v="58"/>
    <x v="1"/>
    <x v="3"/>
    <x v="32"/>
    <x v="0"/>
    <x v="0"/>
    <n v="5.4475486278533951E-3"/>
    <x v="18"/>
    <x v="1"/>
    <x v="0"/>
    <x v="0"/>
    <x v="0"/>
    <x v="0"/>
    <x v="0"/>
    <x v="0"/>
    <x v="0"/>
    <x v="0"/>
    <x v="0"/>
    <x v="0"/>
    <x v="0"/>
    <x v="3"/>
    <x v="2"/>
    <x v="2"/>
    <x v="0"/>
    <x v="2"/>
    <x v="0"/>
    <x v="0"/>
    <x v="0"/>
    <x v="0"/>
    <x v="0"/>
    <x v="0"/>
    <x v="0"/>
  </r>
  <r>
    <x v="0"/>
    <x v="27"/>
    <x v="0"/>
    <x v="0"/>
    <x v="0"/>
    <x v="58"/>
    <x v="1"/>
    <x v="3"/>
    <x v="32"/>
    <x v="0"/>
    <x v="3"/>
    <n v="5.5036008358001704E-3"/>
    <x v="18"/>
    <x v="1"/>
    <x v="0"/>
    <x v="0"/>
    <x v="0"/>
    <x v="0"/>
    <x v="0"/>
    <x v="0"/>
    <x v="0"/>
    <x v="0"/>
    <x v="0"/>
    <x v="0"/>
    <x v="0"/>
    <x v="3"/>
    <x v="2"/>
    <x v="2"/>
    <x v="0"/>
    <x v="2"/>
    <x v="0"/>
    <x v="0"/>
    <x v="0"/>
    <x v="0"/>
    <x v="0"/>
    <x v="0"/>
    <x v="0"/>
  </r>
  <r>
    <x v="0"/>
    <x v="27"/>
    <x v="0"/>
    <x v="0"/>
    <x v="0"/>
    <x v="58"/>
    <x v="1"/>
    <x v="3"/>
    <x v="32"/>
    <x v="0"/>
    <x v="2"/>
    <n v="5.4741362730662043E-3"/>
    <x v="18"/>
    <x v="1"/>
    <x v="0"/>
    <x v="0"/>
    <x v="0"/>
    <x v="0"/>
    <x v="0"/>
    <x v="0"/>
    <x v="0"/>
    <x v="0"/>
    <x v="0"/>
    <x v="0"/>
    <x v="0"/>
    <x v="3"/>
    <x v="2"/>
    <x v="2"/>
    <x v="0"/>
    <x v="2"/>
    <x v="0"/>
    <x v="0"/>
    <x v="0"/>
    <x v="0"/>
    <x v="0"/>
    <x v="0"/>
    <x v="0"/>
  </r>
  <r>
    <x v="0"/>
    <x v="27"/>
    <x v="0"/>
    <x v="0"/>
    <x v="0"/>
    <x v="54"/>
    <x v="1"/>
    <x v="3"/>
    <x v="32"/>
    <x v="0"/>
    <x v="0"/>
    <n v="5.0619220733642582E-3"/>
    <x v="17"/>
    <x v="1"/>
    <x v="0"/>
    <x v="0"/>
    <x v="0"/>
    <x v="0"/>
    <x v="0"/>
    <x v="0"/>
    <x v="0"/>
    <x v="0"/>
    <x v="0"/>
    <x v="0"/>
    <x v="0"/>
    <x v="7"/>
    <x v="2"/>
    <x v="2"/>
    <x v="0"/>
    <x v="2"/>
    <x v="0"/>
    <x v="0"/>
    <x v="0"/>
    <x v="0"/>
    <x v="0"/>
    <x v="0"/>
    <x v="0"/>
  </r>
  <r>
    <x v="0"/>
    <x v="27"/>
    <x v="0"/>
    <x v="0"/>
    <x v="0"/>
    <x v="54"/>
    <x v="1"/>
    <x v="3"/>
    <x v="32"/>
    <x v="0"/>
    <x v="3"/>
    <n v="4.9580883979797371E-3"/>
    <x v="17"/>
    <x v="1"/>
    <x v="0"/>
    <x v="0"/>
    <x v="0"/>
    <x v="0"/>
    <x v="0"/>
    <x v="0"/>
    <x v="0"/>
    <x v="0"/>
    <x v="0"/>
    <x v="0"/>
    <x v="0"/>
    <x v="7"/>
    <x v="2"/>
    <x v="2"/>
    <x v="0"/>
    <x v="2"/>
    <x v="0"/>
    <x v="0"/>
    <x v="0"/>
    <x v="0"/>
    <x v="0"/>
    <x v="0"/>
    <x v="0"/>
  </r>
  <r>
    <x v="0"/>
    <x v="27"/>
    <x v="0"/>
    <x v="0"/>
    <x v="0"/>
    <x v="54"/>
    <x v="1"/>
    <x v="3"/>
    <x v="32"/>
    <x v="0"/>
    <x v="1"/>
    <n v="5.0569677352905271E-3"/>
    <x v="17"/>
    <x v="1"/>
    <x v="0"/>
    <x v="0"/>
    <x v="0"/>
    <x v="0"/>
    <x v="0"/>
    <x v="0"/>
    <x v="0"/>
    <x v="0"/>
    <x v="0"/>
    <x v="0"/>
    <x v="0"/>
    <x v="7"/>
    <x v="2"/>
    <x v="2"/>
    <x v="0"/>
    <x v="2"/>
    <x v="0"/>
    <x v="0"/>
    <x v="0"/>
    <x v="0"/>
    <x v="0"/>
    <x v="0"/>
    <x v="0"/>
  </r>
  <r>
    <x v="0"/>
    <x v="27"/>
    <x v="0"/>
    <x v="0"/>
    <x v="0"/>
    <x v="53"/>
    <x v="1"/>
    <x v="3"/>
    <x v="32"/>
    <x v="0"/>
    <x v="2"/>
    <n v="3.8036234676837922E-3"/>
    <x v="16"/>
    <x v="1"/>
    <x v="0"/>
    <x v="0"/>
    <x v="0"/>
    <x v="0"/>
    <x v="0"/>
    <x v="0"/>
    <x v="0"/>
    <x v="0"/>
    <x v="0"/>
    <x v="0"/>
    <x v="0"/>
    <x v="11"/>
    <x v="2"/>
    <x v="2"/>
    <x v="0"/>
    <x v="2"/>
    <x v="0"/>
    <x v="0"/>
    <x v="0"/>
    <x v="0"/>
    <x v="0"/>
    <x v="0"/>
    <x v="0"/>
  </r>
  <r>
    <x v="3"/>
    <x v="28"/>
    <x v="0"/>
    <x v="0"/>
    <x v="0"/>
    <x v="59"/>
    <x v="0"/>
    <x v="2"/>
    <x v="33"/>
    <x v="0"/>
    <x v="3"/>
    <n v="1.7647612643241883E-2"/>
    <x v="10"/>
    <x v="0"/>
    <x v="4"/>
    <x v="0"/>
    <x v="1"/>
    <x v="0"/>
    <x v="6"/>
    <x v="0"/>
    <x v="0"/>
    <x v="0"/>
    <x v="0"/>
    <x v="0"/>
    <x v="0"/>
    <x v="6"/>
    <x v="0"/>
    <x v="1"/>
    <x v="6"/>
    <x v="0"/>
    <x v="0"/>
    <x v="0"/>
    <x v="0"/>
    <x v="0"/>
    <x v="0"/>
    <x v="0"/>
    <x v="0"/>
  </r>
  <r>
    <x v="3"/>
    <x v="28"/>
    <x v="0"/>
    <x v="0"/>
    <x v="0"/>
    <x v="60"/>
    <x v="0"/>
    <x v="2"/>
    <x v="33"/>
    <x v="0"/>
    <x v="1"/>
    <n v="1.6981511878967286E-2"/>
    <x v="10"/>
    <x v="0"/>
    <x v="4"/>
    <x v="0"/>
    <x v="1"/>
    <x v="0"/>
    <x v="6"/>
    <x v="0"/>
    <x v="0"/>
    <x v="0"/>
    <x v="0"/>
    <x v="0"/>
    <x v="0"/>
    <x v="6"/>
    <x v="2"/>
    <x v="2"/>
    <x v="6"/>
    <x v="0"/>
    <x v="0"/>
    <x v="0"/>
    <x v="0"/>
    <x v="0"/>
    <x v="0"/>
    <x v="0"/>
    <x v="0"/>
  </r>
  <r>
    <x v="3"/>
    <x v="28"/>
    <x v="0"/>
    <x v="0"/>
    <x v="0"/>
    <x v="59"/>
    <x v="0"/>
    <x v="2"/>
    <x v="33"/>
    <x v="0"/>
    <x v="0"/>
    <n v="1.7199155306816101E-2"/>
    <x v="10"/>
    <x v="0"/>
    <x v="4"/>
    <x v="0"/>
    <x v="1"/>
    <x v="0"/>
    <x v="6"/>
    <x v="0"/>
    <x v="0"/>
    <x v="0"/>
    <x v="0"/>
    <x v="0"/>
    <x v="0"/>
    <x v="6"/>
    <x v="0"/>
    <x v="1"/>
    <x v="6"/>
    <x v="0"/>
    <x v="0"/>
    <x v="0"/>
    <x v="0"/>
    <x v="0"/>
    <x v="0"/>
    <x v="0"/>
    <x v="0"/>
  </r>
  <r>
    <x v="3"/>
    <x v="28"/>
    <x v="0"/>
    <x v="0"/>
    <x v="0"/>
    <x v="59"/>
    <x v="0"/>
    <x v="2"/>
    <x v="33"/>
    <x v="0"/>
    <x v="2"/>
    <n v="1.703435344696045E-2"/>
    <x v="10"/>
    <x v="0"/>
    <x v="4"/>
    <x v="0"/>
    <x v="1"/>
    <x v="0"/>
    <x v="6"/>
    <x v="0"/>
    <x v="0"/>
    <x v="0"/>
    <x v="0"/>
    <x v="0"/>
    <x v="0"/>
    <x v="6"/>
    <x v="0"/>
    <x v="1"/>
    <x v="6"/>
    <x v="0"/>
    <x v="0"/>
    <x v="0"/>
    <x v="0"/>
    <x v="0"/>
    <x v="0"/>
    <x v="0"/>
    <x v="0"/>
  </r>
  <r>
    <x v="3"/>
    <x v="28"/>
    <x v="0"/>
    <x v="0"/>
    <x v="0"/>
    <x v="61"/>
    <x v="0"/>
    <x v="2"/>
    <x v="33"/>
    <x v="0"/>
    <x v="2"/>
    <n v="1.7048225164413452E-2"/>
    <x v="10"/>
    <x v="0"/>
    <x v="4"/>
    <x v="0"/>
    <x v="1"/>
    <x v="0"/>
    <x v="6"/>
    <x v="0"/>
    <x v="0"/>
    <x v="0"/>
    <x v="0"/>
    <x v="0"/>
    <x v="0"/>
    <x v="6"/>
    <x v="2"/>
    <x v="2"/>
    <x v="6"/>
    <x v="0"/>
    <x v="0"/>
    <x v="0"/>
    <x v="0"/>
    <x v="0"/>
    <x v="0"/>
    <x v="0"/>
    <x v="0"/>
  </r>
  <r>
    <x v="3"/>
    <x v="28"/>
    <x v="0"/>
    <x v="0"/>
    <x v="0"/>
    <x v="61"/>
    <x v="0"/>
    <x v="2"/>
    <x v="33"/>
    <x v="0"/>
    <x v="0"/>
    <n v="1.7215993666648863E-2"/>
    <x v="10"/>
    <x v="0"/>
    <x v="4"/>
    <x v="0"/>
    <x v="1"/>
    <x v="0"/>
    <x v="6"/>
    <x v="0"/>
    <x v="0"/>
    <x v="0"/>
    <x v="0"/>
    <x v="0"/>
    <x v="0"/>
    <x v="6"/>
    <x v="2"/>
    <x v="2"/>
    <x v="6"/>
    <x v="0"/>
    <x v="0"/>
    <x v="0"/>
    <x v="0"/>
    <x v="0"/>
    <x v="0"/>
    <x v="0"/>
    <x v="0"/>
  </r>
  <r>
    <x v="3"/>
    <x v="28"/>
    <x v="0"/>
    <x v="0"/>
    <x v="0"/>
    <x v="61"/>
    <x v="0"/>
    <x v="2"/>
    <x v="33"/>
    <x v="0"/>
    <x v="3"/>
    <n v="1.7646762156486511E-2"/>
    <x v="10"/>
    <x v="0"/>
    <x v="4"/>
    <x v="0"/>
    <x v="1"/>
    <x v="0"/>
    <x v="6"/>
    <x v="0"/>
    <x v="0"/>
    <x v="0"/>
    <x v="0"/>
    <x v="0"/>
    <x v="0"/>
    <x v="6"/>
    <x v="2"/>
    <x v="2"/>
    <x v="6"/>
    <x v="0"/>
    <x v="0"/>
    <x v="0"/>
    <x v="0"/>
    <x v="0"/>
    <x v="0"/>
    <x v="0"/>
    <x v="0"/>
  </r>
  <r>
    <x v="3"/>
    <x v="28"/>
    <x v="0"/>
    <x v="0"/>
    <x v="0"/>
    <x v="61"/>
    <x v="0"/>
    <x v="2"/>
    <x v="33"/>
    <x v="0"/>
    <x v="1"/>
    <n v="1.6990311169624329E-2"/>
    <x v="10"/>
    <x v="0"/>
    <x v="4"/>
    <x v="0"/>
    <x v="1"/>
    <x v="0"/>
    <x v="6"/>
    <x v="0"/>
    <x v="0"/>
    <x v="0"/>
    <x v="0"/>
    <x v="0"/>
    <x v="0"/>
    <x v="6"/>
    <x v="2"/>
    <x v="2"/>
    <x v="6"/>
    <x v="0"/>
    <x v="0"/>
    <x v="0"/>
    <x v="0"/>
    <x v="0"/>
    <x v="0"/>
    <x v="0"/>
    <x v="0"/>
  </r>
  <r>
    <x v="3"/>
    <x v="28"/>
    <x v="0"/>
    <x v="0"/>
    <x v="0"/>
    <x v="62"/>
    <x v="0"/>
    <x v="2"/>
    <x v="33"/>
    <x v="0"/>
    <x v="1"/>
    <n v="1.6984372806549072E-2"/>
    <x v="10"/>
    <x v="0"/>
    <x v="4"/>
    <x v="0"/>
    <x v="1"/>
    <x v="0"/>
    <x v="6"/>
    <x v="0"/>
    <x v="0"/>
    <x v="0"/>
    <x v="0"/>
    <x v="0"/>
    <x v="0"/>
    <x v="6"/>
    <x v="2"/>
    <x v="2"/>
    <x v="6"/>
    <x v="0"/>
    <x v="0"/>
    <x v="0"/>
    <x v="0"/>
    <x v="0"/>
    <x v="0"/>
    <x v="0"/>
    <x v="0"/>
  </r>
  <r>
    <x v="3"/>
    <x v="28"/>
    <x v="0"/>
    <x v="0"/>
    <x v="0"/>
    <x v="62"/>
    <x v="0"/>
    <x v="2"/>
    <x v="33"/>
    <x v="0"/>
    <x v="0"/>
    <n v="1.7204076814651491E-2"/>
    <x v="10"/>
    <x v="0"/>
    <x v="4"/>
    <x v="0"/>
    <x v="1"/>
    <x v="0"/>
    <x v="6"/>
    <x v="0"/>
    <x v="0"/>
    <x v="0"/>
    <x v="0"/>
    <x v="0"/>
    <x v="0"/>
    <x v="6"/>
    <x v="2"/>
    <x v="2"/>
    <x v="6"/>
    <x v="0"/>
    <x v="0"/>
    <x v="0"/>
    <x v="0"/>
    <x v="0"/>
    <x v="0"/>
    <x v="0"/>
    <x v="0"/>
  </r>
  <r>
    <x v="3"/>
    <x v="28"/>
    <x v="0"/>
    <x v="0"/>
    <x v="0"/>
    <x v="62"/>
    <x v="0"/>
    <x v="2"/>
    <x v="33"/>
    <x v="0"/>
    <x v="2"/>
    <n v="1.7031904029846192E-2"/>
    <x v="10"/>
    <x v="0"/>
    <x v="4"/>
    <x v="0"/>
    <x v="1"/>
    <x v="0"/>
    <x v="6"/>
    <x v="0"/>
    <x v="0"/>
    <x v="0"/>
    <x v="0"/>
    <x v="0"/>
    <x v="0"/>
    <x v="6"/>
    <x v="2"/>
    <x v="2"/>
    <x v="6"/>
    <x v="0"/>
    <x v="0"/>
    <x v="0"/>
    <x v="0"/>
    <x v="0"/>
    <x v="0"/>
    <x v="0"/>
    <x v="0"/>
  </r>
  <r>
    <x v="3"/>
    <x v="28"/>
    <x v="0"/>
    <x v="0"/>
    <x v="0"/>
    <x v="62"/>
    <x v="0"/>
    <x v="2"/>
    <x v="33"/>
    <x v="0"/>
    <x v="3"/>
    <n v="1.7646706509590149E-2"/>
    <x v="10"/>
    <x v="0"/>
    <x v="4"/>
    <x v="0"/>
    <x v="1"/>
    <x v="0"/>
    <x v="6"/>
    <x v="0"/>
    <x v="0"/>
    <x v="0"/>
    <x v="0"/>
    <x v="0"/>
    <x v="0"/>
    <x v="6"/>
    <x v="2"/>
    <x v="2"/>
    <x v="6"/>
    <x v="0"/>
    <x v="0"/>
    <x v="0"/>
    <x v="0"/>
    <x v="0"/>
    <x v="0"/>
    <x v="0"/>
    <x v="0"/>
  </r>
  <r>
    <x v="3"/>
    <x v="28"/>
    <x v="0"/>
    <x v="0"/>
    <x v="0"/>
    <x v="63"/>
    <x v="0"/>
    <x v="2"/>
    <x v="33"/>
    <x v="0"/>
    <x v="1"/>
    <n v="1.698144268989563E-2"/>
    <x v="10"/>
    <x v="0"/>
    <x v="4"/>
    <x v="0"/>
    <x v="1"/>
    <x v="0"/>
    <x v="6"/>
    <x v="0"/>
    <x v="0"/>
    <x v="0"/>
    <x v="0"/>
    <x v="0"/>
    <x v="0"/>
    <x v="6"/>
    <x v="2"/>
    <x v="2"/>
    <x v="6"/>
    <x v="0"/>
    <x v="0"/>
    <x v="0"/>
    <x v="0"/>
    <x v="0"/>
    <x v="0"/>
    <x v="0"/>
    <x v="0"/>
  </r>
  <r>
    <x v="3"/>
    <x v="28"/>
    <x v="0"/>
    <x v="0"/>
    <x v="0"/>
    <x v="63"/>
    <x v="0"/>
    <x v="2"/>
    <x v="33"/>
    <x v="0"/>
    <x v="3"/>
    <n v="1.7647708535194397E-2"/>
    <x v="10"/>
    <x v="0"/>
    <x v="4"/>
    <x v="0"/>
    <x v="1"/>
    <x v="0"/>
    <x v="6"/>
    <x v="0"/>
    <x v="0"/>
    <x v="0"/>
    <x v="0"/>
    <x v="0"/>
    <x v="0"/>
    <x v="6"/>
    <x v="2"/>
    <x v="2"/>
    <x v="6"/>
    <x v="0"/>
    <x v="0"/>
    <x v="0"/>
    <x v="0"/>
    <x v="0"/>
    <x v="0"/>
    <x v="0"/>
    <x v="0"/>
  </r>
  <r>
    <x v="3"/>
    <x v="28"/>
    <x v="0"/>
    <x v="0"/>
    <x v="0"/>
    <x v="63"/>
    <x v="0"/>
    <x v="2"/>
    <x v="33"/>
    <x v="0"/>
    <x v="2"/>
    <n v="1.7034677529335022E-2"/>
    <x v="10"/>
    <x v="0"/>
    <x v="4"/>
    <x v="0"/>
    <x v="1"/>
    <x v="0"/>
    <x v="6"/>
    <x v="0"/>
    <x v="0"/>
    <x v="0"/>
    <x v="0"/>
    <x v="0"/>
    <x v="0"/>
    <x v="6"/>
    <x v="2"/>
    <x v="2"/>
    <x v="6"/>
    <x v="0"/>
    <x v="0"/>
    <x v="0"/>
    <x v="0"/>
    <x v="0"/>
    <x v="0"/>
    <x v="0"/>
    <x v="0"/>
  </r>
  <r>
    <x v="3"/>
    <x v="28"/>
    <x v="0"/>
    <x v="0"/>
    <x v="0"/>
    <x v="63"/>
    <x v="0"/>
    <x v="2"/>
    <x v="33"/>
    <x v="0"/>
    <x v="0"/>
    <n v="1.7198609995841982E-2"/>
    <x v="10"/>
    <x v="0"/>
    <x v="4"/>
    <x v="0"/>
    <x v="1"/>
    <x v="0"/>
    <x v="6"/>
    <x v="0"/>
    <x v="0"/>
    <x v="0"/>
    <x v="0"/>
    <x v="0"/>
    <x v="0"/>
    <x v="6"/>
    <x v="2"/>
    <x v="2"/>
    <x v="6"/>
    <x v="0"/>
    <x v="0"/>
    <x v="0"/>
    <x v="0"/>
    <x v="0"/>
    <x v="0"/>
    <x v="0"/>
    <x v="0"/>
  </r>
  <r>
    <x v="3"/>
    <x v="28"/>
    <x v="0"/>
    <x v="0"/>
    <x v="0"/>
    <x v="64"/>
    <x v="0"/>
    <x v="2"/>
    <x v="33"/>
    <x v="0"/>
    <x v="3"/>
    <n v="1.7650748205184936E-2"/>
    <x v="10"/>
    <x v="0"/>
    <x v="4"/>
    <x v="0"/>
    <x v="1"/>
    <x v="0"/>
    <x v="6"/>
    <x v="0"/>
    <x v="0"/>
    <x v="0"/>
    <x v="0"/>
    <x v="0"/>
    <x v="0"/>
    <x v="6"/>
    <x v="2"/>
    <x v="2"/>
    <x v="6"/>
    <x v="0"/>
    <x v="0"/>
    <x v="0"/>
    <x v="0"/>
    <x v="0"/>
    <x v="0"/>
    <x v="0"/>
    <x v="0"/>
  </r>
  <r>
    <x v="3"/>
    <x v="28"/>
    <x v="0"/>
    <x v="0"/>
    <x v="0"/>
    <x v="64"/>
    <x v="0"/>
    <x v="2"/>
    <x v="33"/>
    <x v="0"/>
    <x v="1"/>
    <n v="1.6981135892868041E-2"/>
    <x v="10"/>
    <x v="0"/>
    <x v="4"/>
    <x v="0"/>
    <x v="1"/>
    <x v="0"/>
    <x v="6"/>
    <x v="0"/>
    <x v="0"/>
    <x v="0"/>
    <x v="0"/>
    <x v="0"/>
    <x v="0"/>
    <x v="6"/>
    <x v="2"/>
    <x v="2"/>
    <x v="6"/>
    <x v="0"/>
    <x v="0"/>
    <x v="0"/>
    <x v="0"/>
    <x v="0"/>
    <x v="0"/>
    <x v="0"/>
    <x v="0"/>
  </r>
  <r>
    <x v="3"/>
    <x v="28"/>
    <x v="0"/>
    <x v="0"/>
    <x v="0"/>
    <x v="64"/>
    <x v="0"/>
    <x v="2"/>
    <x v="33"/>
    <x v="0"/>
    <x v="0"/>
    <n v="1.7197785925865173E-2"/>
    <x v="10"/>
    <x v="0"/>
    <x v="4"/>
    <x v="0"/>
    <x v="1"/>
    <x v="0"/>
    <x v="6"/>
    <x v="0"/>
    <x v="0"/>
    <x v="0"/>
    <x v="0"/>
    <x v="0"/>
    <x v="0"/>
    <x v="6"/>
    <x v="2"/>
    <x v="2"/>
    <x v="6"/>
    <x v="0"/>
    <x v="0"/>
    <x v="0"/>
    <x v="0"/>
    <x v="0"/>
    <x v="0"/>
    <x v="0"/>
    <x v="0"/>
  </r>
  <r>
    <x v="3"/>
    <x v="28"/>
    <x v="0"/>
    <x v="0"/>
    <x v="0"/>
    <x v="64"/>
    <x v="0"/>
    <x v="2"/>
    <x v="33"/>
    <x v="0"/>
    <x v="2"/>
    <n v="1.7037681841850279E-2"/>
    <x v="10"/>
    <x v="0"/>
    <x v="4"/>
    <x v="0"/>
    <x v="1"/>
    <x v="0"/>
    <x v="6"/>
    <x v="0"/>
    <x v="0"/>
    <x v="0"/>
    <x v="0"/>
    <x v="0"/>
    <x v="0"/>
    <x v="6"/>
    <x v="2"/>
    <x v="2"/>
    <x v="6"/>
    <x v="0"/>
    <x v="0"/>
    <x v="0"/>
    <x v="0"/>
    <x v="0"/>
    <x v="0"/>
    <x v="0"/>
    <x v="0"/>
  </r>
  <r>
    <x v="3"/>
    <x v="28"/>
    <x v="0"/>
    <x v="0"/>
    <x v="0"/>
    <x v="65"/>
    <x v="0"/>
    <x v="2"/>
    <x v="33"/>
    <x v="0"/>
    <x v="2"/>
    <n v="1.7035067772865297E-2"/>
    <x v="10"/>
    <x v="0"/>
    <x v="4"/>
    <x v="0"/>
    <x v="1"/>
    <x v="0"/>
    <x v="6"/>
    <x v="0"/>
    <x v="0"/>
    <x v="0"/>
    <x v="0"/>
    <x v="0"/>
    <x v="0"/>
    <x v="6"/>
    <x v="2"/>
    <x v="2"/>
    <x v="6"/>
    <x v="0"/>
    <x v="0"/>
    <x v="0"/>
    <x v="0"/>
    <x v="0"/>
    <x v="0"/>
    <x v="0"/>
    <x v="0"/>
  </r>
  <r>
    <x v="3"/>
    <x v="28"/>
    <x v="0"/>
    <x v="0"/>
    <x v="0"/>
    <x v="65"/>
    <x v="0"/>
    <x v="2"/>
    <x v="33"/>
    <x v="0"/>
    <x v="1"/>
    <n v="1.6982525229454041E-2"/>
    <x v="10"/>
    <x v="0"/>
    <x v="4"/>
    <x v="0"/>
    <x v="1"/>
    <x v="0"/>
    <x v="6"/>
    <x v="0"/>
    <x v="0"/>
    <x v="0"/>
    <x v="0"/>
    <x v="0"/>
    <x v="0"/>
    <x v="6"/>
    <x v="2"/>
    <x v="2"/>
    <x v="6"/>
    <x v="0"/>
    <x v="0"/>
    <x v="0"/>
    <x v="0"/>
    <x v="0"/>
    <x v="0"/>
    <x v="0"/>
    <x v="0"/>
  </r>
  <r>
    <x v="3"/>
    <x v="28"/>
    <x v="0"/>
    <x v="0"/>
    <x v="0"/>
    <x v="65"/>
    <x v="0"/>
    <x v="2"/>
    <x v="33"/>
    <x v="0"/>
    <x v="3"/>
    <n v="1.7647051692008971E-2"/>
    <x v="10"/>
    <x v="0"/>
    <x v="4"/>
    <x v="0"/>
    <x v="1"/>
    <x v="0"/>
    <x v="6"/>
    <x v="0"/>
    <x v="0"/>
    <x v="0"/>
    <x v="0"/>
    <x v="0"/>
    <x v="0"/>
    <x v="6"/>
    <x v="2"/>
    <x v="2"/>
    <x v="6"/>
    <x v="0"/>
    <x v="0"/>
    <x v="0"/>
    <x v="0"/>
    <x v="0"/>
    <x v="0"/>
    <x v="0"/>
    <x v="0"/>
  </r>
  <r>
    <x v="3"/>
    <x v="28"/>
    <x v="0"/>
    <x v="0"/>
    <x v="0"/>
    <x v="65"/>
    <x v="0"/>
    <x v="2"/>
    <x v="33"/>
    <x v="0"/>
    <x v="0"/>
    <n v="1.7198550271987915E-2"/>
    <x v="10"/>
    <x v="0"/>
    <x v="4"/>
    <x v="0"/>
    <x v="1"/>
    <x v="0"/>
    <x v="6"/>
    <x v="0"/>
    <x v="0"/>
    <x v="0"/>
    <x v="0"/>
    <x v="0"/>
    <x v="0"/>
    <x v="6"/>
    <x v="2"/>
    <x v="2"/>
    <x v="6"/>
    <x v="0"/>
    <x v="0"/>
    <x v="0"/>
    <x v="0"/>
    <x v="0"/>
    <x v="0"/>
    <x v="0"/>
    <x v="0"/>
  </r>
  <r>
    <x v="3"/>
    <x v="28"/>
    <x v="0"/>
    <x v="0"/>
    <x v="0"/>
    <x v="60"/>
    <x v="0"/>
    <x v="2"/>
    <x v="33"/>
    <x v="0"/>
    <x v="3"/>
    <n v="1.764753758907318E-2"/>
    <x v="10"/>
    <x v="0"/>
    <x v="4"/>
    <x v="0"/>
    <x v="1"/>
    <x v="0"/>
    <x v="6"/>
    <x v="0"/>
    <x v="0"/>
    <x v="0"/>
    <x v="0"/>
    <x v="0"/>
    <x v="0"/>
    <x v="6"/>
    <x v="2"/>
    <x v="2"/>
    <x v="6"/>
    <x v="0"/>
    <x v="0"/>
    <x v="0"/>
    <x v="0"/>
    <x v="0"/>
    <x v="0"/>
    <x v="0"/>
    <x v="0"/>
  </r>
  <r>
    <x v="3"/>
    <x v="28"/>
    <x v="0"/>
    <x v="0"/>
    <x v="0"/>
    <x v="60"/>
    <x v="0"/>
    <x v="2"/>
    <x v="33"/>
    <x v="0"/>
    <x v="2"/>
    <n v="1.703455286026001E-2"/>
    <x v="10"/>
    <x v="0"/>
    <x v="4"/>
    <x v="0"/>
    <x v="1"/>
    <x v="0"/>
    <x v="6"/>
    <x v="0"/>
    <x v="0"/>
    <x v="0"/>
    <x v="0"/>
    <x v="0"/>
    <x v="0"/>
    <x v="6"/>
    <x v="2"/>
    <x v="2"/>
    <x v="6"/>
    <x v="0"/>
    <x v="0"/>
    <x v="0"/>
    <x v="0"/>
    <x v="0"/>
    <x v="0"/>
    <x v="0"/>
    <x v="0"/>
  </r>
  <r>
    <x v="3"/>
    <x v="28"/>
    <x v="0"/>
    <x v="0"/>
    <x v="0"/>
    <x v="60"/>
    <x v="0"/>
    <x v="2"/>
    <x v="33"/>
    <x v="0"/>
    <x v="0"/>
    <n v="1.7198194122314454E-2"/>
    <x v="10"/>
    <x v="0"/>
    <x v="4"/>
    <x v="0"/>
    <x v="1"/>
    <x v="0"/>
    <x v="6"/>
    <x v="0"/>
    <x v="0"/>
    <x v="0"/>
    <x v="0"/>
    <x v="0"/>
    <x v="0"/>
    <x v="6"/>
    <x v="2"/>
    <x v="2"/>
    <x v="6"/>
    <x v="0"/>
    <x v="0"/>
    <x v="0"/>
    <x v="0"/>
    <x v="0"/>
    <x v="0"/>
    <x v="0"/>
    <x v="0"/>
  </r>
  <r>
    <x v="3"/>
    <x v="28"/>
    <x v="0"/>
    <x v="0"/>
    <x v="0"/>
    <x v="59"/>
    <x v="0"/>
    <x v="2"/>
    <x v="33"/>
    <x v="0"/>
    <x v="1"/>
    <n v="1.6981752252578735E-2"/>
    <x v="10"/>
    <x v="0"/>
    <x v="4"/>
    <x v="0"/>
    <x v="1"/>
    <x v="0"/>
    <x v="6"/>
    <x v="0"/>
    <x v="0"/>
    <x v="0"/>
    <x v="0"/>
    <x v="0"/>
    <x v="0"/>
    <x v="6"/>
    <x v="0"/>
    <x v="1"/>
    <x v="6"/>
    <x v="0"/>
    <x v="0"/>
    <x v="0"/>
    <x v="0"/>
    <x v="0"/>
    <x v="0"/>
    <x v="0"/>
    <x v="0"/>
  </r>
  <r>
    <x v="0"/>
    <x v="29"/>
    <x v="0"/>
    <x v="0"/>
    <x v="0"/>
    <x v="66"/>
    <x v="0"/>
    <x v="3"/>
    <x v="34"/>
    <x v="0"/>
    <x v="2"/>
    <n v="5.6503502130508428E-3"/>
    <x v="0"/>
    <x v="0"/>
    <x v="0"/>
    <x v="0"/>
    <x v="0"/>
    <x v="0"/>
    <x v="0"/>
    <x v="0"/>
    <x v="0"/>
    <x v="0"/>
    <x v="0"/>
    <x v="0"/>
    <x v="0"/>
    <x v="0"/>
    <x v="0"/>
    <x v="0"/>
    <x v="0"/>
    <x v="0"/>
    <x v="0"/>
    <x v="0"/>
    <x v="0"/>
    <x v="0"/>
    <x v="0"/>
    <x v="0"/>
    <x v="0"/>
  </r>
  <r>
    <x v="0"/>
    <x v="29"/>
    <x v="0"/>
    <x v="0"/>
    <x v="0"/>
    <x v="66"/>
    <x v="0"/>
    <x v="3"/>
    <x v="34"/>
    <x v="0"/>
    <x v="3"/>
    <n v="5.6784603595733648E-3"/>
    <x v="0"/>
    <x v="0"/>
    <x v="0"/>
    <x v="0"/>
    <x v="0"/>
    <x v="0"/>
    <x v="0"/>
    <x v="0"/>
    <x v="0"/>
    <x v="0"/>
    <x v="0"/>
    <x v="0"/>
    <x v="0"/>
    <x v="0"/>
    <x v="0"/>
    <x v="0"/>
    <x v="0"/>
    <x v="0"/>
    <x v="0"/>
    <x v="0"/>
    <x v="0"/>
    <x v="0"/>
    <x v="0"/>
    <x v="0"/>
    <x v="0"/>
  </r>
  <r>
    <x v="0"/>
    <x v="29"/>
    <x v="0"/>
    <x v="0"/>
    <x v="0"/>
    <x v="66"/>
    <x v="0"/>
    <x v="3"/>
    <x v="34"/>
    <x v="0"/>
    <x v="1"/>
    <n v="5.6503502130508428E-3"/>
    <x v="0"/>
    <x v="0"/>
    <x v="0"/>
    <x v="0"/>
    <x v="0"/>
    <x v="0"/>
    <x v="0"/>
    <x v="0"/>
    <x v="0"/>
    <x v="0"/>
    <x v="0"/>
    <x v="0"/>
    <x v="0"/>
    <x v="0"/>
    <x v="0"/>
    <x v="0"/>
    <x v="0"/>
    <x v="0"/>
    <x v="0"/>
    <x v="0"/>
    <x v="0"/>
    <x v="0"/>
    <x v="0"/>
    <x v="0"/>
    <x v="0"/>
  </r>
  <r>
    <x v="0"/>
    <x v="29"/>
    <x v="0"/>
    <x v="0"/>
    <x v="0"/>
    <x v="66"/>
    <x v="0"/>
    <x v="3"/>
    <x v="34"/>
    <x v="0"/>
    <x v="0"/>
    <n v="5.6220285892486571E-3"/>
    <x v="0"/>
    <x v="0"/>
    <x v="0"/>
    <x v="0"/>
    <x v="0"/>
    <x v="0"/>
    <x v="0"/>
    <x v="0"/>
    <x v="0"/>
    <x v="0"/>
    <x v="0"/>
    <x v="0"/>
    <x v="0"/>
    <x v="0"/>
    <x v="0"/>
    <x v="0"/>
    <x v="0"/>
    <x v="0"/>
    <x v="0"/>
    <x v="0"/>
    <x v="0"/>
    <x v="0"/>
    <x v="0"/>
    <x v="0"/>
    <x v="0"/>
  </r>
  <r>
    <x v="4"/>
    <x v="30"/>
    <x v="0"/>
    <x v="0"/>
    <x v="0"/>
    <x v="67"/>
    <x v="0"/>
    <x v="2"/>
    <x v="35"/>
    <x v="0"/>
    <x v="1"/>
    <n v="1.728102753162384E-2"/>
    <x v="10"/>
    <x v="0"/>
    <x v="4"/>
    <x v="0"/>
    <x v="1"/>
    <x v="0"/>
    <x v="6"/>
    <x v="0"/>
    <x v="0"/>
    <x v="0"/>
    <x v="0"/>
    <x v="0"/>
    <x v="0"/>
    <x v="6"/>
    <x v="0"/>
    <x v="1"/>
    <x v="6"/>
    <x v="0"/>
    <x v="0"/>
    <x v="0"/>
    <x v="0"/>
    <x v="0"/>
    <x v="0"/>
    <x v="0"/>
    <x v="0"/>
  </r>
  <r>
    <x v="4"/>
    <x v="30"/>
    <x v="0"/>
    <x v="0"/>
    <x v="0"/>
    <x v="67"/>
    <x v="0"/>
    <x v="2"/>
    <x v="35"/>
    <x v="0"/>
    <x v="0"/>
    <n v="1.7140408539772035E-2"/>
    <x v="10"/>
    <x v="0"/>
    <x v="4"/>
    <x v="0"/>
    <x v="1"/>
    <x v="0"/>
    <x v="6"/>
    <x v="0"/>
    <x v="0"/>
    <x v="0"/>
    <x v="0"/>
    <x v="0"/>
    <x v="0"/>
    <x v="6"/>
    <x v="0"/>
    <x v="1"/>
    <x v="6"/>
    <x v="0"/>
    <x v="0"/>
    <x v="0"/>
    <x v="0"/>
    <x v="0"/>
    <x v="0"/>
    <x v="0"/>
    <x v="0"/>
  </r>
  <r>
    <x v="4"/>
    <x v="30"/>
    <x v="0"/>
    <x v="0"/>
    <x v="0"/>
    <x v="67"/>
    <x v="0"/>
    <x v="2"/>
    <x v="35"/>
    <x v="0"/>
    <x v="2"/>
    <n v="1.7202424049377441E-2"/>
    <x v="10"/>
    <x v="0"/>
    <x v="4"/>
    <x v="0"/>
    <x v="1"/>
    <x v="0"/>
    <x v="6"/>
    <x v="0"/>
    <x v="0"/>
    <x v="0"/>
    <x v="0"/>
    <x v="0"/>
    <x v="0"/>
    <x v="6"/>
    <x v="0"/>
    <x v="1"/>
    <x v="6"/>
    <x v="0"/>
    <x v="0"/>
    <x v="0"/>
    <x v="0"/>
    <x v="0"/>
    <x v="0"/>
    <x v="0"/>
    <x v="0"/>
  </r>
  <r>
    <x v="4"/>
    <x v="30"/>
    <x v="0"/>
    <x v="0"/>
    <x v="0"/>
    <x v="67"/>
    <x v="0"/>
    <x v="2"/>
    <x v="35"/>
    <x v="0"/>
    <x v="3"/>
    <n v="1.7366865277290342E-2"/>
    <x v="10"/>
    <x v="0"/>
    <x v="4"/>
    <x v="0"/>
    <x v="1"/>
    <x v="0"/>
    <x v="6"/>
    <x v="0"/>
    <x v="0"/>
    <x v="0"/>
    <x v="0"/>
    <x v="0"/>
    <x v="0"/>
    <x v="6"/>
    <x v="0"/>
    <x v="1"/>
    <x v="6"/>
    <x v="0"/>
    <x v="0"/>
    <x v="0"/>
    <x v="0"/>
    <x v="0"/>
    <x v="0"/>
    <x v="0"/>
    <x v="0"/>
  </r>
  <r>
    <x v="4"/>
    <x v="31"/>
    <x v="0"/>
    <x v="0"/>
    <x v="0"/>
    <x v="68"/>
    <x v="0"/>
    <x v="11"/>
    <x v="36"/>
    <x v="0"/>
    <x v="2"/>
    <n v="2.2341162744833498E-2"/>
    <x v="9"/>
    <x v="0"/>
    <x v="3"/>
    <x v="1"/>
    <x v="1"/>
    <x v="0"/>
    <x v="3"/>
    <x v="0"/>
    <x v="0"/>
    <x v="0"/>
    <x v="0"/>
    <x v="0"/>
    <x v="0"/>
    <x v="5"/>
    <x v="1"/>
    <x v="1"/>
    <x v="3"/>
    <x v="0"/>
    <x v="0"/>
    <x v="0"/>
    <x v="0"/>
    <x v="0"/>
    <x v="0"/>
    <x v="1"/>
    <x v="0"/>
  </r>
  <r>
    <x v="4"/>
    <x v="31"/>
    <x v="0"/>
    <x v="0"/>
    <x v="0"/>
    <x v="68"/>
    <x v="0"/>
    <x v="11"/>
    <x v="36"/>
    <x v="0"/>
    <x v="3"/>
    <n v="2.2452405131593044E-2"/>
    <x v="9"/>
    <x v="0"/>
    <x v="3"/>
    <x v="1"/>
    <x v="1"/>
    <x v="0"/>
    <x v="3"/>
    <x v="0"/>
    <x v="0"/>
    <x v="0"/>
    <x v="0"/>
    <x v="0"/>
    <x v="0"/>
    <x v="5"/>
    <x v="1"/>
    <x v="1"/>
    <x v="3"/>
    <x v="0"/>
    <x v="0"/>
    <x v="0"/>
    <x v="0"/>
    <x v="0"/>
    <x v="0"/>
    <x v="1"/>
    <x v="0"/>
  </r>
  <r>
    <x v="4"/>
    <x v="31"/>
    <x v="0"/>
    <x v="0"/>
    <x v="0"/>
    <x v="68"/>
    <x v="0"/>
    <x v="11"/>
    <x v="36"/>
    <x v="0"/>
    <x v="1"/>
    <n v="2.2358183739136676E-2"/>
    <x v="9"/>
    <x v="0"/>
    <x v="3"/>
    <x v="1"/>
    <x v="1"/>
    <x v="0"/>
    <x v="3"/>
    <x v="0"/>
    <x v="0"/>
    <x v="0"/>
    <x v="0"/>
    <x v="0"/>
    <x v="0"/>
    <x v="5"/>
    <x v="1"/>
    <x v="1"/>
    <x v="3"/>
    <x v="0"/>
    <x v="0"/>
    <x v="0"/>
    <x v="0"/>
    <x v="0"/>
    <x v="0"/>
    <x v="1"/>
    <x v="0"/>
  </r>
  <r>
    <x v="4"/>
    <x v="31"/>
    <x v="0"/>
    <x v="0"/>
    <x v="0"/>
    <x v="68"/>
    <x v="0"/>
    <x v="11"/>
    <x v="36"/>
    <x v="0"/>
    <x v="0"/>
    <n v="2.2242163298081378E-2"/>
    <x v="9"/>
    <x v="0"/>
    <x v="3"/>
    <x v="1"/>
    <x v="1"/>
    <x v="0"/>
    <x v="3"/>
    <x v="0"/>
    <x v="0"/>
    <x v="0"/>
    <x v="0"/>
    <x v="0"/>
    <x v="0"/>
    <x v="5"/>
    <x v="1"/>
    <x v="1"/>
    <x v="3"/>
    <x v="0"/>
    <x v="0"/>
    <x v="0"/>
    <x v="0"/>
    <x v="0"/>
    <x v="0"/>
    <x v="1"/>
    <x v="0"/>
  </r>
  <r>
    <x v="4"/>
    <x v="32"/>
    <x v="0"/>
    <x v="0"/>
    <x v="0"/>
    <x v="69"/>
    <x v="0"/>
    <x v="13"/>
    <x v="37"/>
    <x v="0"/>
    <x v="2"/>
    <n v="1.6711929720275256E-2"/>
    <x v="9"/>
    <x v="0"/>
    <x v="3"/>
    <x v="1"/>
    <x v="1"/>
    <x v="0"/>
    <x v="3"/>
    <x v="0"/>
    <x v="0"/>
    <x v="0"/>
    <x v="0"/>
    <x v="0"/>
    <x v="0"/>
    <x v="5"/>
    <x v="1"/>
    <x v="1"/>
    <x v="3"/>
    <x v="0"/>
    <x v="0"/>
    <x v="0"/>
    <x v="0"/>
    <x v="0"/>
    <x v="0"/>
    <x v="1"/>
    <x v="0"/>
  </r>
  <r>
    <x v="4"/>
    <x v="32"/>
    <x v="0"/>
    <x v="0"/>
    <x v="0"/>
    <x v="69"/>
    <x v="0"/>
    <x v="13"/>
    <x v="37"/>
    <x v="0"/>
    <x v="1"/>
    <n v="1.6707799483318717E-2"/>
    <x v="9"/>
    <x v="0"/>
    <x v="3"/>
    <x v="1"/>
    <x v="1"/>
    <x v="0"/>
    <x v="3"/>
    <x v="0"/>
    <x v="0"/>
    <x v="0"/>
    <x v="0"/>
    <x v="0"/>
    <x v="0"/>
    <x v="5"/>
    <x v="1"/>
    <x v="1"/>
    <x v="3"/>
    <x v="0"/>
    <x v="0"/>
    <x v="0"/>
    <x v="0"/>
    <x v="0"/>
    <x v="0"/>
    <x v="1"/>
    <x v="0"/>
  </r>
  <r>
    <x v="4"/>
    <x v="32"/>
    <x v="0"/>
    <x v="0"/>
    <x v="0"/>
    <x v="69"/>
    <x v="0"/>
    <x v="13"/>
    <x v="37"/>
    <x v="0"/>
    <x v="3"/>
    <n v="1.6795874031222596E-2"/>
    <x v="9"/>
    <x v="0"/>
    <x v="3"/>
    <x v="1"/>
    <x v="1"/>
    <x v="0"/>
    <x v="3"/>
    <x v="0"/>
    <x v="0"/>
    <x v="0"/>
    <x v="0"/>
    <x v="0"/>
    <x v="0"/>
    <x v="5"/>
    <x v="1"/>
    <x v="1"/>
    <x v="3"/>
    <x v="0"/>
    <x v="0"/>
    <x v="0"/>
    <x v="0"/>
    <x v="0"/>
    <x v="0"/>
    <x v="1"/>
    <x v="0"/>
  </r>
  <r>
    <x v="4"/>
    <x v="32"/>
    <x v="0"/>
    <x v="0"/>
    <x v="0"/>
    <x v="69"/>
    <x v="0"/>
    <x v="13"/>
    <x v="37"/>
    <x v="0"/>
    <x v="0"/>
    <n v="1.6619144751101125E-2"/>
    <x v="9"/>
    <x v="0"/>
    <x v="3"/>
    <x v="1"/>
    <x v="1"/>
    <x v="0"/>
    <x v="3"/>
    <x v="0"/>
    <x v="0"/>
    <x v="0"/>
    <x v="0"/>
    <x v="0"/>
    <x v="0"/>
    <x v="5"/>
    <x v="1"/>
    <x v="1"/>
    <x v="3"/>
    <x v="0"/>
    <x v="0"/>
    <x v="0"/>
    <x v="0"/>
    <x v="0"/>
    <x v="0"/>
    <x v="1"/>
    <x v="0"/>
  </r>
  <r>
    <x v="5"/>
    <x v="33"/>
    <x v="0"/>
    <x v="0"/>
    <x v="0"/>
    <x v="70"/>
    <x v="0"/>
    <x v="2"/>
    <x v="38"/>
    <x v="0"/>
    <x v="2"/>
    <n v="0.99999519393901637"/>
    <x v="12"/>
    <x v="0"/>
    <x v="3"/>
    <x v="3"/>
    <x v="1"/>
    <x v="0"/>
    <x v="0"/>
    <x v="0"/>
    <x v="1"/>
    <x v="0"/>
    <x v="0"/>
    <x v="1"/>
    <x v="1"/>
    <x v="5"/>
    <x v="4"/>
    <x v="1"/>
    <x v="0"/>
    <x v="0"/>
    <x v="1"/>
    <x v="0"/>
    <x v="0"/>
    <x v="1"/>
    <x v="1"/>
    <x v="0"/>
    <x v="0"/>
  </r>
  <r>
    <x v="5"/>
    <x v="33"/>
    <x v="0"/>
    <x v="0"/>
    <x v="0"/>
    <x v="70"/>
    <x v="0"/>
    <x v="2"/>
    <x v="38"/>
    <x v="0"/>
    <x v="0"/>
    <n v="0.99999528685001404"/>
    <x v="12"/>
    <x v="0"/>
    <x v="3"/>
    <x v="3"/>
    <x v="1"/>
    <x v="0"/>
    <x v="0"/>
    <x v="0"/>
    <x v="1"/>
    <x v="0"/>
    <x v="0"/>
    <x v="1"/>
    <x v="1"/>
    <x v="5"/>
    <x v="4"/>
    <x v="1"/>
    <x v="0"/>
    <x v="0"/>
    <x v="1"/>
    <x v="0"/>
    <x v="0"/>
    <x v="1"/>
    <x v="1"/>
    <x v="0"/>
    <x v="0"/>
  </r>
  <r>
    <x v="5"/>
    <x v="33"/>
    <x v="0"/>
    <x v="0"/>
    <x v="0"/>
    <x v="70"/>
    <x v="0"/>
    <x v="2"/>
    <x v="38"/>
    <x v="0"/>
    <x v="3"/>
    <n v="0.99999537576328612"/>
    <x v="12"/>
    <x v="0"/>
    <x v="3"/>
    <x v="3"/>
    <x v="1"/>
    <x v="0"/>
    <x v="0"/>
    <x v="0"/>
    <x v="1"/>
    <x v="0"/>
    <x v="0"/>
    <x v="1"/>
    <x v="1"/>
    <x v="5"/>
    <x v="4"/>
    <x v="1"/>
    <x v="0"/>
    <x v="0"/>
    <x v="1"/>
    <x v="0"/>
    <x v="0"/>
    <x v="1"/>
    <x v="1"/>
    <x v="0"/>
    <x v="0"/>
  </r>
  <r>
    <x v="5"/>
    <x v="33"/>
    <x v="0"/>
    <x v="0"/>
    <x v="0"/>
    <x v="70"/>
    <x v="0"/>
    <x v="2"/>
    <x v="38"/>
    <x v="0"/>
    <x v="3"/>
    <n v="0.99999537576328612"/>
    <x v="12"/>
    <x v="0"/>
    <x v="3"/>
    <x v="3"/>
    <x v="1"/>
    <x v="0"/>
    <x v="0"/>
    <x v="0"/>
    <x v="1"/>
    <x v="0"/>
    <x v="0"/>
    <x v="1"/>
    <x v="1"/>
    <x v="5"/>
    <x v="4"/>
    <x v="1"/>
    <x v="0"/>
    <x v="0"/>
    <x v="1"/>
    <x v="0"/>
    <x v="0"/>
    <x v="1"/>
    <x v="1"/>
    <x v="0"/>
    <x v="0"/>
  </r>
  <r>
    <x v="5"/>
    <x v="33"/>
    <x v="0"/>
    <x v="0"/>
    <x v="0"/>
    <x v="70"/>
    <x v="0"/>
    <x v="2"/>
    <x v="38"/>
    <x v="0"/>
    <x v="1"/>
    <n v="0.99999545858363903"/>
    <x v="12"/>
    <x v="0"/>
    <x v="3"/>
    <x v="3"/>
    <x v="1"/>
    <x v="0"/>
    <x v="0"/>
    <x v="0"/>
    <x v="1"/>
    <x v="0"/>
    <x v="0"/>
    <x v="1"/>
    <x v="1"/>
    <x v="5"/>
    <x v="4"/>
    <x v="1"/>
    <x v="0"/>
    <x v="0"/>
    <x v="1"/>
    <x v="0"/>
    <x v="0"/>
    <x v="1"/>
    <x v="1"/>
    <x v="0"/>
    <x v="0"/>
  </r>
  <r>
    <x v="5"/>
    <x v="33"/>
    <x v="0"/>
    <x v="0"/>
    <x v="0"/>
    <x v="70"/>
    <x v="0"/>
    <x v="2"/>
    <x v="38"/>
    <x v="0"/>
    <x v="2"/>
    <n v="0.99999519393901637"/>
    <x v="12"/>
    <x v="0"/>
    <x v="3"/>
    <x v="3"/>
    <x v="1"/>
    <x v="0"/>
    <x v="0"/>
    <x v="0"/>
    <x v="1"/>
    <x v="0"/>
    <x v="0"/>
    <x v="1"/>
    <x v="1"/>
    <x v="5"/>
    <x v="4"/>
    <x v="1"/>
    <x v="0"/>
    <x v="0"/>
    <x v="1"/>
    <x v="0"/>
    <x v="0"/>
    <x v="1"/>
    <x v="1"/>
    <x v="0"/>
    <x v="0"/>
  </r>
  <r>
    <x v="5"/>
    <x v="33"/>
    <x v="0"/>
    <x v="0"/>
    <x v="0"/>
    <x v="70"/>
    <x v="0"/>
    <x v="2"/>
    <x v="38"/>
    <x v="0"/>
    <x v="0"/>
    <n v="0.99999528685001404"/>
    <x v="12"/>
    <x v="0"/>
    <x v="3"/>
    <x v="3"/>
    <x v="1"/>
    <x v="0"/>
    <x v="0"/>
    <x v="0"/>
    <x v="1"/>
    <x v="0"/>
    <x v="0"/>
    <x v="1"/>
    <x v="1"/>
    <x v="5"/>
    <x v="4"/>
    <x v="1"/>
    <x v="0"/>
    <x v="0"/>
    <x v="1"/>
    <x v="0"/>
    <x v="0"/>
    <x v="1"/>
    <x v="1"/>
    <x v="0"/>
    <x v="0"/>
  </r>
  <r>
    <x v="5"/>
    <x v="33"/>
    <x v="0"/>
    <x v="0"/>
    <x v="0"/>
    <x v="70"/>
    <x v="0"/>
    <x v="2"/>
    <x v="38"/>
    <x v="0"/>
    <x v="1"/>
    <n v="0.99999545858363903"/>
    <x v="12"/>
    <x v="0"/>
    <x v="3"/>
    <x v="3"/>
    <x v="1"/>
    <x v="0"/>
    <x v="0"/>
    <x v="0"/>
    <x v="1"/>
    <x v="0"/>
    <x v="0"/>
    <x v="1"/>
    <x v="1"/>
    <x v="5"/>
    <x v="4"/>
    <x v="1"/>
    <x v="0"/>
    <x v="0"/>
    <x v="1"/>
    <x v="0"/>
    <x v="0"/>
    <x v="1"/>
    <x v="1"/>
    <x v="0"/>
    <x v="0"/>
  </r>
  <r>
    <x v="5"/>
    <x v="33"/>
    <x v="0"/>
    <x v="0"/>
    <x v="0"/>
    <x v="70"/>
    <x v="0"/>
    <x v="2"/>
    <x v="39"/>
    <x v="0"/>
    <x v="3"/>
    <n v="0.99999537576328612"/>
    <x v="12"/>
    <x v="0"/>
    <x v="3"/>
    <x v="3"/>
    <x v="1"/>
    <x v="0"/>
    <x v="0"/>
    <x v="0"/>
    <x v="1"/>
    <x v="0"/>
    <x v="0"/>
    <x v="1"/>
    <x v="1"/>
    <x v="5"/>
    <x v="4"/>
    <x v="1"/>
    <x v="0"/>
    <x v="0"/>
    <x v="1"/>
    <x v="0"/>
    <x v="0"/>
    <x v="1"/>
    <x v="1"/>
    <x v="0"/>
    <x v="0"/>
  </r>
  <r>
    <x v="5"/>
    <x v="33"/>
    <x v="0"/>
    <x v="0"/>
    <x v="0"/>
    <x v="70"/>
    <x v="0"/>
    <x v="2"/>
    <x v="39"/>
    <x v="0"/>
    <x v="2"/>
    <n v="0.99999519393901637"/>
    <x v="12"/>
    <x v="0"/>
    <x v="3"/>
    <x v="3"/>
    <x v="1"/>
    <x v="0"/>
    <x v="0"/>
    <x v="0"/>
    <x v="1"/>
    <x v="0"/>
    <x v="0"/>
    <x v="1"/>
    <x v="1"/>
    <x v="5"/>
    <x v="4"/>
    <x v="1"/>
    <x v="0"/>
    <x v="0"/>
    <x v="1"/>
    <x v="0"/>
    <x v="0"/>
    <x v="1"/>
    <x v="1"/>
    <x v="0"/>
    <x v="0"/>
  </r>
  <r>
    <x v="5"/>
    <x v="33"/>
    <x v="0"/>
    <x v="0"/>
    <x v="0"/>
    <x v="70"/>
    <x v="0"/>
    <x v="2"/>
    <x v="39"/>
    <x v="0"/>
    <x v="0"/>
    <n v="0.99999528685001404"/>
    <x v="12"/>
    <x v="0"/>
    <x v="3"/>
    <x v="3"/>
    <x v="1"/>
    <x v="0"/>
    <x v="0"/>
    <x v="0"/>
    <x v="1"/>
    <x v="0"/>
    <x v="0"/>
    <x v="1"/>
    <x v="1"/>
    <x v="5"/>
    <x v="4"/>
    <x v="1"/>
    <x v="0"/>
    <x v="0"/>
    <x v="1"/>
    <x v="0"/>
    <x v="0"/>
    <x v="1"/>
    <x v="1"/>
    <x v="0"/>
    <x v="0"/>
  </r>
  <r>
    <x v="5"/>
    <x v="33"/>
    <x v="0"/>
    <x v="0"/>
    <x v="0"/>
    <x v="70"/>
    <x v="0"/>
    <x v="2"/>
    <x v="39"/>
    <x v="0"/>
    <x v="3"/>
    <n v="0.99999537576328612"/>
    <x v="12"/>
    <x v="0"/>
    <x v="3"/>
    <x v="3"/>
    <x v="1"/>
    <x v="0"/>
    <x v="0"/>
    <x v="0"/>
    <x v="1"/>
    <x v="0"/>
    <x v="0"/>
    <x v="1"/>
    <x v="1"/>
    <x v="5"/>
    <x v="4"/>
    <x v="1"/>
    <x v="0"/>
    <x v="0"/>
    <x v="1"/>
    <x v="0"/>
    <x v="0"/>
    <x v="1"/>
    <x v="1"/>
    <x v="0"/>
    <x v="0"/>
  </r>
  <r>
    <x v="5"/>
    <x v="33"/>
    <x v="0"/>
    <x v="0"/>
    <x v="0"/>
    <x v="70"/>
    <x v="0"/>
    <x v="2"/>
    <x v="39"/>
    <x v="0"/>
    <x v="1"/>
    <n v="0.99999545858363903"/>
    <x v="12"/>
    <x v="0"/>
    <x v="3"/>
    <x v="3"/>
    <x v="1"/>
    <x v="0"/>
    <x v="0"/>
    <x v="0"/>
    <x v="1"/>
    <x v="0"/>
    <x v="0"/>
    <x v="1"/>
    <x v="1"/>
    <x v="5"/>
    <x v="4"/>
    <x v="1"/>
    <x v="0"/>
    <x v="0"/>
    <x v="1"/>
    <x v="0"/>
    <x v="0"/>
    <x v="1"/>
    <x v="1"/>
    <x v="0"/>
    <x v="0"/>
  </r>
  <r>
    <x v="5"/>
    <x v="33"/>
    <x v="0"/>
    <x v="0"/>
    <x v="0"/>
    <x v="70"/>
    <x v="0"/>
    <x v="2"/>
    <x v="39"/>
    <x v="0"/>
    <x v="1"/>
    <n v="0.99999545858363903"/>
    <x v="12"/>
    <x v="0"/>
    <x v="3"/>
    <x v="3"/>
    <x v="1"/>
    <x v="0"/>
    <x v="0"/>
    <x v="0"/>
    <x v="1"/>
    <x v="0"/>
    <x v="0"/>
    <x v="1"/>
    <x v="1"/>
    <x v="5"/>
    <x v="4"/>
    <x v="1"/>
    <x v="0"/>
    <x v="0"/>
    <x v="1"/>
    <x v="0"/>
    <x v="0"/>
    <x v="1"/>
    <x v="1"/>
    <x v="0"/>
    <x v="0"/>
  </r>
  <r>
    <x v="5"/>
    <x v="33"/>
    <x v="0"/>
    <x v="0"/>
    <x v="0"/>
    <x v="70"/>
    <x v="0"/>
    <x v="2"/>
    <x v="39"/>
    <x v="0"/>
    <x v="2"/>
    <n v="0.99999519393901637"/>
    <x v="12"/>
    <x v="0"/>
    <x v="3"/>
    <x v="3"/>
    <x v="1"/>
    <x v="0"/>
    <x v="0"/>
    <x v="0"/>
    <x v="1"/>
    <x v="0"/>
    <x v="0"/>
    <x v="1"/>
    <x v="1"/>
    <x v="5"/>
    <x v="4"/>
    <x v="1"/>
    <x v="0"/>
    <x v="0"/>
    <x v="1"/>
    <x v="0"/>
    <x v="0"/>
    <x v="1"/>
    <x v="1"/>
    <x v="0"/>
    <x v="0"/>
  </r>
  <r>
    <x v="5"/>
    <x v="33"/>
    <x v="0"/>
    <x v="0"/>
    <x v="0"/>
    <x v="70"/>
    <x v="0"/>
    <x v="2"/>
    <x v="39"/>
    <x v="0"/>
    <x v="0"/>
    <n v="0.99999528685001404"/>
    <x v="12"/>
    <x v="0"/>
    <x v="3"/>
    <x v="3"/>
    <x v="1"/>
    <x v="0"/>
    <x v="0"/>
    <x v="0"/>
    <x v="1"/>
    <x v="0"/>
    <x v="0"/>
    <x v="1"/>
    <x v="1"/>
    <x v="5"/>
    <x v="4"/>
    <x v="1"/>
    <x v="0"/>
    <x v="0"/>
    <x v="1"/>
    <x v="0"/>
    <x v="0"/>
    <x v="1"/>
    <x v="1"/>
    <x v="0"/>
    <x v="0"/>
  </r>
  <r>
    <x v="5"/>
    <x v="33"/>
    <x v="0"/>
    <x v="0"/>
    <x v="0"/>
    <x v="70"/>
    <x v="0"/>
    <x v="2"/>
    <x v="40"/>
    <x v="0"/>
    <x v="0"/>
    <n v="0.99999528685001404"/>
    <x v="12"/>
    <x v="0"/>
    <x v="3"/>
    <x v="3"/>
    <x v="1"/>
    <x v="0"/>
    <x v="0"/>
    <x v="0"/>
    <x v="1"/>
    <x v="0"/>
    <x v="0"/>
    <x v="1"/>
    <x v="1"/>
    <x v="5"/>
    <x v="4"/>
    <x v="1"/>
    <x v="0"/>
    <x v="0"/>
    <x v="1"/>
    <x v="0"/>
    <x v="0"/>
    <x v="1"/>
    <x v="1"/>
    <x v="0"/>
    <x v="0"/>
  </r>
  <r>
    <x v="5"/>
    <x v="33"/>
    <x v="0"/>
    <x v="0"/>
    <x v="0"/>
    <x v="70"/>
    <x v="0"/>
    <x v="2"/>
    <x v="40"/>
    <x v="0"/>
    <x v="1"/>
    <n v="0.99999545858363903"/>
    <x v="12"/>
    <x v="0"/>
    <x v="3"/>
    <x v="3"/>
    <x v="1"/>
    <x v="0"/>
    <x v="0"/>
    <x v="0"/>
    <x v="1"/>
    <x v="0"/>
    <x v="0"/>
    <x v="1"/>
    <x v="1"/>
    <x v="5"/>
    <x v="4"/>
    <x v="1"/>
    <x v="0"/>
    <x v="0"/>
    <x v="1"/>
    <x v="0"/>
    <x v="0"/>
    <x v="1"/>
    <x v="1"/>
    <x v="0"/>
    <x v="0"/>
  </r>
  <r>
    <x v="5"/>
    <x v="33"/>
    <x v="0"/>
    <x v="0"/>
    <x v="0"/>
    <x v="70"/>
    <x v="0"/>
    <x v="2"/>
    <x v="40"/>
    <x v="0"/>
    <x v="1"/>
    <n v="0.99999545858363903"/>
    <x v="12"/>
    <x v="0"/>
    <x v="3"/>
    <x v="3"/>
    <x v="1"/>
    <x v="0"/>
    <x v="0"/>
    <x v="0"/>
    <x v="1"/>
    <x v="0"/>
    <x v="0"/>
    <x v="1"/>
    <x v="1"/>
    <x v="5"/>
    <x v="4"/>
    <x v="1"/>
    <x v="0"/>
    <x v="0"/>
    <x v="1"/>
    <x v="0"/>
    <x v="0"/>
    <x v="1"/>
    <x v="1"/>
    <x v="0"/>
    <x v="0"/>
  </r>
  <r>
    <x v="5"/>
    <x v="33"/>
    <x v="0"/>
    <x v="0"/>
    <x v="0"/>
    <x v="70"/>
    <x v="0"/>
    <x v="2"/>
    <x v="40"/>
    <x v="0"/>
    <x v="3"/>
    <n v="0.99999537576328612"/>
    <x v="12"/>
    <x v="0"/>
    <x v="3"/>
    <x v="3"/>
    <x v="1"/>
    <x v="0"/>
    <x v="0"/>
    <x v="0"/>
    <x v="1"/>
    <x v="0"/>
    <x v="0"/>
    <x v="1"/>
    <x v="1"/>
    <x v="5"/>
    <x v="4"/>
    <x v="1"/>
    <x v="0"/>
    <x v="0"/>
    <x v="1"/>
    <x v="0"/>
    <x v="0"/>
    <x v="1"/>
    <x v="1"/>
    <x v="0"/>
    <x v="0"/>
  </r>
  <r>
    <x v="5"/>
    <x v="33"/>
    <x v="0"/>
    <x v="0"/>
    <x v="0"/>
    <x v="70"/>
    <x v="0"/>
    <x v="2"/>
    <x v="40"/>
    <x v="0"/>
    <x v="2"/>
    <n v="0.99999519393901637"/>
    <x v="12"/>
    <x v="0"/>
    <x v="3"/>
    <x v="3"/>
    <x v="1"/>
    <x v="0"/>
    <x v="0"/>
    <x v="0"/>
    <x v="1"/>
    <x v="0"/>
    <x v="0"/>
    <x v="1"/>
    <x v="1"/>
    <x v="5"/>
    <x v="4"/>
    <x v="1"/>
    <x v="0"/>
    <x v="0"/>
    <x v="1"/>
    <x v="0"/>
    <x v="0"/>
    <x v="1"/>
    <x v="1"/>
    <x v="0"/>
    <x v="0"/>
  </r>
  <r>
    <x v="5"/>
    <x v="33"/>
    <x v="0"/>
    <x v="0"/>
    <x v="0"/>
    <x v="70"/>
    <x v="0"/>
    <x v="2"/>
    <x v="40"/>
    <x v="0"/>
    <x v="3"/>
    <n v="0.99999537576328612"/>
    <x v="12"/>
    <x v="0"/>
    <x v="3"/>
    <x v="3"/>
    <x v="1"/>
    <x v="0"/>
    <x v="0"/>
    <x v="0"/>
    <x v="1"/>
    <x v="0"/>
    <x v="0"/>
    <x v="1"/>
    <x v="1"/>
    <x v="5"/>
    <x v="4"/>
    <x v="1"/>
    <x v="0"/>
    <x v="0"/>
    <x v="1"/>
    <x v="0"/>
    <x v="0"/>
    <x v="1"/>
    <x v="1"/>
    <x v="0"/>
    <x v="0"/>
  </r>
  <r>
    <x v="5"/>
    <x v="33"/>
    <x v="0"/>
    <x v="0"/>
    <x v="0"/>
    <x v="70"/>
    <x v="0"/>
    <x v="2"/>
    <x v="40"/>
    <x v="0"/>
    <x v="2"/>
    <n v="0.99999519393901637"/>
    <x v="12"/>
    <x v="0"/>
    <x v="3"/>
    <x v="3"/>
    <x v="1"/>
    <x v="0"/>
    <x v="0"/>
    <x v="0"/>
    <x v="1"/>
    <x v="0"/>
    <x v="0"/>
    <x v="1"/>
    <x v="1"/>
    <x v="5"/>
    <x v="4"/>
    <x v="1"/>
    <x v="0"/>
    <x v="0"/>
    <x v="1"/>
    <x v="0"/>
    <x v="0"/>
    <x v="1"/>
    <x v="1"/>
    <x v="0"/>
    <x v="0"/>
  </r>
  <r>
    <x v="5"/>
    <x v="33"/>
    <x v="0"/>
    <x v="0"/>
    <x v="0"/>
    <x v="70"/>
    <x v="0"/>
    <x v="2"/>
    <x v="40"/>
    <x v="0"/>
    <x v="0"/>
    <n v="0.99999528685001404"/>
    <x v="12"/>
    <x v="0"/>
    <x v="3"/>
    <x v="3"/>
    <x v="1"/>
    <x v="0"/>
    <x v="0"/>
    <x v="0"/>
    <x v="1"/>
    <x v="0"/>
    <x v="0"/>
    <x v="1"/>
    <x v="1"/>
    <x v="5"/>
    <x v="4"/>
    <x v="1"/>
    <x v="0"/>
    <x v="0"/>
    <x v="1"/>
    <x v="0"/>
    <x v="0"/>
    <x v="1"/>
    <x v="1"/>
    <x v="0"/>
    <x v="0"/>
  </r>
  <r>
    <x v="5"/>
    <x v="33"/>
    <x v="0"/>
    <x v="0"/>
    <x v="0"/>
    <x v="70"/>
    <x v="0"/>
    <x v="2"/>
    <x v="41"/>
    <x v="0"/>
    <x v="3"/>
    <n v="0.99999537576328612"/>
    <x v="12"/>
    <x v="0"/>
    <x v="3"/>
    <x v="3"/>
    <x v="1"/>
    <x v="0"/>
    <x v="0"/>
    <x v="0"/>
    <x v="1"/>
    <x v="0"/>
    <x v="0"/>
    <x v="1"/>
    <x v="1"/>
    <x v="5"/>
    <x v="4"/>
    <x v="1"/>
    <x v="0"/>
    <x v="0"/>
    <x v="1"/>
    <x v="0"/>
    <x v="0"/>
    <x v="1"/>
    <x v="1"/>
    <x v="0"/>
    <x v="0"/>
  </r>
  <r>
    <x v="5"/>
    <x v="33"/>
    <x v="0"/>
    <x v="0"/>
    <x v="0"/>
    <x v="70"/>
    <x v="0"/>
    <x v="2"/>
    <x v="41"/>
    <x v="0"/>
    <x v="0"/>
    <n v="0.99999528685001404"/>
    <x v="12"/>
    <x v="0"/>
    <x v="3"/>
    <x v="3"/>
    <x v="1"/>
    <x v="0"/>
    <x v="0"/>
    <x v="0"/>
    <x v="1"/>
    <x v="0"/>
    <x v="0"/>
    <x v="1"/>
    <x v="1"/>
    <x v="5"/>
    <x v="4"/>
    <x v="1"/>
    <x v="0"/>
    <x v="0"/>
    <x v="1"/>
    <x v="0"/>
    <x v="0"/>
    <x v="1"/>
    <x v="1"/>
    <x v="0"/>
    <x v="0"/>
  </r>
  <r>
    <x v="5"/>
    <x v="33"/>
    <x v="0"/>
    <x v="0"/>
    <x v="0"/>
    <x v="70"/>
    <x v="0"/>
    <x v="2"/>
    <x v="41"/>
    <x v="0"/>
    <x v="1"/>
    <n v="0.99999545858363903"/>
    <x v="12"/>
    <x v="0"/>
    <x v="3"/>
    <x v="3"/>
    <x v="1"/>
    <x v="0"/>
    <x v="0"/>
    <x v="0"/>
    <x v="1"/>
    <x v="0"/>
    <x v="0"/>
    <x v="1"/>
    <x v="1"/>
    <x v="5"/>
    <x v="4"/>
    <x v="1"/>
    <x v="0"/>
    <x v="0"/>
    <x v="1"/>
    <x v="0"/>
    <x v="0"/>
    <x v="1"/>
    <x v="1"/>
    <x v="0"/>
    <x v="0"/>
  </r>
  <r>
    <x v="5"/>
    <x v="33"/>
    <x v="0"/>
    <x v="0"/>
    <x v="0"/>
    <x v="70"/>
    <x v="0"/>
    <x v="2"/>
    <x v="41"/>
    <x v="0"/>
    <x v="0"/>
    <n v="0.99999528685001404"/>
    <x v="12"/>
    <x v="0"/>
    <x v="3"/>
    <x v="3"/>
    <x v="1"/>
    <x v="0"/>
    <x v="0"/>
    <x v="0"/>
    <x v="1"/>
    <x v="0"/>
    <x v="0"/>
    <x v="1"/>
    <x v="1"/>
    <x v="5"/>
    <x v="4"/>
    <x v="1"/>
    <x v="0"/>
    <x v="0"/>
    <x v="1"/>
    <x v="0"/>
    <x v="0"/>
    <x v="1"/>
    <x v="1"/>
    <x v="0"/>
    <x v="0"/>
  </r>
  <r>
    <x v="5"/>
    <x v="33"/>
    <x v="0"/>
    <x v="0"/>
    <x v="0"/>
    <x v="70"/>
    <x v="0"/>
    <x v="2"/>
    <x v="41"/>
    <x v="0"/>
    <x v="2"/>
    <n v="0.99999519393901637"/>
    <x v="12"/>
    <x v="0"/>
    <x v="3"/>
    <x v="3"/>
    <x v="1"/>
    <x v="0"/>
    <x v="0"/>
    <x v="0"/>
    <x v="1"/>
    <x v="0"/>
    <x v="0"/>
    <x v="1"/>
    <x v="1"/>
    <x v="5"/>
    <x v="4"/>
    <x v="1"/>
    <x v="0"/>
    <x v="0"/>
    <x v="1"/>
    <x v="0"/>
    <x v="0"/>
    <x v="1"/>
    <x v="1"/>
    <x v="0"/>
    <x v="0"/>
  </r>
  <r>
    <x v="5"/>
    <x v="33"/>
    <x v="0"/>
    <x v="0"/>
    <x v="0"/>
    <x v="70"/>
    <x v="0"/>
    <x v="2"/>
    <x v="41"/>
    <x v="0"/>
    <x v="2"/>
    <n v="0.99999519393901637"/>
    <x v="12"/>
    <x v="0"/>
    <x v="3"/>
    <x v="3"/>
    <x v="1"/>
    <x v="0"/>
    <x v="0"/>
    <x v="0"/>
    <x v="1"/>
    <x v="0"/>
    <x v="0"/>
    <x v="1"/>
    <x v="1"/>
    <x v="5"/>
    <x v="4"/>
    <x v="1"/>
    <x v="0"/>
    <x v="0"/>
    <x v="1"/>
    <x v="0"/>
    <x v="0"/>
    <x v="1"/>
    <x v="1"/>
    <x v="0"/>
    <x v="0"/>
  </r>
  <r>
    <x v="5"/>
    <x v="33"/>
    <x v="0"/>
    <x v="0"/>
    <x v="0"/>
    <x v="70"/>
    <x v="0"/>
    <x v="2"/>
    <x v="41"/>
    <x v="0"/>
    <x v="1"/>
    <n v="0.99999545858363903"/>
    <x v="12"/>
    <x v="0"/>
    <x v="3"/>
    <x v="3"/>
    <x v="1"/>
    <x v="0"/>
    <x v="0"/>
    <x v="0"/>
    <x v="1"/>
    <x v="0"/>
    <x v="0"/>
    <x v="1"/>
    <x v="1"/>
    <x v="5"/>
    <x v="4"/>
    <x v="1"/>
    <x v="0"/>
    <x v="0"/>
    <x v="1"/>
    <x v="0"/>
    <x v="0"/>
    <x v="1"/>
    <x v="1"/>
    <x v="0"/>
    <x v="0"/>
  </r>
  <r>
    <x v="5"/>
    <x v="33"/>
    <x v="0"/>
    <x v="0"/>
    <x v="0"/>
    <x v="70"/>
    <x v="0"/>
    <x v="2"/>
    <x v="41"/>
    <x v="0"/>
    <x v="3"/>
    <n v="0.99999537576328612"/>
    <x v="12"/>
    <x v="0"/>
    <x v="3"/>
    <x v="3"/>
    <x v="1"/>
    <x v="0"/>
    <x v="0"/>
    <x v="0"/>
    <x v="1"/>
    <x v="0"/>
    <x v="0"/>
    <x v="1"/>
    <x v="1"/>
    <x v="5"/>
    <x v="4"/>
    <x v="1"/>
    <x v="0"/>
    <x v="0"/>
    <x v="1"/>
    <x v="0"/>
    <x v="0"/>
    <x v="1"/>
    <x v="1"/>
    <x v="0"/>
    <x v="0"/>
  </r>
  <r>
    <x v="5"/>
    <x v="33"/>
    <x v="0"/>
    <x v="0"/>
    <x v="0"/>
    <x v="70"/>
    <x v="0"/>
    <x v="2"/>
    <x v="42"/>
    <x v="0"/>
    <x v="3"/>
    <n v="0.99999537576328612"/>
    <x v="12"/>
    <x v="0"/>
    <x v="3"/>
    <x v="3"/>
    <x v="1"/>
    <x v="0"/>
    <x v="0"/>
    <x v="0"/>
    <x v="1"/>
    <x v="0"/>
    <x v="0"/>
    <x v="1"/>
    <x v="1"/>
    <x v="5"/>
    <x v="4"/>
    <x v="1"/>
    <x v="0"/>
    <x v="0"/>
    <x v="1"/>
    <x v="0"/>
    <x v="0"/>
    <x v="1"/>
    <x v="1"/>
    <x v="0"/>
    <x v="0"/>
  </r>
  <r>
    <x v="5"/>
    <x v="33"/>
    <x v="0"/>
    <x v="0"/>
    <x v="0"/>
    <x v="70"/>
    <x v="0"/>
    <x v="2"/>
    <x v="42"/>
    <x v="0"/>
    <x v="1"/>
    <n v="0.99999545858363903"/>
    <x v="12"/>
    <x v="0"/>
    <x v="3"/>
    <x v="3"/>
    <x v="1"/>
    <x v="0"/>
    <x v="0"/>
    <x v="0"/>
    <x v="1"/>
    <x v="0"/>
    <x v="0"/>
    <x v="1"/>
    <x v="1"/>
    <x v="5"/>
    <x v="4"/>
    <x v="1"/>
    <x v="0"/>
    <x v="0"/>
    <x v="1"/>
    <x v="0"/>
    <x v="0"/>
    <x v="1"/>
    <x v="1"/>
    <x v="0"/>
    <x v="0"/>
  </r>
  <r>
    <x v="5"/>
    <x v="33"/>
    <x v="0"/>
    <x v="0"/>
    <x v="0"/>
    <x v="70"/>
    <x v="0"/>
    <x v="2"/>
    <x v="42"/>
    <x v="0"/>
    <x v="3"/>
    <n v="0.99999537576328612"/>
    <x v="12"/>
    <x v="0"/>
    <x v="3"/>
    <x v="3"/>
    <x v="1"/>
    <x v="0"/>
    <x v="0"/>
    <x v="0"/>
    <x v="1"/>
    <x v="0"/>
    <x v="0"/>
    <x v="1"/>
    <x v="1"/>
    <x v="5"/>
    <x v="4"/>
    <x v="1"/>
    <x v="0"/>
    <x v="0"/>
    <x v="1"/>
    <x v="0"/>
    <x v="0"/>
    <x v="1"/>
    <x v="1"/>
    <x v="0"/>
    <x v="0"/>
  </r>
  <r>
    <x v="5"/>
    <x v="33"/>
    <x v="0"/>
    <x v="0"/>
    <x v="0"/>
    <x v="70"/>
    <x v="0"/>
    <x v="2"/>
    <x v="42"/>
    <x v="0"/>
    <x v="0"/>
    <n v="0.99999528685001404"/>
    <x v="12"/>
    <x v="0"/>
    <x v="3"/>
    <x v="3"/>
    <x v="1"/>
    <x v="0"/>
    <x v="0"/>
    <x v="0"/>
    <x v="1"/>
    <x v="0"/>
    <x v="0"/>
    <x v="1"/>
    <x v="1"/>
    <x v="5"/>
    <x v="4"/>
    <x v="1"/>
    <x v="0"/>
    <x v="0"/>
    <x v="1"/>
    <x v="0"/>
    <x v="0"/>
    <x v="1"/>
    <x v="1"/>
    <x v="0"/>
    <x v="0"/>
  </r>
  <r>
    <x v="5"/>
    <x v="33"/>
    <x v="0"/>
    <x v="0"/>
    <x v="0"/>
    <x v="70"/>
    <x v="0"/>
    <x v="2"/>
    <x v="42"/>
    <x v="0"/>
    <x v="2"/>
    <n v="0.99999519393901637"/>
    <x v="12"/>
    <x v="0"/>
    <x v="3"/>
    <x v="3"/>
    <x v="1"/>
    <x v="0"/>
    <x v="0"/>
    <x v="0"/>
    <x v="1"/>
    <x v="0"/>
    <x v="0"/>
    <x v="1"/>
    <x v="1"/>
    <x v="5"/>
    <x v="4"/>
    <x v="1"/>
    <x v="0"/>
    <x v="0"/>
    <x v="1"/>
    <x v="0"/>
    <x v="0"/>
    <x v="1"/>
    <x v="1"/>
    <x v="0"/>
    <x v="0"/>
  </r>
  <r>
    <x v="5"/>
    <x v="33"/>
    <x v="0"/>
    <x v="0"/>
    <x v="0"/>
    <x v="70"/>
    <x v="0"/>
    <x v="2"/>
    <x v="42"/>
    <x v="0"/>
    <x v="2"/>
    <n v="0.99999519393901637"/>
    <x v="12"/>
    <x v="0"/>
    <x v="3"/>
    <x v="3"/>
    <x v="1"/>
    <x v="0"/>
    <x v="0"/>
    <x v="0"/>
    <x v="1"/>
    <x v="0"/>
    <x v="0"/>
    <x v="1"/>
    <x v="1"/>
    <x v="5"/>
    <x v="4"/>
    <x v="1"/>
    <x v="0"/>
    <x v="0"/>
    <x v="1"/>
    <x v="0"/>
    <x v="0"/>
    <x v="1"/>
    <x v="1"/>
    <x v="0"/>
    <x v="0"/>
  </r>
  <r>
    <x v="5"/>
    <x v="33"/>
    <x v="0"/>
    <x v="0"/>
    <x v="0"/>
    <x v="70"/>
    <x v="0"/>
    <x v="2"/>
    <x v="42"/>
    <x v="0"/>
    <x v="1"/>
    <n v="0.99999545858363903"/>
    <x v="12"/>
    <x v="0"/>
    <x v="3"/>
    <x v="3"/>
    <x v="1"/>
    <x v="0"/>
    <x v="0"/>
    <x v="0"/>
    <x v="1"/>
    <x v="0"/>
    <x v="0"/>
    <x v="1"/>
    <x v="1"/>
    <x v="5"/>
    <x v="4"/>
    <x v="1"/>
    <x v="0"/>
    <x v="0"/>
    <x v="1"/>
    <x v="0"/>
    <x v="0"/>
    <x v="1"/>
    <x v="1"/>
    <x v="0"/>
    <x v="0"/>
  </r>
  <r>
    <x v="5"/>
    <x v="33"/>
    <x v="0"/>
    <x v="0"/>
    <x v="0"/>
    <x v="70"/>
    <x v="0"/>
    <x v="2"/>
    <x v="42"/>
    <x v="0"/>
    <x v="0"/>
    <n v="0.99999528685001404"/>
    <x v="12"/>
    <x v="0"/>
    <x v="3"/>
    <x v="3"/>
    <x v="1"/>
    <x v="0"/>
    <x v="0"/>
    <x v="0"/>
    <x v="1"/>
    <x v="0"/>
    <x v="0"/>
    <x v="1"/>
    <x v="1"/>
    <x v="5"/>
    <x v="4"/>
    <x v="1"/>
    <x v="0"/>
    <x v="0"/>
    <x v="1"/>
    <x v="0"/>
    <x v="0"/>
    <x v="1"/>
    <x v="1"/>
    <x v="0"/>
    <x v="0"/>
  </r>
  <r>
    <x v="5"/>
    <x v="33"/>
    <x v="0"/>
    <x v="0"/>
    <x v="0"/>
    <x v="70"/>
    <x v="0"/>
    <x v="2"/>
    <x v="43"/>
    <x v="0"/>
    <x v="2"/>
    <n v="0.99999519393901637"/>
    <x v="12"/>
    <x v="0"/>
    <x v="3"/>
    <x v="3"/>
    <x v="1"/>
    <x v="0"/>
    <x v="0"/>
    <x v="0"/>
    <x v="1"/>
    <x v="0"/>
    <x v="0"/>
    <x v="1"/>
    <x v="1"/>
    <x v="5"/>
    <x v="4"/>
    <x v="1"/>
    <x v="0"/>
    <x v="0"/>
    <x v="1"/>
    <x v="0"/>
    <x v="0"/>
    <x v="1"/>
    <x v="1"/>
    <x v="0"/>
    <x v="0"/>
  </r>
  <r>
    <x v="5"/>
    <x v="33"/>
    <x v="0"/>
    <x v="0"/>
    <x v="0"/>
    <x v="70"/>
    <x v="0"/>
    <x v="2"/>
    <x v="43"/>
    <x v="0"/>
    <x v="3"/>
    <n v="0.99999537576328612"/>
    <x v="12"/>
    <x v="0"/>
    <x v="3"/>
    <x v="3"/>
    <x v="1"/>
    <x v="0"/>
    <x v="0"/>
    <x v="0"/>
    <x v="1"/>
    <x v="0"/>
    <x v="0"/>
    <x v="1"/>
    <x v="1"/>
    <x v="5"/>
    <x v="4"/>
    <x v="1"/>
    <x v="0"/>
    <x v="0"/>
    <x v="1"/>
    <x v="0"/>
    <x v="0"/>
    <x v="1"/>
    <x v="1"/>
    <x v="0"/>
    <x v="0"/>
  </r>
  <r>
    <x v="5"/>
    <x v="33"/>
    <x v="0"/>
    <x v="0"/>
    <x v="0"/>
    <x v="70"/>
    <x v="0"/>
    <x v="2"/>
    <x v="43"/>
    <x v="0"/>
    <x v="1"/>
    <n v="0.99999545858363903"/>
    <x v="12"/>
    <x v="0"/>
    <x v="3"/>
    <x v="3"/>
    <x v="1"/>
    <x v="0"/>
    <x v="0"/>
    <x v="0"/>
    <x v="1"/>
    <x v="0"/>
    <x v="0"/>
    <x v="1"/>
    <x v="1"/>
    <x v="5"/>
    <x v="4"/>
    <x v="1"/>
    <x v="0"/>
    <x v="0"/>
    <x v="1"/>
    <x v="0"/>
    <x v="0"/>
    <x v="1"/>
    <x v="1"/>
    <x v="0"/>
    <x v="0"/>
  </r>
  <r>
    <x v="5"/>
    <x v="33"/>
    <x v="0"/>
    <x v="0"/>
    <x v="0"/>
    <x v="70"/>
    <x v="0"/>
    <x v="2"/>
    <x v="43"/>
    <x v="0"/>
    <x v="1"/>
    <n v="0.99999545858363903"/>
    <x v="12"/>
    <x v="0"/>
    <x v="3"/>
    <x v="3"/>
    <x v="1"/>
    <x v="0"/>
    <x v="0"/>
    <x v="0"/>
    <x v="1"/>
    <x v="0"/>
    <x v="0"/>
    <x v="1"/>
    <x v="1"/>
    <x v="5"/>
    <x v="4"/>
    <x v="1"/>
    <x v="0"/>
    <x v="0"/>
    <x v="1"/>
    <x v="0"/>
    <x v="0"/>
    <x v="1"/>
    <x v="1"/>
    <x v="0"/>
    <x v="0"/>
  </r>
  <r>
    <x v="5"/>
    <x v="33"/>
    <x v="0"/>
    <x v="0"/>
    <x v="0"/>
    <x v="70"/>
    <x v="0"/>
    <x v="2"/>
    <x v="43"/>
    <x v="0"/>
    <x v="3"/>
    <n v="0.99999537576328612"/>
    <x v="12"/>
    <x v="0"/>
    <x v="3"/>
    <x v="3"/>
    <x v="1"/>
    <x v="0"/>
    <x v="0"/>
    <x v="0"/>
    <x v="1"/>
    <x v="0"/>
    <x v="0"/>
    <x v="1"/>
    <x v="1"/>
    <x v="5"/>
    <x v="4"/>
    <x v="1"/>
    <x v="0"/>
    <x v="0"/>
    <x v="1"/>
    <x v="0"/>
    <x v="0"/>
    <x v="1"/>
    <x v="1"/>
    <x v="0"/>
    <x v="0"/>
  </r>
  <r>
    <x v="5"/>
    <x v="33"/>
    <x v="0"/>
    <x v="0"/>
    <x v="0"/>
    <x v="70"/>
    <x v="0"/>
    <x v="2"/>
    <x v="43"/>
    <x v="0"/>
    <x v="0"/>
    <n v="0.99999528685001404"/>
    <x v="12"/>
    <x v="0"/>
    <x v="3"/>
    <x v="3"/>
    <x v="1"/>
    <x v="0"/>
    <x v="0"/>
    <x v="0"/>
    <x v="1"/>
    <x v="0"/>
    <x v="0"/>
    <x v="1"/>
    <x v="1"/>
    <x v="5"/>
    <x v="4"/>
    <x v="1"/>
    <x v="0"/>
    <x v="0"/>
    <x v="1"/>
    <x v="0"/>
    <x v="0"/>
    <x v="1"/>
    <x v="1"/>
    <x v="0"/>
    <x v="0"/>
  </r>
  <r>
    <x v="5"/>
    <x v="33"/>
    <x v="0"/>
    <x v="0"/>
    <x v="0"/>
    <x v="70"/>
    <x v="0"/>
    <x v="2"/>
    <x v="43"/>
    <x v="0"/>
    <x v="2"/>
    <n v="0.99999519393901637"/>
    <x v="12"/>
    <x v="0"/>
    <x v="3"/>
    <x v="3"/>
    <x v="1"/>
    <x v="0"/>
    <x v="0"/>
    <x v="0"/>
    <x v="1"/>
    <x v="0"/>
    <x v="0"/>
    <x v="1"/>
    <x v="1"/>
    <x v="5"/>
    <x v="4"/>
    <x v="1"/>
    <x v="0"/>
    <x v="0"/>
    <x v="1"/>
    <x v="0"/>
    <x v="0"/>
    <x v="1"/>
    <x v="1"/>
    <x v="0"/>
    <x v="0"/>
  </r>
  <r>
    <x v="5"/>
    <x v="33"/>
    <x v="0"/>
    <x v="0"/>
    <x v="0"/>
    <x v="70"/>
    <x v="0"/>
    <x v="2"/>
    <x v="43"/>
    <x v="0"/>
    <x v="0"/>
    <n v="0.99999528685001404"/>
    <x v="12"/>
    <x v="0"/>
    <x v="3"/>
    <x v="3"/>
    <x v="1"/>
    <x v="0"/>
    <x v="0"/>
    <x v="0"/>
    <x v="1"/>
    <x v="0"/>
    <x v="0"/>
    <x v="1"/>
    <x v="1"/>
    <x v="5"/>
    <x v="4"/>
    <x v="1"/>
    <x v="0"/>
    <x v="0"/>
    <x v="1"/>
    <x v="0"/>
    <x v="0"/>
    <x v="1"/>
    <x v="1"/>
    <x v="0"/>
    <x v="0"/>
  </r>
  <r>
    <x v="6"/>
    <x v="34"/>
    <x v="0"/>
    <x v="0"/>
    <x v="0"/>
    <x v="71"/>
    <x v="0"/>
    <x v="3"/>
    <x v="44"/>
    <x v="0"/>
    <x v="0"/>
    <n v="5.9278248783096251E-4"/>
    <x v="3"/>
    <x v="0"/>
    <x v="1"/>
    <x v="1"/>
    <x v="0"/>
    <x v="0"/>
    <x v="3"/>
    <x v="0"/>
    <x v="1"/>
    <x v="0"/>
    <x v="0"/>
    <x v="0"/>
    <x v="1"/>
    <x v="1"/>
    <x v="1"/>
    <x v="0"/>
    <x v="3"/>
    <x v="0"/>
    <x v="1"/>
    <x v="0"/>
    <x v="0"/>
    <x v="0"/>
    <x v="1"/>
    <x v="1"/>
    <x v="0"/>
  </r>
  <r>
    <x v="6"/>
    <x v="34"/>
    <x v="0"/>
    <x v="0"/>
    <x v="0"/>
    <x v="71"/>
    <x v="0"/>
    <x v="3"/>
    <x v="44"/>
    <x v="0"/>
    <x v="1"/>
    <n v="8.2744219695707886E-4"/>
    <x v="3"/>
    <x v="0"/>
    <x v="1"/>
    <x v="1"/>
    <x v="0"/>
    <x v="0"/>
    <x v="3"/>
    <x v="0"/>
    <x v="1"/>
    <x v="0"/>
    <x v="0"/>
    <x v="0"/>
    <x v="1"/>
    <x v="1"/>
    <x v="1"/>
    <x v="0"/>
    <x v="3"/>
    <x v="0"/>
    <x v="1"/>
    <x v="0"/>
    <x v="0"/>
    <x v="0"/>
    <x v="1"/>
    <x v="1"/>
    <x v="0"/>
  </r>
  <r>
    <x v="6"/>
    <x v="34"/>
    <x v="0"/>
    <x v="0"/>
    <x v="0"/>
    <x v="71"/>
    <x v="0"/>
    <x v="3"/>
    <x v="44"/>
    <x v="0"/>
    <x v="3"/>
    <n v="5.8047280254134215E-4"/>
    <x v="3"/>
    <x v="0"/>
    <x v="1"/>
    <x v="1"/>
    <x v="0"/>
    <x v="0"/>
    <x v="3"/>
    <x v="0"/>
    <x v="1"/>
    <x v="0"/>
    <x v="0"/>
    <x v="0"/>
    <x v="1"/>
    <x v="1"/>
    <x v="1"/>
    <x v="0"/>
    <x v="3"/>
    <x v="0"/>
    <x v="1"/>
    <x v="0"/>
    <x v="0"/>
    <x v="0"/>
    <x v="1"/>
    <x v="1"/>
    <x v="0"/>
  </r>
  <r>
    <x v="6"/>
    <x v="34"/>
    <x v="0"/>
    <x v="0"/>
    <x v="0"/>
    <x v="71"/>
    <x v="0"/>
    <x v="3"/>
    <x v="44"/>
    <x v="0"/>
    <x v="2"/>
    <n v="8.3172584633271857E-5"/>
    <x v="3"/>
    <x v="0"/>
    <x v="1"/>
    <x v="1"/>
    <x v="0"/>
    <x v="0"/>
    <x v="3"/>
    <x v="0"/>
    <x v="1"/>
    <x v="0"/>
    <x v="0"/>
    <x v="0"/>
    <x v="1"/>
    <x v="1"/>
    <x v="1"/>
    <x v="0"/>
    <x v="3"/>
    <x v="0"/>
    <x v="1"/>
    <x v="0"/>
    <x v="0"/>
    <x v="0"/>
    <x v="1"/>
    <x v="1"/>
    <x v="0"/>
  </r>
  <r>
    <x v="6"/>
    <x v="34"/>
    <x v="0"/>
    <x v="0"/>
    <x v="0"/>
    <x v="72"/>
    <x v="0"/>
    <x v="3"/>
    <x v="44"/>
    <x v="0"/>
    <x v="1"/>
    <n v="1.1486053466796876E-4"/>
    <x v="9"/>
    <x v="0"/>
    <x v="1"/>
    <x v="1"/>
    <x v="0"/>
    <x v="0"/>
    <x v="3"/>
    <x v="0"/>
    <x v="1"/>
    <x v="0"/>
    <x v="0"/>
    <x v="0"/>
    <x v="1"/>
    <x v="5"/>
    <x v="2"/>
    <x v="2"/>
    <x v="3"/>
    <x v="0"/>
    <x v="0"/>
    <x v="0"/>
    <x v="0"/>
    <x v="0"/>
    <x v="1"/>
    <x v="1"/>
    <x v="0"/>
  </r>
  <r>
    <x v="6"/>
    <x v="34"/>
    <x v="0"/>
    <x v="0"/>
    <x v="0"/>
    <x v="72"/>
    <x v="0"/>
    <x v="3"/>
    <x v="44"/>
    <x v="0"/>
    <x v="3"/>
    <n v="8.818774807209872E-5"/>
    <x v="9"/>
    <x v="0"/>
    <x v="1"/>
    <x v="1"/>
    <x v="0"/>
    <x v="0"/>
    <x v="3"/>
    <x v="0"/>
    <x v="1"/>
    <x v="0"/>
    <x v="0"/>
    <x v="0"/>
    <x v="1"/>
    <x v="5"/>
    <x v="2"/>
    <x v="2"/>
    <x v="3"/>
    <x v="0"/>
    <x v="0"/>
    <x v="0"/>
    <x v="0"/>
    <x v="0"/>
    <x v="1"/>
    <x v="1"/>
    <x v="0"/>
  </r>
  <r>
    <x v="6"/>
    <x v="34"/>
    <x v="0"/>
    <x v="0"/>
    <x v="0"/>
    <x v="72"/>
    <x v="0"/>
    <x v="3"/>
    <x v="44"/>
    <x v="0"/>
    <x v="2"/>
    <n v="2.1900133210785539E-5"/>
    <x v="9"/>
    <x v="0"/>
    <x v="1"/>
    <x v="1"/>
    <x v="0"/>
    <x v="0"/>
    <x v="3"/>
    <x v="0"/>
    <x v="1"/>
    <x v="0"/>
    <x v="0"/>
    <x v="0"/>
    <x v="1"/>
    <x v="5"/>
    <x v="2"/>
    <x v="2"/>
    <x v="3"/>
    <x v="0"/>
    <x v="0"/>
    <x v="0"/>
    <x v="0"/>
    <x v="0"/>
    <x v="1"/>
    <x v="1"/>
    <x v="0"/>
  </r>
  <r>
    <x v="6"/>
    <x v="34"/>
    <x v="0"/>
    <x v="0"/>
    <x v="0"/>
    <x v="72"/>
    <x v="0"/>
    <x v="3"/>
    <x v="44"/>
    <x v="0"/>
    <x v="0"/>
    <n v="8.5975807540270753E-5"/>
    <x v="9"/>
    <x v="0"/>
    <x v="1"/>
    <x v="1"/>
    <x v="0"/>
    <x v="0"/>
    <x v="3"/>
    <x v="0"/>
    <x v="1"/>
    <x v="0"/>
    <x v="0"/>
    <x v="0"/>
    <x v="1"/>
    <x v="5"/>
    <x v="2"/>
    <x v="2"/>
    <x v="3"/>
    <x v="0"/>
    <x v="0"/>
    <x v="0"/>
    <x v="0"/>
    <x v="0"/>
    <x v="1"/>
    <x v="1"/>
    <x v="0"/>
  </r>
  <r>
    <x v="6"/>
    <x v="34"/>
    <x v="0"/>
    <x v="0"/>
    <x v="0"/>
    <x v="73"/>
    <x v="1"/>
    <x v="3"/>
    <x v="44"/>
    <x v="0"/>
    <x v="1"/>
    <n v="8.8584383328755689E-4"/>
    <x v="19"/>
    <x v="1"/>
    <x v="1"/>
    <x v="1"/>
    <x v="0"/>
    <x v="0"/>
    <x v="3"/>
    <x v="0"/>
    <x v="1"/>
    <x v="0"/>
    <x v="0"/>
    <x v="0"/>
    <x v="1"/>
    <x v="12"/>
    <x v="2"/>
    <x v="2"/>
    <x v="3"/>
    <x v="1"/>
    <x v="1"/>
    <x v="0"/>
    <x v="0"/>
    <x v="0"/>
    <x v="1"/>
    <x v="1"/>
    <x v="0"/>
  </r>
  <r>
    <x v="6"/>
    <x v="34"/>
    <x v="0"/>
    <x v="0"/>
    <x v="0"/>
    <x v="73"/>
    <x v="1"/>
    <x v="3"/>
    <x v="44"/>
    <x v="0"/>
    <x v="2"/>
    <n v="7.7748696009318052E-5"/>
    <x v="19"/>
    <x v="1"/>
    <x v="1"/>
    <x v="1"/>
    <x v="0"/>
    <x v="0"/>
    <x v="3"/>
    <x v="0"/>
    <x v="1"/>
    <x v="0"/>
    <x v="0"/>
    <x v="0"/>
    <x v="1"/>
    <x v="12"/>
    <x v="2"/>
    <x v="2"/>
    <x v="3"/>
    <x v="1"/>
    <x v="1"/>
    <x v="0"/>
    <x v="0"/>
    <x v="0"/>
    <x v="1"/>
    <x v="1"/>
    <x v="0"/>
  </r>
  <r>
    <x v="6"/>
    <x v="34"/>
    <x v="0"/>
    <x v="0"/>
    <x v="0"/>
    <x v="73"/>
    <x v="1"/>
    <x v="3"/>
    <x v="44"/>
    <x v="0"/>
    <x v="0"/>
    <n v="6.5195322036743159E-4"/>
    <x v="19"/>
    <x v="1"/>
    <x v="1"/>
    <x v="1"/>
    <x v="0"/>
    <x v="0"/>
    <x v="3"/>
    <x v="0"/>
    <x v="1"/>
    <x v="0"/>
    <x v="0"/>
    <x v="0"/>
    <x v="1"/>
    <x v="12"/>
    <x v="2"/>
    <x v="2"/>
    <x v="3"/>
    <x v="1"/>
    <x v="1"/>
    <x v="0"/>
    <x v="0"/>
    <x v="0"/>
    <x v="1"/>
    <x v="1"/>
    <x v="0"/>
  </r>
  <r>
    <x v="6"/>
    <x v="34"/>
    <x v="0"/>
    <x v="0"/>
    <x v="0"/>
    <x v="73"/>
    <x v="1"/>
    <x v="3"/>
    <x v="44"/>
    <x v="0"/>
    <x v="3"/>
    <n v="6.055963039398193E-4"/>
    <x v="19"/>
    <x v="1"/>
    <x v="1"/>
    <x v="1"/>
    <x v="0"/>
    <x v="0"/>
    <x v="3"/>
    <x v="0"/>
    <x v="1"/>
    <x v="0"/>
    <x v="0"/>
    <x v="0"/>
    <x v="1"/>
    <x v="12"/>
    <x v="2"/>
    <x v="2"/>
    <x v="3"/>
    <x v="1"/>
    <x v="1"/>
    <x v="0"/>
    <x v="0"/>
    <x v="0"/>
    <x v="1"/>
    <x v="1"/>
    <x v="0"/>
  </r>
  <r>
    <x v="6"/>
    <x v="34"/>
    <x v="0"/>
    <x v="0"/>
    <x v="0"/>
    <x v="74"/>
    <x v="1"/>
    <x v="3"/>
    <x v="44"/>
    <x v="0"/>
    <x v="0"/>
    <n v="5.9899091720581107E-4"/>
    <x v="7"/>
    <x v="1"/>
    <x v="1"/>
    <x v="1"/>
    <x v="0"/>
    <x v="0"/>
    <x v="3"/>
    <x v="0"/>
    <x v="1"/>
    <x v="0"/>
    <x v="0"/>
    <x v="0"/>
    <x v="1"/>
    <x v="3"/>
    <x v="2"/>
    <x v="2"/>
    <x v="3"/>
    <x v="1"/>
    <x v="1"/>
    <x v="0"/>
    <x v="0"/>
    <x v="0"/>
    <x v="1"/>
    <x v="1"/>
    <x v="0"/>
  </r>
  <r>
    <x v="6"/>
    <x v="34"/>
    <x v="0"/>
    <x v="0"/>
    <x v="0"/>
    <x v="74"/>
    <x v="1"/>
    <x v="3"/>
    <x v="44"/>
    <x v="0"/>
    <x v="3"/>
    <n v="6.4015388488769553E-4"/>
    <x v="7"/>
    <x v="1"/>
    <x v="1"/>
    <x v="1"/>
    <x v="0"/>
    <x v="0"/>
    <x v="3"/>
    <x v="0"/>
    <x v="1"/>
    <x v="0"/>
    <x v="0"/>
    <x v="0"/>
    <x v="1"/>
    <x v="3"/>
    <x v="2"/>
    <x v="2"/>
    <x v="3"/>
    <x v="1"/>
    <x v="1"/>
    <x v="0"/>
    <x v="0"/>
    <x v="0"/>
    <x v="1"/>
    <x v="1"/>
    <x v="0"/>
  </r>
  <r>
    <x v="6"/>
    <x v="34"/>
    <x v="0"/>
    <x v="0"/>
    <x v="0"/>
    <x v="74"/>
    <x v="1"/>
    <x v="3"/>
    <x v="44"/>
    <x v="0"/>
    <x v="1"/>
    <n v="7.681608200073237E-4"/>
    <x v="7"/>
    <x v="1"/>
    <x v="1"/>
    <x v="1"/>
    <x v="0"/>
    <x v="0"/>
    <x v="3"/>
    <x v="0"/>
    <x v="1"/>
    <x v="0"/>
    <x v="0"/>
    <x v="0"/>
    <x v="1"/>
    <x v="3"/>
    <x v="2"/>
    <x v="2"/>
    <x v="3"/>
    <x v="1"/>
    <x v="1"/>
    <x v="0"/>
    <x v="0"/>
    <x v="0"/>
    <x v="1"/>
    <x v="1"/>
    <x v="0"/>
  </r>
  <r>
    <x v="6"/>
    <x v="34"/>
    <x v="0"/>
    <x v="0"/>
    <x v="0"/>
    <x v="74"/>
    <x v="1"/>
    <x v="3"/>
    <x v="44"/>
    <x v="0"/>
    <x v="2"/>
    <n v="3.849267959594727E-5"/>
    <x v="7"/>
    <x v="1"/>
    <x v="1"/>
    <x v="1"/>
    <x v="0"/>
    <x v="0"/>
    <x v="3"/>
    <x v="0"/>
    <x v="1"/>
    <x v="0"/>
    <x v="0"/>
    <x v="0"/>
    <x v="1"/>
    <x v="3"/>
    <x v="2"/>
    <x v="2"/>
    <x v="3"/>
    <x v="1"/>
    <x v="1"/>
    <x v="0"/>
    <x v="0"/>
    <x v="0"/>
    <x v="1"/>
    <x v="1"/>
    <x v="0"/>
  </r>
  <r>
    <x v="5"/>
    <x v="35"/>
    <x v="0"/>
    <x v="0"/>
    <x v="0"/>
    <x v="75"/>
    <x v="0"/>
    <x v="2"/>
    <x v="45"/>
    <x v="0"/>
    <x v="2"/>
    <n v="0.99999519393901637"/>
    <x v="12"/>
    <x v="0"/>
    <x v="3"/>
    <x v="3"/>
    <x v="1"/>
    <x v="0"/>
    <x v="0"/>
    <x v="0"/>
    <x v="1"/>
    <x v="0"/>
    <x v="0"/>
    <x v="1"/>
    <x v="1"/>
    <x v="5"/>
    <x v="4"/>
    <x v="1"/>
    <x v="0"/>
    <x v="0"/>
    <x v="1"/>
    <x v="0"/>
    <x v="0"/>
    <x v="1"/>
    <x v="1"/>
    <x v="0"/>
    <x v="0"/>
  </r>
  <r>
    <x v="5"/>
    <x v="35"/>
    <x v="0"/>
    <x v="0"/>
    <x v="0"/>
    <x v="75"/>
    <x v="0"/>
    <x v="2"/>
    <x v="45"/>
    <x v="0"/>
    <x v="2"/>
    <n v="0.99999519393901637"/>
    <x v="12"/>
    <x v="0"/>
    <x v="3"/>
    <x v="3"/>
    <x v="1"/>
    <x v="0"/>
    <x v="0"/>
    <x v="0"/>
    <x v="1"/>
    <x v="0"/>
    <x v="0"/>
    <x v="1"/>
    <x v="1"/>
    <x v="5"/>
    <x v="4"/>
    <x v="1"/>
    <x v="0"/>
    <x v="0"/>
    <x v="1"/>
    <x v="0"/>
    <x v="0"/>
    <x v="1"/>
    <x v="1"/>
    <x v="0"/>
    <x v="0"/>
  </r>
  <r>
    <x v="5"/>
    <x v="35"/>
    <x v="0"/>
    <x v="0"/>
    <x v="0"/>
    <x v="75"/>
    <x v="0"/>
    <x v="2"/>
    <x v="45"/>
    <x v="0"/>
    <x v="0"/>
    <n v="0.99999528685001404"/>
    <x v="12"/>
    <x v="0"/>
    <x v="3"/>
    <x v="3"/>
    <x v="1"/>
    <x v="0"/>
    <x v="0"/>
    <x v="0"/>
    <x v="1"/>
    <x v="0"/>
    <x v="0"/>
    <x v="1"/>
    <x v="1"/>
    <x v="5"/>
    <x v="4"/>
    <x v="1"/>
    <x v="0"/>
    <x v="0"/>
    <x v="1"/>
    <x v="0"/>
    <x v="0"/>
    <x v="1"/>
    <x v="1"/>
    <x v="0"/>
    <x v="0"/>
  </r>
  <r>
    <x v="5"/>
    <x v="35"/>
    <x v="0"/>
    <x v="0"/>
    <x v="0"/>
    <x v="75"/>
    <x v="0"/>
    <x v="2"/>
    <x v="45"/>
    <x v="0"/>
    <x v="0"/>
    <n v="0.99999528685001404"/>
    <x v="12"/>
    <x v="0"/>
    <x v="3"/>
    <x v="3"/>
    <x v="1"/>
    <x v="0"/>
    <x v="0"/>
    <x v="0"/>
    <x v="1"/>
    <x v="0"/>
    <x v="0"/>
    <x v="1"/>
    <x v="1"/>
    <x v="5"/>
    <x v="4"/>
    <x v="1"/>
    <x v="0"/>
    <x v="0"/>
    <x v="1"/>
    <x v="0"/>
    <x v="0"/>
    <x v="1"/>
    <x v="1"/>
    <x v="0"/>
    <x v="0"/>
  </r>
  <r>
    <x v="5"/>
    <x v="35"/>
    <x v="0"/>
    <x v="0"/>
    <x v="0"/>
    <x v="75"/>
    <x v="0"/>
    <x v="2"/>
    <x v="45"/>
    <x v="0"/>
    <x v="1"/>
    <n v="0.99999545858363903"/>
    <x v="12"/>
    <x v="0"/>
    <x v="3"/>
    <x v="3"/>
    <x v="1"/>
    <x v="0"/>
    <x v="0"/>
    <x v="0"/>
    <x v="1"/>
    <x v="0"/>
    <x v="0"/>
    <x v="1"/>
    <x v="1"/>
    <x v="5"/>
    <x v="4"/>
    <x v="1"/>
    <x v="0"/>
    <x v="0"/>
    <x v="1"/>
    <x v="0"/>
    <x v="0"/>
    <x v="1"/>
    <x v="1"/>
    <x v="0"/>
    <x v="0"/>
  </r>
  <r>
    <x v="5"/>
    <x v="35"/>
    <x v="0"/>
    <x v="0"/>
    <x v="0"/>
    <x v="75"/>
    <x v="0"/>
    <x v="2"/>
    <x v="45"/>
    <x v="0"/>
    <x v="3"/>
    <n v="0.99999537576328612"/>
    <x v="12"/>
    <x v="0"/>
    <x v="3"/>
    <x v="3"/>
    <x v="1"/>
    <x v="0"/>
    <x v="0"/>
    <x v="0"/>
    <x v="1"/>
    <x v="0"/>
    <x v="0"/>
    <x v="1"/>
    <x v="1"/>
    <x v="5"/>
    <x v="4"/>
    <x v="1"/>
    <x v="0"/>
    <x v="0"/>
    <x v="1"/>
    <x v="0"/>
    <x v="0"/>
    <x v="1"/>
    <x v="1"/>
    <x v="0"/>
    <x v="0"/>
  </r>
  <r>
    <x v="5"/>
    <x v="35"/>
    <x v="0"/>
    <x v="0"/>
    <x v="0"/>
    <x v="75"/>
    <x v="0"/>
    <x v="2"/>
    <x v="45"/>
    <x v="0"/>
    <x v="1"/>
    <n v="0.99999545858363903"/>
    <x v="12"/>
    <x v="0"/>
    <x v="3"/>
    <x v="3"/>
    <x v="1"/>
    <x v="0"/>
    <x v="0"/>
    <x v="0"/>
    <x v="1"/>
    <x v="0"/>
    <x v="0"/>
    <x v="1"/>
    <x v="1"/>
    <x v="5"/>
    <x v="4"/>
    <x v="1"/>
    <x v="0"/>
    <x v="0"/>
    <x v="1"/>
    <x v="0"/>
    <x v="0"/>
    <x v="1"/>
    <x v="1"/>
    <x v="0"/>
    <x v="0"/>
  </r>
  <r>
    <x v="5"/>
    <x v="35"/>
    <x v="0"/>
    <x v="0"/>
    <x v="0"/>
    <x v="75"/>
    <x v="0"/>
    <x v="2"/>
    <x v="45"/>
    <x v="0"/>
    <x v="3"/>
    <n v="0.99999537576328612"/>
    <x v="12"/>
    <x v="0"/>
    <x v="3"/>
    <x v="3"/>
    <x v="1"/>
    <x v="0"/>
    <x v="0"/>
    <x v="0"/>
    <x v="1"/>
    <x v="0"/>
    <x v="0"/>
    <x v="1"/>
    <x v="1"/>
    <x v="5"/>
    <x v="4"/>
    <x v="1"/>
    <x v="0"/>
    <x v="0"/>
    <x v="1"/>
    <x v="0"/>
    <x v="0"/>
    <x v="1"/>
    <x v="1"/>
    <x v="0"/>
    <x v="0"/>
  </r>
  <r>
    <x v="5"/>
    <x v="35"/>
    <x v="0"/>
    <x v="0"/>
    <x v="0"/>
    <x v="75"/>
    <x v="0"/>
    <x v="2"/>
    <x v="46"/>
    <x v="0"/>
    <x v="3"/>
    <n v="0.99999537576328612"/>
    <x v="12"/>
    <x v="0"/>
    <x v="3"/>
    <x v="3"/>
    <x v="1"/>
    <x v="0"/>
    <x v="0"/>
    <x v="0"/>
    <x v="1"/>
    <x v="0"/>
    <x v="0"/>
    <x v="1"/>
    <x v="1"/>
    <x v="5"/>
    <x v="4"/>
    <x v="1"/>
    <x v="0"/>
    <x v="0"/>
    <x v="1"/>
    <x v="0"/>
    <x v="0"/>
    <x v="1"/>
    <x v="1"/>
    <x v="0"/>
    <x v="0"/>
  </r>
  <r>
    <x v="5"/>
    <x v="35"/>
    <x v="0"/>
    <x v="0"/>
    <x v="0"/>
    <x v="75"/>
    <x v="0"/>
    <x v="2"/>
    <x v="46"/>
    <x v="0"/>
    <x v="2"/>
    <n v="0.99999519393901637"/>
    <x v="12"/>
    <x v="0"/>
    <x v="3"/>
    <x v="3"/>
    <x v="1"/>
    <x v="0"/>
    <x v="0"/>
    <x v="0"/>
    <x v="1"/>
    <x v="0"/>
    <x v="0"/>
    <x v="1"/>
    <x v="1"/>
    <x v="5"/>
    <x v="4"/>
    <x v="1"/>
    <x v="0"/>
    <x v="0"/>
    <x v="1"/>
    <x v="0"/>
    <x v="0"/>
    <x v="1"/>
    <x v="1"/>
    <x v="0"/>
    <x v="0"/>
  </r>
  <r>
    <x v="5"/>
    <x v="35"/>
    <x v="0"/>
    <x v="0"/>
    <x v="0"/>
    <x v="75"/>
    <x v="0"/>
    <x v="2"/>
    <x v="46"/>
    <x v="0"/>
    <x v="0"/>
    <n v="0.99999528685001404"/>
    <x v="12"/>
    <x v="0"/>
    <x v="3"/>
    <x v="3"/>
    <x v="1"/>
    <x v="0"/>
    <x v="0"/>
    <x v="0"/>
    <x v="1"/>
    <x v="0"/>
    <x v="0"/>
    <x v="1"/>
    <x v="1"/>
    <x v="5"/>
    <x v="4"/>
    <x v="1"/>
    <x v="0"/>
    <x v="0"/>
    <x v="1"/>
    <x v="0"/>
    <x v="0"/>
    <x v="1"/>
    <x v="1"/>
    <x v="0"/>
    <x v="0"/>
  </r>
  <r>
    <x v="5"/>
    <x v="35"/>
    <x v="0"/>
    <x v="0"/>
    <x v="0"/>
    <x v="75"/>
    <x v="0"/>
    <x v="2"/>
    <x v="46"/>
    <x v="0"/>
    <x v="0"/>
    <n v="0.99999528685001404"/>
    <x v="12"/>
    <x v="0"/>
    <x v="3"/>
    <x v="3"/>
    <x v="1"/>
    <x v="0"/>
    <x v="0"/>
    <x v="0"/>
    <x v="1"/>
    <x v="0"/>
    <x v="0"/>
    <x v="1"/>
    <x v="1"/>
    <x v="5"/>
    <x v="4"/>
    <x v="1"/>
    <x v="0"/>
    <x v="0"/>
    <x v="1"/>
    <x v="0"/>
    <x v="0"/>
    <x v="1"/>
    <x v="1"/>
    <x v="0"/>
    <x v="0"/>
  </r>
  <r>
    <x v="5"/>
    <x v="35"/>
    <x v="0"/>
    <x v="0"/>
    <x v="0"/>
    <x v="75"/>
    <x v="0"/>
    <x v="2"/>
    <x v="46"/>
    <x v="0"/>
    <x v="1"/>
    <n v="0.99999545858363903"/>
    <x v="12"/>
    <x v="0"/>
    <x v="3"/>
    <x v="3"/>
    <x v="1"/>
    <x v="0"/>
    <x v="0"/>
    <x v="0"/>
    <x v="1"/>
    <x v="0"/>
    <x v="0"/>
    <x v="1"/>
    <x v="1"/>
    <x v="5"/>
    <x v="4"/>
    <x v="1"/>
    <x v="0"/>
    <x v="0"/>
    <x v="1"/>
    <x v="0"/>
    <x v="0"/>
    <x v="1"/>
    <x v="1"/>
    <x v="0"/>
    <x v="0"/>
  </r>
  <r>
    <x v="5"/>
    <x v="35"/>
    <x v="0"/>
    <x v="0"/>
    <x v="0"/>
    <x v="75"/>
    <x v="0"/>
    <x v="2"/>
    <x v="46"/>
    <x v="0"/>
    <x v="1"/>
    <n v="0.99999545858363903"/>
    <x v="12"/>
    <x v="0"/>
    <x v="3"/>
    <x v="3"/>
    <x v="1"/>
    <x v="0"/>
    <x v="0"/>
    <x v="0"/>
    <x v="1"/>
    <x v="0"/>
    <x v="0"/>
    <x v="1"/>
    <x v="1"/>
    <x v="5"/>
    <x v="4"/>
    <x v="1"/>
    <x v="0"/>
    <x v="0"/>
    <x v="1"/>
    <x v="0"/>
    <x v="0"/>
    <x v="1"/>
    <x v="1"/>
    <x v="0"/>
    <x v="0"/>
  </r>
  <r>
    <x v="5"/>
    <x v="35"/>
    <x v="0"/>
    <x v="0"/>
    <x v="0"/>
    <x v="75"/>
    <x v="0"/>
    <x v="2"/>
    <x v="46"/>
    <x v="0"/>
    <x v="3"/>
    <n v="0.99999537576328612"/>
    <x v="12"/>
    <x v="0"/>
    <x v="3"/>
    <x v="3"/>
    <x v="1"/>
    <x v="0"/>
    <x v="0"/>
    <x v="0"/>
    <x v="1"/>
    <x v="0"/>
    <x v="0"/>
    <x v="1"/>
    <x v="1"/>
    <x v="5"/>
    <x v="4"/>
    <x v="1"/>
    <x v="0"/>
    <x v="0"/>
    <x v="1"/>
    <x v="0"/>
    <x v="0"/>
    <x v="1"/>
    <x v="1"/>
    <x v="0"/>
    <x v="0"/>
  </r>
  <r>
    <x v="5"/>
    <x v="35"/>
    <x v="0"/>
    <x v="0"/>
    <x v="0"/>
    <x v="75"/>
    <x v="0"/>
    <x v="2"/>
    <x v="46"/>
    <x v="0"/>
    <x v="2"/>
    <n v="0.99999519393901637"/>
    <x v="12"/>
    <x v="0"/>
    <x v="3"/>
    <x v="3"/>
    <x v="1"/>
    <x v="0"/>
    <x v="0"/>
    <x v="0"/>
    <x v="1"/>
    <x v="0"/>
    <x v="0"/>
    <x v="1"/>
    <x v="1"/>
    <x v="5"/>
    <x v="4"/>
    <x v="1"/>
    <x v="0"/>
    <x v="0"/>
    <x v="1"/>
    <x v="0"/>
    <x v="0"/>
    <x v="1"/>
    <x v="1"/>
    <x v="0"/>
    <x v="0"/>
  </r>
  <r>
    <x v="5"/>
    <x v="35"/>
    <x v="0"/>
    <x v="0"/>
    <x v="0"/>
    <x v="75"/>
    <x v="0"/>
    <x v="2"/>
    <x v="47"/>
    <x v="0"/>
    <x v="3"/>
    <n v="0.99999537576328612"/>
    <x v="12"/>
    <x v="0"/>
    <x v="3"/>
    <x v="3"/>
    <x v="1"/>
    <x v="0"/>
    <x v="0"/>
    <x v="0"/>
    <x v="1"/>
    <x v="0"/>
    <x v="0"/>
    <x v="1"/>
    <x v="1"/>
    <x v="5"/>
    <x v="4"/>
    <x v="1"/>
    <x v="0"/>
    <x v="0"/>
    <x v="1"/>
    <x v="0"/>
    <x v="0"/>
    <x v="1"/>
    <x v="1"/>
    <x v="0"/>
    <x v="0"/>
  </r>
  <r>
    <x v="5"/>
    <x v="35"/>
    <x v="0"/>
    <x v="0"/>
    <x v="0"/>
    <x v="75"/>
    <x v="0"/>
    <x v="2"/>
    <x v="47"/>
    <x v="0"/>
    <x v="0"/>
    <n v="0.99999528685001404"/>
    <x v="12"/>
    <x v="0"/>
    <x v="3"/>
    <x v="3"/>
    <x v="1"/>
    <x v="0"/>
    <x v="0"/>
    <x v="0"/>
    <x v="1"/>
    <x v="0"/>
    <x v="0"/>
    <x v="1"/>
    <x v="1"/>
    <x v="5"/>
    <x v="4"/>
    <x v="1"/>
    <x v="0"/>
    <x v="0"/>
    <x v="1"/>
    <x v="0"/>
    <x v="0"/>
    <x v="1"/>
    <x v="1"/>
    <x v="0"/>
    <x v="0"/>
  </r>
  <r>
    <x v="5"/>
    <x v="35"/>
    <x v="0"/>
    <x v="0"/>
    <x v="0"/>
    <x v="75"/>
    <x v="0"/>
    <x v="2"/>
    <x v="47"/>
    <x v="0"/>
    <x v="1"/>
    <n v="0.99999545858363903"/>
    <x v="12"/>
    <x v="0"/>
    <x v="3"/>
    <x v="3"/>
    <x v="1"/>
    <x v="0"/>
    <x v="0"/>
    <x v="0"/>
    <x v="1"/>
    <x v="0"/>
    <x v="0"/>
    <x v="1"/>
    <x v="1"/>
    <x v="5"/>
    <x v="4"/>
    <x v="1"/>
    <x v="0"/>
    <x v="0"/>
    <x v="1"/>
    <x v="0"/>
    <x v="0"/>
    <x v="1"/>
    <x v="1"/>
    <x v="0"/>
    <x v="0"/>
  </r>
  <r>
    <x v="5"/>
    <x v="35"/>
    <x v="0"/>
    <x v="0"/>
    <x v="0"/>
    <x v="75"/>
    <x v="0"/>
    <x v="2"/>
    <x v="47"/>
    <x v="0"/>
    <x v="2"/>
    <n v="0.99999519393901637"/>
    <x v="12"/>
    <x v="0"/>
    <x v="3"/>
    <x v="3"/>
    <x v="1"/>
    <x v="0"/>
    <x v="0"/>
    <x v="0"/>
    <x v="1"/>
    <x v="0"/>
    <x v="0"/>
    <x v="1"/>
    <x v="1"/>
    <x v="5"/>
    <x v="4"/>
    <x v="1"/>
    <x v="0"/>
    <x v="0"/>
    <x v="1"/>
    <x v="0"/>
    <x v="0"/>
    <x v="1"/>
    <x v="1"/>
    <x v="0"/>
    <x v="0"/>
  </r>
  <r>
    <x v="5"/>
    <x v="35"/>
    <x v="0"/>
    <x v="0"/>
    <x v="0"/>
    <x v="75"/>
    <x v="0"/>
    <x v="2"/>
    <x v="47"/>
    <x v="0"/>
    <x v="2"/>
    <n v="0.99999519393901637"/>
    <x v="12"/>
    <x v="0"/>
    <x v="3"/>
    <x v="3"/>
    <x v="1"/>
    <x v="0"/>
    <x v="0"/>
    <x v="0"/>
    <x v="1"/>
    <x v="0"/>
    <x v="0"/>
    <x v="1"/>
    <x v="1"/>
    <x v="5"/>
    <x v="4"/>
    <x v="1"/>
    <x v="0"/>
    <x v="0"/>
    <x v="1"/>
    <x v="0"/>
    <x v="0"/>
    <x v="1"/>
    <x v="1"/>
    <x v="0"/>
    <x v="0"/>
  </r>
  <r>
    <x v="5"/>
    <x v="35"/>
    <x v="0"/>
    <x v="0"/>
    <x v="0"/>
    <x v="75"/>
    <x v="0"/>
    <x v="2"/>
    <x v="47"/>
    <x v="0"/>
    <x v="1"/>
    <n v="0.99999545858363903"/>
    <x v="12"/>
    <x v="0"/>
    <x v="3"/>
    <x v="3"/>
    <x v="1"/>
    <x v="0"/>
    <x v="0"/>
    <x v="0"/>
    <x v="1"/>
    <x v="0"/>
    <x v="0"/>
    <x v="1"/>
    <x v="1"/>
    <x v="5"/>
    <x v="4"/>
    <x v="1"/>
    <x v="0"/>
    <x v="0"/>
    <x v="1"/>
    <x v="0"/>
    <x v="0"/>
    <x v="1"/>
    <x v="1"/>
    <x v="0"/>
    <x v="0"/>
  </r>
  <r>
    <x v="5"/>
    <x v="35"/>
    <x v="0"/>
    <x v="0"/>
    <x v="0"/>
    <x v="75"/>
    <x v="0"/>
    <x v="2"/>
    <x v="47"/>
    <x v="0"/>
    <x v="0"/>
    <n v="0.99999528685001404"/>
    <x v="12"/>
    <x v="0"/>
    <x v="3"/>
    <x v="3"/>
    <x v="1"/>
    <x v="0"/>
    <x v="0"/>
    <x v="0"/>
    <x v="1"/>
    <x v="0"/>
    <x v="0"/>
    <x v="1"/>
    <x v="1"/>
    <x v="5"/>
    <x v="4"/>
    <x v="1"/>
    <x v="0"/>
    <x v="0"/>
    <x v="1"/>
    <x v="0"/>
    <x v="0"/>
    <x v="1"/>
    <x v="1"/>
    <x v="0"/>
    <x v="0"/>
  </r>
  <r>
    <x v="5"/>
    <x v="35"/>
    <x v="0"/>
    <x v="0"/>
    <x v="0"/>
    <x v="75"/>
    <x v="0"/>
    <x v="2"/>
    <x v="47"/>
    <x v="0"/>
    <x v="3"/>
    <n v="0.99999537576328612"/>
    <x v="12"/>
    <x v="0"/>
    <x v="3"/>
    <x v="3"/>
    <x v="1"/>
    <x v="0"/>
    <x v="0"/>
    <x v="0"/>
    <x v="1"/>
    <x v="0"/>
    <x v="0"/>
    <x v="1"/>
    <x v="1"/>
    <x v="5"/>
    <x v="4"/>
    <x v="1"/>
    <x v="0"/>
    <x v="0"/>
    <x v="1"/>
    <x v="0"/>
    <x v="0"/>
    <x v="1"/>
    <x v="1"/>
    <x v="0"/>
    <x v="0"/>
  </r>
  <r>
    <x v="5"/>
    <x v="35"/>
    <x v="0"/>
    <x v="0"/>
    <x v="0"/>
    <x v="75"/>
    <x v="0"/>
    <x v="2"/>
    <x v="48"/>
    <x v="0"/>
    <x v="3"/>
    <n v="0.99999537576328612"/>
    <x v="12"/>
    <x v="0"/>
    <x v="3"/>
    <x v="3"/>
    <x v="1"/>
    <x v="0"/>
    <x v="0"/>
    <x v="0"/>
    <x v="1"/>
    <x v="0"/>
    <x v="0"/>
    <x v="1"/>
    <x v="1"/>
    <x v="5"/>
    <x v="4"/>
    <x v="1"/>
    <x v="0"/>
    <x v="0"/>
    <x v="1"/>
    <x v="0"/>
    <x v="0"/>
    <x v="1"/>
    <x v="1"/>
    <x v="0"/>
    <x v="0"/>
  </r>
  <r>
    <x v="5"/>
    <x v="35"/>
    <x v="0"/>
    <x v="0"/>
    <x v="0"/>
    <x v="75"/>
    <x v="0"/>
    <x v="2"/>
    <x v="48"/>
    <x v="0"/>
    <x v="2"/>
    <n v="0.99999519393901637"/>
    <x v="12"/>
    <x v="0"/>
    <x v="3"/>
    <x v="3"/>
    <x v="1"/>
    <x v="0"/>
    <x v="0"/>
    <x v="0"/>
    <x v="1"/>
    <x v="0"/>
    <x v="0"/>
    <x v="1"/>
    <x v="1"/>
    <x v="5"/>
    <x v="4"/>
    <x v="1"/>
    <x v="0"/>
    <x v="0"/>
    <x v="1"/>
    <x v="0"/>
    <x v="0"/>
    <x v="1"/>
    <x v="1"/>
    <x v="0"/>
    <x v="0"/>
  </r>
  <r>
    <x v="5"/>
    <x v="35"/>
    <x v="0"/>
    <x v="0"/>
    <x v="0"/>
    <x v="75"/>
    <x v="0"/>
    <x v="2"/>
    <x v="48"/>
    <x v="0"/>
    <x v="3"/>
    <n v="0.99999537576328612"/>
    <x v="12"/>
    <x v="0"/>
    <x v="3"/>
    <x v="3"/>
    <x v="1"/>
    <x v="0"/>
    <x v="0"/>
    <x v="0"/>
    <x v="1"/>
    <x v="0"/>
    <x v="0"/>
    <x v="1"/>
    <x v="1"/>
    <x v="5"/>
    <x v="4"/>
    <x v="1"/>
    <x v="0"/>
    <x v="0"/>
    <x v="1"/>
    <x v="0"/>
    <x v="0"/>
    <x v="1"/>
    <x v="1"/>
    <x v="0"/>
    <x v="0"/>
  </r>
  <r>
    <x v="5"/>
    <x v="35"/>
    <x v="0"/>
    <x v="0"/>
    <x v="0"/>
    <x v="75"/>
    <x v="0"/>
    <x v="2"/>
    <x v="48"/>
    <x v="0"/>
    <x v="2"/>
    <n v="0.99999519393901637"/>
    <x v="12"/>
    <x v="0"/>
    <x v="3"/>
    <x v="3"/>
    <x v="1"/>
    <x v="0"/>
    <x v="0"/>
    <x v="0"/>
    <x v="1"/>
    <x v="0"/>
    <x v="0"/>
    <x v="1"/>
    <x v="1"/>
    <x v="5"/>
    <x v="4"/>
    <x v="1"/>
    <x v="0"/>
    <x v="0"/>
    <x v="1"/>
    <x v="0"/>
    <x v="0"/>
    <x v="1"/>
    <x v="1"/>
    <x v="0"/>
    <x v="0"/>
  </r>
  <r>
    <x v="5"/>
    <x v="35"/>
    <x v="0"/>
    <x v="0"/>
    <x v="0"/>
    <x v="75"/>
    <x v="0"/>
    <x v="2"/>
    <x v="48"/>
    <x v="0"/>
    <x v="0"/>
    <n v="0.99999528685001404"/>
    <x v="12"/>
    <x v="0"/>
    <x v="3"/>
    <x v="3"/>
    <x v="1"/>
    <x v="0"/>
    <x v="0"/>
    <x v="0"/>
    <x v="1"/>
    <x v="0"/>
    <x v="0"/>
    <x v="1"/>
    <x v="1"/>
    <x v="5"/>
    <x v="4"/>
    <x v="1"/>
    <x v="0"/>
    <x v="0"/>
    <x v="1"/>
    <x v="0"/>
    <x v="0"/>
    <x v="1"/>
    <x v="1"/>
    <x v="0"/>
    <x v="0"/>
  </r>
  <r>
    <x v="5"/>
    <x v="35"/>
    <x v="0"/>
    <x v="0"/>
    <x v="0"/>
    <x v="75"/>
    <x v="0"/>
    <x v="2"/>
    <x v="48"/>
    <x v="0"/>
    <x v="1"/>
    <n v="0.99999545858363903"/>
    <x v="12"/>
    <x v="0"/>
    <x v="3"/>
    <x v="3"/>
    <x v="1"/>
    <x v="0"/>
    <x v="0"/>
    <x v="0"/>
    <x v="1"/>
    <x v="0"/>
    <x v="0"/>
    <x v="1"/>
    <x v="1"/>
    <x v="5"/>
    <x v="4"/>
    <x v="1"/>
    <x v="0"/>
    <x v="0"/>
    <x v="1"/>
    <x v="0"/>
    <x v="0"/>
    <x v="1"/>
    <x v="1"/>
    <x v="0"/>
    <x v="0"/>
  </r>
  <r>
    <x v="5"/>
    <x v="35"/>
    <x v="0"/>
    <x v="0"/>
    <x v="0"/>
    <x v="75"/>
    <x v="0"/>
    <x v="2"/>
    <x v="48"/>
    <x v="0"/>
    <x v="1"/>
    <n v="0.99999545858363903"/>
    <x v="12"/>
    <x v="0"/>
    <x v="3"/>
    <x v="3"/>
    <x v="1"/>
    <x v="0"/>
    <x v="0"/>
    <x v="0"/>
    <x v="1"/>
    <x v="0"/>
    <x v="0"/>
    <x v="1"/>
    <x v="1"/>
    <x v="5"/>
    <x v="4"/>
    <x v="1"/>
    <x v="0"/>
    <x v="0"/>
    <x v="1"/>
    <x v="0"/>
    <x v="0"/>
    <x v="1"/>
    <x v="1"/>
    <x v="0"/>
    <x v="0"/>
  </r>
  <r>
    <x v="5"/>
    <x v="35"/>
    <x v="0"/>
    <x v="0"/>
    <x v="0"/>
    <x v="75"/>
    <x v="0"/>
    <x v="2"/>
    <x v="48"/>
    <x v="0"/>
    <x v="0"/>
    <n v="0.99999528685001404"/>
    <x v="12"/>
    <x v="0"/>
    <x v="3"/>
    <x v="3"/>
    <x v="1"/>
    <x v="0"/>
    <x v="0"/>
    <x v="0"/>
    <x v="1"/>
    <x v="0"/>
    <x v="0"/>
    <x v="1"/>
    <x v="1"/>
    <x v="5"/>
    <x v="4"/>
    <x v="1"/>
    <x v="0"/>
    <x v="0"/>
    <x v="1"/>
    <x v="0"/>
    <x v="0"/>
    <x v="1"/>
    <x v="1"/>
    <x v="0"/>
    <x v="0"/>
  </r>
  <r>
    <x v="5"/>
    <x v="35"/>
    <x v="0"/>
    <x v="0"/>
    <x v="0"/>
    <x v="75"/>
    <x v="0"/>
    <x v="2"/>
    <x v="49"/>
    <x v="0"/>
    <x v="2"/>
    <n v="0.99999519393901637"/>
    <x v="12"/>
    <x v="0"/>
    <x v="3"/>
    <x v="3"/>
    <x v="1"/>
    <x v="0"/>
    <x v="0"/>
    <x v="0"/>
    <x v="1"/>
    <x v="0"/>
    <x v="0"/>
    <x v="1"/>
    <x v="1"/>
    <x v="5"/>
    <x v="4"/>
    <x v="1"/>
    <x v="0"/>
    <x v="0"/>
    <x v="1"/>
    <x v="0"/>
    <x v="0"/>
    <x v="1"/>
    <x v="1"/>
    <x v="0"/>
    <x v="0"/>
  </r>
  <r>
    <x v="5"/>
    <x v="35"/>
    <x v="0"/>
    <x v="0"/>
    <x v="0"/>
    <x v="75"/>
    <x v="0"/>
    <x v="2"/>
    <x v="49"/>
    <x v="0"/>
    <x v="1"/>
    <n v="0.99999545858363903"/>
    <x v="12"/>
    <x v="0"/>
    <x v="3"/>
    <x v="3"/>
    <x v="1"/>
    <x v="0"/>
    <x v="0"/>
    <x v="0"/>
    <x v="1"/>
    <x v="0"/>
    <x v="0"/>
    <x v="1"/>
    <x v="1"/>
    <x v="5"/>
    <x v="4"/>
    <x v="1"/>
    <x v="0"/>
    <x v="0"/>
    <x v="1"/>
    <x v="0"/>
    <x v="0"/>
    <x v="1"/>
    <x v="1"/>
    <x v="0"/>
    <x v="0"/>
  </r>
  <r>
    <x v="5"/>
    <x v="35"/>
    <x v="0"/>
    <x v="0"/>
    <x v="0"/>
    <x v="75"/>
    <x v="0"/>
    <x v="2"/>
    <x v="49"/>
    <x v="0"/>
    <x v="0"/>
    <n v="0.99999528685001404"/>
    <x v="12"/>
    <x v="0"/>
    <x v="3"/>
    <x v="3"/>
    <x v="1"/>
    <x v="0"/>
    <x v="0"/>
    <x v="0"/>
    <x v="1"/>
    <x v="0"/>
    <x v="0"/>
    <x v="1"/>
    <x v="1"/>
    <x v="5"/>
    <x v="4"/>
    <x v="1"/>
    <x v="0"/>
    <x v="0"/>
    <x v="1"/>
    <x v="0"/>
    <x v="0"/>
    <x v="1"/>
    <x v="1"/>
    <x v="0"/>
    <x v="0"/>
  </r>
  <r>
    <x v="5"/>
    <x v="35"/>
    <x v="0"/>
    <x v="0"/>
    <x v="0"/>
    <x v="75"/>
    <x v="0"/>
    <x v="2"/>
    <x v="49"/>
    <x v="0"/>
    <x v="1"/>
    <n v="0.99999545858363903"/>
    <x v="12"/>
    <x v="0"/>
    <x v="3"/>
    <x v="3"/>
    <x v="1"/>
    <x v="0"/>
    <x v="0"/>
    <x v="0"/>
    <x v="1"/>
    <x v="0"/>
    <x v="0"/>
    <x v="1"/>
    <x v="1"/>
    <x v="5"/>
    <x v="4"/>
    <x v="1"/>
    <x v="0"/>
    <x v="0"/>
    <x v="1"/>
    <x v="0"/>
    <x v="0"/>
    <x v="1"/>
    <x v="1"/>
    <x v="0"/>
    <x v="0"/>
  </r>
  <r>
    <x v="5"/>
    <x v="35"/>
    <x v="0"/>
    <x v="0"/>
    <x v="0"/>
    <x v="75"/>
    <x v="0"/>
    <x v="2"/>
    <x v="49"/>
    <x v="0"/>
    <x v="3"/>
    <n v="0.99999537576328612"/>
    <x v="12"/>
    <x v="0"/>
    <x v="3"/>
    <x v="3"/>
    <x v="1"/>
    <x v="0"/>
    <x v="0"/>
    <x v="0"/>
    <x v="1"/>
    <x v="0"/>
    <x v="0"/>
    <x v="1"/>
    <x v="1"/>
    <x v="5"/>
    <x v="4"/>
    <x v="1"/>
    <x v="0"/>
    <x v="0"/>
    <x v="1"/>
    <x v="0"/>
    <x v="0"/>
    <x v="1"/>
    <x v="1"/>
    <x v="0"/>
    <x v="0"/>
  </r>
  <r>
    <x v="5"/>
    <x v="35"/>
    <x v="0"/>
    <x v="0"/>
    <x v="0"/>
    <x v="75"/>
    <x v="0"/>
    <x v="2"/>
    <x v="49"/>
    <x v="0"/>
    <x v="2"/>
    <n v="0.99999519393901637"/>
    <x v="12"/>
    <x v="0"/>
    <x v="3"/>
    <x v="3"/>
    <x v="1"/>
    <x v="0"/>
    <x v="0"/>
    <x v="0"/>
    <x v="1"/>
    <x v="0"/>
    <x v="0"/>
    <x v="1"/>
    <x v="1"/>
    <x v="5"/>
    <x v="4"/>
    <x v="1"/>
    <x v="0"/>
    <x v="0"/>
    <x v="1"/>
    <x v="0"/>
    <x v="0"/>
    <x v="1"/>
    <x v="1"/>
    <x v="0"/>
    <x v="0"/>
  </r>
  <r>
    <x v="5"/>
    <x v="35"/>
    <x v="0"/>
    <x v="0"/>
    <x v="0"/>
    <x v="75"/>
    <x v="0"/>
    <x v="2"/>
    <x v="49"/>
    <x v="0"/>
    <x v="0"/>
    <n v="0.99999528685001404"/>
    <x v="12"/>
    <x v="0"/>
    <x v="3"/>
    <x v="3"/>
    <x v="1"/>
    <x v="0"/>
    <x v="0"/>
    <x v="0"/>
    <x v="1"/>
    <x v="0"/>
    <x v="0"/>
    <x v="1"/>
    <x v="1"/>
    <x v="5"/>
    <x v="4"/>
    <x v="1"/>
    <x v="0"/>
    <x v="0"/>
    <x v="1"/>
    <x v="0"/>
    <x v="0"/>
    <x v="1"/>
    <x v="1"/>
    <x v="0"/>
    <x v="0"/>
  </r>
  <r>
    <x v="5"/>
    <x v="35"/>
    <x v="0"/>
    <x v="0"/>
    <x v="0"/>
    <x v="75"/>
    <x v="0"/>
    <x v="2"/>
    <x v="49"/>
    <x v="0"/>
    <x v="3"/>
    <n v="0.99999537576328612"/>
    <x v="12"/>
    <x v="0"/>
    <x v="3"/>
    <x v="3"/>
    <x v="1"/>
    <x v="0"/>
    <x v="0"/>
    <x v="0"/>
    <x v="1"/>
    <x v="0"/>
    <x v="0"/>
    <x v="1"/>
    <x v="1"/>
    <x v="5"/>
    <x v="4"/>
    <x v="1"/>
    <x v="0"/>
    <x v="0"/>
    <x v="1"/>
    <x v="0"/>
    <x v="0"/>
    <x v="1"/>
    <x v="1"/>
    <x v="0"/>
    <x v="0"/>
  </r>
  <r>
    <x v="5"/>
    <x v="35"/>
    <x v="0"/>
    <x v="0"/>
    <x v="0"/>
    <x v="75"/>
    <x v="0"/>
    <x v="2"/>
    <x v="50"/>
    <x v="0"/>
    <x v="1"/>
    <n v="0.99999545858363903"/>
    <x v="12"/>
    <x v="0"/>
    <x v="3"/>
    <x v="3"/>
    <x v="1"/>
    <x v="0"/>
    <x v="0"/>
    <x v="0"/>
    <x v="1"/>
    <x v="0"/>
    <x v="0"/>
    <x v="1"/>
    <x v="1"/>
    <x v="5"/>
    <x v="4"/>
    <x v="1"/>
    <x v="0"/>
    <x v="0"/>
    <x v="1"/>
    <x v="0"/>
    <x v="0"/>
    <x v="1"/>
    <x v="1"/>
    <x v="0"/>
    <x v="0"/>
  </r>
  <r>
    <x v="5"/>
    <x v="35"/>
    <x v="0"/>
    <x v="0"/>
    <x v="0"/>
    <x v="75"/>
    <x v="0"/>
    <x v="2"/>
    <x v="50"/>
    <x v="0"/>
    <x v="1"/>
    <n v="0.99999545858363903"/>
    <x v="12"/>
    <x v="0"/>
    <x v="3"/>
    <x v="3"/>
    <x v="1"/>
    <x v="0"/>
    <x v="0"/>
    <x v="0"/>
    <x v="1"/>
    <x v="0"/>
    <x v="0"/>
    <x v="1"/>
    <x v="1"/>
    <x v="5"/>
    <x v="4"/>
    <x v="1"/>
    <x v="0"/>
    <x v="0"/>
    <x v="1"/>
    <x v="0"/>
    <x v="0"/>
    <x v="1"/>
    <x v="1"/>
    <x v="0"/>
    <x v="0"/>
  </r>
  <r>
    <x v="5"/>
    <x v="35"/>
    <x v="0"/>
    <x v="0"/>
    <x v="0"/>
    <x v="75"/>
    <x v="0"/>
    <x v="2"/>
    <x v="50"/>
    <x v="0"/>
    <x v="3"/>
    <n v="0.99999537576328612"/>
    <x v="12"/>
    <x v="0"/>
    <x v="3"/>
    <x v="3"/>
    <x v="1"/>
    <x v="0"/>
    <x v="0"/>
    <x v="0"/>
    <x v="1"/>
    <x v="0"/>
    <x v="0"/>
    <x v="1"/>
    <x v="1"/>
    <x v="5"/>
    <x v="4"/>
    <x v="1"/>
    <x v="0"/>
    <x v="0"/>
    <x v="1"/>
    <x v="0"/>
    <x v="0"/>
    <x v="1"/>
    <x v="1"/>
    <x v="0"/>
    <x v="0"/>
  </r>
  <r>
    <x v="5"/>
    <x v="35"/>
    <x v="0"/>
    <x v="0"/>
    <x v="0"/>
    <x v="75"/>
    <x v="0"/>
    <x v="2"/>
    <x v="50"/>
    <x v="0"/>
    <x v="0"/>
    <n v="0.99999528685001404"/>
    <x v="12"/>
    <x v="0"/>
    <x v="3"/>
    <x v="3"/>
    <x v="1"/>
    <x v="0"/>
    <x v="0"/>
    <x v="0"/>
    <x v="1"/>
    <x v="0"/>
    <x v="0"/>
    <x v="1"/>
    <x v="1"/>
    <x v="5"/>
    <x v="4"/>
    <x v="1"/>
    <x v="0"/>
    <x v="0"/>
    <x v="1"/>
    <x v="0"/>
    <x v="0"/>
    <x v="1"/>
    <x v="1"/>
    <x v="0"/>
    <x v="0"/>
  </r>
  <r>
    <x v="5"/>
    <x v="35"/>
    <x v="0"/>
    <x v="0"/>
    <x v="0"/>
    <x v="75"/>
    <x v="0"/>
    <x v="2"/>
    <x v="50"/>
    <x v="0"/>
    <x v="3"/>
    <n v="0.99999537576328612"/>
    <x v="12"/>
    <x v="0"/>
    <x v="3"/>
    <x v="3"/>
    <x v="1"/>
    <x v="0"/>
    <x v="0"/>
    <x v="0"/>
    <x v="1"/>
    <x v="0"/>
    <x v="0"/>
    <x v="1"/>
    <x v="1"/>
    <x v="5"/>
    <x v="4"/>
    <x v="1"/>
    <x v="0"/>
    <x v="0"/>
    <x v="1"/>
    <x v="0"/>
    <x v="0"/>
    <x v="1"/>
    <x v="1"/>
    <x v="0"/>
    <x v="0"/>
  </r>
  <r>
    <x v="5"/>
    <x v="35"/>
    <x v="0"/>
    <x v="0"/>
    <x v="0"/>
    <x v="75"/>
    <x v="0"/>
    <x v="2"/>
    <x v="50"/>
    <x v="0"/>
    <x v="2"/>
    <n v="0.99999519393901637"/>
    <x v="12"/>
    <x v="0"/>
    <x v="3"/>
    <x v="3"/>
    <x v="1"/>
    <x v="0"/>
    <x v="0"/>
    <x v="0"/>
    <x v="1"/>
    <x v="0"/>
    <x v="0"/>
    <x v="1"/>
    <x v="1"/>
    <x v="5"/>
    <x v="4"/>
    <x v="1"/>
    <x v="0"/>
    <x v="0"/>
    <x v="1"/>
    <x v="0"/>
    <x v="0"/>
    <x v="1"/>
    <x v="1"/>
    <x v="0"/>
    <x v="0"/>
  </r>
  <r>
    <x v="5"/>
    <x v="35"/>
    <x v="0"/>
    <x v="0"/>
    <x v="0"/>
    <x v="75"/>
    <x v="0"/>
    <x v="2"/>
    <x v="50"/>
    <x v="0"/>
    <x v="0"/>
    <n v="0.99999528685001404"/>
    <x v="12"/>
    <x v="0"/>
    <x v="3"/>
    <x v="3"/>
    <x v="1"/>
    <x v="0"/>
    <x v="0"/>
    <x v="0"/>
    <x v="1"/>
    <x v="0"/>
    <x v="0"/>
    <x v="1"/>
    <x v="1"/>
    <x v="5"/>
    <x v="4"/>
    <x v="1"/>
    <x v="0"/>
    <x v="0"/>
    <x v="1"/>
    <x v="0"/>
    <x v="0"/>
    <x v="1"/>
    <x v="1"/>
    <x v="0"/>
    <x v="0"/>
  </r>
  <r>
    <x v="5"/>
    <x v="35"/>
    <x v="0"/>
    <x v="0"/>
    <x v="0"/>
    <x v="75"/>
    <x v="0"/>
    <x v="2"/>
    <x v="50"/>
    <x v="0"/>
    <x v="2"/>
    <n v="0.99999519393901637"/>
    <x v="12"/>
    <x v="0"/>
    <x v="3"/>
    <x v="3"/>
    <x v="1"/>
    <x v="0"/>
    <x v="0"/>
    <x v="0"/>
    <x v="1"/>
    <x v="0"/>
    <x v="0"/>
    <x v="1"/>
    <x v="1"/>
    <x v="5"/>
    <x v="4"/>
    <x v="1"/>
    <x v="0"/>
    <x v="0"/>
    <x v="1"/>
    <x v="0"/>
    <x v="0"/>
    <x v="1"/>
    <x v="1"/>
    <x v="0"/>
    <x v="0"/>
  </r>
  <r>
    <x v="5"/>
    <x v="36"/>
    <x v="0"/>
    <x v="0"/>
    <x v="0"/>
    <x v="76"/>
    <x v="0"/>
    <x v="2"/>
    <x v="51"/>
    <x v="0"/>
    <x v="0"/>
    <n v="0.99999528685001404"/>
    <x v="12"/>
    <x v="0"/>
    <x v="3"/>
    <x v="3"/>
    <x v="1"/>
    <x v="0"/>
    <x v="0"/>
    <x v="0"/>
    <x v="1"/>
    <x v="1"/>
    <x v="1"/>
    <x v="1"/>
    <x v="1"/>
    <x v="5"/>
    <x v="2"/>
    <x v="2"/>
    <x v="0"/>
    <x v="0"/>
    <x v="1"/>
    <x v="1"/>
    <x v="1"/>
    <x v="1"/>
    <x v="1"/>
    <x v="0"/>
    <x v="1"/>
  </r>
  <r>
    <x v="5"/>
    <x v="36"/>
    <x v="0"/>
    <x v="0"/>
    <x v="0"/>
    <x v="76"/>
    <x v="0"/>
    <x v="2"/>
    <x v="51"/>
    <x v="2"/>
    <x v="2"/>
    <n v="2.8197914693813133"/>
    <x v="20"/>
    <x v="0"/>
    <x v="3"/>
    <x v="3"/>
    <x v="1"/>
    <x v="0"/>
    <x v="0"/>
    <x v="0"/>
    <x v="1"/>
    <x v="1"/>
    <x v="1"/>
    <x v="1"/>
    <x v="1"/>
    <x v="5"/>
    <x v="2"/>
    <x v="2"/>
    <x v="0"/>
    <x v="0"/>
    <x v="1"/>
    <x v="1"/>
    <x v="1"/>
    <x v="1"/>
    <x v="1"/>
    <x v="0"/>
    <x v="1"/>
  </r>
  <r>
    <x v="5"/>
    <x v="36"/>
    <x v="0"/>
    <x v="0"/>
    <x v="0"/>
    <x v="76"/>
    <x v="0"/>
    <x v="2"/>
    <x v="51"/>
    <x v="1"/>
    <x v="2"/>
    <n v="4.9585858585858587"/>
    <x v="21"/>
    <x v="1"/>
    <x v="3"/>
    <x v="3"/>
    <x v="1"/>
    <x v="0"/>
    <x v="0"/>
    <x v="0"/>
    <x v="1"/>
    <x v="1"/>
    <x v="1"/>
    <x v="1"/>
    <x v="1"/>
    <x v="5"/>
    <x v="2"/>
    <x v="2"/>
    <x v="0"/>
    <x v="0"/>
    <x v="1"/>
    <x v="1"/>
    <x v="1"/>
    <x v="1"/>
    <x v="1"/>
    <x v="0"/>
    <x v="1"/>
  </r>
  <r>
    <x v="5"/>
    <x v="36"/>
    <x v="0"/>
    <x v="0"/>
    <x v="0"/>
    <x v="76"/>
    <x v="0"/>
    <x v="2"/>
    <x v="51"/>
    <x v="2"/>
    <x v="0"/>
    <n v="2.7545152698863635"/>
    <x v="20"/>
    <x v="0"/>
    <x v="3"/>
    <x v="3"/>
    <x v="1"/>
    <x v="0"/>
    <x v="0"/>
    <x v="0"/>
    <x v="1"/>
    <x v="1"/>
    <x v="1"/>
    <x v="1"/>
    <x v="1"/>
    <x v="5"/>
    <x v="2"/>
    <x v="2"/>
    <x v="0"/>
    <x v="0"/>
    <x v="1"/>
    <x v="1"/>
    <x v="1"/>
    <x v="1"/>
    <x v="1"/>
    <x v="0"/>
    <x v="1"/>
  </r>
  <r>
    <x v="5"/>
    <x v="36"/>
    <x v="0"/>
    <x v="0"/>
    <x v="0"/>
    <x v="76"/>
    <x v="0"/>
    <x v="2"/>
    <x v="51"/>
    <x v="2"/>
    <x v="3"/>
    <n v="2.4281439393939395"/>
    <x v="20"/>
    <x v="0"/>
    <x v="3"/>
    <x v="3"/>
    <x v="1"/>
    <x v="0"/>
    <x v="0"/>
    <x v="0"/>
    <x v="1"/>
    <x v="1"/>
    <x v="1"/>
    <x v="1"/>
    <x v="1"/>
    <x v="5"/>
    <x v="2"/>
    <x v="2"/>
    <x v="0"/>
    <x v="0"/>
    <x v="1"/>
    <x v="1"/>
    <x v="1"/>
    <x v="1"/>
    <x v="1"/>
    <x v="0"/>
    <x v="1"/>
  </r>
  <r>
    <x v="5"/>
    <x v="36"/>
    <x v="0"/>
    <x v="0"/>
    <x v="0"/>
    <x v="76"/>
    <x v="0"/>
    <x v="2"/>
    <x v="51"/>
    <x v="1"/>
    <x v="2"/>
    <n v="4.9585858585858587"/>
    <x v="21"/>
    <x v="1"/>
    <x v="3"/>
    <x v="3"/>
    <x v="1"/>
    <x v="0"/>
    <x v="0"/>
    <x v="0"/>
    <x v="1"/>
    <x v="1"/>
    <x v="1"/>
    <x v="1"/>
    <x v="1"/>
    <x v="5"/>
    <x v="2"/>
    <x v="2"/>
    <x v="0"/>
    <x v="0"/>
    <x v="1"/>
    <x v="1"/>
    <x v="1"/>
    <x v="1"/>
    <x v="1"/>
    <x v="0"/>
    <x v="1"/>
  </r>
  <r>
    <x v="5"/>
    <x v="36"/>
    <x v="0"/>
    <x v="0"/>
    <x v="0"/>
    <x v="76"/>
    <x v="0"/>
    <x v="2"/>
    <x v="51"/>
    <x v="0"/>
    <x v="1"/>
    <n v="0.99999545858363903"/>
    <x v="12"/>
    <x v="0"/>
    <x v="3"/>
    <x v="3"/>
    <x v="1"/>
    <x v="0"/>
    <x v="0"/>
    <x v="0"/>
    <x v="1"/>
    <x v="1"/>
    <x v="1"/>
    <x v="1"/>
    <x v="1"/>
    <x v="5"/>
    <x v="2"/>
    <x v="2"/>
    <x v="0"/>
    <x v="0"/>
    <x v="1"/>
    <x v="1"/>
    <x v="1"/>
    <x v="1"/>
    <x v="1"/>
    <x v="0"/>
    <x v="1"/>
  </r>
  <r>
    <x v="5"/>
    <x v="36"/>
    <x v="0"/>
    <x v="0"/>
    <x v="0"/>
    <x v="76"/>
    <x v="0"/>
    <x v="2"/>
    <x v="51"/>
    <x v="2"/>
    <x v="1"/>
    <n v="2.8135444286616162"/>
    <x v="20"/>
    <x v="0"/>
    <x v="3"/>
    <x v="3"/>
    <x v="1"/>
    <x v="0"/>
    <x v="0"/>
    <x v="0"/>
    <x v="1"/>
    <x v="1"/>
    <x v="1"/>
    <x v="1"/>
    <x v="1"/>
    <x v="5"/>
    <x v="2"/>
    <x v="2"/>
    <x v="0"/>
    <x v="0"/>
    <x v="1"/>
    <x v="1"/>
    <x v="1"/>
    <x v="1"/>
    <x v="1"/>
    <x v="0"/>
    <x v="1"/>
  </r>
  <r>
    <x v="5"/>
    <x v="36"/>
    <x v="0"/>
    <x v="0"/>
    <x v="0"/>
    <x v="76"/>
    <x v="0"/>
    <x v="2"/>
    <x v="51"/>
    <x v="2"/>
    <x v="0"/>
    <n v="2.7545152698863635"/>
    <x v="20"/>
    <x v="0"/>
    <x v="3"/>
    <x v="3"/>
    <x v="1"/>
    <x v="0"/>
    <x v="0"/>
    <x v="0"/>
    <x v="1"/>
    <x v="1"/>
    <x v="1"/>
    <x v="1"/>
    <x v="1"/>
    <x v="5"/>
    <x v="2"/>
    <x v="2"/>
    <x v="0"/>
    <x v="0"/>
    <x v="1"/>
    <x v="1"/>
    <x v="1"/>
    <x v="1"/>
    <x v="1"/>
    <x v="0"/>
    <x v="1"/>
  </r>
  <r>
    <x v="5"/>
    <x v="36"/>
    <x v="0"/>
    <x v="0"/>
    <x v="0"/>
    <x v="76"/>
    <x v="0"/>
    <x v="2"/>
    <x v="51"/>
    <x v="1"/>
    <x v="0"/>
    <n v="4.6856565656565659"/>
    <x v="21"/>
    <x v="1"/>
    <x v="3"/>
    <x v="3"/>
    <x v="1"/>
    <x v="0"/>
    <x v="0"/>
    <x v="0"/>
    <x v="1"/>
    <x v="1"/>
    <x v="1"/>
    <x v="1"/>
    <x v="1"/>
    <x v="5"/>
    <x v="2"/>
    <x v="2"/>
    <x v="0"/>
    <x v="0"/>
    <x v="1"/>
    <x v="1"/>
    <x v="1"/>
    <x v="1"/>
    <x v="1"/>
    <x v="0"/>
    <x v="1"/>
  </r>
  <r>
    <x v="5"/>
    <x v="36"/>
    <x v="0"/>
    <x v="0"/>
    <x v="0"/>
    <x v="76"/>
    <x v="0"/>
    <x v="2"/>
    <x v="51"/>
    <x v="0"/>
    <x v="2"/>
    <n v="0.99999519393901637"/>
    <x v="12"/>
    <x v="0"/>
    <x v="3"/>
    <x v="3"/>
    <x v="1"/>
    <x v="0"/>
    <x v="0"/>
    <x v="0"/>
    <x v="1"/>
    <x v="1"/>
    <x v="1"/>
    <x v="1"/>
    <x v="1"/>
    <x v="5"/>
    <x v="2"/>
    <x v="2"/>
    <x v="0"/>
    <x v="0"/>
    <x v="1"/>
    <x v="1"/>
    <x v="1"/>
    <x v="1"/>
    <x v="1"/>
    <x v="0"/>
    <x v="1"/>
  </r>
  <r>
    <x v="5"/>
    <x v="36"/>
    <x v="0"/>
    <x v="0"/>
    <x v="0"/>
    <x v="76"/>
    <x v="0"/>
    <x v="2"/>
    <x v="51"/>
    <x v="1"/>
    <x v="0"/>
    <n v="4.6856565656565659"/>
    <x v="21"/>
    <x v="1"/>
    <x v="3"/>
    <x v="3"/>
    <x v="1"/>
    <x v="0"/>
    <x v="0"/>
    <x v="0"/>
    <x v="1"/>
    <x v="1"/>
    <x v="1"/>
    <x v="1"/>
    <x v="1"/>
    <x v="5"/>
    <x v="2"/>
    <x v="2"/>
    <x v="0"/>
    <x v="0"/>
    <x v="1"/>
    <x v="1"/>
    <x v="1"/>
    <x v="1"/>
    <x v="1"/>
    <x v="0"/>
    <x v="1"/>
  </r>
  <r>
    <x v="5"/>
    <x v="36"/>
    <x v="0"/>
    <x v="0"/>
    <x v="0"/>
    <x v="76"/>
    <x v="0"/>
    <x v="2"/>
    <x v="51"/>
    <x v="0"/>
    <x v="3"/>
    <n v="0.99999537576328612"/>
    <x v="12"/>
    <x v="0"/>
    <x v="3"/>
    <x v="3"/>
    <x v="1"/>
    <x v="0"/>
    <x v="0"/>
    <x v="0"/>
    <x v="1"/>
    <x v="1"/>
    <x v="1"/>
    <x v="1"/>
    <x v="1"/>
    <x v="5"/>
    <x v="2"/>
    <x v="2"/>
    <x v="0"/>
    <x v="0"/>
    <x v="1"/>
    <x v="1"/>
    <x v="1"/>
    <x v="1"/>
    <x v="1"/>
    <x v="0"/>
    <x v="1"/>
  </r>
  <r>
    <x v="5"/>
    <x v="36"/>
    <x v="0"/>
    <x v="0"/>
    <x v="0"/>
    <x v="76"/>
    <x v="0"/>
    <x v="2"/>
    <x v="51"/>
    <x v="0"/>
    <x v="2"/>
    <n v="0.99999519393901637"/>
    <x v="12"/>
    <x v="0"/>
    <x v="3"/>
    <x v="3"/>
    <x v="1"/>
    <x v="0"/>
    <x v="0"/>
    <x v="0"/>
    <x v="1"/>
    <x v="1"/>
    <x v="1"/>
    <x v="1"/>
    <x v="1"/>
    <x v="5"/>
    <x v="2"/>
    <x v="2"/>
    <x v="0"/>
    <x v="0"/>
    <x v="1"/>
    <x v="1"/>
    <x v="1"/>
    <x v="1"/>
    <x v="1"/>
    <x v="0"/>
    <x v="1"/>
  </r>
  <r>
    <x v="5"/>
    <x v="36"/>
    <x v="0"/>
    <x v="0"/>
    <x v="0"/>
    <x v="76"/>
    <x v="0"/>
    <x v="2"/>
    <x v="51"/>
    <x v="2"/>
    <x v="1"/>
    <n v="2.8135444286616162"/>
    <x v="20"/>
    <x v="0"/>
    <x v="3"/>
    <x v="3"/>
    <x v="1"/>
    <x v="0"/>
    <x v="0"/>
    <x v="0"/>
    <x v="1"/>
    <x v="1"/>
    <x v="1"/>
    <x v="1"/>
    <x v="1"/>
    <x v="5"/>
    <x v="2"/>
    <x v="2"/>
    <x v="0"/>
    <x v="0"/>
    <x v="1"/>
    <x v="1"/>
    <x v="1"/>
    <x v="1"/>
    <x v="1"/>
    <x v="0"/>
    <x v="1"/>
  </r>
  <r>
    <x v="5"/>
    <x v="36"/>
    <x v="0"/>
    <x v="0"/>
    <x v="0"/>
    <x v="76"/>
    <x v="0"/>
    <x v="2"/>
    <x v="51"/>
    <x v="1"/>
    <x v="1"/>
    <n v="4.9549494949494948"/>
    <x v="21"/>
    <x v="1"/>
    <x v="3"/>
    <x v="3"/>
    <x v="1"/>
    <x v="0"/>
    <x v="0"/>
    <x v="0"/>
    <x v="1"/>
    <x v="1"/>
    <x v="1"/>
    <x v="1"/>
    <x v="1"/>
    <x v="5"/>
    <x v="2"/>
    <x v="2"/>
    <x v="0"/>
    <x v="0"/>
    <x v="1"/>
    <x v="1"/>
    <x v="1"/>
    <x v="1"/>
    <x v="1"/>
    <x v="0"/>
    <x v="1"/>
  </r>
  <r>
    <x v="5"/>
    <x v="36"/>
    <x v="0"/>
    <x v="0"/>
    <x v="0"/>
    <x v="76"/>
    <x v="0"/>
    <x v="2"/>
    <x v="51"/>
    <x v="1"/>
    <x v="1"/>
    <n v="4.9549494949494948"/>
    <x v="21"/>
    <x v="1"/>
    <x v="3"/>
    <x v="3"/>
    <x v="1"/>
    <x v="0"/>
    <x v="0"/>
    <x v="0"/>
    <x v="1"/>
    <x v="1"/>
    <x v="1"/>
    <x v="1"/>
    <x v="1"/>
    <x v="5"/>
    <x v="2"/>
    <x v="2"/>
    <x v="0"/>
    <x v="0"/>
    <x v="1"/>
    <x v="1"/>
    <x v="1"/>
    <x v="1"/>
    <x v="1"/>
    <x v="0"/>
    <x v="1"/>
  </r>
  <r>
    <x v="5"/>
    <x v="36"/>
    <x v="0"/>
    <x v="0"/>
    <x v="0"/>
    <x v="76"/>
    <x v="0"/>
    <x v="2"/>
    <x v="51"/>
    <x v="1"/>
    <x v="0"/>
    <n v="4.6856565656565659"/>
    <x v="21"/>
    <x v="1"/>
    <x v="3"/>
    <x v="3"/>
    <x v="1"/>
    <x v="0"/>
    <x v="0"/>
    <x v="0"/>
    <x v="1"/>
    <x v="1"/>
    <x v="1"/>
    <x v="1"/>
    <x v="1"/>
    <x v="5"/>
    <x v="2"/>
    <x v="2"/>
    <x v="0"/>
    <x v="0"/>
    <x v="1"/>
    <x v="1"/>
    <x v="1"/>
    <x v="1"/>
    <x v="1"/>
    <x v="0"/>
    <x v="1"/>
  </r>
  <r>
    <x v="5"/>
    <x v="36"/>
    <x v="0"/>
    <x v="0"/>
    <x v="0"/>
    <x v="76"/>
    <x v="0"/>
    <x v="2"/>
    <x v="51"/>
    <x v="2"/>
    <x v="3"/>
    <n v="2.4281439393939395"/>
    <x v="20"/>
    <x v="0"/>
    <x v="3"/>
    <x v="3"/>
    <x v="1"/>
    <x v="0"/>
    <x v="0"/>
    <x v="0"/>
    <x v="1"/>
    <x v="1"/>
    <x v="1"/>
    <x v="1"/>
    <x v="1"/>
    <x v="5"/>
    <x v="2"/>
    <x v="2"/>
    <x v="0"/>
    <x v="0"/>
    <x v="1"/>
    <x v="1"/>
    <x v="1"/>
    <x v="1"/>
    <x v="1"/>
    <x v="0"/>
    <x v="1"/>
  </r>
  <r>
    <x v="5"/>
    <x v="36"/>
    <x v="0"/>
    <x v="0"/>
    <x v="0"/>
    <x v="76"/>
    <x v="0"/>
    <x v="2"/>
    <x v="51"/>
    <x v="2"/>
    <x v="1"/>
    <n v="2.8135444286616162"/>
    <x v="20"/>
    <x v="0"/>
    <x v="3"/>
    <x v="3"/>
    <x v="1"/>
    <x v="0"/>
    <x v="0"/>
    <x v="0"/>
    <x v="1"/>
    <x v="1"/>
    <x v="1"/>
    <x v="1"/>
    <x v="1"/>
    <x v="5"/>
    <x v="2"/>
    <x v="2"/>
    <x v="0"/>
    <x v="0"/>
    <x v="1"/>
    <x v="1"/>
    <x v="1"/>
    <x v="1"/>
    <x v="1"/>
    <x v="0"/>
    <x v="1"/>
  </r>
  <r>
    <x v="5"/>
    <x v="36"/>
    <x v="0"/>
    <x v="0"/>
    <x v="0"/>
    <x v="76"/>
    <x v="0"/>
    <x v="2"/>
    <x v="51"/>
    <x v="2"/>
    <x v="3"/>
    <n v="2.4281439393939395"/>
    <x v="20"/>
    <x v="0"/>
    <x v="3"/>
    <x v="3"/>
    <x v="1"/>
    <x v="0"/>
    <x v="0"/>
    <x v="0"/>
    <x v="1"/>
    <x v="1"/>
    <x v="1"/>
    <x v="1"/>
    <x v="1"/>
    <x v="5"/>
    <x v="2"/>
    <x v="2"/>
    <x v="0"/>
    <x v="0"/>
    <x v="1"/>
    <x v="1"/>
    <x v="1"/>
    <x v="1"/>
    <x v="1"/>
    <x v="0"/>
    <x v="1"/>
  </r>
  <r>
    <x v="5"/>
    <x v="36"/>
    <x v="0"/>
    <x v="0"/>
    <x v="0"/>
    <x v="76"/>
    <x v="0"/>
    <x v="2"/>
    <x v="51"/>
    <x v="1"/>
    <x v="3"/>
    <n v="4.2335353535353537"/>
    <x v="21"/>
    <x v="1"/>
    <x v="3"/>
    <x v="3"/>
    <x v="1"/>
    <x v="0"/>
    <x v="0"/>
    <x v="0"/>
    <x v="1"/>
    <x v="1"/>
    <x v="1"/>
    <x v="1"/>
    <x v="1"/>
    <x v="5"/>
    <x v="2"/>
    <x v="2"/>
    <x v="0"/>
    <x v="0"/>
    <x v="1"/>
    <x v="1"/>
    <x v="1"/>
    <x v="1"/>
    <x v="1"/>
    <x v="0"/>
    <x v="1"/>
  </r>
  <r>
    <x v="5"/>
    <x v="36"/>
    <x v="0"/>
    <x v="0"/>
    <x v="0"/>
    <x v="76"/>
    <x v="0"/>
    <x v="2"/>
    <x v="51"/>
    <x v="1"/>
    <x v="1"/>
    <n v="4.9549494949494948"/>
    <x v="21"/>
    <x v="1"/>
    <x v="3"/>
    <x v="3"/>
    <x v="1"/>
    <x v="0"/>
    <x v="0"/>
    <x v="0"/>
    <x v="1"/>
    <x v="1"/>
    <x v="1"/>
    <x v="1"/>
    <x v="1"/>
    <x v="5"/>
    <x v="2"/>
    <x v="2"/>
    <x v="0"/>
    <x v="0"/>
    <x v="1"/>
    <x v="1"/>
    <x v="1"/>
    <x v="1"/>
    <x v="1"/>
    <x v="0"/>
    <x v="1"/>
  </r>
  <r>
    <x v="5"/>
    <x v="36"/>
    <x v="0"/>
    <x v="0"/>
    <x v="0"/>
    <x v="76"/>
    <x v="0"/>
    <x v="2"/>
    <x v="51"/>
    <x v="2"/>
    <x v="2"/>
    <n v="2.8197914693813133"/>
    <x v="20"/>
    <x v="0"/>
    <x v="3"/>
    <x v="3"/>
    <x v="1"/>
    <x v="0"/>
    <x v="0"/>
    <x v="0"/>
    <x v="1"/>
    <x v="1"/>
    <x v="1"/>
    <x v="1"/>
    <x v="1"/>
    <x v="5"/>
    <x v="2"/>
    <x v="2"/>
    <x v="0"/>
    <x v="0"/>
    <x v="1"/>
    <x v="1"/>
    <x v="1"/>
    <x v="1"/>
    <x v="1"/>
    <x v="0"/>
    <x v="1"/>
  </r>
  <r>
    <x v="5"/>
    <x v="36"/>
    <x v="0"/>
    <x v="0"/>
    <x v="0"/>
    <x v="76"/>
    <x v="0"/>
    <x v="2"/>
    <x v="51"/>
    <x v="0"/>
    <x v="0"/>
    <n v="0.99999528685001404"/>
    <x v="12"/>
    <x v="0"/>
    <x v="3"/>
    <x v="3"/>
    <x v="1"/>
    <x v="0"/>
    <x v="0"/>
    <x v="0"/>
    <x v="1"/>
    <x v="1"/>
    <x v="1"/>
    <x v="1"/>
    <x v="1"/>
    <x v="5"/>
    <x v="2"/>
    <x v="2"/>
    <x v="0"/>
    <x v="0"/>
    <x v="1"/>
    <x v="1"/>
    <x v="1"/>
    <x v="1"/>
    <x v="1"/>
    <x v="0"/>
    <x v="1"/>
  </r>
  <r>
    <x v="5"/>
    <x v="36"/>
    <x v="0"/>
    <x v="0"/>
    <x v="0"/>
    <x v="76"/>
    <x v="0"/>
    <x v="2"/>
    <x v="51"/>
    <x v="0"/>
    <x v="3"/>
    <n v="0.99999537576328612"/>
    <x v="12"/>
    <x v="0"/>
    <x v="3"/>
    <x v="3"/>
    <x v="1"/>
    <x v="0"/>
    <x v="0"/>
    <x v="0"/>
    <x v="1"/>
    <x v="1"/>
    <x v="1"/>
    <x v="1"/>
    <x v="1"/>
    <x v="5"/>
    <x v="2"/>
    <x v="2"/>
    <x v="0"/>
    <x v="0"/>
    <x v="1"/>
    <x v="1"/>
    <x v="1"/>
    <x v="1"/>
    <x v="1"/>
    <x v="0"/>
    <x v="1"/>
  </r>
  <r>
    <x v="5"/>
    <x v="36"/>
    <x v="0"/>
    <x v="0"/>
    <x v="0"/>
    <x v="76"/>
    <x v="0"/>
    <x v="2"/>
    <x v="51"/>
    <x v="0"/>
    <x v="3"/>
    <n v="0.99999537576328612"/>
    <x v="12"/>
    <x v="0"/>
    <x v="3"/>
    <x v="3"/>
    <x v="1"/>
    <x v="0"/>
    <x v="0"/>
    <x v="0"/>
    <x v="1"/>
    <x v="1"/>
    <x v="1"/>
    <x v="1"/>
    <x v="1"/>
    <x v="5"/>
    <x v="2"/>
    <x v="2"/>
    <x v="0"/>
    <x v="0"/>
    <x v="1"/>
    <x v="1"/>
    <x v="1"/>
    <x v="1"/>
    <x v="1"/>
    <x v="0"/>
    <x v="1"/>
  </r>
  <r>
    <x v="5"/>
    <x v="36"/>
    <x v="0"/>
    <x v="0"/>
    <x v="0"/>
    <x v="76"/>
    <x v="0"/>
    <x v="2"/>
    <x v="51"/>
    <x v="2"/>
    <x v="2"/>
    <n v="2.8197914693813133"/>
    <x v="20"/>
    <x v="0"/>
    <x v="3"/>
    <x v="3"/>
    <x v="1"/>
    <x v="0"/>
    <x v="0"/>
    <x v="0"/>
    <x v="1"/>
    <x v="1"/>
    <x v="1"/>
    <x v="1"/>
    <x v="1"/>
    <x v="5"/>
    <x v="2"/>
    <x v="2"/>
    <x v="0"/>
    <x v="0"/>
    <x v="1"/>
    <x v="1"/>
    <x v="1"/>
    <x v="1"/>
    <x v="1"/>
    <x v="0"/>
    <x v="1"/>
  </r>
  <r>
    <x v="5"/>
    <x v="36"/>
    <x v="0"/>
    <x v="0"/>
    <x v="0"/>
    <x v="76"/>
    <x v="0"/>
    <x v="2"/>
    <x v="51"/>
    <x v="0"/>
    <x v="2"/>
    <n v="0.99999519393901637"/>
    <x v="12"/>
    <x v="0"/>
    <x v="3"/>
    <x v="3"/>
    <x v="1"/>
    <x v="0"/>
    <x v="0"/>
    <x v="0"/>
    <x v="1"/>
    <x v="1"/>
    <x v="1"/>
    <x v="1"/>
    <x v="1"/>
    <x v="5"/>
    <x v="2"/>
    <x v="2"/>
    <x v="0"/>
    <x v="0"/>
    <x v="1"/>
    <x v="1"/>
    <x v="1"/>
    <x v="1"/>
    <x v="1"/>
    <x v="0"/>
    <x v="1"/>
  </r>
  <r>
    <x v="5"/>
    <x v="36"/>
    <x v="0"/>
    <x v="0"/>
    <x v="0"/>
    <x v="76"/>
    <x v="0"/>
    <x v="2"/>
    <x v="51"/>
    <x v="0"/>
    <x v="1"/>
    <n v="0.99999545858363903"/>
    <x v="12"/>
    <x v="0"/>
    <x v="3"/>
    <x v="3"/>
    <x v="1"/>
    <x v="0"/>
    <x v="0"/>
    <x v="0"/>
    <x v="1"/>
    <x v="1"/>
    <x v="1"/>
    <x v="1"/>
    <x v="1"/>
    <x v="5"/>
    <x v="2"/>
    <x v="2"/>
    <x v="0"/>
    <x v="0"/>
    <x v="1"/>
    <x v="1"/>
    <x v="1"/>
    <x v="1"/>
    <x v="1"/>
    <x v="0"/>
    <x v="1"/>
  </r>
  <r>
    <x v="5"/>
    <x v="36"/>
    <x v="0"/>
    <x v="0"/>
    <x v="0"/>
    <x v="76"/>
    <x v="0"/>
    <x v="2"/>
    <x v="51"/>
    <x v="1"/>
    <x v="0"/>
    <n v="4.6856565656565659"/>
    <x v="21"/>
    <x v="1"/>
    <x v="3"/>
    <x v="3"/>
    <x v="1"/>
    <x v="0"/>
    <x v="0"/>
    <x v="0"/>
    <x v="1"/>
    <x v="1"/>
    <x v="1"/>
    <x v="1"/>
    <x v="1"/>
    <x v="5"/>
    <x v="2"/>
    <x v="2"/>
    <x v="0"/>
    <x v="0"/>
    <x v="1"/>
    <x v="1"/>
    <x v="1"/>
    <x v="1"/>
    <x v="1"/>
    <x v="0"/>
    <x v="1"/>
  </r>
  <r>
    <x v="5"/>
    <x v="36"/>
    <x v="0"/>
    <x v="0"/>
    <x v="0"/>
    <x v="76"/>
    <x v="0"/>
    <x v="2"/>
    <x v="51"/>
    <x v="0"/>
    <x v="1"/>
    <n v="0.99999545858363903"/>
    <x v="12"/>
    <x v="0"/>
    <x v="3"/>
    <x v="3"/>
    <x v="1"/>
    <x v="0"/>
    <x v="0"/>
    <x v="0"/>
    <x v="1"/>
    <x v="1"/>
    <x v="1"/>
    <x v="1"/>
    <x v="1"/>
    <x v="5"/>
    <x v="2"/>
    <x v="2"/>
    <x v="0"/>
    <x v="0"/>
    <x v="1"/>
    <x v="1"/>
    <x v="1"/>
    <x v="1"/>
    <x v="1"/>
    <x v="0"/>
    <x v="1"/>
  </r>
  <r>
    <x v="5"/>
    <x v="36"/>
    <x v="0"/>
    <x v="0"/>
    <x v="0"/>
    <x v="77"/>
    <x v="0"/>
    <x v="2"/>
    <x v="51"/>
    <x v="2"/>
    <x v="0"/>
    <n v="2.7545152698863635"/>
    <x v="20"/>
    <x v="0"/>
    <x v="3"/>
    <x v="3"/>
    <x v="1"/>
    <x v="0"/>
    <x v="0"/>
    <x v="0"/>
    <x v="1"/>
    <x v="1"/>
    <x v="1"/>
    <x v="1"/>
    <x v="1"/>
    <x v="5"/>
    <x v="4"/>
    <x v="1"/>
    <x v="0"/>
    <x v="0"/>
    <x v="1"/>
    <x v="1"/>
    <x v="1"/>
    <x v="1"/>
    <x v="1"/>
    <x v="0"/>
    <x v="1"/>
  </r>
  <r>
    <x v="5"/>
    <x v="36"/>
    <x v="0"/>
    <x v="0"/>
    <x v="0"/>
    <x v="77"/>
    <x v="0"/>
    <x v="2"/>
    <x v="51"/>
    <x v="1"/>
    <x v="0"/>
    <n v="4.6856565656565659"/>
    <x v="21"/>
    <x v="1"/>
    <x v="3"/>
    <x v="3"/>
    <x v="1"/>
    <x v="0"/>
    <x v="0"/>
    <x v="0"/>
    <x v="1"/>
    <x v="1"/>
    <x v="1"/>
    <x v="1"/>
    <x v="1"/>
    <x v="5"/>
    <x v="4"/>
    <x v="1"/>
    <x v="0"/>
    <x v="0"/>
    <x v="1"/>
    <x v="1"/>
    <x v="1"/>
    <x v="1"/>
    <x v="1"/>
    <x v="0"/>
    <x v="1"/>
  </r>
  <r>
    <x v="5"/>
    <x v="36"/>
    <x v="0"/>
    <x v="0"/>
    <x v="0"/>
    <x v="77"/>
    <x v="0"/>
    <x v="2"/>
    <x v="51"/>
    <x v="2"/>
    <x v="0"/>
    <n v="2.7545152698863635"/>
    <x v="20"/>
    <x v="0"/>
    <x v="3"/>
    <x v="3"/>
    <x v="1"/>
    <x v="0"/>
    <x v="0"/>
    <x v="0"/>
    <x v="1"/>
    <x v="1"/>
    <x v="1"/>
    <x v="1"/>
    <x v="1"/>
    <x v="5"/>
    <x v="4"/>
    <x v="1"/>
    <x v="0"/>
    <x v="0"/>
    <x v="1"/>
    <x v="1"/>
    <x v="1"/>
    <x v="1"/>
    <x v="1"/>
    <x v="0"/>
    <x v="1"/>
  </r>
  <r>
    <x v="5"/>
    <x v="36"/>
    <x v="0"/>
    <x v="0"/>
    <x v="0"/>
    <x v="77"/>
    <x v="0"/>
    <x v="2"/>
    <x v="51"/>
    <x v="0"/>
    <x v="0"/>
    <n v="0.99999528685001404"/>
    <x v="12"/>
    <x v="0"/>
    <x v="3"/>
    <x v="3"/>
    <x v="1"/>
    <x v="0"/>
    <x v="0"/>
    <x v="0"/>
    <x v="1"/>
    <x v="1"/>
    <x v="1"/>
    <x v="1"/>
    <x v="1"/>
    <x v="5"/>
    <x v="4"/>
    <x v="1"/>
    <x v="0"/>
    <x v="0"/>
    <x v="1"/>
    <x v="1"/>
    <x v="1"/>
    <x v="1"/>
    <x v="1"/>
    <x v="0"/>
    <x v="1"/>
  </r>
  <r>
    <x v="5"/>
    <x v="36"/>
    <x v="0"/>
    <x v="0"/>
    <x v="0"/>
    <x v="77"/>
    <x v="0"/>
    <x v="2"/>
    <x v="51"/>
    <x v="1"/>
    <x v="1"/>
    <n v="4.9549494949494948"/>
    <x v="21"/>
    <x v="1"/>
    <x v="3"/>
    <x v="3"/>
    <x v="1"/>
    <x v="0"/>
    <x v="0"/>
    <x v="0"/>
    <x v="1"/>
    <x v="1"/>
    <x v="1"/>
    <x v="1"/>
    <x v="1"/>
    <x v="5"/>
    <x v="4"/>
    <x v="1"/>
    <x v="0"/>
    <x v="0"/>
    <x v="1"/>
    <x v="1"/>
    <x v="1"/>
    <x v="1"/>
    <x v="1"/>
    <x v="0"/>
    <x v="1"/>
  </r>
  <r>
    <x v="5"/>
    <x v="36"/>
    <x v="0"/>
    <x v="0"/>
    <x v="0"/>
    <x v="77"/>
    <x v="0"/>
    <x v="2"/>
    <x v="51"/>
    <x v="0"/>
    <x v="3"/>
    <n v="0.99999537576328612"/>
    <x v="12"/>
    <x v="0"/>
    <x v="3"/>
    <x v="3"/>
    <x v="1"/>
    <x v="0"/>
    <x v="0"/>
    <x v="0"/>
    <x v="1"/>
    <x v="1"/>
    <x v="1"/>
    <x v="1"/>
    <x v="1"/>
    <x v="5"/>
    <x v="4"/>
    <x v="1"/>
    <x v="0"/>
    <x v="0"/>
    <x v="1"/>
    <x v="1"/>
    <x v="1"/>
    <x v="1"/>
    <x v="1"/>
    <x v="0"/>
    <x v="1"/>
  </r>
  <r>
    <x v="5"/>
    <x v="36"/>
    <x v="0"/>
    <x v="0"/>
    <x v="0"/>
    <x v="77"/>
    <x v="0"/>
    <x v="2"/>
    <x v="51"/>
    <x v="2"/>
    <x v="3"/>
    <n v="2.4281439393939395"/>
    <x v="20"/>
    <x v="0"/>
    <x v="3"/>
    <x v="3"/>
    <x v="1"/>
    <x v="0"/>
    <x v="0"/>
    <x v="0"/>
    <x v="1"/>
    <x v="1"/>
    <x v="1"/>
    <x v="1"/>
    <x v="1"/>
    <x v="5"/>
    <x v="4"/>
    <x v="1"/>
    <x v="0"/>
    <x v="0"/>
    <x v="1"/>
    <x v="1"/>
    <x v="1"/>
    <x v="1"/>
    <x v="1"/>
    <x v="0"/>
    <x v="1"/>
  </r>
  <r>
    <x v="5"/>
    <x v="36"/>
    <x v="0"/>
    <x v="0"/>
    <x v="0"/>
    <x v="77"/>
    <x v="0"/>
    <x v="2"/>
    <x v="51"/>
    <x v="2"/>
    <x v="2"/>
    <n v="2.8197914693813133"/>
    <x v="20"/>
    <x v="0"/>
    <x v="3"/>
    <x v="3"/>
    <x v="1"/>
    <x v="0"/>
    <x v="0"/>
    <x v="0"/>
    <x v="1"/>
    <x v="1"/>
    <x v="1"/>
    <x v="1"/>
    <x v="1"/>
    <x v="5"/>
    <x v="4"/>
    <x v="1"/>
    <x v="0"/>
    <x v="0"/>
    <x v="1"/>
    <x v="1"/>
    <x v="1"/>
    <x v="1"/>
    <x v="1"/>
    <x v="0"/>
    <x v="1"/>
  </r>
  <r>
    <x v="5"/>
    <x v="36"/>
    <x v="0"/>
    <x v="0"/>
    <x v="0"/>
    <x v="77"/>
    <x v="0"/>
    <x v="2"/>
    <x v="51"/>
    <x v="2"/>
    <x v="2"/>
    <n v="2.8197914693813133"/>
    <x v="20"/>
    <x v="0"/>
    <x v="3"/>
    <x v="3"/>
    <x v="1"/>
    <x v="0"/>
    <x v="0"/>
    <x v="0"/>
    <x v="1"/>
    <x v="1"/>
    <x v="1"/>
    <x v="1"/>
    <x v="1"/>
    <x v="5"/>
    <x v="4"/>
    <x v="1"/>
    <x v="0"/>
    <x v="0"/>
    <x v="1"/>
    <x v="1"/>
    <x v="1"/>
    <x v="1"/>
    <x v="1"/>
    <x v="0"/>
    <x v="1"/>
  </r>
  <r>
    <x v="5"/>
    <x v="36"/>
    <x v="0"/>
    <x v="0"/>
    <x v="0"/>
    <x v="77"/>
    <x v="0"/>
    <x v="2"/>
    <x v="51"/>
    <x v="1"/>
    <x v="3"/>
    <n v="4.2335353535353537"/>
    <x v="21"/>
    <x v="1"/>
    <x v="3"/>
    <x v="3"/>
    <x v="1"/>
    <x v="0"/>
    <x v="0"/>
    <x v="0"/>
    <x v="1"/>
    <x v="1"/>
    <x v="1"/>
    <x v="1"/>
    <x v="1"/>
    <x v="5"/>
    <x v="4"/>
    <x v="1"/>
    <x v="0"/>
    <x v="0"/>
    <x v="1"/>
    <x v="1"/>
    <x v="1"/>
    <x v="1"/>
    <x v="1"/>
    <x v="0"/>
    <x v="1"/>
  </r>
  <r>
    <x v="5"/>
    <x v="36"/>
    <x v="0"/>
    <x v="0"/>
    <x v="0"/>
    <x v="77"/>
    <x v="0"/>
    <x v="2"/>
    <x v="51"/>
    <x v="1"/>
    <x v="2"/>
    <n v="4.9585858585858587"/>
    <x v="21"/>
    <x v="1"/>
    <x v="3"/>
    <x v="3"/>
    <x v="1"/>
    <x v="0"/>
    <x v="0"/>
    <x v="0"/>
    <x v="1"/>
    <x v="1"/>
    <x v="1"/>
    <x v="1"/>
    <x v="1"/>
    <x v="5"/>
    <x v="4"/>
    <x v="1"/>
    <x v="0"/>
    <x v="0"/>
    <x v="1"/>
    <x v="1"/>
    <x v="1"/>
    <x v="1"/>
    <x v="1"/>
    <x v="0"/>
    <x v="1"/>
  </r>
  <r>
    <x v="5"/>
    <x v="36"/>
    <x v="0"/>
    <x v="0"/>
    <x v="0"/>
    <x v="77"/>
    <x v="0"/>
    <x v="2"/>
    <x v="51"/>
    <x v="1"/>
    <x v="0"/>
    <n v="4.6856565656565659"/>
    <x v="21"/>
    <x v="1"/>
    <x v="3"/>
    <x v="3"/>
    <x v="1"/>
    <x v="0"/>
    <x v="0"/>
    <x v="0"/>
    <x v="1"/>
    <x v="1"/>
    <x v="1"/>
    <x v="1"/>
    <x v="1"/>
    <x v="5"/>
    <x v="4"/>
    <x v="1"/>
    <x v="0"/>
    <x v="0"/>
    <x v="1"/>
    <x v="1"/>
    <x v="1"/>
    <x v="1"/>
    <x v="1"/>
    <x v="0"/>
    <x v="1"/>
  </r>
  <r>
    <x v="5"/>
    <x v="36"/>
    <x v="0"/>
    <x v="0"/>
    <x v="0"/>
    <x v="77"/>
    <x v="0"/>
    <x v="2"/>
    <x v="51"/>
    <x v="2"/>
    <x v="1"/>
    <n v="2.8135444286616162"/>
    <x v="20"/>
    <x v="0"/>
    <x v="3"/>
    <x v="3"/>
    <x v="1"/>
    <x v="0"/>
    <x v="0"/>
    <x v="0"/>
    <x v="1"/>
    <x v="1"/>
    <x v="1"/>
    <x v="1"/>
    <x v="1"/>
    <x v="5"/>
    <x v="4"/>
    <x v="1"/>
    <x v="0"/>
    <x v="0"/>
    <x v="1"/>
    <x v="1"/>
    <x v="1"/>
    <x v="1"/>
    <x v="1"/>
    <x v="0"/>
    <x v="1"/>
  </r>
  <r>
    <x v="5"/>
    <x v="36"/>
    <x v="0"/>
    <x v="0"/>
    <x v="0"/>
    <x v="77"/>
    <x v="0"/>
    <x v="2"/>
    <x v="51"/>
    <x v="0"/>
    <x v="1"/>
    <n v="0.99999545858363903"/>
    <x v="12"/>
    <x v="0"/>
    <x v="3"/>
    <x v="3"/>
    <x v="1"/>
    <x v="0"/>
    <x v="0"/>
    <x v="0"/>
    <x v="1"/>
    <x v="1"/>
    <x v="1"/>
    <x v="1"/>
    <x v="1"/>
    <x v="5"/>
    <x v="4"/>
    <x v="1"/>
    <x v="0"/>
    <x v="0"/>
    <x v="1"/>
    <x v="1"/>
    <x v="1"/>
    <x v="1"/>
    <x v="1"/>
    <x v="0"/>
    <x v="1"/>
  </r>
  <r>
    <x v="5"/>
    <x v="36"/>
    <x v="0"/>
    <x v="0"/>
    <x v="0"/>
    <x v="77"/>
    <x v="0"/>
    <x v="2"/>
    <x v="51"/>
    <x v="2"/>
    <x v="3"/>
    <n v="2.4281439393939395"/>
    <x v="20"/>
    <x v="0"/>
    <x v="3"/>
    <x v="3"/>
    <x v="1"/>
    <x v="0"/>
    <x v="0"/>
    <x v="0"/>
    <x v="1"/>
    <x v="1"/>
    <x v="1"/>
    <x v="1"/>
    <x v="1"/>
    <x v="5"/>
    <x v="4"/>
    <x v="1"/>
    <x v="0"/>
    <x v="0"/>
    <x v="1"/>
    <x v="1"/>
    <x v="1"/>
    <x v="1"/>
    <x v="1"/>
    <x v="0"/>
    <x v="1"/>
  </r>
  <r>
    <x v="5"/>
    <x v="36"/>
    <x v="0"/>
    <x v="0"/>
    <x v="0"/>
    <x v="77"/>
    <x v="0"/>
    <x v="2"/>
    <x v="51"/>
    <x v="2"/>
    <x v="1"/>
    <n v="2.8135444286616162"/>
    <x v="20"/>
    <x v="0"/>
    <x v="3"/>
    <x v="3"/>
    <x v="1"/>
    <x v="0"/>
    <x v="0"/>
    <x v="0"/>
    <x v="1"/>
    <x v="1"/>
    <x v="1"/>
    <x v="1"/>
    <x v="1"/>
    <x v="5"/>
    <x v="4"/>
    <x v="1"/>
    <x v="0"/>
    <x v="0"/>
    <x v="1"/>
    <x v="1"/>
    <x v="1"/>
    <x v="1"/>
    <x v="1"/>
    <x v="0"/>
    <x v="1"/>
  </r>
  <r>
    <x v="5"/>
    <x v="36"/>
    <x v="0"/>
    <x v="0"/>
    <x v="0"/>
    <x v="77"/>
    <x v="0"/>
    <x v="2"/>
    <x v="51"/>
    <x v="0"/>
    <x v="3"/>
    <n v="0.99999537576328612"/>
    <x v="12"/>
    <x v="0"/>
    <x v="3"/>
    <x v="3"/>
    <x v="1"/>
    <x v="0"/>
    <x v="0"/>
    <x v="0"/>
    <x v="1"/>
    <x v="1"/>
    <x v="1"/>
    <x v="1"/>
    <x v="1"/>
    <x v="5"/>
    <x v="4"/>
    <x v="1"/>
    <x v="0"/>
    <x v="0"/>
    <x v="1"/>
    <x v="1"/>
    <x v="1"/>
    <x v="1"/>
    <x v="1"/>
    <x v="0"/>
    <x v="1"/>
  </r>
  <r>
    <x v="5"/>
    <x v="36"/>
    <x v="0"/>
    <x v="0"/>
    <x v="0"/>
    <x v="77"/>
    <x v="0"/>
    <x v="2"/>
    <x v="51"/>
    <x v="1"/>
    <x v="3"/>
    <n v="4.2335353535353537"/>
    <x v="21"/>
    <x v="1"/>
    <x v="3"/>
    <x v="3"/>
    <x v="1"/>
    <x v="0"/>
    <x v="0"/>
    <x v="0"/>
    <x v="1"/>
    <x v="1"/>
    <x v="1"/>
    <x v="1"/>
    <x v="1"/>
    <x v="5"/>
    <x v="4"/>
    <x v="1"/>
    <x v="0"/>
    <x v="0"/>
    <x v="1"/>
    <x v="1"/>
    <x v="1"/>
    <x v="1"/>
    <x v="1"/>
    <x v="0"/>
    <x v="1"/>
  </r>
  <r>
    <x v="5"/>
    <x v="36"/>
    <x v="0"/>
    <x v="0"/>
    <x v="0"/>
    <x v="77"/>
    <x v="0"/>
    <x v="2"/>
    <x v="51"/>
    <x v="0"/>
    <x v="2"/>
    <n v="0.99999519393901637"/>
    <x v="12"/>
    <x v="0"/>
    <x v="3"/>
    <x v="3"/>
    <x v="1"/>
    <x v="0"/>
    <x v="0"/>
    <x v="0"/>
    <x v="1"/>
    <x v="1"/>
    <x v="1"/>
    <x v="1"/>
    <x v="1"/>
    <x v="5"/>
    <x v="4"/>
    <x v="1"/>
    <x v="0"/>
    <x v="0"/>
    <x v="1"/>
    <x v="1"/>
    <x v="1"/>
    <x v="1"/>
    <x v="1"/>
    <x v="0"/>
    <x v="1"/>
  </r>
  <r>
    <x v="5"/>
    <x v="36"/>
    <x v="0"/>
    <x v="0"/>
    <x v="0"/>
    <x v="77"/>
    <x v="0"/>
    <x v="2"/>
    <x v="51"/>
    <x v="1"/>
    <x v="2"/>
    <n v="4.9585858585858587"/>
    <x v="21"/>
    <x v="1"/>
    <x v="3"/>
    <x v="3"/>
    <x v="1"/>
    <x v="0"/>
    <x v="0"/>
    <x v="0"/>
    <x v="1"/>
    <x v="1"/>
    <x v="1"/>
    <x v="1"/>
    <x v="1"/>
    <x v="5"/>
    <x v="4"/>
    <x v="1"/>
    <x v="0"/>
    <x v="0"/>
    <x v="1"/>
    <x v="1"/>
    <x v="1"/>
    <x v="1"/>
    <x v="1"/>
    <x v="0"/>
    <x v="1"/>
  </r>
  <r>
    <x v="5"/>
    <x v="36"/>
    <x v="0"/>
    <x v="0"/>
    <x v="0"/>
    <x v="77"/>
    <x v="0"/>
    <x v="2"/>
    <x v="51"/>
    <x v="0"/>
    <x v="2"/>
    <n v="0.99999519393901637"/>
    <x v="12"/>
    <x v="0"/>
    <x v="3"/>
    <x v="3"/>
    <x v="1"/>
    <x v="0"/>
    <x v="0"/>
    <x v="0"/>
    <x v="1"/>
    <x v="1"/>
    <x v="1"/>
    <x v="1"/>
    <x v="1"/>
    <x v="5"/>
    <x v="4"/>
    <x v="1"/>
    <x v="0"/>
    <x v="0"/>
    <x v="1"/>
    <x v="1"/>
    <x v="1"/>
    <x v="1"/>
    <x v="1"/>
    <x v="0"/>
    <x v="1"/>
  </r>
  <r>
    <x v="5"/>
    <x v="36"/>
    <x v="0"/>
    <x v="0"/>
    <x v="0"/>
    <x v="77"/>
    <x v="0"/>
    <x v="2"/>
    <x v="51"/>
    <x v="0"/>
    <x v="0"/>
    <n v="0.99999528685001404"/>
    <x v="12"/>
    <x v="0"/>
    <x v="3"/>
    <x v="3"/>
    <x v="1"/>
    <x v="0"/>
    <x v="0"/>
    <x v="0"/>
    <x v="1"/>
    <x v="1"/>
    <x v="1"/>
    <x v="1"/>
    <x v="1"/>
    <x v="5"/>
    <x v="4"/>
    <x v="1"/>
    <x v="0"/>
    <x v="0"/>
    <x v="1"/>
    <x v="1"/>
    <x v="1"/>
    <x v="1"/>
    <x v="1"/>
    <x v="0"/>
    <x v="1"/>
  </r>
  <r>
    <x v="5"/>
    <x v="36"/>
    <x v="0"/>
    <x v="0"/>
    <x v="0"/>
    <x v="76"/>
    <x v="0"/>
    <x v="2"/>
    <x v="51"/>
    <x v="2"/>
    <x v="2"/>
    <n v="2.8197914693813133"/>
    <x v="20"/>
    <x v="0"/>
    <x v="3"/>
    <x v="3"/>
    <x v="1"/>
    <x v="0"/>
    <x v="0"/>
    <x v="0"/>
    <x v="1"/>
    <x v="1"/>
    <x v="1"/>
    <x v="1"/>
    <x v="1"/>
    <x v="5"/>
    <x v="2"/>
    <x v="2"/>
    <x v="0"/>
    <x v="0"/>
    <x v="1"/>
    <x v="1"/>
    <x v="1"/>
    <x v="1"/>
    <x v="1"/>
    <x v="0"/>
    <x v="1"/>
  </r>
  <r>
    <x v="5"/>
    <x v="36"/>
    <x v="0"/>
    <x v="0"/>
    <x v="0"/>
    <x v="76"/>
    <x v="0"/>
    <x v="2"/>
    <x v="51"/>
    <x v="0"/>
    <x v="3"/>
    <n v="0.99999537576328612"/>
    <x v="12"/>
    <x v="0"/>
    <x v="3"/>
    <x v="3"/>
    <x v="1"/>
    <x v="0"/>
    <x v="0"/>
    <x v="0"/>
    <x v="1"/>
    <x v="1"/>
    <x v="1"/>
    <x v="1"/>
    <x v="1"/>
    <x v="5"/>
    <x v="2"/>
    <x v="2"/>
    <x v="0"/>
    <x v="0"/>
    <x v="1"/>
    <x v="1"/>
    <x v="1"/>
    <x v="1"/>
    <x v="1"/>
    <x v="0"/>
    <x v="1"/>
  </r>
  <r>
    <x v="5"/>
    <x v="36"/>
    <x v="0"/>
    <x v="0"/>
    <x v="0"/>
    <x v="76"/>
    <x v="0"/>
    <x v="2"/>
    <x v="51"/>
    <x v="2"/>
    <x v="0"/>
    <n v="2.7545152698863635"/>
    <x v="20"/>
    <x v="0"/>
    <x v="3"/>
    <x v="3"/>
    <x v="1"/>
    <x v="0"/>
    <x v="0"/>
    <x v="0"/>
    <x v="1"/>
    <x v="1"/>
    <x v="1"/>
    <x v="1"/>
    <x v="1"/>
    <x v="5"/>
    <x v="2"/>
    <x v="2"/>
    <x v="0"/>
    <x v="0"/>
    <x v="1"/>
    <x v="1"/>
    <x v="1"/>
    <x v="1"/>
    <x v="1"/>
    <x v="0"/>
    <x v="1"/>
  </r>
  <r>
    <x v="5"/>
    <x v="36"/>
    <x v="0"/>
    <x v="0"/>
    <x v="0"/>
    <x v="76"/>
    <x v="0"/>
    <x v="2"/>
    <x v="51"/>
    <x v="2"/>
    <x v="2"/>
    <n v="2.8197914693813133"/>
    <x v="20"/>
    <x v="0"/>
    <x v="3"/>
    <x v="3"/>
    <x v="1"/>
    <x v="0"/>
    <x v="0"/>
    <x v="0"/>
    <x v="1"/>
    <x v="1"/>
    <x v="1"/>
    <x v="1"/>
    <x v="1"/>
    <x v="5"/>
    <x v="2"/>
    <x v="2"/>
    <x v="0"/>
    <x v="0"/>
    <x v="1"/>
    <x v="1"/>
    <x v="1"/>
    <x v="1"/>
    <x v="1"/>
    <x v="0"/>
    <x v="1"/>
  </r>
  <r>
    <x v="5"/>
    <x v="36"/>
    <x v="0"/>
    <x v="0"/>
    <x v="0"/>
    <x v="76"/>
    <x v="0"/>
    <x v="2"/>
    <x v="51"/>
    <x v="0"/>
    <x v="2"/>
    <n v="0.99999519393901637"/>
    <x v="12"/>
    <x v="0"/>
    <x v="3"/>
    <x v="3"/>
    <x v="1"/>
    <x v="0"/>
    <x v="0"/>
    <x v="0"/>
    <x v="1"/>
    <x v="1"/>
    <x v="1"/>
    <x v="1"/>
    <x v="1"/>
    <x v="5"/>
    <x v="2"/>
    <x v="2"/>
    <x v="0"/>
    <x v="0"/>
    <x v="1"/>
    <x v="1"/>
    <x v="1"/>
    <x v="1"/>
    <x v="1"/>
    <x v="0"/>
    <x v="1"/>
  </r>
  <r>
    <x v="5"/>
    <x v="36"/>
    <x v="0"/>
    <x v="0"/>
    <x v="0"/>
    <x v="76"/>
    <x v="0"/>
    <x v="2"/>
    <x v="51"/>
    <x v="0"/>
    <x v="0"/>
    <n v="0.99999528685001404"/>
    <x v="12"/>
    <x v="0"/>
    <x v="3"/>
    <x v="3"/>
    <x v="1"/>
    <x v="0"/>
    <x v="0"/>
    <x v="0"/>
    <x v="1"/>
    <x v="1"/>
    <x v="1"/>
    <x v="1"/>
    <x v="1"/>
    <x v="5"/>
    <x v="2"/>
    <x v="2"/>
    <x v="0"/>
    <x v="0"/>
    <x v="1"/>
    <x v="1"/>
    <x v="1"/>
    <x v="1"/>
    <x v="1"/>
    <x v="0"/>
    <x v="1"/>
  </r>
  <r>
    <x v="5"/>
    <x v="36"/>
    <x v="0"/>
    <x v="0"/>
    <x v="0"/>
    <x v="76"/>
    <x v="0"/>
    <x v="2"/>
    <x v="51"/>
    <x v="2"/>
    <x v="0"/>
    <n v="2.7545152698863635"/>
    <x v="20"/>
    <x v="0"/>
    <x v="3"/>
    <x v="3"/>
    <x v="1"/>
    <x v="0"/>
    <x v="0"/>
    <x v="0"/>
    <x v="1"/>
    <x v="1"/>
    <x v="1"/>
    <x v="1"/>
    <x v="1"/>
    <x v="5"/>
    <x v="2"/>
    <x v="2"/>
    <x v="0"/>
    <x v="0"/>
    <x v="1"/>
    <x v="1"/>
    <x v="1"/>
    <x v="1"/>
    <x v="1"/>
    <x v="0"/>
    <x v="1"/>
  </r>
  <r>
    <x v="5"/>
    <x v="36"/>
    <x v="0"/>
    <x v="0"/>
    <x v="0"/>
    <x v="76"/>
    <x v="0"/>
    <x v="2"/>
    <x v="51"/>
    <x v="2"/>
    <x v="3"/>
    <n v="2.4281439393939395"/>
    <x v="20"/>
    <x v="0"/>
    <x v="3"/>
    <x v="3"/>
    <x v="1"/>
    <x v="0"/>
    <x v="0"/>
    <x v="0"/>
    <x v="1"/>
    <x v="1"/>
    <x v="1"/>
    <x v="1"/>
    <x v="1"/>
    <x v="5"/>
    <x v="2"/>
    <x v="2"/>
    <x v="0"/>
    <x v="0"/>
    <x v="1"/>
    <x v="1"/>
    <x v="1"/>
    <x v="1"/>
    <x v="1"/>
    <x v="0"/>
    <x v="1"/>
  </r>
  <r>
    <x v="5"/>
    <x v="36"/>
    <x v="0"/>
    <x v="0"/>
    <x v="0"/>
    <x v="77"/>
    <x v="0"/>
    <x v="2"/>
    <x v="51"/>
    <x v="0"/>
    <x v="1"/>
    <n v="0.99999545858363903"/>
    <x v="12"/>
    <x v="0"/>
    <x v="3"/>
    <x v="3"/>
    <x v="1"/>
    <x v="0"/>
    <x v="0"/>
    <x v="0"/>
    <x v="1"/>
    <x v="1"/>
    <x v="1"/>
    <x v="1"/>
    <x v="1"/>
    <x v="5"/>
    <x v="4"/>
    <x v="1"/>
    <x v="0"/>
    <x v="0"/>
    <x v="1"/>
    <x v="1"/>
    <x v="1"/>
    <x v="1"/>
    <x v="1"/>
    <x v="0"/>
    <x v="1"/>
  </r>
  <r>
    <x v="5"/>
    <x v="36"/>
    <x v="0"/>
    <x v="0"/>
    <x v="0"/>
    <x v="77"/>
    <x v="0"/>
    <x v="2"/>
    <x v="51"/>
    <x v="1"/>
    <x v="1"/>
    <n v="4.9549494949494948"/>
    <x v="21"/>
    <x v="1"/>
    <x v="3"/>
    <x v="3"/>
    <x v="1"/>
    <x v="0"/>
    <x v="0"/>
    <x v="0"/>
    <x v="1"/>
    <x v="1"/>
    <x v="1"/>
    <x v="1"/>
    <x v="1"/>
    <x v="5"/>
    <x v="4"/>
    <x v="1"/>
    <x v="0"/>
    <x v="0"/>
    <x v="1"/>
    <x v="1"/>
    <x v="1"/>
    <x v="1"/>
    <x v="1"/>
    <x v="0"/>
    <x v="1"/>
  </r>
  <r>
    <x v="5"/>
    <x v="36"/>
    <x v="0"/>
    <x v="0"/>
    <x v="0"/>
    <x v="76"/>
    <x v="0"/>
    <x v="2"/>
    <x v="51"/>
    <x v="0"/>
    <x v="0"/>
    <n v="0.99999528685001404"/>
    <x v="12"/>
    <x v="0"/>
    <x v="3"/>
    <x v="3"/>
    <x v="1"/>
    <x v="0"/>
    <x v="0"/>
    <x v="0"/>
    <x v="1"/>
    <x v="1"/>
    <x v="1"/>
    <x v="1"/>
    <x v="1"/>
    <x v="5"/>
    <x v="2"/>
    <x v="2"/>
    <x v="0"/>
    <x v="0"/>
    <x v="1"/>
    <x v="1"/>
    <x v="1"/>
    <x v="1"/>
    <x v="1"/>
    <x v="0"/>
    <x v="1"/>
  </r>
  <r>
    <x v="5"/>
    <x v="36"/>
    <x v="0"/>
    <x v="0"/>
    <x v="0"/>
    <x v="76"/>
    <x v="0"/>
    <x v="2"/>
    <x v="51"/>
    <x v="1"/>
    <x v="1"/>
    <n v="4.9549494949494948"/>
    <x v="21"/>
    <x v="1"/>
    <x v="3"/>
    <x v="3"/>
    <x v="1"/>
    <x v="0"/>
    <x v="0"/>
    <x v="0"/>
    <x v="1"/>
    <x v="1"/>
    <x v="1"/>
    <x v="1"/>
    <x v="1"/>
    <x v="5"/>
    <x v="2"/>
    <x v="2"/>
    <x v="0"/>
    <x v="0"/>
    <x v="1"/>
    <x v="1"/>
    <x v="1"/>
    <x v="1"/>
    <x v="1"/>
    <x v="0"/>
    <x v="1"/>
  </r>
  <r>
    <x v="5"/>
    <x v="36"/>
    <x v="0"/>
    <x v="0"/>
    <x v="0"/>
    <x v="76"/>
    <x v="0"/>
    <x v="2"/>
    <x v="51"/>
    <x v="1"/>
    <x v="2"/>
    <n v="4.9585858585858587"/>
    <x v="21"/>
    <x v="1"/>
    <x v="3"/>
    <x v="3"/>
    <x v="1"/>
    <x v="0"/>
    <x v="0"/>
    <x v="0"/>
    <x v="1"/>
    <x v="1"/>
    <x v="1"/>
    <x v="1"/>
    <x v="1"/>
    <x v="5"/>
    <x v="2"/>
    <x v="2"/>
    <x v="0"/>
    <x v="0"/>
    <x v="1"/>
    <x v="1"/>
    <x v="1"/>
    <x v="1"/>
    <x v="1"/>
    <x v="0"/>
    <x v="1"/>
  </r>
  <r>
    <x v="5"/>
    <x v="36"/>
    <x v="0"/>
    <x v="0"/>
    <x v="0"/>
    <x v="76"/>
    <x v="0"/>
    <x v="2"/>
    <x v="51"/>
    <x v="1"/>
    <x v="0"/>
    <n v="4.6856565656565659"/>
    <x v="21"/>
    <x v="1"/>
    <x v="3"/>
    <x v="3"/>
    <x v="1"/>
    <x v="0"/>
    <x v="0"/>
    <x v="0"/>
    <x v="1"/>
    <x v="1"/>
    <x v="1"/>
    <x v="1"/>
    <x v="1"/>
    <x v="5"/>
    <x v="2"/>
    <x v="2"/>
    <x v="0"/>
    <x v="0"/>
    <x v="1"/>
    <x v="1"/>
    <x v="1"/>
    <x v="1"/>
    <x v="1"/>
    <x v="0"/>
    <x v="1"/>
  </r>
  <r>
    <x v="5"/>
    <x v="36"/>
    <x v="0"/>
    <x v="0"/>
    <x v="0"/>
    <x v="76"/>
    <x v="0"/>
    <x v="2"/>
    <x v="51"/>
    <x v="0"/>
    <x v="0"/>
    <n v="0.99999528685001404"/>
    <x v="12"/>
    <x v="0"/>
    <x v="3"/>
    <x v="3"/>
    <x v="1"/>
    <x v="0"/>
    <x v="0"/>
    <x v="0"/>
    <x v="1"/>
    <x v="1"/>
    <x v="1"/>
    <x v="1"/>
    <x v="1"/>
    <x v="5"/>
    <x v="2"/>
    <x v="2"/>
    <x v="0"/>
    <x v="0"/>
    <x v="1"/>
    <x v="1"/>
    <x v="1"/>
    <x v="1"/>
    <x v="1"/>
    <x v="0"/>
    <x v="1"/>
  </r>
  <r>
    <x v="5"/>
    <x v="36"/>
    <x v="0"/>
    <x v="0"/>
    <x v="0"/>
    <x v="76"/>
    <x v="0"/>
    <x v="2"/>
    <x v="51"/>
    <x v="2"/>
    <x v="3"/>
    <n v="2.4281439393939395"/>
    <x v="20"/>
    <x v="0"/>
    <x v="3"/>
    <x v="3"/>
    <x v="1"/>
    <x v="0"/>
    <x v="0"/>
    <x v="0"/>
    <x v="1"/>
    <x v="1"/>
    <x v="1"/>
    <x v="1"/>
    <x v="1"/>
    <x v="5"/>
    <x v="2"/>
    <x v="2"/>
    <x v="0"/>
    <x v="0"/>
    <x v="1"/>
    <x v="1"/>
    <x v="1"/>
    <x v="1"/>
    <x v="1"/>
    <x v="0"/>
    <x v="1"/>
  </r>
  <r>
    <x v="5"/>
    <x v="36"/>
    <x v="0"/>
    <x v="0"/>
    <x v="0"/>
    <x v="76"/>
    <x v="0"/>
    <x v="2"/>
    <x v="51"/>
    <x v="1"/>
    <x v="3"/>
    <n v="4.2335353535353537"/>
    <x v="21"/>
    <x v="1"/>
    <x v="3"/>
    <x v="3"/>
    <x v="1"/>
    <x v="0"/>
    <x v="0"/>
    <x v="0"/>
    <x v="1"/>
    <x v="1"/>
    <x v="1"/>
    <x v="1"/>
    <x v="1"/>
    <x v="5"/>
    <x v="2"/>
    <x v="2"/>
    <x v="0"/>
    <x v="0"/>
    <x v="1"/>
    <x v="1"/>
    <x v="1"/>
    <x v="1"/>
    <x v="1"/>
    <x v="0"/>
    <x v="1"/>
  </r>
  <r>
    <x v="5"/>
    <x v="36"/>
    <x v="0"/>
    <x v="0"/>
    <x v="0"/>
    <x v="76"/>
    <x v="0"/>
    <x v="2"/>
    <x v="51"/>
    <x v="1"/>
    <x v="2"/>
    <n v="4.9585858585858587"/>
    <x v="21"/>
    <x v="1"/>
    <x v="3"/>
    <x v="3"/>
    <x v="1"/>
    <x v="0"/>
    <x v="0"/>
    <x v="0"/>
    <x v="1"/>
    <x v="1"/>
    <x v="1"/>
    <x v="1"/>
    <x v="1"/>
    <x v="5"/>
    <x v="2"/>
    <x v="2"/>
    <x v="0"/>
    <x v="0"/>
    <x v="1"/>
    <x v="1"/>
    <x v="1"/>
    <x v="1"/>
    <x v="1"/>
    <x v="0"/>
    <x v="1"/>
  </r>
  <r>
    <x v="5"/>
    <x v="36"/>
    <x v="0"/>
    <x v="0"/>
    <x v="0"/>
    <x v="76"/>
    <x v="0"/>
    <x v="2"/>
    <x v="51"/>
    <x v="1"/>
    <x v="1"/>
    <n v="4.9549494949494948"/>
    <x v="21"/>
    <x v="1"/>
    <x v="3"/>
    <x v="3"/>
    <x v="1"/>
    <x v="0"/>
    <x v="0"/>
    <x v="0"/>
    <x v="1"/>
    <x v="1"/>
    <x v="1"/>
    <x v="1"/>
    <x v="1"/>
    <x v="5"/>
    <x v="2"/>
    <x v="2"/>
    <x v="0"/>
    <x v="0"/>
    <x v="1"/>
    <x v="1"/>
    <x v="1"/>
    <x v="1"/>
    <x v="1"/>
    <x v="0"/>
    <x v="1"/>
  </r>
  <r>
    <x v="5"/>
    <x v="36"/>
    <x v="0"/>
    <x v="0"/>
    <x v="0"/>
    <x v="76"/>
    <x v="0"/>
    <x v="2"/>
    <x v="51"/>
    <x v="1"/>
    <x v="0"/>
    <n v="4.6856565656565659"/>
    <x v="21"/>
    <x v="1"/>
    <x v="3"/>
    <x v="3"/>
    <x v="1"/>
    <x v="0"/>
    <x v="0"/>
    <x v="0"/>
    <x v="1"/>
    <x v="1"/>
    <x v="1"/>
    <x v="1"/>
    <x v="1"/>
    <x v="5"/>
    <x v="2"/>
    <x v="2"/>
    <x v="0"/>
    <x v="0"/>
    <x v="1"/>
    <x v="1"/>
    <x v="1"/>
    <x v="1"/>
    <x v="1"/>
    <x v="0"/>
    <x v="1"/>
  </r>
  <r>
    <x v="5"/>
    <x v="36"/>
    <x v="0"/>
    <x v="0"/>
    <x v="0"/>
    <x v="76"/>
    <x v="0"/>
    <x v="2"/>
    <x v="51"/>
    <x v="2"/>
    <x v="3"/>
    <n v="2.4281439393939395"/>
    <x v="20"/>
    <x v="0"/>
    <x v="3"/>
    <x v="3"/>
    <x v="1"/>
    <x v="0"/>
    <x v="0"/>
    <x v="0"/>
    <x v="1"/>
    <x v="1"/>
    <x v="1"/>
    <x v="1"/>
    <x v="1"/>
    <x v="5"/>
    <x v="2"/>
    <x v="2"/>
    <x v="0"/>
    <x v="0"/>
    <x v="1"/>
    <x v="1"/>
    <x v="1"/>
    <x v="1"/>
    <x v="1"/>
    <x v="0"/>
    <x v="1"/>
  </r>
  <r>
    <x v="5"/>
    <x v="36"/>
    <x v="0"/>
    <x v="0"/>
    <x v="0"/>
    <x v="76"/>
    <x v="0"/>
    <x v="2"/>
    <x v="51"/>
    <x v="2"/>
    <x v="2"/>
    <n v="2.8197914693813133"/>
    <x v="20"/>
    <x v="0"/>
    <x v="3"/>
    <x v="3"/>
    <x v="1"/>
    <x v="0"/>
    <x v="0"/>
    <x v="0"/>
    <x v="1"/>
    <x v="1"/>
    <x v="1"/>
    <x v="1"/>
    <x v="1"/>
    <x v="5"/>
    <x v="2"/>
    <x v="2"/>
    <x v="0"/>
    <x v="0"/>
    <x v="1"/>
    <x v="1"/>
    <x v="1"/>
    <x v="1"/>
    <x v="1"/>
    <x v="0"/>
    <x v="1"/>
  </r>
  <r>
    <x v="5"/>
    <x v="36"/>
    <x v="0"/>
    <x v="0"/>
    <x v="0"/>
    <x v="76"/>
    <x v="0"/>
    <x v="2"/>
    <x v="51"/>
    <x v="2"/>
    <x v="1"/>
    <n v="2.8135444286616162"/>
    <x v="20"/>
    <x v="0"/>
    <x v="3"/>
    <x v="3"/>
    <x v="1"/>
    <x v="0"/>
    <x v="0"/>
    <x v="0"/>
    <x v="1"/>
    <x v="1"/>
    <x v="1"/>
    <x v="1"/>
    <x v="1"/>
    <x v="5"/>
    <x v="2"/>
    <x v="2"/>
    <x v="0"/>
    <x v="0"/>
    <x v="1"/>
    <x v="1"/>
    <x v="1"/>
    <x v="1"/>
    <x v="1"/>
    <x v="0"/>
    <x v="1"/>
  </r>
  <r>
    <x v="5"/>
    <x v="36"/>
    <x v="0"/>
    <x v="0"/>
    <x v="0"/>
    <x v="76"/>
    <x v="0"/>
    <x v="2"/>
    <x v="51"/>
    <x v="0"/>
    <x v="1"/>
    <n v="0.99999545858363903"/>
    <x v="12"/>
    <x v="0"/>
    <x v="3"/>
    <x v="3"/>
    <x v="1"/>
    <x v="0"/>
    <x v="0"/>
    <x v="0"/>
    <x v="1"/>
    <x v="1"/>
    <x v="1"/>
    <x v="1"/>
    <x v="1"/>
    <x v="5"/>
    <x v="2"/>
    <x v="2"/>
    <x v="0"/>
    <x v="0"/>
    <x v="1"/>
    <x v="1"/>
    <x v="1"/>
    <x v="1"/>
    <x v="1"/>
    <x v="0"/>
    <x v="1"/>
  </r>
  <r>
    <x v="5"/>
    <x v="36"/>
    <x v="0"/>
    <x v="0"/>
    <x v="0"/>
    <x v="76"/>
    <x v="0"/>
    <x v="2"/>
    <x v="51"/>
    <x v="0"/>
    <x v="2"/>
    <n v="0.99999519393901637"/>
    <x v="12"/>
    <x v="0"/>
    <x v="3"/>
    <x v="3"/>
    <x v="1"/>
    <x v="0"/>
    <x v="0"/>
    <x v="0"/>
    <x v="1"/>
    <x v="1"/>
    <x v="1"/>
    <x v="1"/>
    <x v="1"/>
    <x v="5"/>
    <x v="2"/>
    <x v="2"/>
    <x v="0"/>
    <x v="0"/>
    <x v="1"/>
    <x v="1"/>
    <x v="1"/>
    <x v="1"/>
    <x v="1"/>
    <x v="0"/>
    <x v="1"/>
  </r>
  <r>
    <x v="5"/>
    <x v="36"/>
    <x v="0"/>
    <x v="0"/>
    <x v="0"/>
    <x v="76"/>
    <x v="0"/>
    <x v="2"/>
    <x v="51"/>
    <x v="1"/>
    <x v="2"/>
    <n v="4.9585858585858587"/>
    <x v="21"/>
    <x v="1"/>
    <x v="3"/>
    <x v="3"/>
    <x v="1"/>
    <x v="0"/>
    <x v="0"/>
    <x v="0"/>
    <x v="1"/>
    <x v="1"/>
    <x v="1"/>
    <x v="1"/>
    <x v="1"/>
    <x v="5"/>
    <x v="2"/>
    <x v="2"/>
    <x v="0"/>
    <x v="0"/>
    <x v="1"/>
    <x v="1"/>
    <x v="1"/>
    <x v="1"/>
    <x v="1"/>
    <x v="0"/>
    <x v="1"/>
  </r>
  <r>
    <x v="5"/>
    <x v="36"/>
    <x v="0"/>
    <x v="0"/>
    <x v="0"/>
    <x v="76"/>
    <x v="0"/>
    <x v="2"/>
    <x v="51"/>
    <x v="2"/>
    <x v="0"/>
    <n v="2.7545152698863635"/>
    <x v="20"/>
    <x v="0"/>
    <x v="3"/>
    <x v="3"/>
    <x v="1"/>
    <x v="0"/>
    <x v="0"/>
    <x v="0"/>
    <x v="1"/>
    <x v="1"/>
    <x v="1"/>
    <x v="1"/>
    <x v="1"/>
    <x v="5"/>
    <x v="2"/>
    <x v="2"/>
    <x v="0"/>
    <x v="0"/>
    <x v="1"/>
    <x v="1"/>
    <x v="1"/>
    <x v="1"/>
    <x v="1"/>
    <x v="0"/>
    <x v="1"/>
  </r>
  <r>
    <x v="5"/>
    <x v="36"/>
    <x v="0"/>
    <x v="0"/>
    <x v="0"/>
    <x v="76"/>
    <x v="0"/>
    <x v="2"/>
    <x v="51"/>
    <x v="0"/>
    <x v="2"/>
    <n v="0.99999519393901637"/>
    <x v="12"/>
    <x v="0"/>
    <x v="3"/>
    <x v="3"/>
    <x v="1"/>
    <x v="0"/>
    <x v="0"/>
    <x v="0"/>
    <x v="1"/>
    <x v="1"/>
    <x v="1"/>
    <x v="1"/>
    <x v="1"/>
    <x v="5"/>
    <x v="2"/>
    <x v="2"/>
    <x v="0"/>
    <x v="0"/>
    <x v="1"/>
    <x v="1"/>
    <x v="1"/>
    <x v="1"/>
    <x v="1"/>
    <x v="0"/>
    <x v="1"/>
  </r>
  <r>
    <x v="5"/>
    <x v="36"/>
    <x v="0"/>
    <x v="0"/>
    <x v="0"/>
    <x v="76"/>
    <x v="0"/>
    <x v="2"/>
    <x v="51"/>
    <x v="0"/>
    <x v="1"/>
    <n v="0.99999545858363903"/>
    <x v="12"/>
    <x v="0"/>
    <x v="3"/>
    <x v="3"/>
    <x v="1"/>
    <x v="0"/>
    <x v="0"/>
    <x v="0"/>
    <x v="1"/>
    <x v="1"/>
    <x v="1"/>
    <x v="1"/>
    <x v="1"/>
    <x v="5"/>
    <x v="2"/>
    <x v="2"/>
    <x v="0"/>
    <x v="0"/>
    <x v="1"/>
    <x v="1"/>
    <x v="1"/>
    <x v="1"/>
    <x v="1"/>
    <x v="0"/>
    <x v="1"/>
  </r>
  <r>
    <x v="5"/>
    <x v="36"/>
    <x v="0"/>
    <x v="0"/>
    <x v="0"/>
    <x v="76"/>
    <x v="0"/>
    <x v="2"/>
    <x v="51"/>
    <x v="0"/>
    <x v="0"/>
    <n v="0.99999528685001404"/>
    <x v="12"/>
    <x v="0"/>
    <x v="3"/>
    <x v="3"/>
    <x v="1"/>
    <x v="0"/>
    <x v="0"/>
    <x v="0"/>
    <x v="1"/>
    <x v="1"/>
    <x v="1"/>
    <x v="1"/>
    <x v="1"/>
    <x v="5"/>
    <x v="2"/>
    <x v="2"/>
    <x v="0"/>
    <x v="0"/>
    <x v="1"/>
    <x v="1"/>
    <x v="1"/>
    <x v="1"/>
    <x v="1"/>
    <x v="0"/>
    <x v="1"/>
  </r>
  <r>
    <x v="5"/>
    <x v="36"/>
    <x v="0"/>
    <x v="0"/>
    <x v="0"/>
    <x v="76"/>
    <x v="0"/>
    <x v="2"/>
    <x v="51"/>
    <x v="1"/>
    <x v="3"/>
    <n v="4.2335353535353537"/>
    <x v="21"/>
    <x v="1"/>
    <x v="3"/>
    <x v="3"/>
    <x v="1"/>
    <x v="0"/>
    <x v="0"/>
    <x v="0"/>
    <x v="1"/>
    <x v="1"/>
    <x v="1"/>
    <x v="1"/>
    <x v="1"/>
    <x v="5"/>
    <x v="2"/>
    <x v="2"/>
    <x v="0"/>
    <x v="0"/>
    <x v="1"/>
    <x v="1"/>
    <x v="1"/>
    <x v="1"/>
    <x v="1"/>
    <x v="0"/>
    <x v="1"/>
  </r>
  <r>
    <x v="5"/>
    <x v="36"/>
    <x v="0"/>
    <x v="0"/>
    <x v="0"/>
    <x v="76"/>
    <x v="0"/>
    <x v="2"/>
    <x v="51"/>
    <x v="0"/>
    <x v="3"/>
    <n v="0.99999537576328612"/>
    <x v="12"/>
    <x v="0"/>
    <x v="3"/>
    <x v="3"/>
    <x v="1"/>
    <x v="0"/>
    <x v="0"/>
    <x v="0"/>
    <x v="1"/>
    <x v="1"/>
    <x v="1"/>
    <x v="1"/>
    <x v="1"/>
    <x v="5"/>
    <x v="2"/>
    <x v="2"/>
    <x v="0"/>
    <x v="0"/>
    <x v="1"/>
    <x v="1"/>
    <x v="1"/>
    <x v="1"/>
    <x v="1"/>
    <x v="0"/>
    <x v="1"/>
  </r>
  <r>
    <x v="5"/>
    <x v="36"/>
    <x v="0"/>
    <x v="0"/>
    <x v="0"/>
    <x v="76"/>
    <x v="0"/>
    <x v="2"/>
    <x v="51"/>
    <x v="0"/>
    <x v="1"/>
    <n v="0.99999545858363903"/>
    <x v="12"/>
    <x v="0"/>
    <x v="3"/>
    <x v="3"/>
    <x v="1"/>
    <x v="0"/>
    <x v="0"/>
    <x v="0"/>
    <x v="1"/>
    <x v="1"/>
    <x v="1"/>
    <x v="1"/>
    <x v="1"/>
    <x v="5"/>
    <x v="2"/>
    <x v="2"/>
    <x v="0"/>
    <x v="0"/>
    <x v="1"/>
    <x v="1"/>
    <x v="1"/>
    <x v="1"/>
    <x v="1"/>
    <x v="0"/>
    <x v="1"/>
  </r>
  <r>
    <x v="5"/>
    <x v="36"/>
    <x v="0"/>
    <x v="0"/>
    <x v="0"/>
    <x v="76"/>
    <x v="0"/>
    <x v="2"/>
    <x v="51"/>
    <x v="0"/>
    <x v="3"/>
    <n v="0.99999537576328612"/>
    <x v="12"/>
    <x v="0"/>
    <x v="3"/>
    <x v="3"/>
    <x v="1"/>
    <x v="0"/>
    <x v="0"/>
    <x v="0"/>
    <x v="1"/>
    <x v="1"/>
    <x v="1"/>
    <x v="1"/>
    <x v="1"/>
    <x v="5"/>
    <x v="2"/>
    <x v="2"/>
    <x v="0"/>
    <x v="0"/>
    <x v="1"/>
    <x v="1"/>
    <x v="1"/>
    <x v="1"/>
    <x v="1"/>
    <x v="0"/>
    <x v="1"/>
  </r>
  <r>
    <x v="5"/>
    <x v="36"/>
    <x v="0"/>
    <x v="0"/>
    <x v="0"/>
    <x v="76"/>
    <x v="0"/>
    <x v="2"/>
    <x v="51"/>
    <x v="1"/>
    <x v="3"/>
    <n v="4.2335353535353537"/>
    <x v="21"/>
    <x v="1"/>
    <x v="3"/>
    <x v="3"/>
    <x v="1"/>
    <x v="0"/>
    <x v="0"/>
    <x v="0"/>
    <x v="1"/>
    <x v="1"/>
    <x v="1"/>
    <x v="1"/>
    <x v="1"/>
    <x v="5"/>
    <x v="2"/>
    <x v="2"/>
    <x v="0"/>
    <x v="0"/>
    <x v="1"/>
    <x v="1"/>
    <x v="1"/>
    <x v="1"/>
    <x v="1"/>
    <x v="0"/>
    <x v="1"/>
  </r>
  <r>
    <x v="5"/>
    <x v="36"/>
    <x v="0"/>
    <x v="0"/>
    <x v="0"/>
    <x v="76"/>
    <x v="0"/>
    <x v="2"/>
    <x v="51"/>
    <x v="2"/>
    <x v="1"/>
    <n v="2.8135444286616162"/>
    <x v="20"/>
    <x v="0"/>
    <x v="3"/>
    <x v="3"/>
    <x v="1"/>
    <x v="0"/>
    <x v="0"/>
    <x v="0"/>
    <x v="1"/>
    <x v="1"/>
    <x v="1"/>
    <x v="1"/>
    <x v="1"/>
    <x v="5"/>
    <x v="2"/>
    <x v="2"/>
    <x v="0"/>
    <x v="0"/>
    <x v="1"/>
    <x v="1"/>
    <x v="1"/>
    <x v="1"/>
    <x v="1"/>
    <x v="0"/>
    <x v="1"/>
  </r>
  <r>
    <x v="5"/>
    <x v="36"/>
    <x v="0"/>
    <x v="0"/>
    <x v="0"/>
    <x v="76"/>
    <x v="0"/>
    <x v="2"/>
    <x v="51"/>
    <x v="1"/>
    <x v="1"/>
    <n v="4.9549494949494948"/>
    <x v="21"/>
    <x v="1"/>
    <x v="3"/>
    <x v="3"/>
    <x v="1"/>
    <x v="0"/>
    <x v="0"/>
    <x v="0"/>
    <x v="1"/>
    <x v="1"/>
    <x v="1"/>
    <x v="1"/>
    <x v="1"/>
    <x v="5"/>
    <x v="2"/>
    <x v="2"/>
    <x v="0"/>
    <x v="0"/>
    <x v="1"/>
    <x v="1"/>
    <x v="1"/>
    <x v="1"/>
    <x v="1"/>
    <x v="0"/>
    <x v="1"/>
  </r>
  <r>
    <x v="5"/>
    <x v="36"/>
    <x v="0"/>
    <x v="0"/>
    <x v="0"/>
    <x v="76"/>
    <x v="0"/>
    <x v="2"/>
    <x v="51"/>
    <x v="1"/>
    <x v="3"/>
    <n v="4.2335353535353537"/>
    <x v="21"/>
    <x v="1"/>
    <x v="3"/>
    <x v="3"/>
    <x v="1"/>
    <x v="0"/>
    <x v="0"/>
    <x v="0"/>
    <x v="1"/>
    <x v="1"/>
    <x v="1"/>
    <x v="1"/>
    <x v="1"/>
    <x v="5"/>
    <x v="2"/>
    <x v="2"/>
    <x v="0"/>
    <x v="0"/>
    <x v="1"/>
    <x v="1"/>
    <x v="1"/>
    <x v="1"/>
    <x v="1"/>
    <x v="0"/>
    <x v="1"/>
  </r>
  <r>
    <x v="5"/>
    <x v="36"/>
    <x v="0"/>
    <x v="0"/>
    <x v="0"/>
    <x v="76"/>
    <x v="0"/>
    <x v="2"/>
    <x v="51"/>
    <x v="2"/>
    <x v="0"/>
    <n v="2.7545152698863635"/>
    <x v="20"/>
    <x v="0"/>
    <x v="3"/>
    <x v="3"/>
    <x v="1"/>
    <x v="0"/>
    <x v="0"/>
    <x v="0"/>
    <x v="1"/>
    <x v="1"/>
    <x v="1"/>
    <x v="1"/>
    <x v="1"/>
    <x v="5"/>
    <x v="2"/>
    <x v="2"/>
    <x v="0"/>
    <x v="0"/>
    <x v="1"/>
    <x v="1"/>
    <x v="1"/>
    <x v="1"/>
    <x v="1"/>
    <x v="0"/>
    <x v="1"/>
  </r>
  <r>
    <x v="5"/>
    <x v="36"/>
    <x v="0"/>
    <x v="0"/>
    <x v="0"/>
    <x v="76"/>
    <x v="0"/>
    <x v="2"/>
    <x v="51"/>
    <x v="1"/>
    <x v="2"/>
    <n v="4.9585858585858587"/>
    <x v="21"/>
    <x v="1"/>
    <x v="3"/>
    <x v="3"/>
    <x v="1"/>
    <x v="0"/>
    <x v="0"/>
    <x v="0"/>
    <x v="1"/>
    <x v="1"/>
    <x v="1"/>
    <x v="1"/>
    <x v="1"/>
    <x v="5"/>
    <x v="2"/>
    <x v="2"/>
    <x v="0"/>
    <x v="0"/>
    <x v="1"/>
    <x v="1"/>
    <x v="1"/>
    <x v="1"/>
    <x v="1"/>
    <x v="0"/>
    <x v="1"/>
  </r>
  <r>
    <x v="5"/>
    <x v="36"/>
    <x v="0"/>
    <x v="0"/>
    <x v="0"/>
    <x v="76"/>
    <x v="0"/>
    <x v="2"/>
    <x v="51"/>
    <x v="2"/>
    <x v="1"/>
    <n v="2.8135444286616162"/>
    <x v="20"/>
    <x v="0"/>
    <x v="3"/>
    <x v="3"/>
    <x v="1"/>
    <x v="0"/>
    <x v="0"/>
    <x v="0"/>
    <x v="1"/>
    <x v="1"/>
    <x v="1"/>
    <x v="1"/>
    <x v="1"/>
    <x v="5"/>
    <x v="2"/>
    <x v="2"/>
    <x v="0"/>
    <x v="0"/>
    <x v="1"/>
    <x v="1"/>
    <x v="1"/>
    <x v="1"/>
    <x v="1"/>
    <x v="0"/>
    <x v="1"/>
  </r>
  <r>
    <x v="5"/>
    <x v="36"/>
    <x v="0"/>
    <x v="0"/>
    <x v="0"/>
    <x v="76"/>
    <x v="0"/>
    <x v="2"/>
    <x v="51"/>
    <x v="1"/>
    <x v="3"/>
    <n v="4.2335353535353537"/>
    <x v="21"/>
    <x v="1"/>
    <x v="3"/>
    <x v="3"/>
    <x v="1"/>
    <x v="0"/>
    <x v="0"/>
    <x v="0"/>
    <x v="1"/>
    <x v="1"/>
    <x v="1"/>
    <x v="1"/>
    <x v="1"/>
    <x v="5"/>
    <x v="2"/>
    <x v="2"/>
    <x v="0"/>
    <x v="0"/>
    <x v="1"/>
    <x v="1"/>
    <x v="1"/>
    <x v="1"/>
    <x v="1"/>
    <x v="0"/>
    <x v="1"/>
  </r>
  <r>
    <x v="5"/>
    <x v="36"/>
    <x v="0"/>
    <x v="0"/>
    <x v="0"/>
    <x v="76"/>
    <x v="0"/>
    <x v="2"/>
    <x v="52"/>
    <x v="0"/>
    <x v="0"/>
    <n v="0.99999528685001404"/>
    <x v="12"/>
    <x v="0"/>
    <x v="3"/>
    <x v="3"/>
    <x v="1"/>
    <x v="0"/>
    <x v="0"/>
    <x v="0"/>
    <x v="1"/>
    <x v="1"/>
    <x v="1"/>
    <x v="1"/>
    <x v="1"/>
    <x v="5"/>
    <x v="2"/>
    <x v="2"/>
    <x v="0"/>
    <x v="0"/>
    <x v="1"/>
    <x v="1"/>
    <x v="1"/>
    <x v="1"/>
    <x v="1"/>
    <x v="0"/>
    <x v="1"/>
  </r>
  <r>
    <x v="5"/>
    <x v="36"/>
    <x v="0"/>
    <x v="0"/>
    <x v="0"/>
    <x v="76"/>
    <x v="0"/>
    <x v="2"/>
    <x v="52"/>
    <x v="2"/>
    <x v="2"/>
    <n v="2.8197914693813133"/>
    <x v="20"/>
    <x v="0"/>
    <x v="3"/>
    <x v="3"/>
    <x v="1"/>
    <x v="0"/>
    <x v="0"/>
    <x v="0"/>
    <x v="1"/>
    <x v="1"/>
    <x v="1"/>
    <x v="1"/>
    <x v="1"/>
    <x v="5"/>
    <x v="2"/>
    <x v="2"/>
    <x v="0"/>
    <x v="0"/>
    <x v="1"/>
    <x v="1"/>
    <x v="1"/>
    <x v="1"/>
    <x v="1"/>
    <x v="0"/>
    <x v="1"/>
  </r>
  <r>
    <x v="5"/>
    <x v="36"/>
    <x v="0"/>
    <x v="0"/>
    <x v="0"/>
    <x v="76"/>
    <x v="0"/>
    <x v="2"/>
    <x v="52"/>
    <x v="1"/>
    <x v="2"/>
    <n v="4.9585858585858587"/>
    <x v="21"/>
    <x v="1"/>
    <x v="3"/>
    <x v="3"/>
    <x v="1"/>
    <x v="0"/>
    <x v="0"/>
    <x v="0"/>
    <x v="1"/>
    <x v="1"/>
    <x v="1"/>
    <x v="1"/>
    <x v="1"/>
    <x v="5"/>
    <x v="2"/>
    <x v="2"/>
    <x v="0"/>
    <x v="0"/>
    <x v="1"/>
    <x v="1"/>
    <x v="1"/>
    <x v="1"/>
    <x v="1"/>
    <x v="0"/>
    <x v="1"/>
  </r>
  <r>
    <x v="5"/>
    <x v="36"/>
    <x v="0"/>
    <x v="0"/>
    <x v="0"/>
    <x v="76"/>
    <x v="0"/>
    <x v="2"/>
    <x v="52"/>
    <x v="2"/>
    <x v="0"/>
    <n v="2.7545152698863635"/>
    <x v="20"/>
    <x v="0"/>
    <x v="3"/>
    <x v="3"/>
    <x v="1"/>
    <x v="0"/>
    <x v="0"/>
    <x v="0"/>
    <x v="1"/>
    <x v="1"/>
    <x v="1"/>
    <x v="1"/>
    <x v="1"/>
    <x v="5"/>
    <x v="2"/>
    <x v="2"/>
    <x v="0"/>
    <x v="0"/>
    <x v="1"/>
    <x v="1"/>
    <x v="1"/>
    <x v="1"/>
    <x v="1"/>
    <x v="0"/>
    <x v="1"/>
  </r>
  <r>
    <x v="5"/>
    <x v="36"/>
    <x v="0"/>
    <x v="0"/>
    <x v="0"/>
    <x v="76"/>
    <x v="0"/>
    <x v="2"/>
    <x v="52"/>
    <x v="2"/>
    <x v="3"/>
    <n v="2.4281439393939395"/>
    <x v="20"/>
    <x v="0"/>
    <x v="3"/>
    <x v="3"/>
    <x v="1"/>
    <x v="0"/>
    <x v="0"/>
    <x v="0"/>
    <x v="1"/>
    <x v="1"/>
    <x v="1"/>
    <x v="1"/>
    <x v="1"/>
    <x v="5"/>
    <x v="2"/>
    <x v="2"/>
    <x v="0"/>
    <x v="0"/>
    <x v="1"/>
    <x v="1"/>
    <x v="1"/>
    <x v="1"/>
    <x v="1"/>
    <x v="0"/>
    <x v="1"/>
  </r>
  <r>
    <x v="5"/>
    <x v="36"/>
    <x v="0"/>
    <x v="0"/>
    <x v="0"/>
    <x v="76"/>
    <x v="0"/>
    <x v="2"/>
    <x v="52"/>
    <x v="1"/>
    <x v="2"/>
    <n v="4.9585858585858587"/>
    <x v="21"/>
    <x v="1"/>
    <x v="3"/>
    <x v="3"/>
    <x v="1"/>
    <x v="0"/>
    <x v="0"/>
    <x v="0"/>
    <x v="1"/>
    <x v="1"/>
    <x v="1"/>
    <x v="1"/>
    <x v="1"/>
    <x v="5"/>
    <x v="2"/>
    <x v="2"/>
    <x v="0"/>
    <x v="0"/>
    <x v="1"/>
    <x v="1"/>
    <x v="1"/>
    <x v="1"/>
    <x v="1"/>
    <x v="0"/>
    <x v="1"/>
  </r>
  <r>
    <x v="5"/>
    <x v="36"/>
    <x v="0"/>
    <x v="0"/>
    <x v="0"/>
    <x v="76"/>
    <x v="0"/>
    <x v="2"/>
    <x v="52"/>
    <x v="0"/>
    <x v="1"/>
    <n v="0.99999545858363903"/>
    <x v="12"/>
    <x v="0"/>
    <x v="3"/>
    <x v="3"/>
    <x v="1"/>
    <x v="0"/>
    <x v="0"/>
    <x v="0"/>
    <x v="1"/>
    <x v="1"/>
    <x v="1"/>
    <x v="1"/>
    <x v="1"/>
    <x v="5"/>
    <x v="2"/>
    <x v="2"/>
    <x v="0"/>
    <x v="0"/>
    <x v="1"/>
    <x v="1"/>
    <x v="1"/>
    <x v="1"/>
    <x v="1"/>
    <x v="0"/>
    <x v="1"/>
  </r>
  <r>
    <x v="5"/>
    <x v="36"/>
    <x v="0"/>
    <x v="0"/>
    <x v="0"/>
    <x v="76"/>
    <x v="0"/>
    <x v="2"/>
    <x v="52"/>
    <x v="2"/>
    <x v="1"/>
    <n v="2.8135444286616162"/>
    <x v="20"/>
    <x v="0"/>
    <x v="3"/>
    <x v="3"/>
    <x v="1"/>
    <x v="0"/>
    <x v="0"/>
    <x v="0"/>
    <x v="1"/>
    <x v="1"/>
    <x v="1"/>
    <x v="1"/>
    <x v="1"/>
    <x v="5"/>
    <x v="2"/>
    <x v="2"/>
    <x v="0"/>
    <x v="0"/>
    <x v="1"/>
    <x v="1"/>
    <x v="1"/>
    <x v="1"/>
    <x v="1"/>
    <x v="0"/>
    <x v="1"/>
  </r>
  <r>
    <x v="5"/>
    <x v="36"/>
    <x v="0"/>
    <x v="0"/>
    <x v="0"/>
    <x v="76"/>
    <x v="0"/>
    <x v="2"/>
    <x v="52"/>
    <x v="2"/>
    <x v="0"/>
    <n v="2.7545152698863635"/>
    <x v="20"/>
    <x v="0"/>
    <x v="3"/>
    <x v="3"/>
    <x v="1"/>
    <x v="0"/>
    <x v="0"/>
    <x v="0"/>
    <x v="1"/>
    <x v="1"/>
    <x v="1"/>
    <x v="1"/>
    <x v="1"/>
    <x v="5"/>
    <x v="2"/>
    <x v="2"/>
    <x v="0"/>
    <x v="0"/>
    <x v="1"/>
    <x v="1"/>
    <x v="1"/>
    <x v="1"/>
    <x v="1"/>
    <x v="0"/>
    <x v="1"/>
  </r>
  <r>
    <x v="5"/>
    <x v="36"/>
    <x v="0"/>
    <x v="0"/>
    <x v="0"/>
    <x v="76"/>
    <x v="0"/>
    <x v="2"/>
    <x v="52"/>
    <x v="1"/>
    <x v="0"/>
    <n v="4.6856565656565659"/>
    <x v="21"/>
    <x v="1"/>
    <x v="3"/>
    <x v="3"/>
    <x v="1"/>
    <x v="0"/>
    <x v="0"/>
    <x v="0"/>
    <x v="1"/>
    <x v="1"/>
    <x v="1"/>
    <x v="1"/>
    <x v="1"/>
    <x v="5"/>
    <x v="2"/>
    <x v="2"/>
    <x v="0"/>
    <x v="0"/>
    <x v="1"/>
    <x v="1"/>
    <x v="1"/>
    <x v="1"/>
    <x v="1"/>
    <x v="0"/>
    <x v="1"/>
  </r>
  <r>
    <x v="5"/>
    <x v="36"/>
    <x v="0"/>
    <x v="0"/>
    <x v="0"/>
    <x v="76"/>
    <x v="0"/>
    <x v="2"/>
    <x v="52"/>
    <x v="0"/>
    <x v="2"/>
    <n v="0.99999519393901637"/>
    <x v="12"/>
    <x v="0"/>
    <x v="3"/>
    <x v="3"/>
    <x v="1"/>
    <x v="0"/>
    <x v="0"/>
    <x v="0"/>
    <x v="1"/>
    <x v="1"/>
    <x v="1"/>
    <x v="1"/>
    <x v="1"/>
    <x v="5"/>
    <x v="2"/>
    <x v="2"/>
    <x v="0"/>
    <x v="0"/>
    <x v="1"/>
    <x v="1"/>
    <x v="1"/>
    <x v="1"/>
    <x v="1"/>
    <x v="0"/>
    <x v="1"/>
  </r>
  <r>
    <x v="5"/>
    <x v="36"/>
    <x v="0"/>
    <x v="0"/>
    <x v="0"/>
    <x v="76"/>
    <x v="0"/>
    <x v="2"/>
    <x v="52"/>
    <x v="0"/>
    <x v="3"/>
    <n v="0.99999537576328612"/>
    <x v="12"/>
    <x v="0"/>
    <x v="3"/>
    <x v="3"/>
    <x v="1"/>
    <x v="0"/>
    <x v="0"/>
    <x v="0"/>
    <x v="1"/>
    <x v="1"/>
    <x v="1"/>
    <x v="1"/>
    <x v="1"/>
    <x v="5"/>
    <x v="2"/>
    <x v="2"/>
    <x v="0"/>
    <x v="0"/>
    <x v="1"/>
    <x v="1"/>
    <x v="1"/>
    <x v="1"/>
    <x v="1"/>
    <x v="0"/>
    <x v="1"/>
  </r>
  <r>
    <x v="5"/>
    <x v="36"/>
    <x v="0"/>
    <x v="0"/>
    <x v="0"/>
    <x v="76"/>
    <x v="0"/>
    <x v="2"/>
    <x v="52"/>
    <x v="0"/>
    <x v="2"/>
    <n v="0.99999519393901637"/>
    <x v="12"/>
    <x v="0"/>
    <x v="3"/>
    <x v="3"/>
    <x v="1"/>
    <x v="0"/>
    <x v="0"/>
    <x v="0"/>
    <x v="1"/>
    <x v="1"/>
    <x v="1"/>
    <x v="1"/>
    <x v="1"/>
    <x v="5"/>
    <x v="2"/>
    <x v="2"/>
    <x v="0"/>
    <x v="0"/>
    <x v="1"/>
    <x v="1"/>
    <x v="1"/>
    <x v="1"/>
    <x v="1"/>
    <x v="0"/>
    <x v="1"/>
  </r>
  <r>
    <x v="5"/>
    <x v="36"/>
    <x v="0"/>
    <x v="0"/>
    <x v="0"/>
    <x v="76"/>
    <x v="0"/>
    <x v="2"/>
    <x v="52"/>
    <x v="2"/>
    <x v="1"/>
    <n v="2.8135444286616162"/>
    <x v="20"/>
    <x v="0"/>
    <x v="3"/>
    <x v="3"/>
    <x v="1"/>
    <x v="0"/>
    <x v="0"/>
    <x v="0"/>
    <x v="1"/>
    <x v="1"/>
    <x v="1"/>
    <x v="1"/>
    <x v="1"/>
    <x v="5"/>
    <x v="2"/>
    <x v="2"/>
    <x v="0"/>
    <x v="0"/>
    <x v="1"/>
    <x v="1"/>
    <x v="1"/>
    <x v="1"/>
    <x v="1"/>
    <x v="0"/>
    <x v="1"/>
  </r>
  <r>
    <x v="5"/>
    <x v="36"/>
    <x v="0"/>
    <x v="0"/>
    <x v="0"/>
    <x v="76"/>
    <x v="0"/>
    <x v="2"/>
    <x v="52"/>
    <x v="1"/>
    <x v="1"/>
    <n v="4.9549494949494948"/>
    <x v="21"/>
    <x v="1"/>
    <x v="3"/>
    <x v="3"/>
    <x v="1"/>
    <x v="0"/>
    <x v="0"/>
    <x v="0"/>
    <x v="1"/>
    <x v="1"/>
    <x v="1"/>
    <x v="1"/>
    <x v="1"/>
    <x v="5"/>
    <x v="2"/>
    <x v="2"/>
    <x v="0"/>
    <x v="0"/>
    <x v="1"/>
    <x v="1"/>
    <x v="1"/>
    <x v="1"/>
    <x v="1"/>
    <x v="0"/>
    <x v="1"/>
  </r>
  <r>
    <x v="5"/>
    <x v="36"/>
    <x v="0"/>
    <x v="0"/>
    <x v="0"/>
    <x v="76"/>
    <x v="0"/>
    <x v="2"/>
    <x v="52"/>
    <x v="1"/>
    <x v="1"/>
    <n v="4.9549494949494948"/>
    <x v="21"/>
    <x v="1"/>
    <x v="3"/>
    <x v="3"/>
    <x v="1"/>
    <x v="0"/>
    <x v="0"/>
    <x v="0"/>
    <x v="1"/>
    <x v="1"/>
    <x v="1"/>
    <x v="1"/>
    <x v="1"/>
    <x v="5"/>
    <x v="2"/>
    <x v="2"/>
    <x v="0"/>
    <x v="0"/>
    <x v="1"/>
    <x v="1"/>
    <x v="1"/>
    <x v="1"/>
    <x v="1"/>
    <x v="0"/>
    <x v="1"/>
  </r>
  <r>
    <x v="5"/>
    <x v="36"/>
    <x v="0"/>
    <x v="0"/>
    <x v="0"/>
    <x v="76"/>
    <x v="0"/>
    <x v="2"/>
    <x v="52"/>
    <x v="1"/>
    <x v="0"/>
    <n v="4.6856565656565659"/>
    <x v="21"/>
    <x v="1"/>
    <x v="3"/>
    <x v="3"/>
    <x v="1"/>
    <x v="0"/>
    <x v="0"/>
    <x v="0"/>
    <x v="1"/>
    <x v="1"/>
    <x v="1"/>
    <x v="1"/>
    <x v="1"/>
    <x v="5"/>
    <x v="2"/>
    <x v="2"/>
    <x v="0"/>
    <x v="0"/>
    <x v="1"/>
    <x v="1"/>
    <x v="1"/>
    <x v="1"/>
    <x v="1"/>
    <x v="0"/>
    <x v="1"/>
  </r>
  <r>
    <x v="5"/>
    <x v="36"/>
    <x v="0"/>
    <x v="0"/>
    <x v="0"/>
    <x v="76"/>
    <x v="0"/>
    <x v="2"/>
    <x v="52"/>
    <x v="2"/>
    <x v="3"/>
    <n v="2.4281439393939395"/>
    <x v="20"/>
    <x v="0"/>
    <x v="3"/>
    <x v="3"/>
    <x v="1"/>
    <x v="0"/>
    <x v="0"/>
    <x v="0"/>
    <x v="1"/>
    <x v="1"/>
    <x v="1"/>
    <x v="1"/>
    <x v="1"/>
    <x v="5"/>
    <x v="2"/>
    <x v="2"/>
    <x v="0"/>
    <x v="0"/>
    <x v="1"/>
    <x v="1"/>
    <x v="1"/>
    <x v="1"/>
    <x v="1"/>
    <x v="0"/>
    <x v="1"/>
  </r>
  <r>
    <x v="5"/>
    <x v="36"/>
    <x v="0"/>
    <x v="0"/>
    <x v="0"/>
    <x v="76"/>
    <x v="0"/>
    <x v="2"/>
    <x v="52"/>
    <x v="2"/>
    <x v="1"/>
    <n v="2.8135444286616162"/>
    <x v="20"/>
    <x v="0"/>
    <x v="3"/>
    <x v="3"/>
    <x v="1"/>
    <x v="0"/>
    <x v="0"/>
    <x v="0"/>
    <x v="1"/>
    <x v="1"/>
    <x v="1"/>
    <x v="1"/>
    <x v="1"/>
    <x v="5"/>
    <x v="2"/>
    <x v="2"/>
    <x v="0"/>
    <x v="0"/>
    <x v="1"/>
    <x v="1"/>
    <x v="1"/>
    <x v="1"/>
    <x v="1"/>
    <x v="0"/>
    <x v="1"/>
  </r>
  <r>
    <x v="5"/>
    <x v="36"/>
    <x v="0"/>
    <x v="0"/>
    <x v="0"/>
    <x v="76"/>
    <x v="0"/>
    <x v="2"/>
    <x v="52"/>
    <x v="2"/>
    <x v="3"/>
    <n v="2.4281439393939395"/>
    <x v="20"/>
    <x v="0"/>
    <x v="3"/>
    <x v="3"/>
    <x v="1"/>
    <x v="0"/>
    <x v="0"/>
    <x v="0"/>
    <x v="1"/>
    <x v="1"/>
    <x v="1"/>
    <x v="1"/>
    <x v="1"/>
    <x v="5"/>
    <x v="2"/>
    <x v="2"/>
    <x v="0"/>
    <x v="0"/>
    <x v="1"/>
    <x v="1"/>
    <x v="1"/>
    <x v="1"/>
    <x v="1"/>
    <x v="0"/>
    <x v="1"/>
  </r>
  <r>
    <x v="5"/>
    <x v="36"/>
    <x v="0"/>
    <x v="0"/>
    <x v="0"/>
    <x v="76"/>
    <x v="0"/>
    <x v="2"/>
    <x v="52"/>
    <x v="1"/>
    <x v="3"/>
    <n v="4.2335353535353537"/>
    <x v="21"/>
    <x v="1"/>
    <x v="3"/>
    <x v="3"/>
    <x v="1"/>
    <x v="0"/>
    <x v="0"/>
    <x v="0"/>
    <x v="1"/>
    <x v="1"/>
    <x v="1"/>
    <x v="1"/>
    <x v="1"/>
    <x v="5"/>
    <x v="2"/>
    <x v="2"/>
    <x v="0"/>
    <x v="0"/>
    <x v="1"/>
    <x v="1"/>
    <x v="1"/>
    <x v="1"/>
    <x v="1"/>
    <x v="0"/>
    <x v="1"/>
  </r>
  <r>
    <x v="5"/>
    <x v="36"/>
    <x v="0"/>
    <x v="0"/>
    <x v="0"/>
    <x v="76"/>
    <x v="0"/>
    <x v="2"/>
    <x v="52"/>
    <x v="1"/>
    <x v="1"/>
    <n v="4.9549494949494948"/>
    <x v="21"/>
    <x v="1"/>
    <x v="3"/>
    <x v="3"/>
    <x v="1"/>
    <x v="0"/>
    <x v="0"/>
    <x v="0"/>
    <x v="1"/>
    <x v="1"/>
    <x v="1"/>
    <x v="1"/>
    <x v="1"/>
    <x v="5"/>
    <x v="2"/>
    <x v="2"/>
    <x v="0"/>
    <x v="0"/>
    <x v="1"/>
    <x v="1"/>
    <x v="1"/>
    <x v="1"/>
    <x v="1"/>
    <x v="0"/>
    <x v="1"/>
  </r>
  <r>
    <x v="5"/>
    <x v="36"/>
    <x v="0"/>
    <x v="0"/>
    <x v="0"/>
    <x v="76"/>
    <x v="0"/>
    <x v="2"/>
    <x v="52"/>
    <x v="2"/>
    <x v="2"/>
    <n v="2.8197914693813133"/>
    <x v="20"/>
    <x v="0"/>
    <x v="3"/>
    <x v="3"/>
    <x v="1"/>
    <x v="0"/>
    <x v="0"/>
    <x v="0"/>
    <x v="1"/>
    <x v="1"/>
    <x v="1"/>
    <x v="1"/>
    <x v="1"/>
    <x v="5"/>
    <x v="2"/>
    <x v="2"/>
    <x v="0"/>
    <x v="0"/>
    <x v="1"/>
    <x v="1"/>
    <x v="1"/>
    <x v="1"/>
    <x v="1"/>
    <x v="0"/>
    <x v="1"/>
  </r>
  <r>
    <x v="5"/>
    <x v="36"/>
    <x v="0"/>
    <x v="0"/>
    <x v="0"/>
    <x v="76"/>
    <x v="0"/>
    <x v="2"/>
    <x v="52"/>
    <x v="0"/>
    <x v="0"/>
    <n v="0.99999528685001404"/>
    <x v="12"/>
    <x v="0"/>
    <x v="3"/>
    <x v="3"/>
    <x v="1"/>
    <x v="0"/>
    <x v="0"/>
    <x v="0"/>
    <x v="1"/>
    <x v="1"/>
    <x v="1"/>
    <x v="1"/>
    <x v="1"/>
    <x v="5"/>
    <x v="2"/>
    <x v="2"/>
    <x v="0"/>
    <x v="0"/>
    <x v="1"/>
    <x v="1"/>
    <x v="1"/>
    <x v="1"/>
    <x v="1"/>
    <x v="0"/>
    <x v="1"/>
  </r>
  <r>
    <x v="5"/>
    <x v="36"/>
    <x v="0"/>
    <x v="0"/>
    <x v="0"/>
    <x v="76"/>
    <x v="0"/>
    <x v="2"/>
    <x v="52"/>
    <x v="0"/>
    <x v="3"/>
    <n v="0.99999537576328612"/>
    <x v="12"/>
    <x v="0"/>
    <x v="3"/>
    <x v="3"/>
    <x v="1"/>
    <x v="0"/>
    <x v="0"/>
    <x v="0"/>
    <x v="1"/>
    <x v="1"/>
    <x v="1"/>
    <x v="1"/>
    <x v="1"/>
    <x v="5"/>
    <x v="2"/>
    <x v="2"/>
    <x v="0"/>
    <x v="0"/>
    <x v="1"/>
    <x v="1"/>
    <x v="1"/>
    <x v="1"/>
    <x v="1"/>
    <x v="0"/>
    <x v="1"/>
  </r>
  <r>
    <x v="5"/>
    <x v="36"/>
    <x v="0"/>
    <x v="0"/>
    <x v="0"/>
    <x v="76"/>
    <x v="0"/>
    <x v="2"/>
    <x v="52"/>
    <x v="0"/>
    <x v="3"/>
    <n v="0.99999537576328612"/>
    <x v="12"/>
    <x v="0"/>
    <x v="3"/>
    <x v="3"/>
    <x v="1"/>
    <x v="0"/>
    <x v="0"/>
    <x v="0"/>
    <x v="1"/>
    <x v="1"/>
    <x v="1"/>
    <x v="1"/>
    <x v="1"/>
    <x v="5"/>
    <x v="2"/>
    <x v="2"/>
    <x v="0"/>
    <x v="0"/>
    <x v="1"/>
    <x v="1"/>
    <x v="1"/>
    <x v="1"/>
    <x v="1"/>
    <x v="0"/>
    <x v="1"/>
  </r>
  <r>
    <x v="5"/>
    <x v="36"/>
    <x v="0"/>
    <x v="0"/>
    <x v="0"/>
    <x v="76"/>
    <x v="0"/>
    <x v="2"/>
    <x v="52"/>
    <x v="2"/>
    <x v="2"/>
    <n v="2.8197914693813133"/>
    <x v="20"/>
    <x v="0"/>
    <x v="3"/>
    <x v="3"/>
    <x v="1"/>
    <x v="0"/>
    <x v="0"/>
    <x v="0"/>
    <x v="1"/>
    <x v="1"/>
    <x v="1"/>
    <x v="1"/>
    <x v="1"/>
    <x v="5"/>
    <x v="2"/>
    <x v="2"/>
    <x v="0"/>
    <x v="0"/>
    <x v="1"/>
    <x v="1"/>
    <x v="1"/>
    <x v="1"/>
    <x v="1"/>
    <x v="0"/>
    <x v="1"/>
  </r>
  <r>
    <x v="5"/>
    <x v="36"/>
    <x v="0"/>
    <x v="0"/>
    <x v="0"/>
    <x v="76"/>
    <x v="0"/>
    <x v="2"/>
    <x v="52"/>
    <x v="0"/>
    <x v="2"/>
    <n v="0.99999519393901637"/>
    <x v="12"/>
    <x v="0"/>
    <x v="3"/>
    <x v="3"/>
    <x v="1"/>
    <x v="0"/>
    <x v="0"/>
    <x v="0"/>
    <x v="1"/>
    <x v="1"/>
    <x v="1"/>
    <x v="1"/>
    <x v="1"/>
    <x v="5"/>
    <x v="2"/>
    <x v="2"/>
    <x v="0"/>
    <x v="0"/>
    <x v="1"/>
    <x v="1"/>
    <x v="1"/>
    <x v="1"/>
    <x v="1"/>
    <x v="0"/>
    <x v="1"/>
  </r>
  <r>
    <x v="5"/>
    <x v="36"/>
    <x v="0"/>
    <x v="0"/>
    <x v="0"/>
    <x v="76"/>
    <x v="0"/>
    <x v="2"/>
    <x v="52"/>
    <x v="0"/>
    <x v="1"/>
    <n v="0.99999545858363903"/>
    <x v="12"/>
    <x v="0"/>
    <x v="3"/>
    <x v="3"/>
    <x v="1"/>
    <x v="0"/>
    <x v="0"/>
    <x v="0"/>
    <x v="1"/>
    <x v="1"/>
    <x v="1"/>
    <x v="1"/>
    <x v="1"/>
    <x v="5"/>
    <x v="2"/>
    <x v="2"/>
    <x v="0"/>
    <x v="0"/>
    <x v="1"/>
    <x v="1"/>
    <x v="1"/>
    <x v="1"/>
    <x v="1"/>
    <x v="0"/>
    <x v="1"/>
  </r>
  <r>
    <x v="5"/>
    <x v="36"/>
    <x v="0"/>
    <x v="0"/>
    <x v="0"/>
    <x v="76"/>
    <x v="0"/>
    <x v="2"/>
    <x v="52"/>
    <x v="1"/>
    <x v="0"/>
    <n v="4.6856565656565659"/>
    <x v="21"/>
    <x v="1"/>
    <x v="3"/>
    <x v="3"/>
    <x v="1"/>
    <x v="0"/>
    <x v="0"/>
    <x v="0"/>
    <x v="1"/>
    <x v="1"/>
    <x v="1"/>
    <x v="1"/>
    <x v="1"/>
    <x v="5"/>
    <x v="2"/>
    <x v="2"/>
    <x v="0"/>
    <x v="0"/>
    <x v="1"/>
    <x v="1"/>
    <x v="1"/>
    <x v="1"/>
    <x v="1"/>
    <x v="0"/>
    <x v="1"/>
  </r>
  <r>
    <x v="5"/>
    <x v="36"/>
    <x v="0"/>
    <x v="0"/>
    <x v="0"/>
    <x v="76"/>
    <x v="0"/>
    <x v="2"/>
    <x v="52"/>
    <x v="0"/>
    <x v="1"/>
    <n v="0.99999545858363903"/>
    <x v="12"/>
    <x v="0"/>
    <x v="3"/>
    <x v="3"/>
    <x v="1"/>
    <x v="0"/>
    <x v="0"/>
    <x v="0"/>
    <x v="1"/>
    <x v="1"/>
    <x v="1"/>
    <x v="1"/>
    <x v="1"/>
    <x v="5"/>
    <x v="2"/>
    <x v="2"/>
    <x v="0"/>
    <x v="0"/>
    <x v="1"/>
    <x v="1"/>
    <x v="1"/>
    <x v="1"/>
    <x v="1"/>
    <x v="0"/>
    <x v="1"/>
  </r>
  <r>
    <x v="5"/>
    <x v="36"/>
    <x v="0"/>
    <x v="0"/>
    <x v="0"/>
    <x v="76"/>
    <x v="0"/>
    <x v="2"/>
    <x v="52"/>
    <x v="1"/>
    <x v="0"/>
    <n v="4.6856565656565659"/>
    <x v="21"/>
    <x v="1"/>
    <x v="3"/>
    <x v="3"/>
    <x v="1"/>
    <x v="0"/>
    <x v="0"/>
    <x v="0"/>
    <x v="1"/>
    <x v="1"/>
    <x v="1"/>
    <x v="1"/>
    <x v="1"/>
    <x v="5"/>
    <x v="2"/>
    <x v="2"/>
    <x v="0"/>
    <x v="0"/>
    <x v="1"/>
    <x v="1"/>
    <x v="1"/>
    <x v="1"/>
    <x v="1"/>
    <x v="0"/>
    <x v="1"/>
  </r>
  <r>
    <x v="5"/>
    <x v="36"/>
    <x v="0"/>
    <x v="0"/>
    <x v="0"/>
    <x v="77"/>
    <x v="0"/>
    <x v="2"/>
    <x v="52"/>
    <x v="2"/>
    <x v="0"/>
    <n v="2.7545152698863635"/>
    <x v="20"/>
    <x v="0"/>
    <x v="3"/>
    <x v="3"/>
    <x v="1"/>
    <x v="0"/>
    <x v="0"/>
    <x v="0"/>
    <x v="1"/>
    <x v="1"/>
    <x v="1"/>
    <x v="1"/>
    <x v="1"/>
    <x v="5"/>
    <x v="4"/>
    <x v="1"/>
    <x v="0"/>
    <x v="0"/>
    <x v="1"/>
    <x v="1"/>
    <x v="1"/>
    <x v="1"/>
    <x v="1"/>
    <x v="0"/>
    <x v="1"/>
  </r>
  <r>
    <x v="5"/>
    <x v="36"/>
    <x v="0"/>
    <x v="0"/>
    <x v="0"/>
    <x v="77"/>
    <x v="0"/>
    <x v="2"/>
    <x v="52"/>
    <x v="1"/>
    <x v="0"/>
    <n v="4.6856565656565659"/>
    <x v="21"/>
    <x v="1"/>
    <x v="3"/>
    <x v="3"/>
    <x v="1"/>
    <x v="0"/>
    <x v="0"/>
    <x v="0"/>
    <x v="1"/>
    <x v="1"/>
    <x v="1"/>
    <x v="1"/>
    <x v="1"/>
    <x v="5"/>
    <x v="4"/>
    <x v="1"/>
    <x v="0"/>
    <x v="0"/>
    <x v="1"/>
    <x v="1"/>
    <x v="1"/>
    <x v="1"/>
    <x v="1"/>
    <x v="0"/>
    <x v="1"/>
  </r>
  <r>
    <x v="5"/>
    <x v="36"/>
    <x v="0"/>
    <x v="0"/>
    <x v="0"/>
    <x v="77"/>
    <x v="0"/>
    <x v="2"/>
    <x v="52"/>
    <x v="2"/>
    <x v="0"/>
    <n v="2.7545152698863635"/>
    <x v="20"/>
    <x v="0"/>
    <x v="3"/>
    <x v="3"/>
    <x v="1"/>
    <x v="0"/>
    <x v="0"/>
    <x v="0"/>
    <x v="1"/>
    <x v="1"/>
    <x v="1"/>
    <x v="1"/>
    <x v="1"/>
    <x v="5"/>
    <x v="4"/>
    <x v="1"/>
    <x v="0"/>
    <x v="0"/>
    <x v="1"/>
    <x v="1"/>
    <x v="1"/>
    <x v="1"/>
    <x v="1"/>
    <x v="0"/>
    <x v="1"/>
  </r>
  <r>
    <x v="5"/>
    <x v="36"/>
    <x v="0"/>
    <x v="0"/>
    <x v="0"/>
    <x v="77"/>
    <x v="0"/>
    <x v="2"/>
    <x v="52"/>
    <x v="0"/>
    <x v="0"/>
    <n v="0.99999528685001404"/>
    <x v="12"/>
    <x v="0"/>
    <x v="3"/>
    <x v="3"/>
    <x v="1"/>
    <x v="0"/>
    <x v="0"/>
    <x v="0"/>
    <x v="1"/>
    <x v="1"/>
    <x v="1"/>
    <x v="1"/>
    <x v="1"/>
    <x v="5"/>
    <x v="4"/>
    <x v="1"/>
    <x v="0"/>
    <x v="0"/>
    <x v="1"/>
    <x v="1"/>
    <x v="1"/>
    <x v="1"/>
    <x v="1"/>
    <x v="0"/>
    <x v="1"/>
  </r>
  <r>
    <x v="5"/>
    <x v="36"/>
    <x v="0"/>
    <x v="0"/>
    <x v="0"/>
    <x v="77"/>
    <x v="0"/>
    <x v="2"/>
    <x v="52"/>
    <x v="1"/>
    <x v="1"/>
    <n v="4.9549494949494948"/>
    <x v="21"/>
    <x v="1"/>
    <x v="3"/>
    <x v="3"/>
    <x v="1"/>
    <x v="0"/>
    <x v="0"/>
    <x v="0"/>
    <x v="1"/>
    <x v="1"/>
    <x v="1"/>
    <x v="1"/>
    <x v="1"/>
    <x v="5"/>
    <x v="4"/>
    <x v="1"/>
    <x v="0"/>
    <x v="0"/>
    <x v="1"/>
    <x v="1"/>
    <x v="1"/>
    <x v="1"/>
    <x v="1"/>
    <x v="0"/>
    <x v="1"/>
  </r>
  <r>
    <x v="5"/>
    <x v="36"/>
    <x v="0"/>
    <x v="0"/>
    <x v="0"/>
    <x v="77"/>
    <x v="0"/>
    <x v="2"/>
    <x v="52"/>
    <x v="0"/>
    <x v="3"/>
    <n v="0.99999537576328612"/>
    <x v="12"/>
    <x v="0"/>
    <x v="3"/>
    <x v="3"/>
    <x v="1"/>
    <x v="0"/>
    <x v="0"/>
    <x v="0"/>
    <x v="1"/>
    <x v="1"/>
    <x v="1"/>
    <x v="1"/>
    <x v="1"/>
    <x v="5"/>
    <x v="4"/>
    <x v="1"/>
    <x v="0"/>
    <x v="0"/>
    <x v="1"/>
    <x v="1"/>
    <x v="1"/>
    <x v="1"/>
    <x v="1"/>
    <x v="0"/>
    <x v="1"/>
  </r>
  <r>
    <x v="5"/>
    <x v="36"/>
    <x v="0"/>
    <x v="0"/>
    <x v="0"/>
    <x v="77"/>
    <x v="0"/>
    <x v="2"/>
    <x v="52"/>
    <x v="2"/>
    <x v="3"/>
    <n v="2.4281439393939395"/>
    <x v="20"/>
    <x v="0"/>
    <x v="3"/>
    <x v="3"/>
    <x v="1"/>
    <x v="0"/>
    <x v="0"/>
    <x v="0"/>
    <x v="1"/>
    <x v="1"/>
    <x v="1"/>
    <x v="1"/>
    <x v="1"/>
    <x v="5"/>
    <x v="4"/>
    <x v="1"/>
    <x v="0"/>
    <x v="0"/>
    <x v="1"/>
    <x v="1"/>
    <x v="1"/>
    <x v="1"/>
    <x v="1"/>
    <x v="0"/>
    <x v="1"/>
  </r>
  <r>
    <x v="5"/>
    <x v="36"/>
    <x v="0"/>
    <x v="0"/>
    <x v="0"/>
    <x v="77"/>
    <x v="0"/>
    <x v="2"/>
    <x v="52"/>
    <x v="2"/>
    <x v="2"/>
    <n v="2.8197914693813133"/>
    <x v="20"/>
    <x v="0"/>
    <x v="3"/>
    <x v="3"/>
    <x v="1"/>
    <x v="0"/>
    <x v="0"/>
    <x v="0"/>
    <x v="1"/>
    <x v="1"/>
    <x v="1"/>
    <x v="1"/>
    <x v="1"/>
    <x v="5"/>
    <x v="4"/>
    <x v="1"/>
    <x v="0"/>
    <x v="0"/>
    <x v="1"/>
    <x v="1"/>
    <x v="1"/>
    <x v="1"/>
    <x v="1"/>
    <x v="0"/>
    <x v="1"/>
  </r>
  <r>
    <x v="5"/>
    <x v="36"/>
    <x v="0"/>
    <x v="0"/>
    <x v="0"/>
    <x v="77"/>
    <x v="0"/>
    <x v="2"/>
    <x v="52"/>
    <x v="2"/>
    <x v="2"/>
    <n v="2.8197914693813133"/>
    <x v="20"/>
    <x v="0"/>
    <x v="3"/>
    <x v="3"/>
    <x v="1"/>
    <x v="0"/>
    <x v="0"/>
    <x v="0"/>
    <x v="1"/>
    <x v="1"/>
    <x v="1"/>
    <x v="1"/>
    <x v="1"/>
    <x v="5"/>
    <x v="4"/>
    <x v="1"/>
    <x v="0"/>
    <x v="0"/>
    <x v="1"/>
    <x v="1"/>
    <x v="1"/>
    <x v="1"/>
    <x v="1"/>
    <x v="0"/>
    <x v="1"/>
  </r>
  <r>
    <x v="5"/>
    <x v="36"/>
    <x v="0"/>
    <x v="0"/>
    <x v="0"/>
    <x v="77"/>
    <x v="0"/>
    <x v="2"/>
    <x v="52"/>
    <x v="1"/>
    <x v="3"/>
    <n v="4.2335353535353537"/>
    <x v="21"/>
    <x v="1"/>
    <x v="3"/>
    <x v="3"/>
    <x v="1"/>
    <x v="0"/>
    <x v="0"/>
    <x v="0"/>
    <x v="1"/>
    <x v="1"/>
    <x v="1"/>
    <x v="1"/>
    <x v="1"/>
    <x v="5"/>
    <x v="4"/>
    <x v="1"/>
    <x v="0"/>
    <x v="0"/>
    <x v="1"/>
    <x v="1"/>
    <x v="1"/>
    <x v="1"/>
    <x v="1"/>
    <x v="0"/>
    <x v="1"/>
  </r>
  <r>
    <x v="5"/>
    <x v="36"/>
    <x v="0"/>
    <x v="0"/>
    <x v="0"/>
    <x v="77"/>
    <x v="0"/>
    <x v="2"/>
    <x v="52"/>
    <x v="1"/>
    <x v="2"/>
    <n v="4.9585858585858587"/>
    <x v="21"/>
    <x v="1"/>
    <x v="3"/>
    <x v="3"/>
    <x v="1"/>
    <x v="0"/>
    <x v="0"/>
    <x v="0"/>
    <x v="1"/>
    <x v="1"/>
    <x v="1"/>
    <x v="1"/>
    <x v="1"/>
    <x v="5"/>
    <x v="4"/>
    <x v="1"/>
    <x v="0"/>
    <x v="0"/>
    <x v="1"/>
    <x v="1"/>
    <x v="1"/>
    <x v="1"/>
    <x v="1"/>
    <x v="0"/>
    <x v="1"/>
  </r>
  <r>
    <x v="5"/>
    <x v="36"/>
    <x v="0"/>
    <x v="0"/>
    <x v="0"/>
    <x v="77"/>
    <x v="0"/>
    <x v="2"/>
    <x v="52"/>
    <x v="2"/>
    <x v="1"/>
    <n v="2.8135444286616162"/>
    <x v="20"/>
    <x v="0"/>
    <x v="3"/>
    <x v="3"/>
    <x v="1"/>
    <x v="0"/>
    <x v="0"/>
    <x v="0"/>
    <x v="1"/>
    <x v="1"/>
    <x v="1"/>
    <x v="1"/>
    <x v="1"/>
    <x v="5"/>
    <x v="4"/>
    <x v="1"/>
    <x v="0"/>
    <x v="0"/>
    <x v="1"/>
    <x v="1"/>
    <x v="1"/>
    <x v="1"/>
    <x v="1"/>
    <x v="0"/>
    <x v="1"/>
  </r>
  <r>
    <x v="5"/>
    <x v="36"/>
    <x v="0"/>
    <x v="0"/>
    <x v="0"/>
    <x v="77"/>
    <x v="0"/>
    <x v="2"/>
    <x v="52"/>
    <x v="0"/>
    <x v="1"/>
    <n v="0.99999545858363903"/>
    <x v="12"/>
    <x v="0"/>
    <x v="3"/>
    <x v="3"/>
    <x v="1"/>
    <x v="0"/>
    <x v="0"/>
    <x v="0"/>
    <x v="1"/>
    <x v="1"/>
    <x v="1"/>
    <x v="1"/>
    <x v="1"/>
    <x v="5"/>
    <x v="4"/>
    <x v="1"/>
    <x v="0"/>
    <x v="0"/>
    <x v="1"/>
    <x v="1"/>
    <x v="1"/>
    <x v="1"/>
    <x v="1"/>
    <x v="0"/>
    <x v="1"/>
  </r>
  <r>
    <x v="5"/>
    <x v="36"/>
    <x v="0"/>
    <x v="0"/>
    <x v="0"/>
    <x v="77"/>
    <x v="0"/>
    <x v="2"/>
    <x v="52"/>
    <x v="2"/>
    <x v="3"/>
    <n v="2.4281439393939395"/>
    <x v="20"/>
    <x v="0"/>
    <x v="3"/>
    <x v="3"/>
    <x v="1"/>
    <x v="0"/>
    <x v="0"/>
    <x v="0"/>
    <x v="1"/>
    <x v="1"/>
    <x v="1"/>
    <x v="1"/>
    <x v="1"/>
    <x v="5"/>
    <x v="4"/>
    <x v="1"/>
    <x v="0"/>
    <x v="0"/>
    <x v="1"/>
    <x v="1"/>
    <x v="1"/>
    <x v="1"/>
    <x v="1"/>
    <x v="0"/>
    <x v="1"/>
  </r>
  <r>
    <x v="5"/>
    <x v="36"/>
    <x v="0"/>
    <x v="0"/>
    <x v="0"/>
    <x v="77"/>
    <x v="0"/>
    <x v="2"/>
    <x v="52"/>
    <x v="2"/>
    <x v="1"/>
    <n v="2.8135444286616162"/>
    <x v="20"/>
    <x v="0"/>
    <x v="3"/>
    <x v="3"/>
    <x v="1"/>
    <x v="0"/>
    <x v="0"/>
    <x v="0"/>
    <x v="1"/>
    <x v="1"/>
    <x v="1"/>
    <x v="1"/>
    <x v="1"/>
    <x v="5"/>
    <x v="4"/>
    <x v="1"/>
    <x v="0"/>
    <x v="0"/>
    <x v="1"/>
    <x v="1"/>
    <x v="1"/>
    <x v="1"/>
    <x v="1"/>
    <x v="0"/>
    <x v="1"/>
  </r>
  <r>
    <x v="5"/>
    <x v="36"/>
    <x v="0"/>
    <x v="0"/>
    <x v="0"/>
    <x v="77"/>
    <x v="0"/>
    <x v="2"/>
    <x v="52"/>
    <x v="0"/>
    <x v="3"/>
    <n v="0.99999537576328612"/>
    <x v="12"/>
    <x v="0"/>
    <x v="3"/>
    <x v="3"/>
    <x v="1"/>
    <x v="0"/>
    <x v="0"/>
    <x v="0"/>
    <x v="1"/>
    <x v="1"/>
    <x v="1"/>
    <x v="1"/>
    <x v="1"/>
    <x v="5"/>
    <x v="4"/>
    <x v="1"/>
    <x v="0"/>
    <x v="0"/>
    <x v="1"/>
    <x v="1"/>
    <x v="1"/>
    <x v="1"/>
    <x v="1"/>
    <x v="0"/>
    <x v="1"/>
  </r>
  <r>
    <x v="5"/>
    <x v="36"/>
    <x v="0"/>
    <x v="0"/>
    <x v="0"/>
    <x v="77"/>
    <x v="0"/>
    <x v="2"/>
    <x v="52"/>
    <x v="1"/>
    <x v="3"/>
    <n v="4.2335353535353537"/>
    <x v="21"/>
    <x v="1"/>
    <x v="3"/>
    <x v="3"/>
    <x v="1"/>
    <x v="0"/>
    <x v="0"/>
    <x v="0"/>
    <x v="1"/>
    <x v="1"/>
    <x v="1"/>
    <x v="1"/>
    <x v="1"/>
    <x v="5"/>
    <x v="4"/>
    <x v="1"/>
    <x v="0"/>
    <x v="0"/>
    <x v="1"/>
    <x v="1"/>
    <x v="1"/>
    <x v="1"/>
    <x v="1"/>
    <x v="0"/>
    <x v="1"/>
  </r>
  <r>
    <x v="5"/>
    <x v="36"/>
    <x v="0"/>
    <x v="0"/>
    <x v="0"/>
    <x v="77"/>
    <x v="0"/>
    <x v="2"/>
    <x v="52"/>
    <x v="0"/>
    <x v="2"/>
    <n v="0.99999519393901637"/>
    <x v="12"/>
    <x v="0"/>
    <x v="3"/>
    <x v="3"/>
    <x v="1"/>
    <x v="0"/>
    <x v="0"/>
    <x v="0"/>
    <x v="1"/>
    <x v="1"/>
    <x v="1"/>
    <x v="1"/>
    <x v="1"/>
    <x v="5"/>
    <x v="4"/>
    <x v="1"/>
    <x v="0"/>
    <x v="0"/>
    <x v="1"/>
    <x v="1"/>
    <x v="1"/>
    <x v="1"/>
    <x v="1"/>
    <x v="0"/>
    <x v="1"/>
  </r>
  <r>
    <x v="5"/>
    <x v="36"/>
    <x v="0"/>
    <x v="0"/>
    <x v="0"/>
    <x v="77"/>
    <x v="0"/>
    <x v="2"/>
    <x v="52"/>
    <x v="1"/>
    <x v="2"/>
    <n v="4.9585858585858587"/>
    <x v="21"/>
    <x v="1"/>
    <x v="3"/>
    <x v="3"/>
    <x v="1"/>
    <x v="0"/>
    <x v="0"/>
    <x v="0"/>
    <x v="1"/>
    <x v="1"/>
    <x v="1"/>
    <x v="1"/>
    <x v="1"/>
    <x v="5"/>
    <x v="4"/>
    <x v="1"/>
    <x v="0"/>
    <x v="0"/>
    <x v="1"/>
    <x v="1"/>
    <x v="1"/>
    <x v="1"/>
    <x v="1"/>
    <x v="0"/>
    <x v="1"/>
  </r>
  <r>
    <x v="5"/>
    <x v="36"/>
    <x v="0"/>
    <x v="0"/>
    <x v="0"/>
    <x v="77"/>
    <x v="0"/>
    <x v="2"/>
    <x v="52"/>
    <x v="0"/>
    <x v="2"/>
    <n v="0.99999519393901637"/>
    <x v="12"/>
    <x v="0"/>
    <x v="3"/>
    <x v="3"/>
    <x v="1"/>
    <x v="0"/>
    <x v="0"/>
    <x v="0"/>
    <x v="1"/>
    <x v="1"/>
    <x v="1"/>
    <x v="1"/>
    <x v="1"/>
    <x v="5"/>
    <x v="4"/>
    <x v="1"/>
    <x v="0"/>
    <x v="0"/>
    <x v="1"/>
    <x v="1"/>
    <x v="1"/>
    <x v="1"/>
    <x v="1"/>
    <x v="0"/>
    <x v="1"/>
  </r>
  <r>
    <x v="5"/>
    <x v="36"/>
    <x v="0"/>
    <x v="0"/>
    <x v="0"/>
    <x v="77"/>
    <x v="0"/>
    <x v="2"/>
    <x v="52"/>
    <x v="0"/>
    <x v="0"/>
    <n v="0.99999528685001404"/>
    <x v="12"/>
    <x v="0"/>
    <x v="3"/>
    <x v="3"/>
    <x v="1"/>
    <x v="0"/>
    <x v="0"/>
    <x v="0"/>
    <x v="1"/>
    <x v="1"/>
    <x v="1"/>
    <x v="1"/>
    <x v="1"/>
    <x v="5"/>
    <x v="4"/>
    <x v="1"/>
    <x v="0"/>
    <x v="0"/>
    <x v="1"/>
    <x v="1"/>
    <x v="1"/>
    <x v="1"/>
    <x v="1"/>
    <x v="0"/>
    <x v="1"/>
  </r>
  <r>
    <x v="5"/>
    <x v="36"/>
    <x v="0"/>
    <x v="0"/>
    <x v="0"/>
    <x v="76"/>
    <x v="0"/>
    <x v="2"/>
    <x v="52"/>
    <x v="2"/>
    <x v="2"/>
    <n v="2.8197914693813133"/>
    <x v="20"/>
    <x v="0"/>
    <x v="3"/>
    <x v="3"/>
    <x v="1"/>
    <x v="0"/>
    <x v="0"/>
    <x v="0"/>
    <x v="1"/>
    <x v="1"/>
    <x v="1"/>
    <x v="1"/>
    <x v="1"/>
    <x v="5"/>
    <x v="2"/>
    <x v="2"/>
    <x v="0"/>
    <x v="0"/>
    <x v="1"/>
    <x v="1"/>
    <x v="1"/>
    <x v="1"/>
    <x v="1"/>
    <x v="0"/>
    <x v="1"/>
  </r>
  <r>
    <x v="5"/>
    <x v="36"/>
    <x v="0"/>
    <x v="0"/>
    <x v="0"/>
    <x v="76"/>
    <x v="0"/>
    <x v="2"/>
    <x v="52"/>
    <x v="0"/>
    <x v="3"/>
    <n v="0.99999537576328612"/>
    <x v="12"/>
    <x v="0"/>
    <x v="3"/>
    <x v="3"/>
    <x v="1"/>
    <x v="0"/>
    <x v="0"/>
    <x v="0"/>
    <x v="1"/>
    <x v="1"/>
    <x v="1"/>
    <x v="1"/>
    <x v="1"/>
    <x v="5"/>
    <x v="2"/>
    <x v="2"/>
    <x v="0"/>
    <x v="0"/>
    <x v="1"/>
    <x v="1"/>
    <x v="1"/>
    <x v="1"/>
    <x v="1"/>
    <x v="0"/>
    <x v="1"/>
  </r>
  <r>
    <x v="5"/>
    <x v="36"/>
    <x v="0"/>
    <x v="0"/>
    <x v="0"/>
    <x v="76"/>
    <x v="0"/>
    <x v="2"/>
    <x v="52"/>
    <x v="2"/>
    <x v="0"/>
    <n v="2.7545152698863635"/>
    <x v="20"/>
    <x v="0"/>
    <x v="3"/>
    <x v="3"/>
    <x v="1"/>
    <x v="0"/>
    <x v="0"/>
    <x v="0"/>
    <x v="1"/>
    <x v="1"/>
    <x v="1"/>
    <x v="1"/>
    <x v="1"/>
    <x v="5"/>
    <x v="2"/>
    <x v="2"/>
    <x v="0"/>
    <x v="0"/>
    <x v="1"/>
    <x v="1"/>
    <x v="1"/>
    <x v="1"/>
    <x v="1"/>
    <x v="0"/>
    <x v="1"/>
  </r>
  <r>
    <x v="5"/>
    <x v="36"/>
    <x v="0"/>
    <x v="0"/>
    <x v="0"/>
    <x v="76"/>
    <x v="0"/>
    <x v="2"/>
    <x v="52"/>
    <x v="2"/>
    <x v="2"/>
    <n v="2.8197914693813133"/>
    <x v="20"/>
    <x v="0"/>
    <x v="3"/>
    <x v="3"/>
    <x v="1"/>
    <x v="0"/>
    <x v="0"/>
    <x v="0"/>
    <x v="1"/>
    <x v="1"/>
    <x v="1"/>
    <x v="1"/>
    <x v="1"/>
    <x v="5"/>
    <x v="2"/>
    <x v="2"/>
    <x v="0"/>
    <x v="0"/>
    <x v="1"/>
    <x v="1"/>
    <x v="1"/>
    <x v="1"/>
    <x v="1"/>
    <x v="0"/>
    <x v="1"/>
  </r>
  <r>
    <x v="5"/>
    <x v="36"/>
    <x v="0"/>
    <x v="0"/>
    <x v="0"/>
    <x v="76"/>
    <x v="0"/>
    <x v="2"/>
    <x v="52"/>
    <x v="0"/>
    <x v="2"/>
    <n v="0.99999519393901637"/>
    <x v="12"/>
    <x v="0"/>
    <x v="3"/>
    <x v="3"/>
    <x v="1"/>
    <x v="0"/>
    <x v="0"/>
    <x v="0"/>
    <x v="1"/>
    <x v="1"/>
    <x v="1"/>
    <x v="1"/>
    <x v="1"/>
    <x v="5"/>
    <x v="2"/>
    <x v="2"/>
    <x v="0"/>
    <x v="0"/>
    <x v="1"/>
    <x v="1"/>
    <x v="1"/>
    <x v="1"/>
    <x v="1"/>
    <x v="0"/>
    <x v="1"/>
  </r>
  <r>
    <x v="5"/>
    <x v="36"/>
    <x v="0"/>
    <x v="0"/>
    <x v="0"/>
    <x v="76"/>
    <x v="0"/>
    <x v="2"/>
    <x v="52"/>
    <x v="0"/>
    <x v="0"/>
    <n v="0.99999528685001404"/>
    <x v="12"/>
    <x v="0"/>
    <x v="3"/>
    <x v="3"/>
    <x v="1"/>
    <x v="0"/>
    <x v="0"/>
    <x v="0"/>
    <x v="1"/>
    <x v="1"/>
    <x v="1"/>
    <x v="1"/>
    <x v="1"/>
    <x v="5"/>
    <x v="2"/>
    <x v="2"/>
    <x v="0"/>
    <x v="0"/>
    <x v="1"/>
    <x v="1"/>
    <x v="1"/>
    <x v="1"/>
    <x v="1"/>
    <x v="0"/>
    <x v="1"/>
  </r>
  <r>
    <x v="5"/>
    <x v="36"/>
    <x v="0"/>
    <x v="0"/>
    <x v="0"/>
    <x v="76"/>
    <x v="0"/>
    <x v="2"/>
    <x v="52"/>
    <x v="2"/>
    <x v="0"/>
    <n v="2.7545152698863635"/>
    <x v="20"/>
    <x v="0"/>
    <x v="3"/>
    <x v="3"/>
    <x v="1"/>
    <x v="0"/>
    <x v="0"/>
    <x v="0"/>
    <x v="1"/>
    <x v="1"/>
    <x v="1"/>
    <x v="1"/>
    <x v="1"/>
    <x v="5"/>
    <x v="2"/>
    <x v="2"/>
    <x v="0"/>
    <x v="0"/>
    <x v="1"/>
    <x v="1"/>
    <x v="1"/>
    <x v="1"/>
    <x v="1"/>
    <x v="0"/>
    <x v="1"/>
  </r>
  <r>
    <x v="5"/>
    <x v="36"/>
    <x v="0"/>
    <x v="0"/>
    <x v="0"/>
    <x v="76"/>
    <x v="0"/>
    <x v="2"/>
    <x v="52"/>
    <x v="2"/>
    <x v="3"/>
    <n v="2.4281439393939395"/>
    <x v="20"/>
    <x v="0"/>
    <x v="3"/>
    <x v="3"/>
    <x v="1"/>
    <x v="0"/>
    <x v="0"/>
    <x v="0"/>
    <x v="1"/>
    <x v="1"/>
    <x v="1"/>
    <x v="1"/>
    <x v="1"/>
    <x v="5"/>
    <x v="2"/>
    <x v="2"/>
    <x v="0"/>
    <x v="0"/>
    <x v="1"/>
    <x v="1"/>
    <x v="1"/>
    <x v="1"/>
    <x v="1"/>
    <x v="0"/>
    <x v="1"/>
  </r>
  <r>
    <x v="5"/>
    <x v="36"/>
    <x v="0"/>
    <x v="0"/>
    <x v="0"/>
    <x v="77"/>
    <x v="0"/>
    <x v="2"/>
    <x v="52"/>
    <x v="0"/>
    <x v="1"/>
    <n v="0.99999545858363903"/>
    <x v="12"/>
    <x v="0"/>
    <x v="3"/>
    <x v="3"/>
    <x v="1"/>
    <x v="0"/>
    <x v="0"/>
    <x v="0"/>
    <x v="1"/>
    <x v="1"/>
    <x v="1"/>
    <x v="1"/>
    <x v="1"/>
    <x v="5"/>
    <x v="4"/>
    <x v="1"/>
    <x v="0"/>
    <x v="0"/>
    <x v="1"/>
    <x v="1"/>
    <x v="1"/>
    <x v="1"/>
    <x v="1"/>
    <x v="0"/>
    <x v="1"/>
  </r>
  <r>
    <x v="5"/>
    <x v="36"/>
    <x v="0"/>
    <x v="0"/>
    <x v="0"/>
    <x v="77"/>
    <x v="0"/>
    <x v="2"/>
    <x v="52"/>
    <x v="1"/>
    <x v="1"/>
    <n v="4.9549494949494948"/>
    <x v="21"/>
    <x v="1"/>
    <x v="3"/>
    <x v="3"/>
    <x v="1"/>
    <x v="0"/>
    <x v="0"/>
    <x v="0"/>
    <x v="1"/>
    <x v="1"/>
    <x v="1"/>
    <x v="1"/>
    <x v="1"/>
    <x v="5"/>
    <x v="4"/>
    <x v="1"/>
    <x v="0"/>
    <x v="0"/>
    <x v="1"/>
    <x v="1"/>
    <x v="1"/>
    <x v="1"/>
    <x v="1"/>
    <x v="0"/>
    <x v="1"/>
  </r>
  <r>
    <x v="5"/>
    <x v="36"/>
    <x v="0"/>
    <x v="0"/>
    <x v="0"/>
    <x v="77"/>
    <x v="0"/>
    <x v="2"/>
    <x v="52"/>
    <x v="1"/>
    <x v="0"/>
    <n v="4.6856565656565659"/>
    <x v="21"/>
    <x v="1"/>
    <x v="3"/>
    <x v="3"/>
    <x v="1"/>
    <x v="0"/>
    <x v="0"/>
    <x v="0"/>
    <x v="1"/>
    <x v="1"/>
    <x v="1"/>
    <x v="1"/>
    <x v="1"/>
    <x v="5"/>
    <x v="4"/>
    <x v="1"/>
    <x v="0"/>
    <x v="0"/>
    <x v="1"/>
    <x v="1"/>
    <x v="1"/>
    <x v="1"/>
    <x v="1"/>
    <x v="0"/>
    <x v="1"/>
  </r>
  <r>
    <x v="5"/>
    <x v="36"/>
    <x v="0"/>
    <x v="0"/>
    <x v="0"/>
    <x v="76"/>
    <x v="0"/>
    <x v="2"/>
    <x v="52"/>
    <x v="0"/>
    <x v="0"/>
    <n v="0.99999528685001404"/>
    <x v="12"/>
    <x v="0"/>
    <x v="3"/>
    <x v="3"/>
    <x v="1"/>
    <x v="0"/>
    <x v="0"/>
    <x v="0"/>
    <x v="1"/>
    <x v="1"/>
    <x v="1"/>
    <x v="1"/>
    <x v="1"/>
    <x v="5"/>
    <x v="2"/>
    <x v="2"/>
    <x v="0"/>
    <x v="0"/>
    <x v="1"/>
    <x v="1"/>
    <x v="1"/>
    <x v="1"/>
    <x v="1"/>
    <x v="0"/>
    <x v="1"/>
  </r>
  <r>
    <x v="5"/>
    <x v="36"/>
    <x v="0"/>
    <x v="0"/>
    <x v="0"/>
    <x v="76"/>
    <x v="0"/>
    <x v="2"/>
    <x v="52"/>
    <x v="1"/>
    <x v="1"/>
    <n v="4.9549494949494948"/>
    <x v="21"/>
    <x v="1"/>
    <x v="3"/>
    <x v="3"/>
    <x v="1"/>
    <x v="0"/>
    <x v="0"/>
    <x v="0"/>
    <x v="1"/>
    <x v="1"/>
    <x v="1"/>
    <x v="1"/>
    <x v="1"/>
    <x v="5"/>
    <x v="2"/>
    <x v="2"/>
    <x v="0"/>
    <x v="0"/>
    <x v="1"/>
    <x v="1"/>
    <x v="1"/>
    <x v="1"/>
    <x v="1"/>
    <x v="0"/>
    <x v="1"/>
  </r>
  <r>
    <x v="5"/>
    <x v="36"/>
    <x v="0"/>
    <x v="0"/>
    <x v="0"/>
    <x v="76"/>
    <x v="0"/>
    <x v="2"/>
    <x v="52"/>
    <x v="1"/>
    <x v="2"/>
    <n v="4.9585858585858587"/>
    <x v="21"/>
    <x v="1"/>
    <x v="3"/>
    <x v="3"/>
    <x v="1"/>
    <x v="0"/>
    <x v="0"/>
    <x v="0"/>
    <x v="1"/>
    <x v="1"/>
    <x v="1"/>
    <x v="1"/>
    <x v="1"/>
    <x v="5"/>
    <x v="2"/>
    <x v="2"/>
    <x v="0"/>
    <x v="0"/>
    <x v="1"/>
    <x v="1"/>
    <x v="1"/>
    <x v="1"/>
    <x v="1"/>
    <x v="0"/>
    <x v="1"/>
  </r>
  <r>
    <x v="5"/>
    <x v="36"/>
    <x v="0"/>
    <x v="0"/>
    <x v="0"/>
    <x v="76"/>
    <x v="0"/>
    <x v="2"/>
    <x v="52"/>
    <x v="1"/>
    <x v="0"/>
    <n v="4.6856565656565659"/>
    <x v="21"/>
    <x v="1"/>
    <x v="3"/>
    <x v="3"/>
    <x v="1"/>
    <x v="0"/>
    <x v="0"/>
    <x v="0"/>
    <x v="1"/>
    <x v="1"/>
    <x v="1"/>
    <x v="1"/>
    <x v="1"/>
    <x v="5"/>
    <x v="2"/>
    <x v="2"/>
    <x v="0"/>
    <x v="0"/>
    <x v="1"/>
    <x v="1"/>
    <x v="1"/>
    <x v="1"/>
    <x v="1"/>
    <x v="0"/>
    <x v="1"/>
  </r>
  <r>
    <x v="5"/>
    <x v="36"/>
    <x v="0"/>
    <x v="0"/>
    <x v="0"/>
    <x v="76"/>
    <x v="0"/>
    <x v="2"/>
    <x v="52"/>
    <x v="0"/>
    <x v="0"/>
    <n v="0.99999528685001404"/>
    <x v="12"/>
    <x v="0"/>
    <x v="3"/>
    <x v="3"/>
    <x v="1"/>
    <x v="0"/>
    <x v="0"/>
    <x v="0"/>
    <x v="1"/>
    <x v="1"/>
    <x v="1"/>
    <x v="1"/>
    <x v="1"/>
    <x v="5"/>
    <x v="2"/>
    <x v="2"/>
    <x v="0"/>
    <x v="0"/>
    <x v="1"/>
    <x v="1"/>
    <x v="1"/>
    <x v="1"/>
    <x v="1"/>
    <x v="0"/>
    <x v="1"/>
  </r>
  <r>
    <x v="5"/>
    <x v="36"/>
    <x v="0"/>
    <x v="0"/>
    <x v="0"/>
    <x v="76"/>
    <x v="0"/>
    <x v="2"/>
    <x v="52"/>
    <x v="2"/>
    <x v="3"/>
    <n v="2.4281439393939395"/>
    <x v="20"/>
    <x v="0"/>
    <x v="3"/>
    <x v="3"/>
    <x v="1"/>
    <x v="0"/>
    <x v="0"/>
    <x v="0"/>
    <x v="1"/>
    <x v="1"/>
    <x v="1"/>
    <x v="1"/>
    <x v="1"/>
    <x v="5"/>
    <x v="2"/>
    <x v="2"/>
    <x v="0"/>
    <x v="0"/>
    <x v="1"/>
    <x v="1"/>
    <x v="1"/>
    <x v="1"/>
    <x v="1"/>
    <x v="0"/>
    <x v="1"/>
  </r>
  <r>
    <x v="5"/>
    <x v="36"/>
    <x v="0"/>
    <x v="0"/>
    <x v="0"/>
    <x v="76"/>
    <x v="0"/>
    <x v="2"/>
    <x v="52"/>
    <x v="1"/>
    <x v="3"/>
    <n v="4.2335353535353537"/>
    <x v="21"/>
    <x v="1"/>
    <x v="3"/>
    <x v="3"/>
    <x v="1"/>
    <x v="0"/>
    <x v="0"/>
    <x v="0"/>
    <x v="1"/>
    <x v="1"/>
    <x v="1"/>
    <x v="1"/>
    <x v="1"/>
    <x v="5"/>
    <x v="2"/>
    <x v="2"/>
    <x v="0"/>
    <x v="0"/>
    <x v="1"/>
    <x v="1"/>
    <x v="1"/>
    <x v="1"/>
    <x v="1"/>
    <x v="0"/>
    <x v="1"/>
  </r>
  <r>
    <x v="5"/>
    <x v="36"/>
    <x v="0"/>
    <x v="0"/>
    <x v="0"/>
    <x v="76"/>
    <x v="0"/>
    <x v="2"/>
    <x v="52"/>
    <x v="1"/>
    <x v="2"/>
    <n v="4.9585858585858587"/>
    <x v="21"/>
    <x v="1"/>
    <x v="3"/>
    <x v="3"/>
    <x v="1"/>
    <x v="0"/>
    <x v="0"/>
    <x v="0"/>
    <x v="1"/>
    <x v="1"/>
    <x v="1"/>
    <x v="1"/>
    <x v="1"/>
    <x v="5"/>
    <x v="2"/>
    <x v="2"/>
    <x v="0"/>
    <x v="0"/>
    <x v="1"/>
    <x v="1"/>
    <x v="1"/>
    <x v="1"/>
    <x v="1"/>
    <x v="0"/>
    <x v="1"/>
  </r>
  <r>
    <x v="5"/>
    <x v="36"/>
    <x v="0"/>
    <x v="0"/>
    <x v="0"/>
    <x v="76"/>
    <x v="0"/>
    <x v="2"/>
    <x v="52"/>
    <x v="1"/>
    <x v="1"/>
    <n v="4.9549494949494948"/>
    <x v="21"/>
    <x v="1"/>
    <x v="3"/>
    <x v="3"/>
    <x v="1"/>
    <x v="0"/>
    <x v="0"/>
    <x v="0"/>
    <x v="1"/>
    <x v="1"/>
    <x v="1"/>
    <x v="1"/>
    <x v="1"/>
    <x v="5"/>
    <x v="2"/>
    <x v="2"/>
    <x v="0"/>
    <x v="0"/>
    <x v="1"/>
    <x v="1"/>
    <x v="1"/>
    <x v="1"/>
    <x v="1"/>
    <x v="0"/>
    <x v="1"/>
  </r>
  <r>
    <x v="5"/>
    <x v="36"/>
    <x v="0"/>
    <x v="0"/>
    <x v="0"/>
    <x v="76"/>
    <x v="0"/>
    <x v="2"/>
    <x v="52"/>
    <x v="1"/>
    <x v="0"/>
    <n v="4.6856565656565659"/>
    <x v="21"/>
    <x v="1"/>
    <x v="3"/>
    <x v="3"/>
    <x v="1"/>
    <x v="0"/>
    <x v="0"/>
    <x v="0"/>
    <x v="1"/>
    <x v="1"/>
    <x v="1"/>
    <x v="1"/>
    <x v="1"/>
    <x v="5"/>
    <x v="2"/>
    <x v="2"/>
    <x v="0"/>
    <x v="0"/>
    <x v="1"/>
    <x v="1"/>
    <x v="1"/>
    <x v="1"/>
    <x v="1"/>
    <x v="0"/>
    <x v="1"/>
  </r>
  <r>
    <x v="5"/>
    <x v="36"/>
    <x v="0"/>
    <x v="0"/>
    <x v="0"/>
    <x v="76"/>
    <x v="0"/>
    <x v="2"/>
    <x v="52"/>
    <x v="2"/>
    <x v="3"/>
    <n v="2.4281439393939395"/>
    <x v="20"/>
    <x v="0"/>
    <x v="3"/>
    <x v="3"/>
    <x v="1"/>
    <x v="0"/>
    <x v="0"/>
    <x v="0"/>
    <x v="1"/>
    <x v="1"/>
    <x v="1"/>
    <x v="1"/>
    <x v="1"/>
    <x v="5"/>
    <x v="2"/>
    <x v="2"/>
    <x v="0"/>
    <x v="0"/>
    <x v="1"/>
    <x v="1"/>
    <x v="1"/>
    <x v="1"/>
    <x v="1"/>
    <x v="0"/>
    <x v="1"/>
  </r>
  <r>
    <x v="5"/>
    <x v="36"/>
    <x v="0"/>
    <x v="0"/>
    <x v="0"/>
    <x v="76"/>
    <x v="0"/>
    <x v="2"/>
    <x v="52"/>
    <x v="2"/>
    <x v="1"/>
    <n v="2.8135444286616162"/>
    <x v="20"/>
    <x v="0"/>
    <x v="3"/>
    <x v="3"/>
    <x v="1"/>
    <x v="0"/>
    <x v="0"/>
    <x v="0"/>
    <x v="1"/>
    <x v="1"/>
    <x v="1"/>
    <x v="1"/>
    <x v="1"/>
    <x v="5"/>
    <x v="2"/>
    <x v="2"/>
    <x v="0"/>
    <x v="0"/>
    <x v="1"/>
    <x v="1"/>
    <x v="1"/>
    <x v="1"/>
    <x v="1"/>
    <x v="0"/>
    <x v="1"/>
  </r>
  <r>
    <x v="5"/>
    <x v="36"/>
    <x v="0"/>
    <x v="0"/>
    <x v="0"/>
    <x v="76"/>
    <x v="0"/>
    <x v="2"/>
    <x v="52"/>
    <x v="0"/>
    <x v="1"/>
    <n v="0.99999545858363903"/>
    <x v="12"/>
    <x v="0"/>
    <x v="3"/>
    <x v="3"/>
    <x v="1"/>
    <x v="0"/>
    <x v="0"/>
    <x v="0"/>
    <x v="1"/>
    <x v="1"/>
    <x v="1"/>
    <x v="1"/>
    <x v="1"/>
    <x v="5"/>
    <x v="2"/>
    <x v="2"/>
    <x v="0"/>
    <x v="0"/>
    <x v="1"/>
    <x v="1"/>
    <x v="1"/>
    <x v="1"/>
    <x v="1"/>
    <x v="0"/>
    <x v="1"/>
  </r>
  <r>
    <x v="5"/>
    <x v="36"/>
    <x v="0"/>
    <x v="0"/>
    <x v="0"/>
    <x v="76"/>
    <x v="0"/>
    <x v="2"/>
    <x v="52"/>
    <x v="0"/>
    <x v="2"/>
    <n v="0.99999519393901637"/>
    <x v="12"/>
    <x v="0"/>
    <x v="3"/>
    <x v="3"/>
    <x v="1"/>
    <x v="0"/>
    <x v="0"/>
    <x v="0"/>
    <x v="1"/>
    <x v="1"/>
    <x v="1"/>
    <x v="1"/>
    <x v="1"/>
    <x v="5"/>
    <x v="2"/>
    <x v="2"/>
    <x v="0"/>
    <x v="0"/>
    <x v="1"/>
    <x v="1"/>
    <x v="1"/>
    <x v="1"/>
    <x v="1"/>
    <x v="0"/>
    <x v="1"/>
  </r>
  <r>
    <x v="5"/>
    <x v="36"/>
    <x v="0"/>
    <x v="0"/>
    <x v="0"/>
    <x v="76"/>
    <x v="0"/>
    <x v="2"/>
    <x v="52"/>
    <x v="1"/>
    <x v="2"/>
    <n v="4.9585858585858587"/>
    <x v="21"/>
    <x v="1"/>
    <x v="3"/>
    <x v="3"/>
    <x v="1"/>
    <x v="0"/>
    <x v="0"/>
    <x v="0"/>
    <x v="1"/>
    <x v="1"/>
    <x v="1"/>
    <x v="1"/>
    <x v="1"/>
    <x v="5"/>
    <x v="2"/>
    <x v="2"/>
    <x v="0"/>
    <x v="0"/>
    <x v="1"/>
    <x v="1"/>
    <x v="1"/>
    <x v="1"/>
    <x v="1"/>
    <x v="0"/>
    <x v="1"/>
  </r>
  <r>
    <x v="5"/>
    <x v="36"/>
    <x v="0"/>
    <x v="0"/>
    <x v="0"/>
    <x v="76"/>
    <x v="0"/>
    <x v="2"/>
    <x v="52"/>
    <x v="2"/>
    <x v="0"/>
    <n v="2.7545152698863635"/>
    <x v="20"/>
    <x v="0"/>
    <x v="3"/>
    <x v="3"/>
    <x v="1"/>
    <x v="0"/>
    <x v="0"/>
    <x v="0"/>
    <x v="1"/>
    <x v="1"/>
    <x v="1"/>
    <x v="1"/>
    <x v="1"/>
    <x v="5"/>
    <x v="2"/>
    <x v="2"/>
    <x v="0"/>
    <x v="0"/>
    <x v="1"/>
    <x v="1"/>
    <x v="1"/>
    <x v="1"/>
    <x v="1"/>
    <x v="0"/>
    <x v="1"/>
  </r>
  <r>
    <x v="5"/>
    <x v="36"/>
    <x v="0"/>
    <x v="0"/>
    <x v="0"/>
    <x v="76"/>
    <x v="0"/>
    <x v="2"/>
    <x v="52"/>
    <x v="0"/>
    <x v="2"/>
    <n v="0.99999519393901637"/>
    <x v="12"/>
    <x v="0"/>
    <x v="3"/>
    <x v="3"/>
    <x v="1"/>
    <x v="0"/>
    <x v="0"/>
    <x v="0"/>
    <x v="1"/>
    <x v="1"/>
    <x v="1"/>
    <x v="1"/>
    <x v="1"/>
    <x v="5"/>
    <x v="2"/>
    <x v="2"/>
    <x v="0"/>
    <x v="0"/>
    <x v="1"/>
    <x v="1"/>
    <x v="1"/>
    <x v="1"/>
    <x v="1"/>
    <x v="0"/>
    <x v="1"/>
  </r>
  <r>
    <x v="5"/>
    <x v="36"/>
    <x v="0"/>
    <x v="0"/>
    <x v="0"/>
    <x v="76"/>
    <x v="0"/>
    <x v="2"/>
    <x v="52"/>
    <x v="0"/>
    <x v="1"/>
    <n v="0.99999545858363903"/>
    <x v="12"/>
    <x v="0"/>
    <x v="3"/>
    <x v="3"/>
    <x v="1"/>
    <x v="0"/>
    <x v="0"/>
    <x v="0"/>
    <x v="1"/>
    <x v="1"/>
    <x v="1"/>
    <x v="1"/>
    <x v="1"/>
    <x v="5"/>
    <x v="2"/>
    <x v="2"/>
    <x v="0"/>
    <x v="0"/>
    <x v="1"/>
    <x v="1"/>
    <x v="1"/>
    <x v="1"/>
    <x v="1"/>
    <x v="0"/>
    <x v="1"/>
  </r>
  <r>
    <x v="5"/>
    <x v="36"/>
    <x v="0"/>
    <x v="0"/>
    <x v="0"/>
    <x v="76"/>
    <x v="0"/>
    <x v="2"/>
    <x v="52"/>
    <x v="0"/>
    <x v="0"/>
    <n v="0.99999528685001404"/>
    <x v="12"/>
    <x v="0"/>
    <x v="3"/>
    <x v="3"/>
    <x v="1"/>
    <x v="0"/>
    <x v="0"/>
    <x v="0"/>
    <x v="1"/>
    <x v="1"/>
    <x v="1"/>
    <x v="1"/>
    <x v="1"/>
    <x v="5"/>
    <x v="2"/>
    <x v="2"/>
    <x v="0"/>
    <x v="0"/>
    <x v="1"/>
    <x v="1"/>
    <x v="1"/>
    <x v="1"/>
    <x v="1"/>
    <x v="0"/>
    <x v="1"/>
  </r>
  <r>
    <x v="5"/>
    <x v="36"/>
    <x v="0"/>
    <x v="0"/>
    <x v="0"/>
    <x v="76"/>
    <x v="0"/>
    <x v="2"/>
    <x v="52"/>
    <x v="1"/>
    <x v="3"/>
    <n v="4.2335353535353537"/>
    <x v="21"/>
    <x v="1"/>
    <x v="3"/>
    <x v="3"/>
    <x v="1"/>
    <x v="0"/>
    <x v="0"/>
    <x v="0"/>
    <x v="1"/>
    <x v="1"/>
    <x v="1"/>
    <x v="1"/>
    <x v="1"/>
    <x v="5"/>
    <x v="2"/>
    <x v="2"/>
    <x v="0"/>
    <x v="0"/>
    <x v="1"/>
    <x v="1"/>
    <x v="1"/>
    <x v="1"/>
    <x v="1"/>
    <x v="0"/>
    <x v="1"/>
  </r>
  <r>
    <x v="5"/>
    <x v="36"/>
    <x v="0"/>
    <x v="0"/>
    <x v="0"/>
    <x v="76"/>
    <x v="0"/>
    <x v="2"/>
    <x v="52"/>
    <x v="0"/>
    <x v="3"/>
    <n v="0.99999537576328612"/>
    <x v="12"/>
    <x v="0"/>
    <x v="3"/>
    <x v="3"/>
    <x v="1"/>
    <x v="0"/>
    <x v="0"/>
    <x v="0"/>
    <x v="1"/>
    <x v="1"/>
    <x v="1"/>
    <x v="1"/>
    <x v="1"/>
    <x v="5"/>
    <x v="2"/>
    <x v="2"/>
    <x v="0"/>
    <x v="0"/>
    <x v="1"/>
    <x v="1"/>
    <x v="1"/>
    <x v="1"/>
    <x v="1"/>
    <x v="0"/>
    <x v="1"/>
  </r>
  <r>
    <x v="5"/>
    <x v="36"/>
    <x v="0"/>
    <x v="0"/>
    <x v="0"/>
    <x v="76"/>
    <x v="0"/>
    <x v="2"/>
    <x v="52"/>
    <x v="0"/>
    <x v="1"/>
    <n v="0.99999545858363903"/>
    <x v="12"/>
    <x v="0"/>
    <x v="3"/>
    <x v="3"/>
    <x v="1"/>
    <x v="0"/>
    <x v="0"/>
    <x v="0"/>
    <x v="1"/>
    <x v="1"/>
    <x v="1"/>
    <x v="1"/>
    <x v="1"/>
    <x v="5"/>
    <x v="2"/>
    <x v="2"/>
    <x v="0"/>
    <x v="0"/>
    <x v="1"/>
    <x v="1"/>
    <x v="1"/>
    <x v="1"/>
    <x v="1"/>
    <x v="0"/>
    <x v="1"/>
  </r>
  <r>
    <x v="5"/>
    <x v="36"/>
    <x v="0"/>
    <x v="0"/>
    <x v="0"/>
    <x v="76"/>
    <x v="0"/>
    <x v="2"/>
    <x v="52"/>
    <x v="0"/>
    <x v="3"/>
    <n v="0.99999537576328612"/>
    <x v="12"/>
    <x v="0"/>
    <x v="3"/>
    <x v="3"/>
    <x v="1"/>
    <x v="0"/>
    <x v="0"/>
    <x v="0"/>
    <x v="1"/>
    <x v="1"/>
    <x v="1"/>
    <x v="1"/>
    <x v="1"/>
    <x v="5"/>
    <x v="2"/>
    <x v="2"/>
    <x v="0"/>
    <x v="0"/>
    <x v="1"/>
    <x v="1"/>
    <x v="1"/>
    <x v="1"/>
    <x v="1"/>
    <x v="0"/>
    <x v="1"/>
  </r>
  <r>
    <x v="5"/>
    <x v="36"/>
    <x v="0"/>
    <x v="0"/>
    <x v="0"/>
    <x v="76"/>
    <x v="0"/>
    <x v="2"/>
    <x v="52"/>
    <x v="1"/>
    <x v="3"/>
    <n v="4.2335353535353537"/>
    <x v="21"/>
    <x v="1"/>
    <x v="3"/>
    <x v="3"/>
    <x v="1"/>
    <x v="0"/>
    <x v="0"/>
    <x v="0"/>
    <x v="1"/>
    <x v="1"/>
    <x v="1"/>
    <x v="1"/>
    <x v="1"/>
    <x v="5"/>
    <x v="2"/>
    <x v="2"/>
    <x v="0"/>
    <x v="0"/>
    <x v="1"/>
    <x v="1"/>
    <x v="1"/>
    <x v="1"/>
    <x v="1"/>
    <x v="0"/>
    <x v="1"/>
  </r>
  <r>
    <x v="5"/>
    <x v="36"/>
    <x v="0"/>
    <x v="0"/>
    <x v="0"/>
    <x v="76"/>
    <x v="0"/>
    <x v="2"/>
    <x v="52"/>
    <x v="2"/>
    <x v="1"/>
    <n v="2.8135444286616162"/>
    <x v="20"/>
    <x v="0"/>
    <x v="3"/>
    <x v="3"/>
    <x v="1"/>
    <x v="0"/>
    <x v="0"/>
    <x v="0"/>
    <x v="1"/>
    <x v="1"/>
    <x v="1"/>
    <x v="1"/>
    <x v="1"/>
    <x v="5"/>
    <x v="2"/>
    <x v="2"/>
    <x v="0"/>
    <x v="0"/>
    <x v="1"/>
    <x v="1"/>
    <x v="1"/>
    <x v="1"/>
    <x v="1"/>
    <x v="0"/>
    <x v="1"/>
  </r>
  <r>
    <x v="5"/>
    <x v="36"/>
    <x v="0"/>
    <x v="0"/>
    <x v="0"/>
    <x v="76"/>
    <x v="0"/>
    <x v="2"/>
    <x v="52"/>
    <x v="1"/>
    <x v="1"/>
    <n v="4.9549494949494948"/>
    <x v="21"/>
    <x v="1"/>
    <x v="3"/>
    <x v="3"/>
    <x v="1"/>
    <x v="0"/>
    <x v="0"/>
    <x v="0"/>
    <x v="1"/>
    <x v="1"/>
    <x v="1"/>
    <x v="1"/>
    <x v="1"/>
    <x v="5"/>
    <x v="2"/>
    <x v="2"/>
    <x v="0"/>
    <x v="0"/>
    <x v="1"/>
    <x v="1"/>
    <x v="1"/>
    <x v="1"/>
    <x v="1"/>
    <x v="0"/>
    <x v="1"/>
  </r>
  <r>
    <x v="5"/>
    <x v="36"/>
    <x v="0"/>
    <x v="0"/>
    <x v="0"/>
    <x v="76"/>
    <x v="0"/>
    <x v="2"/>
    <x v="52"/>
    <x v="1"/>
    <x v="3"/>
    <n v="4.2335353535353537"/>
    <x v="21"/>
    <x v="1"/>
    <x v="3"/>
    <x v="3"/>
    <x v="1"/>
    <x v="0"/>
    <x v="0"/>
    <x v="0"/>
    <x v="1"/>
    <x v="1"/>
    <x v="1"/>
    <x v="1"/>
    <x v="1"/>
    <x v="5"/>
    <x v="2"/>
    <x v="2"/>
    <x v="0"/>
    <x v="0"/>
    <x v="1"/>
    <x v="1"/>
    <x v="1"/>
    <x v="1"/>
    <x v="1"/>
    <x v="0"/>
    <x v="1"/>
  </r>
  <r>
    <x v="5"/>
    <x v="36"/>
    <x v="0"/>
    <x v="0"/>
    <x v="0"/>
    <x v="76"/>
    <x v="0"/>
    <x v="2"/>
    <x v="52"/>
    <x v="2"/>
    <x v="0"/>
    <n v="2.7545152698863635"/>
    <x v="20"/>
    <x v="0"/>
    <x v="3"/>
    <x v="3"/>
    <x v="1"/>
    <x v="0"/>
    <x v="0"/>
    <x v="0"/>
    <x v="1"/>
    <x v="1"/>
    <x v="1"/>
    <x v="1"/>
    <x v="1"/>
    <x v="5"/>
    <x v="2"/>
    <x v="2"/>
    <x v="0"/>
    <x v="0"/>
    <x v="1"/>
    <x v="1"/>
    <x v="1"/>
    <x v="1"/>
    <x v="1"/>
    <x v="0"/>
    <x v="1"/>
  </r>
  <r>
    <x v="5"/>
    <x v="36"/>
    <x v="0"/>
    <x v="0"/>
    <x v="0"/>
    <x v="76"/>
    <x v="0"/>
    <x v="2"/>
    <x v="52"/>
    <x v="1"/>
    <x v="2"/>
    <n v="4.9585858585858587"/>
    <x v="21"/>
    <x v="1"/>
    <x v="3"/>
    <x v="3"/>
    <x v="1"/>
    <x v="0"/>
    <x v="0"/>
    <x v="0"/>
    <x v="1"/>
    <x v="1"/>
    <x v="1"/>
    <x v="1"/>
    <x v="1"/>
    <x v="5"/>
    <x v="2"/>
    <x v="2"/>
    <x v="0"/>
    <x v="0"/>
    <x v="1"/>
    <x v="1"/>
    <x v="1"/>
    <x v="1"/>
    <x v="1"/>
    <x v="0"/>
    <x v="1"/>
  </r>
  <r>
    <x v="5"/>
    <x v="36"/>
    <x v="0"/>
    <x v="0"/>
    <x v="0"/>
    <x v="76"/>
    <x v="0"/>
    <x v="2"/>
    <x v="52"/>
    <x v="2"/>
    <x v="1"/>
    <n v="2.8135444286616162"/>
    <x v="20"/>
    <x v="0"/>
    <x v="3"/>
    <x v="3"/>
    <x v="1"/>
    <x v="0"/>
    <x v="0"/>
    <x v="0"/>
    <x v="1"/>
    <x v="1"/>
    <x v="1"/>
    <x v="1"/>
    <x v="1"/>
    <x v="5"/>
    <x v="2"/>
    <x v="2"/>
    <x v="0"/>
    <x v="0"/>
    <x v="1"/>
    <x v="1"/>
    <x v="1"/>
    <x v="1"/>
    <x v="1"/>
    <x v="0"/>
    <x v="1"/>
  </r>
  <r>
    <x v="5"/>
    <x v="36"/>
    <x v="0"/>
    <x v="0"/>
    <x v="0"/>
    <x v="76"/>
    <x v="0"/>
    <x v="2"/>
    <x v="52"/>
    <x v="1"/>
    <x v="3"/>
    <n v="4.2335353535353537"/>
    <x v="21"/>
    <x v="1"/>
    <x v="3"/>
    <x v="3"/>
    <x v="1"/>
    <x v="0"/>
    <x v="0"/>
    <x v="0"/>
    <x v="1"/>
    <x v="1"/>
    <x v="1"/>
    <x v="1"/>
    <x v="1"/>
    <x v="5"/>
    <x v="2"/>
    <x v="2"/>
    <x v="0"/>
    <x v="0"/>
    <x v="1"/>
    <x v="1"/>
    <x v="1"/>
    <x v="1"/>
    <x v="1"/>
    <x v="0"/>
    <x v="1"/>
  </r>
  <r>
    <x v="5"/>
    <x v="36"/>
    <x v="0"/>
    <x v="0"/>
    <x v="0"/>
    <x v="76"/>
    <x v="0"/>
    <x v="2"/>
    <x v="52"/>
    <x v="2"/>
    <x v="2"/>
    <n v="2.8197914693813133"/>
    <x v="20"/>
    <x v="0"/>
    <x v="3"/>
    <x v="3"/>
    <x v="1"/>
    <x v="0"/>
    <x v="0"/>
    <x v="0"/>
    <x v="1"/>
    <x v="1"/>
    <x v="1"/>
    <x v="1"/>
    <x v="1"/>
    <x v="5"/>
    <x v="2"/>
    <x v="2"/>
    <x v="0"/>
    <x v="0"/>
    <x v="1"/>
    <x v="1"/>
    <x v="1"/>
    <x v="1"/>
    <x v="1"/>
    <x v="0"/>
    <x v="1"/>
  </r>
  <r>
    <x v="5"/>
    <x v="36"/>
    <x v="0"/>
    <x v="0"/>
    <x v="0"/>
    <x v="77"/>
    <x v="0"/>
    <x v="2"/>
    <x v="53"/>
    <x v="1"/>
    <x v="0"/>
    <n v="4.6856565656565659"/>
    <x v="21"/>
    <x v="1"/>
    <x v="3"/>
    <x v="3"/>
    <x v="1"/>
    <x v="0"/>
    <x v="0"/>
    <x v="0"/>
    <x v="1"/>
    <x v="1"/>
    <x v="1"/>
    <x v="1"/>
    <x v="1"/>
    <x v="5"/>
    <x v="4"/>
    <x v="1"/>
    <x v="0"/>
    <x v="0"/>
    <x v="1"/>
    <x v="1"/>
    <x v="1"/>
    <x v="1"/>
    <x v="1"/>
    <x v="0"/>
    <x v="1"/>
  </r>
  <r>
    <x v="5"/>
    <x v="36"/>
    <x v="0"/>
    <x v="0"/>
    <x v="0"/>
    <x v="77"/>
    <x v="0"/>
    <x v="2"/>
    <x v="53"/>
    <x v="2"/>
    <x v="0"/>
    <n v="2.7545152698863635"/>
    <x v="20"/>
    <x v="0"/>
    <x v="3"/>
    <x v="3"/>
    <x v="1"/>
    <x v="0"/>
    <x v="0"/>
    <x v="0"/>
    <x v="1"/>
    <x v="1"/>
    <x v="1"/>
    <x v="1"/>
    <x v="1"/>
    <x v="5"/>
    <x v="4"/>
    <x v="1"/>
    <x v="0"/>
    <x v="0"/>
    <x v="1"/>
    <x v="1"/>
    <x v="1"/>
    <x v="1"/>
    <x v="1"/>
    <x v="0"/>
    <x v="1"/>
  </r>
  <r>
    <x v="5"/>
    <x v="36"/>
    <x v="0"/>
    <x v="0"/>
    <x v="0"/>
    <x v="77"/>
    <x v="0"/>
    <x v="2"/>
    <x v="53"/>
    <x v="0"/>
    <x v="0"/>
    <n v="0.99999528685001404"/>
    <x v="12"/>
    <x v="0"/>
    <x v="3"/>
    <x v="3"/>
    <x v="1"/>
    <x v="0"/>
    <x v="0"/>
    <x v="0"/>
    <x v="1"/>
    <x v="1"/>
    <x v="1"/>
    <x v="1"/>
    <x v="1"/>
    <x v="5"/>
    <x v="4"/>
    <x v="1"/>
    <x v="0"/>
    <x v="0"/>
    <x v="1"/>
    <x v="1"/>
    <x v="1"/>
    <x v="1"/>
    <x v="1"/>
    <x v="0"/>
    <x v="1"/>
  </r>
  <r>
    <x v="5"/>
    <x v="36"/>
    <x v="0"/>
    <x v="0"/>
    <x v="0"/>
    <x v="77"/>
    <x v="0"/>
    <x v="2"/>
    <x v="53"/>
    <x v="1"/>
    <x v="1"/>
    <n v="4.9549494949494948"/>
    <x v="21"/>
    <x v="1"/>
    <x v="3"/>
    <x v="3"/>
    <x v="1"/>
    <x v="0"/>
    <x v="0"/>
    <x v="0"/>
    <x v="1"/>
    <x v="1"/>
    <x v="1"/>
    <x v="1"/>
    <x v="1"/>
    <x v="5"/>
    <x v="4"/>
    <x v="1"/>
    <x v="0"/>
    <x v="0"/>
    <x v="1"/>
    <x v="1"/>
    <x v="1"/>
    <x v="1"/>
    <x v="1"/>
    <x v="0"/>
    <x v="1"/>
  </r>
  <r>
    <x v="5"/>
    <x v="36"/>
    <x v="0"/>
    <x v="0"/>
    <x v="0"/>
    <x v="77"/>
    <x v="0"/>
    <x v="2"/>
    <x v="53"/>
    <x v="0"/>
    <x v="3"/>
    <n v="0.99999537576328612"/>
    <x v="12"/>
    <x v="0"/>
    <x v="3"/>
    <x v="3"/>
    <x v="1"/>
    <x v="0"/>
    <x v="0"/>
    <x v="0"/>
    <x v="1"/>
    <x v="1"/>
    <x v="1"/>
    <x v="1"/>
    <x v="1"/>
    <x v="5"/>
    <x v="4"/>
    <x v="1"/>
    <x v="0"/>
    <x v="0"/>
    <x v="1"/>
    <x v="1"/>
    <x v="1"/>
    <x v="1"/>
    <x v="1"/>
    <x v="0"/>
    <x v="1"/>
  </r>
  <r>
    <x v="5"/>
    <x v="36"/>
    <x v="0"/>
    <x v="0"/>
    <x v="0"/>
    <x v="77"/>
    <x v="0"/>
    <x v="2"/>
    <x v="53"/>
    <x v="2"/>
    <x v="3"/>
    <n v="2.4281439393939395"/>
    <x v="20"/>
    <x v="0"/>
    <x v="3"/>
    <x v="3"/>
    <x v="1"/>
    <x v="0"/>
    <x v="0"/>
    <x v="0"/>
    <x v="1"/>
    <x v="1"/>
    <x v="1"/>
    <x v="1"/>
    <x v="1"/>
    <x v="5"/>
    <x v="4"/>
    <x v="1"/>
    <x v="0"/>
    <x v="0"/>
    <x v="1"/>
    <x v="1"/>
    <x v="1"/>
    <x v="1"/>
    <x v="1"/>
    <x v="0"/>
    <x v="1"/>
  </r>
  <r>
    <x v="5"/>
    <x v="36"/>
    <x v="0"/>
    <x v="0"/>
    <x v="0"/>
    <x v="77"/>
    <x v="0"/>
    <x v="2"/>
    <x v="53"/>
    <x v="2"/>
    <x v="2"/>
    <n v="2.8197914693813133"/>
    <x v="20"/>
    <x v="0"/>
    <x v="3"/>
    <x v="3"/>
    <x v="1"/>
    <x v="0"/>
    <x v="0"/>
    <x v="0"/>
    <x v="1"/>
    <x v="1"/>
    <x v="1"/>
    <x v="1"/>
    <x v="1"/>
    <x v="5"/>
    <x v="4"/>
    <x v="1"/>
    <x v="0"/>
    <x v="0"/>
    <x v="1"/>
    <x v="1"/>
    <x v="1"/>
    <x v="1"/>
    <x v="1"/>
    <x v="0"/>
    <x v="1"/>
  </r>
  <r>
    <x v="5"/>
    <x v="36"/>
    <x v="0"/>
    <x v="0"/>
    <x v="0"/>
    <x v="77"/>
    <x v="0"/>
    <x v="2"/>
    <x v="53"/>
    <x v="2"/>
    <x v="2"/>
    <n v="2.8197914693813133"/>
    <x v="20"/>
    <x v="0"/>
    <x v="3"/>
    <x v="3"/>
    <x v="1"/>
    <x v="0"/>
    <x v="0"/>
    <x v="0"/>
    <x v="1"/>
    <x v="1"/>
    <x v="1"/>
    <x v="1"/>
    <x v="1"/>
    <x v="5"/>
    <x v="4"/>
    <x v="1"/>
    <x v="0"/>
    <x v="0"/>
    <x v="1"/>
    <x v="1"/>
    <x v="1"/>
    <x v="1"/>
    <x v="1"/>
    <x v="0"/>
    <x v="1"/>
  </r>
  <r>
    <x v="5"/>
    <x v="36"/>
    <x v="0"/>
    <x v="0"/>
    <x v="0"/>
    <x v="77"/>
    <x v="0"/>
    <x v="2"/>
    <x v="53"/>
    <x v="1"/>
    <x v="3"/>
    <n v="4.2335353535353537"/>
    <x v="21"/>
    <x v="1"/>
    <x v="3"/>
    <x v="3"/>
    <x v="1"/>
    <x v="0"/>
    <x v="0"/>
    <x v="0"/>
    <x v="1"/>
    <x v="1"/>
    <x v="1"/>
    <x v="1"/>
    <x v="1"/>
    <x v="5"/>
    <x v="4"/>
    <x v="1"/>
    <x v="0"/>
    <x v="0"/>
    <x v="1"/>
    <x v="1"/>
    <x v="1"/>
    <x v="1"/>
    <x v="1"/>
    <x v="0"/>
    <x v="1"/>
  </r>
  <r>
    <x v="5"/>
    <x v="36"/>
    <x v="0"/>
    <x v="0"/>
    <x v="0"/>
    <x v="77"/>
    <x v="0"/>
    <x v="2"/>
    <x v="53"/>
    <x v="1"/>
    <x v="2"/>
    <n v="4.9585858585858587"/>
    <x v="21"/>
    <x v="1"/>
    <x v="3"/>
    <x v="3"/>
    <x v="1"/>
    <x v="0"/>
    <x v="0"/>
    <x v="0"/>
    <x v="1"/>
    <x v="1"/>
    <x v="1"/>
    <x v="1"/>
    <x v="1"/>
    <x v="5"/>
    <x v="4"/>
    <x v="1"/>
    <x v="0"/>
    <x v="0"/>
    <x v="1"/>
    <x v="1"/>
    <x v="1"/>
    <x v="1"/>
    <x v="1"/>
    <x v="0"/>
    <x v="1"/>
  </r>
  <r>
    <x v="5"/>
    <x v="36"/>
    <x v="0"/>
    <x v="0"/>
    <x v="0"/>
    <x v="77"/>
    <x v="0"/>
    <x v="2"/>
    <x v="53"/>
    <x v="2"/>
    <x v="1"/>
    <n v="2.8135444286616162"/>
    <x v="20"/>
    <x v="0"/>
    <x v="3"/>
    <x v="3"/>
    <x v="1"/>
    <x v="0"/>
    <x v="0"/>
    <x v="0"/>
    <x v="1"/>
    <x v="1"/>
    <x v="1"/>
    <x v="1"/>
    <x v="1"/>
    <x v="5"/>
    <x v="4"/>
    <x v="1"/>
    <x v="0"/>
    <x v="0"/>
    <x v="1"/>
    <x v="1"/>
    <x v="1"/>
    <x v="1"/>
    <x v="1"/>
    <x v="0"/>
    <x v="1"/>
  </r>
  <r>
    <x v="5"/>
    <x v="36"/>
    <x v="0"/>
    <x v="0"/>
    <x v="0"/>
    <x v="77"/>
    <x v="0"/>
    <x v="2"/>
    <x v="53"/>
    <x v="0"/>
    <x v="1"/>
    <n v="0.99999545858363903"/>
    <x v="12"/>
    <x v="0"/>
    <x v="3"/>
    <x v="3"/>
    <x v="1"/>
    <x v="0"/>
    <x v="0"/>
    <x v="0"/>
    <x v="1"/>
    <x v="1"/>
    <x v="1"/>
    <x v="1"/>
    <x v="1"/>
    <x v="5"/>
    <x v="4"/>
    <x v="1"/>
    <x v="0"/>
    <x v="0"/>
    <x v="1"/>
    <x v="1"/>
    <x v="1"/>
    <x v="1"/>
    <x v="1"/>
    <x v="0"/>
    <x v="1"/>
  </r>
  <r>
    <x v="5"/>
    <x v="36"/>
    <x v="0"/>
    <x v="0"/>
    <x v="0"/>
    <x v="77"/>
    <x v="0"/>
    <x v="2"/>
    <x v="53"/>
    <x v="2"/>
    <x v="3"/>
    <n v="2.4281439393939395"/>
    <x v="20"/>
    <x v="0"/>
    <x v="3"/>
    <x v="3"/>
    <x v="1"/>
    <x v="0"/>
    <x v="0"/>
    <x v="0"/>
    <x v="1"/>
    <x v="1"/>
    <x v="1"/>
    <x v="1"/>
    <x v="1"/>
    <x v="5"/>
    <x v="4"/>
    <x v="1"/>
    <x v="0"/>
    <x v="0"/>
    <x v="1"/>
    <x v="1"/>
    <x v="1"/>
    <x v="1"/>
    <x v="1"/>
    <x v="0"/>
    <x v="1"/>
  </r>
  <r>
    <x v="5"/>
    <x v="36"/>
    <x v="0"/>
    <x v="0"/>
    <x v="0"/>
    <x v="77"/>
    <x v="0"/>
    <x v="2"/>
    <x v="53"/>
    <x v="2"/>
    <x v="1"/>
    <n v="2.8135444286616162"/>
    <x v="20"/>
    <x v="0"/>
    <x v="3"/>
    <x v="3"/>
    <x v="1"/>
    <x v="0"/>
    <x v="0"/>
    <x v="0"/>
    <x v="1"/>
    <x v="1"/>
    <x v="1"/>
    <x v="1"/>
    <x v="1"/>
    <x v="5"/>
    <x v="4"/>
    <x v="1"/>
    <x v="0"/>
    <x v="0"/>
    <x v="1"/>
    <x v="1"/>
    <x v="1"/>
    <x v="1"/>
    <x v="1"/>
    <x v="0"/>
    <x v="1"/>
  </r>
  <r>
    <x v="5"/>
    <x v="36"/>
    <x v="0"/>
    <x v="0"/>
    <x v="0"/>
    <x v="77"/>
    <x v="0"/>
    <x v="2"/>
    <x v="53"/>
    <x v="0"/>
    <x v="3"/>
    <n v="0.99999537576328612"/>
    <x v="12"/>
    <x v="0"/>
    <x v="3"/>
    <x v="3"/>
    <x v="1"/>
    <x v="0"/>
    <x v="0"/>
    <x v="0"/>
    <x v="1"/>
    <x v="1"/>
    <x v="1"/>
    <x v="1"/>
    <x v="1"/>
    <x v="5"/>
    <x v="4"/>
    <x v="1"/>
    <x v="0"/>
    <x v="0"/>
    <x v="1"/>
    <x v="1"/>
    <x v="1"/>
    <x v="1"/>
    <x v="1"/>
    <x v="0"/>
    <x v="1"/>
  </r>
  <r>
    <x v="5"/>
    <x v="36"/>
    <x v="0"/>
    <x v="0"/>
    <x v="0"/>
    <x v="77"/>
    <x v="0"/>
    <x v="2"/>
    <x v="53"/>
    <x v="1"/>
    <x v="3"/>
    <n v="4.2335353535353537"/>
    <x v="21"/>
    <x v="1"/>
    <x v="3"/>
    <x v="3"/>
    <x v="1"/>
    <x v="0"/>
    <x v="0"/>
    <x v="0"/>
    <x v="1"/>
    <x v="1"/>
    <x v="1"/>
    <x v="1"/>
    <x v="1"/>
    <x v="5"/>
    <x v="4"/>
    <x v="1"/>
    <x v="0"/>
    <x v="0"/>
    <x v="1"/>
    <x v="1"/>
    <x v="1"/>
    <x v="1"/>
    <x v="1"/>
    <x v="0"/>
    <x v="1"/>
  </r>
  <r>
    <x v="5"/>
    <x v="36"/>
    <x v="0"/>
    <x v="0"/>
    <x v="0"/>
    <x v="77"/>
    <x v="0"/>
    <x v="2"/>
    <x v="53"/>
    <x v="0"/>
    <x v="2"/>
    <n v="0.99999519393901637"/>
    <x v="12"/>
    <x v="0"/>
    <x v="3"/>
    <x v="3"/>
    <x v="1"/>
    <x v="0"/>
    <x v="0"/>
    <x v="0"/>
    <x v="1"/>
    <x v="1"/>
    <x v="1"/>
    <x v="1"/>
    <x v="1"/>
    <x v="5"/>
    <x v="4"/>
    <x v="1"/>
    <x v="0"/>
    <x v="0"/>
    <x v="1"/>
    <x v="1"/>
    <x v="1"/>
    <x v="1"/>
    <x v="1"/>
    <x v="0"/>
    <x v="1"/>
  </r>
  <r>
    <x v="5"/>
    <x v="36"/>
    <x v="0"/>
    <x v="0"/>
    <x v="0"/>
    <x v="77"/>
    <x v="0"/>
    <x v="2"/>
    <x v="53"/>
    <x v="1"/>
    <x v="2"/>
    <n v="4.9585858585858587"/>
    <x v="21"/>
    <x v="1"/>
    <x v="3"/>
    <x v="3"/>
    <x v="1"/>
    <x v="0"/>
    <x v="0"/>
    <x v="0"/>
    <x v="1"/>
    <x v="1"/>
    <x v="1"/>
    <x v="1"/>
    <x v="1"/>
    <x v="5"/>
    <x v="4"/>
    <x v="1"/>
    <x v="0"/>
    <x v="0"/>
    <x v="1"/>
    <x v="1"/>
    <x v="1"/>
    <x v="1"/>
    <x v="1"/>
    <x v="0"/>
    <x v="1"/>
  </r>
  <r>
    <x v="5"/>
    <x v="36"/>
    <x v="0"/>
    <x v="0"/>
    <x v="0"/>
    <x v="77"/>
    <x v="0"/>
    <x v="2"/>
    <x v="53"/>
    <x v="0"/>
    <x v="2"/>
    <n v="0.99999519393901637"/>
    <x v="12"/>
    <x v="0"/>
    <x v="3"/>
    <x v="3"/>
    <x v="1"/>
    <x v="0"/>
    <x v="0"/>
    <x v="0"/>
    <x v="1"/>
    <x v="1"/>
    <x v="1"/>
    <x v="1"/>
    <x v="1"/>
    <x v="5"/>
    <x v="4"/>
    <x v="1"/>
    <x v="0"/>
    <x v="0"/>
    <x v="1"/>
    <x v="1"/>
    <x v="1"/>
    <x v="1"/>
    <x v="1"/>
    <x v="0"/>
    <x v="1"/>
  </r>
  <r>
    <x v="5"/>
    <x v="36"/>
    <x v="0"/>
    <x v="0"/>
    <x v="0"/>
    <x v="77"/>
    <x v="0"/>
    <x v="2"/>
    <x v="53"/>
    <x v="0"/>
    <x v="0"/>
    <n v="0.99999528685001404"/>
    <x v="12"/>
    <x v="0"/>
    <x v="3"/>
    <x v="3"/>
    <x v="1"/>
    <x v="0"/>
    <x v="0"/>
    <x v="0"/>
    <x v="1"/>
    <x v="1"/>
    <x v="1"/>
    <x v="1"/>
    <x v="1"/>
    <x v="5"/>
    <x v="4"/>
    <x v="1"/>
    <x v="0"/>
    <x v="0"/>
    <x v="1"/>
    <x v="1"/>
    <x v="1"/>
    <x v="1"/>
    <x v="1"/>
    <x v="0"/>
    <x v="1"/>
  </r>
  <r>
    <x v="5"/>
    <x v="36"/>
    <x v="0"/>
    <x v="0"/>
    <x v="0"/>
    <x v="77"/>
    <x v="0"/>
    <x v="2"/>
    <x v="53"/>
    <x v="2"/>
    <x v="0"/>
    <n v="2.7545152698863635"/>
    <x v="20"/>
    <x v="0"/>
    <x v="3"/>
    <x v="3"/>
    <x v="1"/>
    <x v="0"/>
    <x v="0"/>
    <x v="0"/>
    <x v="1"/>
    <x v="1"/>
    <x v="1"/>
    <x v="1"/>
    <x v="1"/>
    <x v="5"/>
    <x v="4"/>
    <x v="1"/>
    <x v="0"/>
    <x v="0"/>
    <x v="1"/>
    <x v="1"/>
    <x v="1"/>
    <x v="1"/>
    <x v="1"/>
    <x v="0"/>
    <x v="1"/>
  </r>
  <r>
    <x v="5"/>
    <x v="36"/>
    <x v="0"/>
    <x v="0"/>
    <x v="0"/>
    <x v="76"/>
    <x v="0"/>
    <x v="2"/>
    <x v="53"/>
    <x v="2"/>
    <x v="2"/>
    <n v="2.8197914693813133"/>
    <x v="20"/>
    <x v="0"/>
    <x v="3"/>
    <x v="3"/>
    <x v="1"/>
    <x v="0"/>
    <x v="0"/>
    <x v="0"/>
    <x v="1"/>
    <x v="1"/>
    <x v="1"/>
    <x v="1"/>
    <x v="1"/>
    <x v="5"/>
    <x v="2"/>
    <x v="2"/>
    <x v="0"/>
    <x v="0"/>
    <x v="1"/>
    <x v="1"/>
    <x v="1"/>
    <x v="1"/>
    <x v="1"/>
    <x v="0"/>
    <x v="1"/>
  </r>
  <r>
    <x v="5"/>
    <x v="36"/>
    <x v="0"/>
    <x v="0"/>
    <x v="0"/>
    <x v="76"/>
    <x v="0"/>
    <x v="2"/>
    <x v="53"/>
    <x v="0"/>
    <x v="3"/>
    <n v="0.99999537576328612"/>
    <x v="12"/>
    <x v="0"/>
    <x v="3"/>
    <x v="3"/>
    <x v="1"/>
    <x v="0"/>
    <x v="0"/>
    <x v="0"/>
    <x v="1"/>
    <x v="1"/>
    <x v="1"/>
    <x v="1"/>
    <x v="1"/>
    <x v="5"/>
    <x v="2"/>
    <x v="2"/>
    <x v="0"/>
    <x v="0"/>
    <x v="1"/>
    <x v="1"/>
    <x v="1"/>
    <x v="1"/>
    <x v="1"/>
    <x v="0"/>
    <x v="1"/>
  </r>
  <r>
    <x v="5"/>
    <x v="36"/>
    <x v="0"/>
    <x v="0"/>
    <x v="0"/>
    <x v="76"/>
    <x v="0"/>
    <x v="2"/>
    <x v="53"/>
    <x v="2"/>
    <x v="0"/>
    <n v="2.7545152698863635"/>
    <x v="20"/>
    <x v="0"/>
    <x v="3"/>
    <x v="3"/>
    <x v="1"/>
    <x v="0"/>
    <x v="0"/>
    <x v="0"/>
    <x v="1"/>
    <x v="1"/>
    <x v="1"/>
    <x v="1"/>
    <x v="1"/>
    <x v="5"/>
    <x v="2"/>
    <x v="2"/>
    <x v="0"/>
    <x v="0"/>
    <x v="1"/>
    <x v="1"/>
    <x v="1"/>
    <x v="1"/>
    <x v="1"/>
    <x v="0"/>
    <x v="1"/>
  </r>
  <r>
    <x v="5"/>
    <x v="36"/>
    <x v="0"/>
    <x v="0"/>
    <x v="0"/>
    <x v="76"/>
    <x v="0"/>
    <x v="2"/>
    <x v="53"/>
    <x v="2"/>
    <x v="2"/>
    <n v="2.8197914693813133"/>
    <x v="20"/>
    <x v="0"/>
    <x v="3"/>
    <x v="3"/>
    <x v="1"/>
    <x v="0"/>
    <x v="0"/>
    <x v="0"/>
    <x v="1"/>
    <x v="1"/>
    <x v="1"/>
    <x v="1"/>
    <x v="1"/>
    <x v="5"/>
    <x v="2"/>
    <x v="2"/>
    <x v="0"/>
    <x v="0"/>
    <x v="1"/>
    <x v="1"/>
    <x v="1"/>
    <x v="1"/>
    <x v="1"/>
    <x v="0"/>
    <x v="1"/>
  </r>
  <r>
    <x v="5"/>
    <x v="36"/>
    <x v="0"/>
    <x v="0"/>
    <x v="0"/>
    <x v="76"/>
    <x v="0"/>
    <x v="2"/>
    <x v="53"/>
    <x v="0"/>
    <x v="2"/>
    <n v="0.99999519393901637"/>
    <x v="12"/>
    <x v="0"/>
    <x v="3"/>
    <x v="3"/>
    <x v="1"/>
    <x v="0"/>
    <x v="0"/>
    <x v="0"/>
    <x v="1"/>
    <x v="1"/>
    <x v="1"/>
    <x v="1"/>
    <x v="1"/>
    <x v="5"/>
    <x v="2"/>
    <x v="2"/>
    <x v="0"/>
    <x v="0"/>
    <x v="1"/>
    <x v="1"/>
    <x v="1"/>
    <x v="1"/>
    <x v="1"/>
    <x v="0"/>
    <x v="1"/>
  </r>
  <r>
    <x v="5"/>
    <x v="36"/>
    <x v="0"/>
    <x v="0"/>
    <x v="0"/>
    <x v="76"/>
    <x v="0"/>
    <x v="2"/>
    <x v="53"/>
    <x v="0"/>
    <x v="0"/>
    <n v="0.99999528685001404"/>
    <x v="12"/>
    <x v="0"/>
    <x v="3"/>
    <x v="3"/>
    <x v="1"/>
    <x v="0"/>
    <x v="0"/>
    <x v="0"/>
    <x v="1"/>
    <x v="1"/>
    <x v="1"/>
    <x v="1"/>
    <x v="1"/>
    <x v="5"/>
    <x v="2"/>
    <x v="2"/>
    <x v="0"/>
    <x v="0"/>
    <x v="1"/>
    <x v="1"/>
    <x v="1"/>
    <x v="1"/>
    <x v="1"/>
    <x v="0"/>
    <x v="1"/>
  </r>
  <r>
    <x v="5"/>
    <x v="36"/>
    <x v="0"/>
    <x v="0"/>
    <x v="0"/>
    <x v="76"/>
    <x v="0"/>
    <x v="2"/>
    <x v="53"/>
    <x v="2"/>
    <x v="0"/>
    <n v="2.7545152698863635"/>
    <x v="20"/>
    <x v="0"/>
    <x v="3"/>
    <x v="3"/>
    <x v="1"/>
    <x v="0"/>
    <x v="0"/>
    <x v="0"/>
    <x v="1"/>
    <x v="1"/>
    <x v="1"/>
    <x v="1"/>
    <x v="1"/>
    <x v="5"/>
    <x v="2"/>
    <x v="2"/>
    <x v="0"/>
    <x v="0"/>
    <x v="1"/>
    <x v="1"/>
    <x v="1"/>
    <x v="1"/>
    <x v="1"/>
    <x v="0"/>
    <x v="1"/>
  </r>
  <r>
    <x v="5"/>
    <x v="36"/>
    <x v="0"/>
    <x v="0"/>
    <x v="0"/>
    <x v="76"/>
    <x v="0"/>
    <x v="2"/>
    <x v="53"/>
    <x v="2"/>
    <x v="3"/>
    <n v="2.4281439393939395"/>
    <x v="20"/>
    <x v="0"/>
    <x v="3"/>
    <x v="3"/>
    <x v="1"/>
    <x v="0"/>
    <x v="0"/>
    <x v="0"/>
    <x v="1"/>
    <x v="1"/>
    <x v="1"/>
    <x v="1"/>
    <x v="1"/>
    <x v="5"/>
    <x v="2"/>
    <x v="2"/>
    <x v="0"/>
    <x v="0"/>
    <x v="1"/>
    <x v="1"/>
    <x v="1"/>
    <x v="1"/>
    <x v="1"/>
    <x v="0"/>
    <x v="1"/>
  </r>
  <r>
    <x v="5"/>
    <x v="36"/>
    <x v="0"/>
    <x v="0"/>
    <x v="0"/>
    <x v="77"/>
    <x v="0"/>
    <x v="2"/>
    <x v="53"/>
    <x v="0"/>
    <x v="1"/>
    <n v="0.99999545858363903"/>
    <x v="12"/>
    <x v="0"/>
    <x v="3"/>
    <x v="3"/>
    <x v="1"/>
    <x v="0"/>
    <x v="0"/>
    <x v="0"/>
    <x v="1"/>
    <x v="1"/>
    <x v="1"/>
    <x v="1"/>
    <x v="1"/>
    <x v="5"/>
    <x v="4"/>
    <x v="1"/>
    <x v="0"/>
    <x v="0"/>
    <x v="1"/>
    <x v="1"/>
    <x v="1"/>
    <x v="1"/>
    <x v="1"/>
    <x v="0"/>
    <x v="1"/>
  </r>
  <r>
    <x v="5"/>
    <x v="36"/>
    <x v="0"/>
    <x v="0"/>
    <x v="0"/>
    <x v="77"/>
    <x v="0"/>
    <x v="2"/>
    <x v="53"/>
    <x v="1"/>
    <x v="1"/>
    <n v="4.9549494949494948"/>
    <x v="21"/>
    <x v="1"/>
    <x v="3"/>
    <x v="3"/>
    <x v="1"/>
    <x v="0"/>
    <x v="0"/>
    <x v="0"/>
    <x v="1"/>
    <x v="1"/>
    <x v="1"/>
    <x v="1"/>
    <x v="1"/>
    <x v="5"/>
    <x v="4"/>
    <x v="1"/>
    <x v="0"/>
    <x v="0"/>
    <x v="1"/>
    <x v="1"/>
    <x v="1"/>
    <x v="1"/>
    <x v="1"/>
    <x v="0"/>
    <x v="1"/>
  </r>
  <r>
    <x v="5"/>
    <x v="36"/>
    <x v="0"/>
    <x v="0"/>
    <x v="0"/>
    <x v="77"/>
    <x v="0"/>
    <x v="2"/>
    <x v="53"/>
    <x v="1"/>
    <x v="0"/>
    <n v="4.6856565656565659"/>
    <x v="21"/>
    <x v="1"/>
    <x v="3"/>
    <x v="3"/>
    <x v="1"/>
    <x v="0"/>
    <x v="0"/>
    <x v="0"/>
    <x v="1"/>
    <x v="1"/>
    <x v="1"/>
    <x v="1"/>
    <x v="1"/>
    <x v="5"/>
    <x v="4"/>
    <x v="1"/>
    <x v="0"/>
    <x v="0"/>
    <x v="1"/>
    <x v="1"/>
    <x v="1"/>
    <x v="1"/>
    <x v="1"/>
    <x v="0"/>
    <x v="1"/>
  </r>
  <r>
    <x v="5"/>
    <x v="36"/>
    <x v="0"/>
    <x v="0"/>
    <x v="0"/>
    <x v="76"/>
    <x v="0"/>
    <x v="2"/>
    <x v="53"/>
    <x v="1"/>
    <x v="1"/>
    <n v="4.9549494949494948"/>
    <x v="21"/>
    <x v="1"/>
    <x v="3"/>
    <x v="3"/>
    <x v="1"/>
    <x v="0"/>
    <x v="0"/>
    <x v="0"/>
    <x v="1"/>
    <x v="1"/>
    <x v="1"/>
    <x v="1"/>
    <x v="1"/>
    <x v="5"/>
    <x v="2"/>
    <x v="2"/>
    <x v="0"/>
    <x v="0"/>
    <x v="1"/>
    <x v="1"/>
    <x v="1"/>
    <x v="1"/>
    <x v="1"/>
    <x v="0"/>
    <x v="1"/>
  </r>
  <r>
    <x v="5"/>
    <x v="36"/>
    <x v="0"/>
    <x v="0"/>
    <x v="0"/>
    <x v="76"/>
    <x v="0"/>
    <x v="2"/>
    <x v="53"/>
    <x v="1"/>
    <x v="2"/>
    <n v="4.9585858585858587"/>
    <x v="21"/>
    <x v="1"/>
    <x v="3"/>
    <x v="3"/>
    <x v="1"/>
    <x v="0"/>
    <x v="0"/>
    <x v="0"/>
    <x v="1"/>
    <x v="1"/>
    <x v="1"/>
    <x v="1"/>
    <x v="1"/>
    <x v="5"/>
    <x v="2"/>
    <x v="2"/>
    <x v="0"/>
    <x v="0"/>
    <x v="1"/>
    <x v="1"/>
    <x v="1"/>
    <x v="1"/>
    <x v="1"/>
    <x v="0"/>
    <x v="1"/>
  </r>
  <r>
    <x v="5"/>
    <x v="36"/>
    <x v="0"/>
    <x v="0"/>
    <x v="0"/>
    <x v="76"/>
    <x v="0"/>
    <x v="2"/>
    <x v="53"/>
    <x v="1"/>
    <x v="0"/>
    <n v="4.6856565656565659"/>
    <x v="21"/>
    <x v="1"/>
    <x v="3"/>
    <x v="3"/>
    <x v="1"/>
    <x v="0"/>
    <x v="0"/>
    <x v="0"/>
    <x v="1"/>
    <x v="1"/>
    <x v="1"/>
    <x v="1"/>
    <x v="1"/>
    <x v="5"/>
    <x v="2"/>
    <x v="2"/>
    <x v="0"/>
    <x v="0"/>
    <x v="1"/>
    <x v="1"/>
    <x v="1"/>
    <x v="1"/>
    <x v="1"/>
    <x v="0"/>
    <x v="1"/>
  </r>
  <r>
    <x v="5"/>
    <x v="36"/>
    <x v="0"/>
    <x v="0"/>
    <x v="0"/>
    <x v="76"/>
    <x v="0"/>
    <x v="2"/>
    <x v="53"/>
    <x v="0"/>
    <x v="0"/>
    <n v="0.99999528685001404"/>
    <x v="12"/>
    <x v="0"/>
    <x v="3"/>
    <x v="3"/>
    <x v="1"/>
    <x v="0"/>
    <x v="0"/>
    <x v="0"/>
    <x v="1"/>
    <x v="1"/>
    <x v="1"/>
    <x v="1"/>
    <x v="1"/>
    <x v="5"/>
    <x v="2"/>
    <x v="2"/>
    <x v="0"/>
    <x v="0"/>
    <x v="1"/>
    <x v="1"/>
    <x v="1"/>
    <x v="1"/>
    <x v="1"/>
    <x v="0"/>
    <x v="1"/>
  </r>
  <r>
    <x v="5"/>
    <x v="36"/>
    <x v="0"/>
    <x v="0"/>
    <x v="0"/>
    <x v="76"/>
    <x v="0"/>
    <x v="2"/>
    <x v="53"/>
    <x v="2"/>
    <x v="3"/>
    <n v="2.4281439393939395"/>
    <x v="20"/>
    <x v="0"/>
    <x v="3"/>
    <x v="3"/>
    <x v="1"/>
    <x v="0"/>
    <x v="0"/>
    <x v="0"/>
    <x v="1"/>
    <x v="1"/>
    <x v="1"/>
    <x v="1"/>
    <x v="1"/>
    <x v="5"/>
    <x v="2"/>
    <x v="2"/>
    <x v="0"/>
    <x v="0"/>
    <x v="1"/>
    <x v="1"/>
    <x v="1"/>
    <x v="1"/>
    <x v="1"/>
    <x v="0"/>
    <x v="1"/>
  </r>
  <r>
    <x v="5"/>
    <x v="36"/>
    <x v="0"/>
    <x v="0"/>
    <x v="0"/>
    <x v="76"/>
    <x v="0"/>
    <x v="2"/>
    <x v="53"/>
    <x v="1"/>
    <x v="3"/>
    <n v="4.2335353535353537"/>
    <x v="21"/>
    <x v="1"/>
    <x v="3"/>
    <x v="3"/>
    <x v="1"/>
    <x v="0"/>
    <x v="0"/>
    <x v="0"/>
    <x v="1"/>
    <x v="1"/>
    <x v="1"/>
    <x v="1"/>
    <x v="1"/>
    <x v="5"/>
    <x v="2"/>
    <x v="2"/>
    <x v="0"/>
    <x v="0"/>
    <x v="1"/>
    <x v="1"/>
    <x v="1"/>
    <x v="1"/>
    <x v="1"/>
    <x v="0"/>
    <x v="1"/>
  </r>
  <r>
    <x v="5"/>
    <x v="36"/>
    <x v="0"/>
    <x v="0"/>
    <x v="0"/>
    <x v="76"/>
    <x v="0"/>
    <x v="2"/>
    <x v="53"/>
    <x v="1"/>
    <x v="2"/>
    <n v="4.9585858585858587"/>
    <x v="21"/>
    <x v="1"/>
    <x v="3"/>
    <x v="3"/>
    <x v="1"/>
    <x v="0"/>
    <x v="0"/>
    <x v="0"/>
    <x v="1"/>
    <x v="1"/>
    <x v="1"/>
    <x v="1"/>
    <x v="1"/>
    <x v="5"/>
    <x v="2"/>
    <x v="2"/>
    <x v="0"/>
    <x v="0"/>
    <x v="1"/>
    <x v="1"/>
    <x v="1"/>
    <x v="1"/>
    <x v="1"/>
    <x v="0"/>
    <x v="1"/>
  </r>
  <r>
    <x v="5"/>
    <x v="36"/>
    <x v="0"/>
    <x v="0"/>
    <x v="0"/>
    <x v="76"/>
    <x v="0"/>
    <x v="2"/>
    <x v="53"/>
    <x v="1"/>
    <x v="1"/>
    <n v="4.9549494949494948"/>
    <x v="21"/>
    <x v="1"/>
    <x v="3"/>
    <x v="3"/>
    <x v="1"/>
    <x v="0"/>
    <x v="0"/>
    <x v="0"/>
    <x v="1"/>
    <x v="1"/>
    <x v="1"/>
    <x v="1"/>
    <x v="1"/>
    <x v="5"/>
    <x v="2"/>
    <x v="2"/>
    <x v="0"/>
    <x v="0"/>
    <x v="1"/>
    <x v="1"/>
    <x v="1"/>
    <x v="1"/>
    <x v="1"/>
    <x v="0"/>
    <x v="1"/>
  </r>
  <r>
    <x v="5"/>
    <x v="36"/>
    <x v="0"/>
    <x v="0"/>
    <x v="0"/>
    <x v="76"/>
    <x v="0"/>
    <x v="2"/>
    <x v="53"/>
    <x v="1"/>
    <x v="0"/>
    <n v="4.6856565656565659"/>
    <x v="21"/>
    <x v="1"/>
    <x v="3"/>
    <x v="3"/>
    <x v="1"/>
    <x v="0"/>
    <x v="0"/>
    <x v="0"/>
    <x v="1"/>
    <x v="1"/>
    <x v="1"/>
    <x v="1"/>
    <x v="1"/>
    <x v="5"/>
    <x v="2"/>
    <x v="2"/>
    <x v="0"/>
    <x v="0"/>
    <x v="1"/>
    <x v="1"/>
    <x v="1"/>
    <x v="1"/>
    <x v="1"/>
    <x v="0"/>
    <x v="1"/>
  </r>
  <r>
    <x v="5"/>
    <x v="36"/>
    <x v="0"/>
    <x v="0"/>
    <x v="0"/>
    <x v="76"/>
    <x v="0"/>
    <x v="2"/>
    <x v="53"/>
    <x v="2"/>
    <x v="3"/>
    <n v="2.4281439393939395"/>
    <x v="20"/>
    <x v="0"/>
    <x v="3"/>
    <x v="3"/>
    <x v="1"/>
    <x v="0"/>
    <x v="0"/>
    <x v="0"/>
    <x v="1"/>
    <x v="1"/>
    <x v="1"/>
    <x v="1"/>
    <x v="1"/>
    <x v="5"/>
    <x v="2"/>
    <x v="2"/>
    <x v="0"/>
    <x v="0"/>
    <x v="1"/>
    <x v="1"/>
    <x v="1"/>
    <x v="1"/>
    <x v="1"/>
    <x v="0"/>
    <x v="1"/>
  </r>
  <r>
    <x v="5"/>
    <x v="36"/>
    <x v="0"/>
    <x v="0"/>
    <x v="0"/>
    <x v="76"/>
    <x v="0"/>
    <x v="2"/>
    <x v="53"/>
    <x v="2"/>
    <x v="1"/>
    <n v="2.8135444286616162"/>
    <x v="20"/>
    <x v="0"/>
    <x v="3"/>
    <x v="3"/>
    <x v="1"/>
    <x v="0"/>
    <x v="0"/>
    <x v="0"/>
    <x v="1"/>
    <x v="1"/>
    <x v="1"/>
    <x v="1"/>
    <x v="1"/>
    <x v="5"/>
    <x v="2"/>
    <x v="2"/>
    <x v="0"/>
    <x v="0"/>
    <x v="1"/>
    <x v="1"/>
    <x v="1"/>
    <x v="1"/>
    <x v="1"/>
    <x v="0"/>
    <x v="1"/>
  </r>
  <r>
    <x v="5"/>
    <x v="36"/>
    <x v="0"/>
    <x v="0"/>
    <x v="0"/>
    <x v="76"/>
    <x v="0"/>
    <x v="2"/>
    <x v="53"/>
    <x v="0"/>
    <x v="1"/>
    <n v="0.99999545858363903"/>
    <x v="12"/>
    <x v="0"/>
    <x v="3"/>
    <x v="3"/>
    <x v="1"/>
    <x v="0"/>
    <x v="0"/>
    <x v="0"/>
    <x v="1"/>
    <x v="1"/>
    <x v="1"/>
    <x v="1"/>
    <x v="1"/>
    <x v="5"/>
    <x v="2"/>
    <x v="2"/>
    <x v="0"/>
    <x v="0"/>
    <x v="1"/>
    <x v="1"/>
    <x v="1"/>
    <x v="1"/>
    <x v="1"/>
    <x v="0"/>
    <x v="1"/>
  </r>
  <r>
    <x v="5"/>
    <x v="36"/>
    <x v="0"/>
    <x v="0"/>
    <x v="0"/>
    <x v="76"/>
    <x v="0"/>
    <x v="2"/>
    <x v="53"/>
    <x v="0"/>
    <x v="2"/>
    <n v="0.99999519393901637"/>
    <x v="12"/>
    <x v="0"/>
    <x v="3"/>
    <x v="3"/>
    <x v="1"/>
    <x v="0"/>
    <x v="0"/>
    <x v="0"/>
    <x v="1"/>
    <x v="1"/>
    <x v="1"/>
    <x v="1"/>
    <x v="1"/>
    <x v="5"/>
    <x v="2"/>
    <x v="2"/>
    <x v="0"/>
    <x v="0"/>
    <x v="1"/>
    <x v="1"/>
    <x v="1"/>
    <x v="1"/>
    <x v="1"/>
    <x v="0"/>
    <x v="1"/>
  </r>
  <r>
    <x v="5"/>
    <x v="36"/>
    <x v="0"/>
    <x v="0"/>
    <x v="0"/>
    <x v="76"/>
    <x v="0"/>
    <x v="2"/>
    <x v="53"/>
    <x v="1"/>
    <x v="2"/>
    <n v="4.9585858585858587"/>
    <x v="21"/>
    <x v="1"/>
    <x v="3"/>
    <x v="3"/>
    <x v="1"/>
    <x v="0"/>
    <x v="0"/>
    <x v="0"/>
    <x v="1"/>
    <x v="1"/>
    <x v="1"/>
    <x v="1"/>
    <x v="1"/>
    <x v="5"/>
    <x v="2"/>
    <x v="2"/>
    <x v="0"/>
    <x v="0"/>
    <x v="1"/>
    <x v="1"/>
    <x v="1"/>
    <x v="1"/>
    <x v="1"/>
    <x v="0"/>
    <x v="1"/>
  </r>
  <r>
    <x v="5"/>
    <x v="36"/>
    <x v="0"/>
    <x v="0"/>
    <x v="0"/>
    <x v="76"/>
    <x v="0"/>
    <x v="2"/>
    <x v="53"/>
    <x v="2"/>
    <x v="0"/>
    <n v="2.7545152698863635"/>
    <x v="20"/>
    <x v="0"/>
    <x v="3"/>
    <x v="3"/>
    <x v="1"/>
    <x v="0"/>
    <x v="0"/>
    <x v="0"/>
    <x v="1"/>
    <x v="1"/>
    <x v="1"/>
    <x v="1"/>
    <x v="1"/>
    <x v="5"/>
    <x v="2"/>
    <x v="2"/>
    <x v="0"/>
    <x v="0"/>
    <x v="1"/>
    <x v="1"/>
    <x v="1"/>
    <x v="1"/>
    <x v="1"/>
    <x v="0"/>
    <x v="1"/>
  </r>
  <r>
    <x v="5"/>
    <x v="36"/>
    <x v="0"/>
    <x v="0"/>
    <x v="0"/>
    <x v="76"/>
    <x v="0"/>
    <x v="2"/>
    <x v="53"/>
    <x v="0"/>
    <x v="2"/>
    <n v="0.99999519393901637"/>
    <x v="12"/>
    <x v="0"/>
    <x v="3"/>
    <x v="3"/>
    <x v="1"/>
    <x v="0"/>
    <x v="0"/>
    <x v="0"/>
    <x v="1"/>
    <x v="1"/>
    <x v="1"/>
    <x v="1"/>
    <x v="1"/>
    <x v="5"/>
    <x v="2"/>
    <x v="2"/>
    <x v="0"/>
    <x v="0"/>
    <x v="1"/>
    <x v="1"/>
    <x v="1"/>
    <x v="1"/>
    <x v="1"/>
    <x v="0"/>
    <x v="1"/>
  </r>
  <r>
    <x v="5"/>
    <x v="36"/>
    <x v="0"/>
    <x v="0"/>
    <x v="0"/>
    <x v="76"/>
    <x v="0"/>
    <x v="2"/>
    <x v="53"/>
    <x v="0"/>
    <x v="1"/>
    <n v="0.99999545858363903"/>
    <x v="12"/>
    <x v="0"/>
    <x v="3"/>
    <x v="3"/>
    <x v="1"/>
    <x v="0"/>
    <x v="0"/>
    <x v="0"/>
    <x v="1"/>
    <x v="1"/>
    <x v="1"/>
    <x v="1"/>
    <x v="1"/>
    <x v="5"/>
    <x v="2"/>
    <x v="2"/>
    <x v="0"/>
    <x v="0"/>
    <x v="1"/>
    <x v="1"/>
    <x v="1"/>
    <x v="1"/>
    <x v="1"/>
    <x v="0"/>
    <x v="1"/>
  </r>
  <r>
    <x v="5"/>
    <x v="36"/>
    <x v="0"/>
    <x v="0"/>
    <x v="0"/>
    <x v="76"/>
    <x v="0"/>
    <x v="2"/>
    <x v="53"/>
    <x v="0"/>
    <x v="0"/>
    <n v="0.99999528685001404"/>
    <x v="12"/>
    <x v="0"/>
    <x v="3"/>
    <x v="3"/>
    <x v="1"/>
    <x v="0"/>
    <x v="0"/>
    <x v="0"/>
    <x v="1"/>
    <x v="1"/>
    <x v="1"/>
    <x v="1"/>
    <x v="1"/>
    <x v="5"/>
    <x v="2"/>
    <x v="2"/>
    <x v="0"/>
    <x v="0"/>
    <x v="1"/>
    <x v="1"/>
    <x v="1"/>
    <x v="1"/>
    <x v="1"/>
    <x v="0"/>
    <x v="1"/>
  </r>
  <r>
    <x v="5"/>
    <x v="36"/>
    <x v="0"/>
    <x v="0"/>
    <x v="0"/>
    <x v="76"/>
    <x v="0"/>
    <x v="2"/>
    <x v="53"/>
    <x v="1"/>
    <x v="3"/>
    <n v="4.2335353535353537"/>
    <x v="21"/>
    <x v="1"/>
    <x v="3"/>
    <x v="3"/>
    <x v="1"/>
    <x v="0"/>
    <x v="0"/>
    <x v="0"/>
    <x v="1"/>
    <x v="1"/>
    <x v="1"/>
    <x v="1"/>
    <x v="1"/>
    <x v="5"/>
    <x v="2"/>
    <x v="2"/>
    <x v="0"/>
    <x v="0"/>
    <x v="1"/>
    <x v="1"/>
    <x v="1"/>
    <x v="1"/>
    <x v="1"/>
    <x v="0"/>
    <x v="1"/>
  </r>
  <r>
    <x v="5"/>
    <x v="36"/>
    <x v="0"/>
    <x v="0"/>
    <x v="0"/>
    <x v="76"/>
    <x v="0"/>
    <x v="2"/>
    <x v="53"/>
    <x v="0"/>
    <x v="3"/>
    <n v="0.99999537576328612"/>
    <x v="12"/>
    <x v="0"/>
    <x v="3"/>
    <x v="3"/>
    <x v="1"/>
    <x v="0"/>
    <x v="0"/>
    <x v="0"/>
    <x v="1"/>
    <x v="1"/>
    <x v="1"/>
    <x v="1"/>
    <x v="1"/>
    <x v="5"/>
    <x v="2"/>
    <x v="2"/>
    <x v="0"/>
    <x v="0"/>
    <x v="1"/>
    <x v="1"/>
    <x v="1"/>
    <x v="1"/>
    <x v="1"/>
    <x v="0"/>
    <x v="1"/>
  </r>
  <r>
    <x v="5"/>
    <x v="36"/>
    <x v="0"/>
    <x v="0"/>
    <x v="0"/>
    <x v="76"/>
    <x v="0"/>
    <x v="2"/>
    <x v="53"/>
    <x v="0"/>
    <x v="0"/>
    <n v="0.99999528685001404"/>
    <x v="12"/>
    <x v="0"/>
    <x v="3"/>
    <x v="3"/>
    <x v="1"/>
    <x v="0"/>
    <x v="0"/>
    <x v="0"/>
    <x v="1"/>
    <x v="1"/>
    <x v="1"/>
    <x v="1"/>
    <x v="1"/>
    <x v="5"/>
    <x v="2"/>
    <x v="2"/>
    <x v="0"/>
    <x v="0"/>
    <x v="1"/>
    <x v="1"/>
    <x v="1"/>
    <x v="1"/>
    <x v="1"/>
    <x v="0"/>
    <x v="1"/>
  </r>
  <r>
    <x v="5"/>
    <x v="36"/>
    <x v="0"/>
    <x v="0"/>
    <x v="0"/>
    <x v="76"/>
    <x v="0"/>
    <x v="2"/>
    <x v="53"/>
    <x v="0"/>
    <x v="1"/>
    <n v="0.99999545858363903"/>
    <x v="12"/>
    <x v="0"/>
    <x v="3"/>
    <x v="3"/>
    <x v="1"/>
    <x v="0"/>
    <x v="0"/>
    <x v="0"/>
    <x v="1"/>
    <x v="1"/>
    <x v="1"/>
    <x v="1"/>
    <x v="1"/>
    <x v="5"/>
    <x v="2"/>
    <x v="2"/>
    <x v="0"/>
    <x v="0"/>
    <x v="1"/>
    <x v="1"/>
    <x v="1"/>
    <x v="1"/>
    <x v="1"/>
    <x v="0"/>
    <x v="1"/>
  </r>
  <r>
    <x v="5"/>
    <x v="36"/>
    <x v="0"/>
    <x v="0"/>
    <x v="0"/>
    <x v="76"/>
    <x v="0"/>
    <x v="2"/>
    <x v="53"/>
    <x v="0"/>
    <x v="3"/>
    <n v="0.99999537576328612"/>
    <x v="12"/>
    <x v="0"/>
    <x v="3"/>
    <x v="3"/>
    <x v="1"/>
    <x v="0"/>
    <x v="0"/>
    <x v="0"/>
    <x v="1"/>
    <x v="1"/>
    <x v="1"/>
    <x v="1"/>
    <x v="1"/>
    <x v="5"/>
    <x v="2"/>
    <x v="2"/>
    <x v="0"/>
    <x v="0"/>
    <x v="1"/>
    <x v="1"/>
    <x v="1"/>
    <x v="1"/>
    <x v="1"/>
    <x v="0"/>
    <x v="1"/>
  </r>
  <r>
    <x v="5"/>
    <x v="36"/>
    <x v="0"/>
    <x v="0"/>
    <x v="0"/>
    <x v="76"/>
    <x v="0"/>
    <x v="2"/>
    <x v="53"/>
    <x v="1"/>
    <x v="3"/>
    <n v="4.2335353535353537"/>
    <x v="21"/>
    <x v="1"/>
    <x v="3"/>
    <x v="3"/>
    <x v="1"/>
    <x v="0"/>
    <x v="0"/>
    <x v="0"/>
    <x v="1"/>
    <x v="1"/>
    <x v="1"/>
    <x v="1"/>
    <x v="1"/>
    <x v="5"/>
    <x v="2"/>
    <x v="2"/>
    <x v="0"/>
    <x v="0"/>
    <x v="1"/>
    <x v="1"/>
    <x v="1"/>
    <x v="1"/>
    <x v="1"/>
    <x v="0"/>
    <x v="1"/>
  </r>
  <r>
    <x v="5"/>
    <x v="36"/>
    <x v="0"/>
    <x v="0"/>
    <x v="0"/>
    <x v="76"/>
    <x v="0"/>
    <x v="2"/>
    <x v="53"/>
    <x v="2"/>
    <x v="1"/>
    <n v="2.8135444286616162"/>
    <x v="20"/>
    <x v="0"/>
    <x v="3"/>
    <x v="3"/>
    <x v="1"/>
    <x v="0"/>
    <x v="0"/>
    <x v="0"/>
    <x v="1"/>
    <x v="1"/>
    <x v="1"/>
    <x v="1"/>
    <x v="1"/>
    <x v="5"/>
    <x v="2"/>
    <x v="2"/>
    <x v="0"/>
    <x v="0"/>
    <x v="1"/>
    <x v="1"/>
    <x v="1"/>
    <x v="1"/>
    <x v="1"/>
    <x v="0"/>
    <x v="1"/>
  </r>
  <r>
    <x v="5"/>
    <x v="36"/>
    <x v="0"/>
    <x v="0"/>
    <x v="0"/>
    <x v="76"/>
    <x v="0"/>
    <x v="2"/>
    <x v="53"/>
    <x v="1"/>
    <x v="1"/>
    <n v="4.9549494949494948"/>
    <x v="21"/>
    <x v="1"/>
    <x v="3"/>
    <x v="3"/>
    <x v="1"/>
    <x v="0"/>
    <x v="0"/>
    <x v="0"/>
    <x v="1"/>
    <x v="1"/>
    <x v="1"/>
    <x v="1"/>
    <x v="1"/>
    <x v="5"/>
    <x v="2"/>
    <x v="2"/>
    <x v="0"/>
    <x v="0"/>
    <x v="1"/>
    <x v="1"/>
    <x v="1"/>
    <x v="1"/>
    <x v="1"/>
    <x v="0"/>
    <x v="1"/>
  </r>
  <r>
    <x v="5"/>
    <x v="36"/>
    <x v="0"/>
    <x v="0"/>
    <x v="0"/>
    <x v="76"/>
    <x v="0"/>
    <x v="2"/>
    <x v="53"/>
    <x v="1"/>
    <x v="3"/>
    <n v="4.2335353535353537"/>
    <x v="21"/>
    <x v="1"/>
    <x v="3"/>
    <x v="3"/>
    <x v="1"/>
    <x v="0"/>
    <x v="0"/>
    <x v="0"/>
    <x v="1"/>
    <x v="1"/>
    <x v="1"/>
    <x v="1"/>
    <x v="1"/>
    <x v="5"/>
    <x v="2"/>
    <x v="2"/>
    <x v="0"/>
    <x v="0"/>
    <x v="1"/>
    <x v="1"/>
    <x v="1"/>
    <x v="1"/>
    <x v="1"/>
    <x v="0"/>
    <x v="1"/>
  </r>
  <r>
    <x v="5"/>
    <x v="36"/>
    <x v="0"/>
    <x v="0"/>
    <x v="0"/>
    <x v="76"/>
    <x v="0"/>
    <x v="2"/>
    <x v="53"/>
    <x v="2"/>
    <x v="0"/>
    <n v="2.7545152698863635"/>
    <x v="20"/>
    <x v="0"/>
    <x v="3"/>
    <x v="3"/>
    <x v="1"/>
    <x v="0"/>
    <x v="0"/>
    <x v="0"/>
    <x v="1"/>
    <x v="1"/>
    <x v="1"/>
    <x v="1"/>
    <x v="1"/>
    <x v="5"/>
    <x v="2"/>
    <x v="2"/>
    <x v="0"/>
    <x v="0"/>
    <x v="1"/>
    <x v="1"/>
    <x v="1"/>
    <x v="1"/>
    <x v="1"/>
    <x v="0"/>
    <x v="1"/>
  </r>
  <r>
    <x v="5"/>
    <x v="36"/>
    <x v="0"/>
    <x v="0"/>
    <x v="0"/>
    <x v="76"/>
    <x v="0"/>
    <x v="2"/>
    <x v="53"/>
    <x v="1"/>
    <x v="2"/>
    <n v="4.9585858585858587"/>
    <x v="21"/>
    <x v="1"/>
    <x v="3"/>
    <x v="3"/>
    <x v="1"/>
    <x v="0"/>
    <x v="0"/>
    <x v="0"/>
    <x v="1"/>
    <x v="1"/>
    <x v="1"/>
    <x v="1"/>
    <x v="1"/>
    <x v="5"/>
    <x v="2"/>
    <x v="2"/>
    <x v="0"/>
    <x v="0"/>
    <x v="1"/>
    <x v="1"/>
    <x v="1"/>
    <x v="1"/>
    <x v="1"/>
    <x v="0"/>
    <x v="1"/>
  </r>
  <r>
    <x v="5"/>
    <x v="36"/>
    <x v="0"/>
    <x v="0"/>
    <x v="0"/>
    <x v="76"/>
    <x v="0"/>
    <x v="2"/>
    <x v="53"/>
    <x v="2"/>
    <x v="1"/>
    <n v="2.8135444286616162"/>
    <x v="20"/>
    <x v="0"/>
    <x v="3"/>
    <x v="3"/>
    <x v="1"/>
    <x v="0"/>
    <x v="0"/>
    <x v="0"/>
    <x v="1"/>
    <x v="1"/>
    <x v="1"/>
    <x v="1"/>
    <x v="1"/>
    <x v="5"/>
    <x v="2"/>
    <x v="2"/>
    <x v="0"/>
    <x v="0"/>
    <x v="1"/>
    <x v="1"/>
    <x v="1"/>
    <x v="1"/>
    <x v="1"/>
    <x v="0"/>
    <x v="1"/>
  </r>
  <r>
    <x v="5"/>
    <x v="36"/>
    <x v="0"/>
    <x v="0"/>
    <x v="0"/>
    <x v="76"/>
    <x v="0"/>
    <x v="2"/>
    <x v="53"/>
    <x v="1"/>
    <x v="3"/>
    <n v="4.2335353535353537"/>
    <x v="21"/>
    <x v="1"/>
    <x v="3"/>
    <x v="3"/>
    <x v="1"/>
    <x v="0"/>
    <x v="0"/>
    <x v="0"/>
    <x v="1"/>
    <x v="1"/>
    <x v="1"/>
    <x v="1"/>
    <x v="1"/>
    <x v="5"/>
    <x v="2"/>
    <x v="2"/>
    <x v="0"/>
    <x v="0"/>
    <x v="1"/>
    <x v="1"/>
    <x v="1"/>
    <x v="1"/>
    <x v="1"/>
    <x v="0"/>
    <x v="1"/>
  </r>
  <r>
    <x v="5"/>
    <x v="36"/>
    <x v="0"/>
    <x v="0"/>
    <x v="0"/>
    <x v="76"/>
    <x v="0"/>
    <x v="2"/>
    <x v="53"/>
    <x v="2"/>
    <x v="2"/>
    <n v="2.8197914693813133"/>
    <x v="20"/>
    <x v="0"/>
    <x v="3"/>
    <x v="3"/>
    <x v="1"/>
    <x v="0"/>
    <x v="0"/>
    <x v="0"/>
    <x v="1"/>
    <x v="1"/>
    <x v="1"/>
    <x v="1"/>
    <x v="1"/>
    <x v="5"/>
    <x v="2"/>
    <x v="2"/>
    <x v="0"/>
    <x v="0"/>
    <x v="1"/>
    <x v="1"/>
    <x v="1"/>
    <x v="1"/>
    <x v="1"/>
    <x v="0"/>
    <x v="1"/>
  </r>
  <r>
    <x v="5"/>
    <x v="36"/>
    <x v="0"/>
    <x v="0"/>
    <x v="0"/>
    <x v="76"/>
    <x v="0"/>
    <x v="2"/>
    <x v="53"/>
    <x v="2"/>
    <x v="2"/>
    <n v="2.8197914693813133"/>
    <x v="20"/>
    <x v="0"/>
    <x v="3"/>
    <x v="3"/>
    <x v="1"/>
    <x v="0"/>
    <x v="0"/>
    <x v="0"/>
    <x v="1"/>
    <x v="1"/>
    <x v="1"/>
    <x v="1"/>
    <x v="1"/>
    <x v="5"/>
    <x v="2"/>
    <x v="2"/>
    <x v="0"/>
    <x v="0"/>
    <x v="1"/>
    <x v="1"/>
    <x v="1"/>
    <x v="1"/>
    <x v="1"/>
    <x v="0"/>
    <x v="1"/>
  </r>
  <r>
    <x v="5"/>
    <x v="36"/>
    <x v="0"/>
    <x v="0"/>
    <x v="0"/>
    <x v="76"/>
    <x v="0"/>
    <x v="2"/>
    <x v="53"/>
    <x v="1"/>
    <x v="2"/>
    <n v="4.9585858585858587"/>
    <x v="21"/>
    <x v="1"/>
    <x v="3"/>
    <x v="3"/>
    <x v="1"/>
    <x v="0"/>
    <x v="0"/>
    <x v="0"/>
    <x v="1"/>
    <x v="1"/>
    <x v="1"/>
    <x v="1"/>
    <x v="1"/>
    <x v="5"/>
    <x v="2"/>
    <x v="2"/>
    <x v="0"/>
    <x v="0"/>
    <x v="1"/>
    <x v="1"/>
    <x v="1"/>
    <x v="1"/>
    <x v="1"/>
    <x v="0"/>
    <x v="1"/>
  </r>
  <r>
    <x v="5"/>
    <x v="36"/>
    <x v="0"/>
    <x v="0"/>
    <x v="0"/>
    <x v="76"/>
    <x v="0"/>
    <x v="2"/>
    <x v="53"/>
    <x v="2"/>
    <x v="0"/>
    <n v="2.7545152698863635"/>
    <x v="20"/>
    <x v="0"/>
    <x v="3"/>
    <x v="3"/>
    <x v="1"/>
    <x v="0"/>
    <x v="0"/>
    <x v="0"/>
    <x v="1"/>
    <x v="1"/>
    <x v="1"/>
    <x v="1"/>
    <x v="1"/>
    <x v="5"/>
    <x v="2"/>
    <x v="2"/>
    <x v="0"/>
    <x v="0"/>
    <x v="1"/>
    <x v="1"/>
    <x v="1"/>
    <x v="1"/>
    <x v="1"/>
    <x v="0"/>
    <x v="1"/>
  </r>
  <r>
    <x v="5"/>
    <x v="36"/>
    <x v="0"/>
    <x v="0"/>
    <x v="0"/>
    <x v="76"/>
    <x v="0"/>
    <x v="2"/>
    <x v="53"/>
    <x v="2"/>
    <x v="3"/>
    <n v="2.4281439393939395"/>
    <x v="20"/>
    <x v="0"/>
    <x v="3"/>
    <x v="3"/>
    <x v="1"/>
    <x v="0"/>
    <x v="0"/>
    <x v="0"/>
    <x v="1"/>
    <x v="1"/>
    <x v="1"/>
    <x v="1"/>
    <x v="1"/>
    <x v="5"/>
    <x v="2"/>
    <x v="2"/>
    <x v="0"/>
    <x v="0"/>
    <x v="1"/>
    <x v="1"/>
    <x v="1"/>
    <x v="1"/>
    <x v="1"/>
    <x v="0"/>
    <x v="1"/>
  </r>
  <r>
    <x v="5"/>
    <x v="36"/>
    <x v="0"/>
    <x v="0"/>
    <x v="0"/>
    <x v="76"/>
    <x v="0"/>
    <x v="2"/>
    <x v="53"/>
    <x v="1"/>
    <x v="2"/>
    <n v="4.9585858585858587"/>
    <x v="21"/>
    <x v="1"/>
    <x v="3"/>
    <x v="3"/>
    <x v="1"/>
    <x v="0"/>
    <x v="0"/>
    <x v="0"/>
    <x v="1"/>
    <x v="1"/>
    <x v="1"/>
    <x v="1"/>
    <x v="1"/>
    <x v="5"/>
    <x v="2"/>
    <x v="2"/>
    <x v="0"/>
    <x v="0"/>
    <x v="1"/>
    <x v="1"/>
    <x v="1"/>
    <x v="1"/>
    <x v="1"/>
    <x v="0"/>
    <x v="1"/>
  </r>
  <r>
    <x v="5"/>
    <x v="36"/>
    <x v="0"/>
    <x v="0"/>
    <x v="0"/>
    <x v="76"/>
    <x v="0"/>
    <x v="2"/>
    <x v="53"/>
    <x v="0"/>
    <x v="1"/>
    <n v="0.99999545858363903"/>
    <x v="12"/>
    <x v="0"/>
    <x v="3"/>
    <x v="3"/>
    <x v="1"/>
    <x v="0"/>
    <x v="0"/>
    <x v="0"/>
    <x v="1"/>
    <x v="1"/>
    <x v="1"/>
    <x v="1"/>
    <x v="1"/>
    <x v="5"/>
    <x v="2"/>
    <x v="2"/>
    <x v="0"/>
    <x v="0"/>
    <x v="1"/>
    <x v="1"/>
    <x v="1"/>
    <x v="1"/>
    <x v="1"/>
    <x v="0"/>
    <x v="1"/>
  </r>
  <r>
    <x v="5"/>
    <x v="36"/>
    <x v="0"/>
    <x v="0"/>
    <x v="0"/>
    <x v="76"/>
    <x v="0"/>
    <x v="2"/>
    <x v="53"/>
    <x v="2"/>
    <x v="1"/>
    <n v="2.8135444286616162"/>
    <x v="20"/>
    <x v="0"/>
    <x v="3"/>
    <x v="3"/>
    <x v="1"/>
    <x v="0"/>
    <x v="0"/>
    <x v="0"/>
    <x v="1"/>
    <x v="1"/>
    <x v="1"/>
    <x v="1"/>
    <x v="1"/>
    <x v="5"/>
    <x v="2"/>
    <x v="2"/>
    <x v="0"/>
    <x v="0"/>
    <x v="1"/>
    <x v="1"/>
    <x v="1"/>
    <x v="1"/>
    <x v="1"/>
    <x v="0"/>
    <x v="1"/>
  </r>
  <r>
    <x v="5"/>
    <x v="36"/>
    <x v="0"/>
    <x v="0"/>
    <x v="0"/>
    <x v="76"/>
    <x v="0"/>
    <x v="2"/>
    <x v="53"/>
    <x v="2"/>
    <x v="0"/>
    <n v="2.7545152698863635"/>
    <x v="20"/>
    <x v="0"/>
    <x v="3"/>
    <x v="3"/>
    <x v="1"/>
    <x v="0"/>
    <x v="0"/>
    <x v="0"/>
    <x v="1"/>
    <x v="1"/>
    <x v="1"/>
    <x v="1"/>
    <x v="1"/>
    <x v="5"/>
    <x v="2"/>
    <x v="2"/>
    <x v="0"/>
    <x v="0"/>
    <x v="1"/>
    <x v="1"/>
    <x v="1"/>
    <x v="1"/>
    <x v="1"/>
    <x v="0"/>
    <x v="1"/>
  </r>
  <r>
    <x v="5"/>
    <x v="36"/>
    <x v="0"/>
    <x v="0"/>
    <x v="0"/>
    <x v="76"/>
    <x v="0"/>
    <x v="2"/>
    <x v="53"/>
    <x v="1"/>
    <x v="0"/>
    <n v="4.6856565656565659"/>
    <x v="21"/>
    <x v="1"/>
    <x v="3"/>
    <x v="3"/>
    <x v="1"/>
    <x v="0"/>
    <x v="0"/>
    <x v="0"/>
    <x v="1"/>
    <x v="1"/>
    <x v="1"/>
    <x v="1"/>
    <x v="1"/>
    <x v="5"/>
    <x v="2"/>
    <x v="2"/>
    <x v="0"/>
    <x v="0"/>
    <x v="1"/>
    <x v="1"/>
    <x v="1"/>
    <x v="1"/>
    <x v="1"/>
    <x v="0"/>
    <x v="1"/>
  </r>
  <r>
    <x v="5"/>
    <x v="36"/>
    <x v="0"/>
    <x v="0"/>
    <x v="0"/>
    <x v="76"/>
    <x v="0"/>
    <x v="2"/>
    <x v="53"/>
    <x v="0"/>
    <x v="2"/>
    <n v="0.99999519393901637"/>
    <x v="12"/>
    <x v="0"/>
    <x v="3"/>
    <x v="3"/>
    <x v="1"/>
    <x v="0"/>
    <x v="0"/>
    <x v="0"/>
    <x v="1"/>
    <x v="1"/>
    <x v="1"/>
    <x v="1"/>
    <x v="1"/>
    <x v="5"/>
    <x v="2"/>
    <x v="2"/>
    <x v="0"/>
    <x v="0"/>
    <x v="1"/>
    <x v="1"/>
    <x v="1"/>
    <x v="1"/>
    <x v="1"/>
    <x v="0"/>
    <x v="1"/>
  </r>
  <r>
    <x v="5"/>
    <x v="36"/>
    <x v="0"/>
    <x v="0"/>
    <x v="0"/>
    <x v="76"/>
    <x v="0"/>
    <x v="2"/>
    <x v="53"/>
    <x v="0"/>
    <x v="3"/>
    <n v="0.99999537576328612"/>
    <x v="12"/>
    <x v="0"/>
    <x v="3"/>
    <x v="3"/>
    <x v="1"/>
    <x v="0"/>
    <x v="0"/>
    <x v="0"/>
    <x v="1"/>
    <x v="1"/>
    <x v="1"/>
    <x v="1"/>
    <x v="1"/>
    <x v="5"/>
    <x v="2"/>
    <x v="2"/>
    <x v="0"/>
    <x v="0"/>
    <x v="1"/>
    <x v="1"/>
    <x v="1"/>
    <x v="1"/>
    <x v="1"/>
    <x v="0"/>
    <x v="1"/>
  </r>
  <r>
    <x v="5"/>
    <x v="36"/>
    <x v="0"/>
    <x v="0"/>
    <x v="0"/>
    <x v="76"/>
    <x v="0"/>
    <x v="2"/>
    <x v="53"/>
    <x v="0"/>
    <x v="2"/>
    <n v="0.99999519393901637"/>
    <x v="12"/>
    <x v="0"/>
    <x v="3"/>
    <x v="3"/>
    <x v="1"/>
    <x v="0"/>
    <x v="0"/>
    <x v="0"/>
    <x v="1"/>
    <x v="1"/>
    <x v="1"/>
    <x v="1"/>
    <x v="1"/>
    <x v="5"/>
    <x v="2"/>
    <x v="2"/>
    <x v="0"/>
    <x v="0"/>
    <x v="1"/>
    <x v="1"/>
    <x v="1"/>
    <x v="1"/>
    <x v="1"/>
    <x v="0"/>
    <x v="1"/>
  </r>
  <r>
    <x v="5"/>
    <x v="36"/>
    <x v="0"/>
    <x v="0"/>
    <x v="0"/>
    <x v="76"/>
    <x v="0"/>
    <x v="2"/>
    <x v="53"/>
    <x v="2"/>
    <x v="1"/>
    <n v="2.8135444286616162"/>
    <x v="20"/>
    <x v="0"/>
    <x v="3"/>
    <x v="3"/>
    <x v="1"/>
    <x v="0"/>
    <x v="0"/>
    <x v="0"/>
    <x v="1"/>
    <x v="1"/>
    <x v="1"/>
    <x v="1"/>
    <x v="1"/>
    <x v="5"/>
    <x v="2"/>
    <x v="2"/>
    <x v="0"/>
    <x v="0"/>
    <x v="1"/>
    <x v="1"/>
    <x v="1"/>
    <x v="1"/>
    <x v="1"/>
    <x v="0"/>
    <x v="1"/>
  </r>
  <r>
    <x v="5"/>
    <x v="36"/>
    <x v="0"/>
    <x v="0"/>
    <x v="0"/>
    <x v="76"/>
    <x v="0"/>
    <x v="2"/>
    <x v="53"/>
    <x v="1"/>
    <x v="1"/>
    <n v="4.9549494949494948"/>
    <x v="21"/>
    <x v="1"/>
    <x v="3"/>
    <x v="3"/>
    <x v="1"/>
    <x v="0"/>
    <x v="0"/>
    <x v="0"/>
    <x v="1"/>
    <x v="1"/>
    <x v="1"/>
    <x v="1"/>
    <x v="1"/>
    <x v="5"/>
    <x v="2"/>
    <x v="2"/>
    <x v="0"/>
    <x v="0"/>
    <x v="1"/>
    <x v="1"/>
    <x v="1"/>
    <x v="1"/>
    <x v="1"/>
    <x v="0"/>
    <x v="1"/>
  </r>
  <r>
    <x v="5"/>
    <x v="36"/>
    <x v="0"/>
    <x v="0"/>
    <x v="0"/>
    <x v="76"/>
    <x v="0"/>
    <x v="2"/>
    <x v="53"/>
    <x v="1"/>
    <x v="1"/>
    <n v="4.9549494949494948"/>
    <x v="21"/>
    <x v="1"/>
    <x v="3"/>
    <x v="3"/>
    <x v="1"/>
    <x v="0"/>
    <x v="0"/>
    <x v="0"/>
    <x v="1"/>
    <x v="1"/>
    <x v="1"/>
    <x v="1"/>
    <x v="1"/>
    <x v="5"/>
    <x v="2"/>
    <x v="2"/>
    <x v="0"/>
    <x v="0"/>
    <x v="1"/>
    <x v="1"/>
    <x v="1"/>
    <x v="1"/>
    <x v="1"/>
    <x v="0"/>
    <x v="1"/>
  </r>
  <r>
    <x v="5"/>
    <x v="36"/>
    <x v="0"/>
    <x v="0"/>
    <x v="0"/>
    <x v="76"/>
    <x v="0"/>
    <x v="2"/>
    <x v="53"/>
    <x v="1"/>
    <x v="0"/>
    <n v="4.6856565656565659"/>
    <x v="21"/>
    <x v="1"/>
    <x v="3"/>
    <x v="3"/>
    <x v="1"/>
    <x v="0"/>
    <x v="0"/>
    <x v="0"/>
    <x v="1"/>
    <x v="1"/>
    <x v="1"/>
    <x v="1"/>
    <x v="1"/>
    <x v="5"/>
    <x v="2"/>
    <x v="2"/>
    <x v="0"/>
    <x v="0"/>
    <x v="1"/>
    <x v="1"/>
    <x v="1"/>
    <x v="1"/>
    <x v="1"/>
    <x v="0"/>
    <x v="1"/>
  </r>
  <r>
    <x v="5"/>
    <x v="36"/>
    <x v="0"/>
    <x v="0"/>
    <x v="0"/>
    <x v="76"/>
    <x v="0"/>
    <x v="2"/>
    <x v="53"/>
    <x v="2"/>
    <x v="3"/>
    <n v="2.4281439393939395"/>
    <x v="20"/>
    <x v="0"/>
    <x v="3"/>
    <x v="3"/>
    <x v="1"/>
    <x v="0"/>
    <x v="0"/>
    <x v="0"/>
    <x v="1"/>
    <x v="1"/>
    <x v="1"/>
    <x v="1"/>
    <x v="1"/>
    <x v="5"/>
    <x v="2"/>
    <x v="2"/>
    <x v="0"/>
    <x v="0"/>
    <x v="1"/>
    <x v="1"/>
    <x v="1"/>
    <x v="1"/>
    <x v="1"/>
    <x v="0"/>
    <x v="1"/>
  </r>
  <r>
    <x v="5"/>
    <x v="36"/>
    <x v="0"/>
    <x v="0"/>
    <x v="0"/>
    <x v="76"/>
    <x v="0"/>
    <x v="2"/>
    <x v="53"/>
    <x v="2"/>
    <x v="1"/>
    <n v="2.8135444286616162"/>
    <x v="20"/>
    <x v="0"/>
    <x v="3"/>
    <x v="3"/>
    <x v="1"/>
    <x v="0"/>
    <x v="0"/>
    <x v="0"/>
    <x v="1"/>
    <x v="1"/>
    <x v="1"/>
    <x v="1"/>
    <x v="1"/>
    <x v="5"/>
    <x v="2"/>
    <x v="2"/>
    <x v="0"/>
    <x v="0"/>
    <x v="1"/>
    <x v="1"/>
    <x v="1"/>
    <x v="1"/>
    <x v="1"/>
    <x v="0"/>
    <x v="1"/>
  </r>
  <r>
    <x v="5"/>
    <x v="36"/>
    <x v="0"/>
    <x v="0"/>
    <x v="0"/>
    <x v="76"/>
    <x v="0"/>
    <x v="2"/>
    <x v="53"/>
    <x v="2"/>
    <x v="3"/>
    <n v="2.4281439393939395"/>
    <x v="20"/>
    <x v="0"/>
    <x v="3"/>
    <x v="3"/>
    <x v="1"/>
    <x v="0"/>
    <x v="0"/>
    <x v="0"/>
    <x v="1"/>
    <x v="1"/>
    <x v="1"/>
    <x v="1"/>
    <x v="1"/>
    <x v="5"/>
    <x v="2"/>
    <x v="2"/>
    <x v="0"/>
    <x v="0"/>
    <x v="1"/>
    <x v="1"/>
    <x v="1"/>
    <x v="1"/>
    <x v="1"/>
    <x v="0"/>
    <x v="1"/>
  </r>
  <r>
    <x v="5"/>
    <x v="36"/>
    <x v="0"/>
    <x v="0"/>
    <x v="0"/>
    <x v="76"/>
    <x v="0"/>
    <x v="2"/>
    <x v="53"/>
    <x v="1"/>
    <x v="3"/>
    <n v="4.2335353535353537"/>
    <x v="21"/>
    <x v="1"/>
    <x v="3"/>
    <x v="3"/>
    <x v="1"/>
    <x v="0"/>
    <x v="0"/>
    <x v="0"/>
    <x v="1"/>
    <x v="1"/>
    <x v="1"/>
    <x v="1"/>
    <x v="1"/>
    <x v="5"/>
    <x v="2"/>
    <x v="2"/>
    <x v="0"/>
    <x v="0"/>
    <x v="1"/>
    <x v="1"/>
    <x v="1"/>
    <x v="1"/>
    <x v="1"/>
    <x v="0"/>
    <x v="1"/>
  </r>
  <r>
    <x v="5"/>
    <x v="36"/>
    <x v="0"/>
    <x v="0"/>
    <x v="0"/>
    <x v="76"/>
    <x v="0"/>
    <x v="2"/>
    <x v="53"/>
    <x v="0"/>
    <x v="0"/>
    <n v="0.99999528685001404"/>
    <x v="12"/>
    <x v="0"/>
    <x v="3"/>
    <x v="3"/>
    <x v="1"/>
    <x v="0"/>
    <x v="0"/>
    <x v="0"/>
    <x v="1"/>
    <x v="1"/>
    <x v="1"/>
    <x v="1"/>
    <x v="1"/>
    <x v="5"/>
    <x v="2"/>
    <x v="2"/>
    <x v="0"/>
    <x v="0"/>
    <x v="1"/>
    <x v="1"/>
    <x v="1"/>
    <x v="1"/>
    <x v="1"/>
    <x v="0"/>
    <x v="1"/>
  </r>
  <r>
    <x v="5"/>
    <x v="36"/>
    <x v="0"/>
    <x v="0"/>
    <x v="0"/>
    <x v="76"/>
    <x v="0"/>
    <x v="2"/>
    <x v="53"/>
    <x v="1"/>
    <x v="1"/>
    <n v="4.9549494949494948"/>
    <x v="21"/>
    <x v="1"/>
    <x v="3"/>
    <x v="3"/>
    <x v="1"/>
    <x v="0"/>
    <x v="0"/>
    <x v="0"/>
    <x v="1"/>
    <x v="1"/>
    <x v="1"/>
    <x v="1"/>
    <x v="1"/>
    <x v="5"/>
    <x v="2"/>
    <x v="2"/>
    <x v="0"/>
    <x v="0"/>
    <x v="1"/>
    <x v="1"/>
    <x v="1"/>
    <x v="1"/>
    <x v="1"/>
    <x v="0"/>
    <x v="1"/>
  </r>
  <r>
    <x v="5"/>
    <x v="36"/>
    <x v="0"/>
    <x v="0"/>
    <x v="0"/>
    <x v="76"/>
    <x v="0"/>
    <x v="2"/>
    <x v="53"/>
    <x v="2"/>
    <x v="2"/>
    <n v="2.8197914693813133"/>
    <x v="20"/>
    <x v="0"/>
    <x v="3"/>
    <x v="3"/>
    <x v="1"/>
    <x v="0"/>
    <x v="0"/>
    <x v="0"/>
    <x v="1"/>
    <x v="1"/>
    <x v="1"/>
    <x v="1"/>
    <x v="1"/>
    <x v="5"/>
    <x v="2"/>
    <x v="2"/>
    <x v="0"/>
    <x v="0"/>
    <x v="1"/>
    <x v="1"/>
    <x v="1"/>
    <x v="1"/>
    <x v="1"/>
    <x v="0"/>
    <x v="1"/>
  </r>
  <r>
    <x v="5"/>
    <x v="36"/>
    <x v="0"/>
    <x v="0"/>
    <x v="0"/>
    <x v="76"/>
    <x v="0"/>
    <x v="2"/>
    <x v="53"/>
    <x v="0"/>
    <x v="0"/>
    <n v="0.99999528685001404"/>
    <x v="12"/>
    <x v="0"/>
    <x v="3"/>
    <x v="3"/>
    <x v="1"/>
    <x v="0"/>
    <x v="0"/>
    <x v="0"/>
    <x v="1"/>
    <x v="1"/>
    <x v="1"/>
    <x v="1"/>
    <x v="1"/>
    <x v="5"/>
    <x v="2"/>
    <x v="2"/>
    <x v="0"/>
    <x v="0"/>
    <x v="1"/>
    <x v="1"/>
    <x v="1"/>
    <x v="1"/>
    <x v="1"/>
    <x v="0"/>
    <x v="1"/>
  </r>
  <r>
    <x v="5"/>
    <x v="36"/>
    <x v="0"/>
    <x v="0"/>
    <x v="0"/>
    <x v="76"/>
    <x v="0"/>
    <x v="2"/>
    <x v="53"/>
    <x v="0"/>
    <x v="3"/>
    <n v="0.99999537576328612"/>
    <x v="12"/>
    <x v="0"/>
    <x v="3"/>
    <x v="3"/>
    <x v="1"/>
    <x v="0"/>
    <x v="0"/>
    <x v="0"/>
    <x v="1"/>
    <x v="1"/>
    <x v="1"/>
    <x v="1"/>
    <x v="1"/>
    <x v="5"/>
    <x v="2"/>
    <x v="2"/>
    <x v="0"/>
    <x v="0"/>
    <x v="1"/>
    <x v="1"/>
    <x v="1"/>
    <x v="1"/>
    <x v="1"/>
    <x v="0"/>
    <x v="1"/>
  </r>
  <r>
    <x v="5"/>
    <x v="36"/>
    <x v="0"/>
    <x v="0"/>
    <x v="0"/>
    <x v="76"/>
    <x v="0"/>
    <x v="2"/>
    <x v="53"/>
    <x v="0"/>
    <x v="3"/>
    <n v="0.99999537576328612"/>
    <x v="12"/>
    <x v="0"/>
    <x v="3"/>
    <x v="3"/>
    <x v="1"/>
    <x v="0"/>
    <x v="0"/>
    <x v="0"/>
    <x v="1"/>
    <x v="1"/>
    <x v="1"/>
    <x v="1"/>
    <x v="1"/>
    <x v="5"/>
    <x v="2"/>
    <x v="2"/>
    <x v="0"/>
    <x v="0"/>
    <x v="1"/>
    <x v="1"/>
    <x v="1"/>
    <x v="1"/>
    <x v="1"/>
    <x v="0"/>
    <x v="1"/>
  </r>
  <r>
    <x v="5"/>
    <x v="36"/>
    <x v="0"/>
    <x v="0"/>
    <x v="0"/>
    <x v="76"/>
    <x v="0"/>
    <x v="2"/>
    <x v="53"/>
    <x v="2"/>
    <x v="2"/>
    <n v="2.8197914693813133"/>
    <x v="20"/>
    <x v="0"/>
    <x v="3"/>
    <x v="3"/>
    <x v="1"/>
    <x v="0"/>
    <x v="0"/>
    <x v="0"/>
    <x v="1"/>
    <x v="1"/>
    <x v="1"/>
    <x v="1"/>
    <x v="1"/>
    <x v="5"/>
    <x v="2"/>
    <x v="2"/>
    <x v="0"/>
    <x v="0"/>
    <x v="1"/>
    <x v="1"/>
    <x v="1"/>
    <x v="1"/>
    <x v="1"/>
    <x v="0"/>
    <x v="1"/>
  </r>
  <r>
    <x v="5"/>
    <x v="36"/>
    <x v="0"/>
    <x v="0"/>
    <x v="0"/>
    <x v="76"/>
    <x v="0"/>
    <x v="2"/>
    <x v="53"/>
    <x v="0"/>
    <x v="2"/>
    <n v="0.99999519393901637"/>
    <x v="12"/>
    <x v="0"/>
    <x v="3"/>
    <x v="3"/>
    <x v="1"/>
    <x v="0"/>
    <x v="0"/>
    <x v="0"/>
    <x v="1"/>
    <x v="1"/>
    <x v="1"/>
    <x v="1"/>
    <x v="1"/>
    <x v="5"/>
    <x v="2"/>
    <x v="2"/>
    <x v="0"/>
    <x v="0"/>
    <x v="1"/>
    <x v="1"/>
    <x v="1"/>
    <x v="1"/>
    <x v="1"/>
    <x v="0"/>
    <x v="1"/>
  </r>
  <r>
    <x v="5"/>
    <x v="36"/>
    <x v="0"/>
    <x v="0"/>
    <x v="0"/>
    <x v="76"/>
    <x v="0"/>
    <x v="2"/>
    <x v="53"/>
    <x v="0"/>
    <x v="1"/>
    <n v="0.99999545858363903"/>
    <x v="12"/>
    <x v="0"/>
    <x v="3"/>
    <x v="3"/>
    <x v="1"/>
    <x v="0"/>
    <x v="0"/>
    <x v="0"/>
    <x v="1"/>
    <x v="1"/>
    <x v="1"/>
    <x v="1"/>
    <x v="1"/>
    <x v="5"/>
    <x v="2"/>
    <x v="2"/>
    <x v="0"/>
    <x v="0"/>
    <x v="1"/>
    <x v="1"/>
    <x v="1"/>
    <x v="1"/>
    <x v="1"/>
    <x v="0"/>
    <x v="1"/>
  </r>
  <r>
    <x v="5"/>
    <x v="36"/>
    <x v="0"/>
    <x v="0"/>
    <x v="0"/>
    <x v="76"/>
    <x v="0"/>
    <x v="2"/>
    <x v="53"/>
    <x v="1"/>
    <x v="0"/>
    <n v="4.6856565656565659"/>
    <x v="21"/>
    <x v="1"/>
    <x v="3"/>
    <x v="3"/>
    <x v="1"/>
    <x v="0"/>
    <x v="0"/>
    <x v="0"/>
    <x v="1"/>
    <x v="1"/>
    <x v="1"/>
    <x v="1"/>
    <x v="1"/>
    <x v="5"/>
    <x v="2"/>
    <x v="2"/>
    <x v="0"/>
    <x v="0"/>
    <x v="1"/>
    <x v="1"/>
    <x v="1"/>
    <x v="1"/>
    <x v="1"/>
    <x v="0"/>
    <x v="1"/>
  </r>
  <r>
    <x v="5"/>
    <x v="36"/>
    <x v="0"/>
    <x v="0"/>
    <x v="0"/>
    <x v="76"/>
    <x v="0"/>
    <x v="2"/>
    <x v="53"/>
    <x v="0"/>
    <x v="1"/>
    <n v="0.99999545858363903"/>
    <x v="12"/>
    <x v="0"/>
    <x v="3"/>
    <x v="3"/>
    <x v="1"/>
    <x v="0"/>
    <x v="0"/>
    <x v="0"/>
    <x v="1"/>
    <x v="1"/>
    <x v="1"/>
    <x v="1"/>
    <x v="1"/>
    <x v="5"/>
    <x v="2"/>
    <x v="2"/>
    <x v="0"/>
    <x v="0"/>
    <x v="1"/>
    <x v="1"/>
    <x v="1"/>
    <x v="1"/>
    <x v="1"/>
    <x v="0"/>
    <x v="1"/>
  </r>
  <r>
    <x v="5"/>
    <x v="36"/>
    <x v="0"/>
    <x v="0"/>
    <x v="0"/>
    <x v="76"/>
    <x v="0"/>
    <x v="2"/>
    <x v="53"/>
    <x v="1"/>
    <x v="0"/>
    <n v="4.6856565656565659"/>
    <x v="21"/>
    <x v="1"/>
    <x v="3"/>
    <x v="3"/>
    <x v="1"/>
    <x v="0"/>
    <x v="0"/>
    <x v="0"/>
    <x v="1"/>
    <x v="1"/>
    <x v="1"/>
    <x v="1"/>
    <x v="1"/>
    <x v="5"/>
    <x v="2"/>
    <x v="2"/>
    <x v="0"/>
    <x v="0"/>
    <x v="1"/>
    <x v="1"/>
    <x v="1"/>
    <x v="1"/>
    <x v="1"/>
    <x v="0"/>
    <x v="1"/>
  </r>
  <r>
    <x v="5"/>
    <x v="36"/>
    <x v="0"/>
    <x v="0"/>
    <x v="0"/>
    <x v="76"/>
    <x v="0"/>
    <x v="2"/>
    <x v="54"/>
    <x v="2"/>
    <x v="2"/>
    <n v="2.8197914693813133"/>
    <x v="20"/>
    <x v="0"/>
    <x v="3"/>
    <x v="3"/>
    <x v="1"/>
    <x v="0"/>
    <x v="0"/>
    <x v="0"/>
    <x v="1"/>
    <x v="1"/>
    <x v="1"/>
    <x v="1"/>
    <x v="1"/>
    <x v="5"/>
    <x v="2"/>
    <x v="2"/>
    <x v="0"/>
    <x v="0"/>
    <x v="1"/>
    <x v="1"/>
    <x v="1"/>
    <x v="1"/>
    <x v="1"/>
    <x v="0"/>
    <x v="1"/>
  </r>
  <r>
    <x v="5"/>
    <x v="36"/>
    <x v="0"/>
    <x v="0"/>
    <x v="0"/>
    <x v="76"/>
    <x v="0"/>
    <x v="2"/>
    <x v="54"/>
    <x v="1"/>
    <x v="2"/>
    <n v="4.9585858585858587"/>
    <x v="21"/>
    <x v="1"/>
    <x v="3"/>
    <x v="3"/>
    <x v="1"/>
    <x v="0"/>
    <x v="0"/>
    <x v="0"/>
    <x v="1"/>
    <x v="1"/>
    <x v="1"/>
    <x v="1"/>
    <x v="1"/>
    <x v="5"/>
    <x v="2"/>
    <x v="2"/>
    <x v="0"/>
    <x v="0"/>
    <x v="1"/>
    <x v="1"/>
    <x v="1"/>
    <x v="1"/>
    <x v="1"/>
    <x v="0"/>
    <x v="1"/>
  </r>
  <r>
    <x v="5"/>
    <x v="36"/>
    <x v="0"/>
    <x v="0"/>
    <x v="0"/>
    <x v="76"/>
    <x v="0"/>
    <x v="2"/>
    <x v="54"/>
    <x v="2"/>
    <x v="0"/>
    <n v="2.7545152698863635"/>
    <x v="20"/>
    <x v="0"/>
    <x v="3"/>
    <x v="3"/>
    <x v="1"/>
    <x v="0"/>
    <x v="0"/>
    <x v="0"/>
    <x v="1"/>
    <x v="1"/>
    <x v="1"/>
    <x v="1"/>
    <x v="1"/>
    <x v="5"/>
    <x v="2"/>
    <x v="2"/>
    <x v="0"/>
    <x v="0"/>
    <x v="1"/>
    <x v="1"/>
    <x v="1"/>
    <x v="1"/>
    <x v="1"/>
    <x v="0"/>
    <x v="1"/>
  </r>
  <r>
    <x v="5"/>
    <x v="36"/>
    <x v="0"/>
    <x v="0"/>
    <x v="0"/>
    <x v="76"/>
    <x v="0"/>
    <x v="2"/>
    <x v="54"/>
    <x v="2"/>
    <x v="3"/>
    <n v="2.4281439393939395"/>
    <x v="20"/>
    <x v="0"/>
    <x v="3"/>
    <x v="3"/>
    <x v="1"/>
    <x v="0"/>
    <x v="0"/>
    <x v="0"/>
    <x v="1"/>
    <x v="1"/>
    <x v="1"/>
    <x v="1"/>
    <x v="1"/>
    <x v="5"/>
    <x v="2"/>
    <x v="2"/>
    <x v="0"/>
    <x v="0"/>
    <x v="1"/>
    <x v="1"/>
    <x v="1"/>
    <x v="1"/>
    <x v="1"/>
    <x v="0"/>
    <x v="1"/>
  </r>
  <r>
    <x v="5"/>
    <x v="36"/>
    <x v="0"/>
    <x v="0"/>
    <x v="0"/>
    <x v="76"/>
    <x v="0"/>
    <x v="2"/>
    <x v="54"/>
    <x v="1"/>
    <x v="2"/>
    <n v="4.9585858585858587"/>
    <x v="21"/>
    <x v="1"/>
    <x v="3"/>
    <x v="3"/>
    <x v="1"/>
    <x v="0"/>
    <x v="0"/>
    <x v="0"/>
    <x v="1"/>
    <x v="1"/>
    <x v="1"/>
    <x v="1"/>
    <x v="1"/>
    <x v="5"/>
    <x v="2"/>
    <x v="2"/>
    <x v="0"/>
    <x v="0"/>
    <x v="1"/>
    <x v="1"/>
    <x v="1"/>
    <x v="1"/>
    <x v="1"/>
    <x v="0"/>
    <x v="1"/>
  </r>
  <r>
    <x v="5"/>
    <x v="36"/>
    <x v="0"/>
    <x v="0"/>
    <x v="0"/>
    <x v="76"/>
    <x v="0"/>
    <x v="2"/>
    <x v="54"/>
    <x v="0"/>
    <x v="1"/>
    <n v="0.99999545858363903"/>
    <x v="12"/>
    <x v="0"/>
    <x v="3"/>
    <x v="3"/>
    <x v="1"/>
    <x v="0"/>
    <x v="0"/>
    <x v="0"/>
    <x v="1"/>
    <x v="1"/>
    <x v="1"/>
    <x v="1"/>
    <x v="1"/>
    <x v="5"/>
    <x v="2"/>
    <x v="2"/>
    <x v="0"/>
    <x v="0"/>
    <x v="1"/>
    <x v="1"/>
    <x v="1"/>
    <x v="1"/>
    <x v="1"/>
    <x v="0"/>
    <x v="1"/>
  </r>
  <r>
    <x v="5"/>
    <x v="36"/>
    <x v="0"/>
    <x v="0"/>
    <x v="0"/>
    <x v="76"/>
    <x v="0"/>
    <x v="2"/>
    <x v="54"/>
    <x v="2"/>
    <x v="1"/>
    <n v="2.8135444286616162"/>
    <x v="20"/>
    <x v="0"/>
    <x v="3"/>
    <x v="3"/>
    <x v="1"/>
    <x v="0"/>
    <x v="0"/>
    <x v="0"/>
    <x v="1"/>
    <x v="1"/>
    <x v="1"/>
    <x v="1"/>
    <x v="1"/>
    <x v="5"/>
    <x v="2"/>
    <x v="2"/>
    <x v="0"/>
    <x v="0"/>
    <x v="1"/>
    <x v="1"/>
    <x v="1"/>
    <x v="1"/>
    <x v="1"/>
    <x v="0"/>
    <x v="1"/>
  </r>
  <r>
    <x v="5"/>
    <x v="36"/>
    <x v="0"/>
    <x v="0"/>
    <x v="0"/>
    <x v="76"/>
    <x v="0"/>
    <x v="2"/>
    <x v="54"/>
    <x v="2"/>
    <x v="0"/>
    <n v="2.7545152698863635"/>
    <x v="20"/>
    <x v="0"/>
    <x v="3"/>
    <x v="3"/>
    <x v="1"/>
    <x v="0"/>
    <x v="0"/>
    <x v="0"/>
    <x v="1"/>
    <x v="1"/>
    <x v="1"/>
    <x v="1"/>
    <x v="1"/>
    <x v="5"/>
    <x v="2"/>
    <x v="2"/>
    <x v="0"/>
    <x v="0"/>
    <x v="1"/>
    <x v="1"/>
    <x v="1"/>
    <x v="1"/>
    <x v="1"/>
    <x v="0"/>
    <x v="1"/>
  </r>
  <r>
    <x v="5"/>
    <x v="36"/>
    <x v="0"/>
    <x v="0"/>
    <x v="0"/>
    <x v="76"/>
    <x v="0"/>
    <x v="2"/>
    <x v="54"/>
    <x v="1"/>
    <x v="0"/>
    <n v="4.6856565656565659"/>
    <x v="21"/>
    <x v="1"/>
    <x v="3"/>
    <x v="3"/>
    <x v="1"/>
    <x v="0"/>
    <x v="0"/>
    <x v="0"/>
    <x v="1"/>
    <x v="1"/>
    <x v="1"/>
    <x v="1"/>
    <x v="1"/>
    <x v="5"/>
    <x v="2"/>
    <x v="2"/>
    <x v="0"/>
    <x v="0"/>
    <x v="1"/>
    <x v="1"/>
    <x v="1"/>
    <x v="1"/>
    <x v="1"/>
    <x v="0"/>
    <x v="1"/>
  </r>
  <r>
    <x v="5"/>
    <x v="36"/>
    <x v="0"/>
    <x v="0"/>
    <x v="0"/>
    <x v="76"/>
    <x v="0"/>
    <x v="2"/>
    <x v="54"/>
    <x v="0"/>
    <x v="2"/>
    <n v="0.99999519393901637"/>
    <x v="12"/>
    <x v="0"/>
    <x v="3"/>
    <x v="3"/>
    <x v="1"/>
    <x v="0"/>
    <x v="0"/>
    <x v="0"/>
    <x v="1"/>
    <x v="1"/>
    <x v="1"/>
    <x v="1"/>
    <x v="1"/>
    <x v="5"/>
    <x v="2"/>
    <x v="2"/>
    <x v="0"/>
    <x v="0"/>
    <x v="1"/>
    <x v="1"/>
    <x v="1"/>
    <x v="1"/>
    <x v="1"/>
    <x v="0"/>
    <x v="1"/>
  </r>
  <r>
    <x v="5"/>
    <x v="36"/>
    <x v="0"/>
    <x v="0"/>
    <x v="0"/>
    <x v="76"/>
    <x v="0"/>
    <x v="2"/>
    <x v="54"/>
    <x v="0"/>
    <x v="3"/>
    <n v="0.99999537576328612"/>
    <x v="12"/>
    <x v="0"/>
    <x v="3"/>
    <x v="3"/>
    <x v="1"/>
    <x v="0"/>
    <x v="0"/>
    <x v="0"/>
    <x v="1"/>
    <x v="1"/>
    <x v="1"/>
    <x v="1"/>
    <x v="1"/>
    <x v="5"/>
    <x v="2"/>
    <x v="2"/>
    <x v="0"/>
    <x v="0"/>
    <x v="1"/>
    <x v="1"/>
    <x v="1"/>
    <x v="1"/>
    <x v="1"/>
    <x v="0"/>
    <x v="1"/>
  </r>
  <r>
    <x v="5"/>
    <x v="36"/>
    <x v="0"/>
    <x v="0"/>
    <x v="0"/>
    <x v="76"/>
    <x v="0"/>
    <x v="2"/>
    <x v="54"/>
    <x v="0"/>
    <x v="2"/>
    <n v="0.99999519393901637"/>
    <x v="12"/>
    <x v="0"/>
    <x v="3"/>
    <x v="3"/>
    <x v="1"/>
    <x v="0"/>
    <x v="0"/>
    <x v="0"/>
    <x v="1"/>
    <x v="1"/>
    <x v="1"/>
    <x v="1"/>
    <x v="1"/>
    <x v="5"/>
    <x v="2"/>
    <x v="2"/>
    <x v="0"/>
    <x v="0"/>
    <x v="1"/>
    <x v="1"/>
    <x v="1"/>
    <x v="1"/>
    <x v="1"/>
    <x v="0"/>
    <x v="1"/>
  </r>
  <r>
    <x v="5"/>
    <x v="36"/>
    <x v="0"/>
    <x v="0"/>
    <x v="0"/>
    <x v="76"/>
    <x v="0"/>
    <x v="2"/>
    <x v="54"/>
    <x v="2"/>
    <x v="1"/>
    <n v="2.8135444286616162"/>
    <x v="20"/>
    <x v="0"/>
    <x v="3"/>
    <x v="3"/>
    <x v="1"/>
    <x v="0"/>
    <x v="0"/>
    <x v="0"/>
    <x v="1"/>
    <x v="1"/>
    <x v="1"/>
    <x v="1"/>
    <x v="1"/>
    <x v="5"/>
    <x v="2"/>
    <x v="2"/>
    <x v="0"/>
    <x v="0"/>
    <x v="1"/>
    <x v="1"/>
    <x v="1"/>
    <x v="1"/>
    <x v="1"/>
    <x v="0"/>
    <x v="1"/>
  </r>
  <r>
    <x v="5"/>
    <x v="36"/>
    <x v="0"/>
    <x v="0"/>
    <x v="0"/>
    <x v="76"/>
    <x v="0"/>
    <x v="2"/>
    <x v="54"/>
    <x v="1"/>
    <x v="1"/>
    <n v="4.9549494949494948"/>
    <x v="21"/>
    <x v="1"/>
    <x v="3"/>
    <x v="3"/>
    <x v="1"/>
    <x v="0"/>
    <x v="0"/>
    <x v="0"/>
    <x v="1"/>
    <x v="1"/>
    <x v="1"/>
    <x v="1"/>
    <x v="1"/>
    <x v="5"/>
    <x v="2"/>
    <x v="2"/>
    <x v="0"/>
    <x v="0"/>
    <x v="1"/>
    <x v="1"/>
    <x v="1"/>
    <x v="1"/>
    <x v="1"/>
    <x v="0"/>
    <x v="1"/>
  </r>
  <r>
    <x v="5"/>
    <x v="36"/>
    <x v="0"/>
    <x v="0"/>
    <x v="0"/>
    <x v="76"/>
    <x v="0"/>
    <x v="2"/>
    <x v="54"/>
    <x v="1"/>
    <x v="1"/>
    <n v="4.9549494949494948"/>
    <x v="21"/>
    <x v="1"/>
    <x v="3"/>
    <x v="3"/>
    <x v="1"/>
    <x v="0"/>
    <x v="0"/>
    <x v="0"/>
    <x v="1"/>
    <x v="1"/>
    <x v="1"/>
    <x v="1"/>
    <x v="1"/>
    <x v="5"/>
    <x v="2"/>
    <x v="2"/>
    <x v="0"/>
    <x v="0"/>
    <x v="1"/>
    <x v="1"/>
    <x v="1"/>
    <x v="1"/>
    <x v="1"/>
    <x v="0"/>
    <x v="1"/>
  </r>
  <r>
    <x v="5"/>
    <x v="36"/>
    <x v="0"/>
    <x v="0"/>
    <x v="0"/>
    <x v="76"/>
    <x v="0"/>
    <x v="2"/>
    <x v="54"/>
    <x v="1"/>
    <x v="0"/>
    <n v="4.6856565656565659"/>
    <x v="21"/>
    <x v="1"/>
    <x v="3"/>
    <x v="3"/>
    <x v="1"/>
    <x v="0"/>
    <x v="0"/>
    <x v="0"/>
    <x v="1"/>
    <x v="1"/>
    <x v="1"/>
    <x v="1"/>
    <x v="1"/>
    <x v="5"/>
    <x v="2"/>
    <x v="2"/>
    <x v="0"/>
    <x v="0"/>
    <x v="1"/>
    <x v="1"/>
    <x v="1"/>
    <x v="1"/>
    <x v="1"/>
    <x v="0"/>
    <x v="1"/>
  </r>
  <r>
    <x v="5"/>
    <x v="36"/>
    <x v="0"/>
    <x v="0"/>
    <x v="0"/>
    <x v="76"/>
    <x v="0"/>
    <x v="2"/>
    <x v="54"/>
    <x v="2"/>
    <x v="3"/>
    <n v="2.4281439393939395"/>
    <x v="20"/>
    <x v="0"/>
    <x v="3"/>
    <x v="3"/>
    <x v="1"/>
    <x v="0"/>
    <x v="0"/>
    <x v="0"/>
    <x v="1"/>
    <x v="1"/>
    <x v="1"/>
    <x v="1"/>
    <x v="1"/>
    <x v="5"/>
    <x v="2"/>
    <x v="2"/>
    <x v="0"/>
    <x v="0"/>
    <x v="1"/>
    <x v="1"/>
    <x v="1"/>
    <x v="1"/>
    <x v="1"/>
    <x v="0"/>
    <x v="1"/>
  </r>
  <r>
    <x v="5"/>
    <x v="36"/>
    <x v="0"/>
    <x v="0"/>
    <x v="0"/>
    <x v="76"/>
    <x v="0"/>
    <x v="2"/>
    <x v="54"/>
    <x v="2"/>
    <x v="1"/>
    <n v="2.8135444286616162"/>
    <x v="20"/>
    <x v="0"/>
    <x v="3"/>
    <x v="3"/>
    <x v="1"/>
    <x v="0"/>
    <x v="0"/>
    <x v="0"/>
    <x v="1"/>
    <x v="1"/>
    <x v="1"/>
    <x v="1"/>
    <x v="1"/>
    <x v="5"/>
    <x v="2"/>
    <x v="2"/>
    <x v="0"/>
    <x v="0"/>
    <x v="1"/>
    <x v="1"/>
    <x v="1"/>
    <x v="1"/>
    <x v="1"/>
    <x v="0"/>
    <x v="1"/>
  </r>
  <r>
    <x v="5"/>
    <x v="36"/>
    <x v="0"/>
    <x v="0"/>
    <x v="0"/>
    <x v="76"/>
    <x v="0"/>
    <x v="2"/>
    <x v="54"/>
    <x v="2"/>
    <x v="3"/>
    <n v="2.4281439393939395"/>
    <x v="20"/>
    <x v="0"/>
    <x v="3"/>
    <x v="3"/>
    <x v="1"/>
    <x v="0"/>
    <x v="0"/>
    <x v="0"/>
    <x v="1"/>
    <x v="1"/>
    <x v="1"/>
    <x v="1"/>
    <x v="1"/>
    <x v="5"/>
    <x v="2"/>
    <x v="2"/>
    <x v="0"/>
    <x v="0"/>
    <x v="1"/>
    <x v="1"/>
    <x v="1"/>
    <x v="1"/>
    <x v="1"/>
    <x v="0"/>
    <x v="1"/>
  </r>
  <r>
    <x v="5"/>
    <x v="36"/>
    <x v="0"/>
    <x v="0"/>
    <x v="0"/>
    <x v="76"/>
    <x v="0"/>
    <x v="2"/>
    <x v="54"/>
    <x v="1"/>
    <x v="3"/>
    <n v="4.2335353535353537"/>
    <x v="21"/>
    <x v="1"/>
    <x v="3"/>
    <x v="3"/>
    <x v="1"/>
    <x v="0"/>
    <x v="0"/>
    <x v="0"/>
    <x v="1"/>
    <x v="1"/>
    <x v="1"/>
    <x v="1"/>
    <x v="1"/>
    <x v="5"/>
    <x v="2"/>
    <x v="2"/>
    <x v="0"/>
    <x v="0"/>
    <x v="1"/>
    <x v="1"/>
    <x v="1"/>
    <x v="1"/>
    <x v="1"/>
    <x v="0"/>
    <x v="1"/>
  </r>
  <r>
    <x v="5"/>
    <x v="36"/>
    <x v="0"/>
    <x v="0"/>
    <x v="0"/>
    <x v="76"/>
    <x v="0"/>
    <x v="2"/>
    <x v="54"/>
    <x v="0"/>
    <x v="0"/>
    <n v="0.99999528685001404"/>
    <x v="12"/>
    <x v="0"/>
    <x v="3"/>
    <x v="3"/>
    <x v="1"/>
    <x v="0"/>
    <x v="0"/>
    <x v="0"/>
    <x v="1"/>
    <x v="1"/>
    <x v="1"/>
    <x v="1"/>
    <x v="1"/>
    <x v="5"/>
    <x v="2"/>
    <x v="2"/>
    <x v="0"/>
    <x v="0"/>
    <x v="1"/>
    <x v="1"/>
    <x v="1"/>
    <x v="1"/>
    <x v="1"/>
    <x v="0"/>
    <x v="1"/>
  </r>
  <r>
    <x v="5"/>
    <x v="36"/>
    <x v="0"/>
    <x v="0"/>
    <x v="0"/>
    <x v="76"/>
    <x v="0"/>
    <x v="2"/>
    <x v="54"/>
    <x v="1"/>
    <x v="1"/>
    <n v="4.9549494949494948"/>
    <x v="21"/>
    <x v="1"/>
    <x v="3"/>
    <x v="3"/>
    <x v="1"/>
    <x v="0"/>
    <x v="0"/>
    <x v="0"/>
    <x v="1"/>
    <x v="1"/>
    <x v="1"/>
    <x v="1"/>
    <x v="1"/>
    <x v="5"/>
    <x v="2"/>
    <x v="2"/>
    <x v="0"/>
    <x v="0"/>
    <x v="1"/>
    <x v="1"/>
    <x v="1"/>
    <x v="1"/>
    <x v="1"/>
    <x v="0"/>
    <x v="1"/>
  </r>
  <r>
    <x v="5"/>
    <x v="36"/>
    <x v="0"/>
    <x v="0"/>
    <x v="0"/>
    <x v="76"/>
    <x v="0"/>
    <x v="2"/>
    <x v="54"/>
    <x v="2"/>
    <x v="2"/>
    <n v="2.8197914693813133"/>
    <x v="20"/>
    <x v="0"/>
    <x v="3"/>
    <x v="3"/>
    <x v="1"/>
    <x v="0"/>
    <x v="0"/>
    <x v="0"/>
    <x v="1"/>
    <x v="1"/>
    <x v="1"/>
    <x v="1"/>
    <x v="1"/>
    <x v="5"/>
    <x v="2"/>
    <x v="2"/>
    <x v="0"/>
    <x v="0"/>
    <x v="1"/>
    <x v="1"/>
    <x v="1"/>
    <x v="1"/>
    <x v="1"/>
    <x v="0"/>
    <x v="1"/>
  </r>
  <r>
    <x v="5"/>
    <x v="36"/>
    <x v="0"/>
    <x v="0"/>
    <x v="0"/>
    <x v="76"/>
    <x v="0"/>
    <x v="2"/>
    <x v="54"/>
    <x v="0"/>
    <x v="0"/>
    <n v="0.99999528685001404"/>
    <x v="12"/>
    <x v="0"/>
    <x v="3"/>
    <x v="3"/>
    <x v="1"/>
    <x v="0"/>
    <x v="0"/>
    <x v="0"/>
    <x v="1"/>
    <x v="1"/>
    <x v="1"/>
    <x v="1"/>
    <x v="1"/>
    <x v="5"/>
    <x v="2"/>
    <x v="2"/>
    <x v="0"/>
    <x v="0"/>
    <x v="1"/>
    <x v="1"/>
    <x v="1"/>
    <x v="1"/>
    <x v="1"/>
    <x v="0"/>
    <x v="1"/>
  </r>
  <r>
    <x v="5"/>
    <x v="36"/>
    <x v="0"/>
    <x v="0"/>
    <x v="0"/>
    <x v="76"/>
    <x v="0"/>
    <x v="2"/>
    <x v="54"/>
    <x v="0"/>
    <x v="3"/>
    <n v="0.99999537576328612"/>
    <x v="12"/>
    <x v="0"/>
    <x v="3"/>
    <x v="3"/>
    <x v="1"/>
    <x v="0"/>
    <x v="0"/>
    <x v="0"/>
    <x v="1"/>
    <x v="1"/>
    <x v="1"/>
    <x v="1"/>
    <x v="1"/>
    <x v="5"/>
    <x v="2"/>
    <x v="2"/>
    <x v="0"/>
    <x v="0"/>
    <x v="1"/>
    <x v="1"/>
    <x v="1"/>
    <x v="1"/>
    <x v="1"/>
    <x v="0"/>
    <x v="1"/>
  </r>
  <r>
    <x v="5"/>
    <x v="36"/>
    <x v="0"/>
    <x v="0"/>
    <x v="0"/>
    <x v="76"/>
    <x v="0"/>
    <x v="2"/>
    <x v="54"/>
    <x v="0"/>
    <x v="3"/>
    <n v="0.99999537576328612"/>
    <x v="12"/>
    <x v="0"/>
    <x v="3"/>
    <x v="3"/>
    <x v="1"/>
    <x v="0"/>
    <x v="0"/>
    <x v="0"/>
    <x v="1"/>
    <x v="1"/>
    <x v="1"/>
    <x v="1"/>
    <x v="1"/>
    <x v="5"/>
    <x v="2"/>
    <x v="2"/>
    <x v="0"/>
    <x v="0"/>
    <x v="1"/>
    <x v="1"/>
    <x v="1"/>
    <x v="1"/>
    <x v="1"/>
    <x v="0"/>
    <x v="1"/>
  </r>
  <r>
    <x v="5"/>
    <x v="36"/>
    <x v="0"/>
    <x v="0"/>
    <x v="0"/>
    <x v="76"/>
    <x v="0"/>
    <x v="2"/>
    <x v="54"/>
    <x v="2"/>
    <x v="2"/>
    <n v="2.8197914693813133"/>
    <x v="20"/>
    <x v="0"/>
    <x v="3"/>
    <x v="3"/>
    <x v="1"/>
    <x v="0"/>
    <x v="0"/>
    <x v="0"/>
    <x v="1"/>
    <x v="1"/>
    <x v="1"/>
    <x v="1"/>
    <x v="1"/>
    <x v="5"/>
    <x v="2"/>
    <x v="2"/>
    <x v="0"/>
    <x v="0"/>
    <x v="1"/>
    <x v="1"/>
    <x v="1"/>
    <x v="1"/>
    <x v="1"/>
    <x v="0"/>
    <x v="1"/>
  </r>
  <r>
    <x v="5"/>
    <x v="36"/>
    <x v="0"/>
    <x v="0"/>
    <x v="0"/>
    <x v="76"/>
    <x v="0"/>
    <x v="2"/>
    <x v="54"/>
    <x v="0"/>
    <x v="2"/>
    <n v="0.99999519393901637"/>
    <x v="12"/>
    <x v="0"/>
    <x v="3"/>
    <x v="3"/>
    <x v="1"/>
    <x v="0"/>
    <x v="0"/>
    <x v="0"/>
    <x v="1"/>
    <x v="1"/>
    <x v="1"/>
    <x v="1"/>
    <x v="1"/>
    <x v="5"/>
    <x v="2"/>
    <x v="2"/>
    <x v="0"/>
    <x v="0"/>
    <x v="1"/>
    <x v="1"/>
    <x v="1"/>
    <x v="1"/>
    <x v="1"/>
    <x v="0"/>
    <x v="1"/>
  </r>
  <r>
    <x v="5"/>
    <x v="36"/>
    <x v="0"/>
    <x v="0"/>
    <x v="0"/>
    <x v="76"/>
    <x v="0"/>
    <x v="2"/>
    <x v="54"/>
    <x v="0"/>
    <x v="1"/>
    <n v="0.99999545858363903"/>
    <x v="12"/>
    <x v="0"/>
    <x v="3"/>
    <x v="3"/>
    <x v="1"/>
    <x v="0"/>
    <x v="0"/>
    <x v="0"/>
    <x v="1"/>
    <x v="1"/>
    <x v="1"/>
    <x v="1"/>
    <x v="1"/>
    <x v="5"/>
    <x v="2"/>
    <x v="2"/>
    <x v="0"/>
    <x v="0"/>
    <x v="1"/>
    <x v="1"/>
    <x v="1"/>
    <x v="1"/>
    <x v="1"/>
    <x v="0"/>
    <x v="1"/>
  </r>
  <r>
    <x v="5"/>
    <x v="36"/>
    <x v="0"/>
    <x v="0"/>
    <x v="0"/>
    <x v="76"/>
    <x v="0"/>
    <x v="2"/>
    <x v="54"/>
    <x v="1"/>
    <x v="0"/>
    <n v="4.6856565656565659"/>
    <x v="21"/>
    <x v="1"/>
    <x v="3"/>
    <x v="3"/>
    <x v="1"/>
    <x v="0"/>
    <x v="0"/>
    <x v="0"/>
    <x v="1"/>
    <x v="1"/>
    <x v="1"/>
    <x v="1"/>
    <x v="1"/>
    <x v="5"/>
    <x v="2"/>
    <x v="2"/>
    <x v="0"/>
    <x v="0"/>
    <x v="1"/>
    <x v="1"/>
    <x v="1"/>
    <x v="1"/>
    <x v="1"/>
    <x v="0"/>
    <x v="1"/>
  </r>
  <r>
    <x v="5"/>
    <x v="36"/>
    <x v="0"/>
    <x v="0"/>
    <x v="0"/>
    <x v="76"/>
    <x v="0"/>
    <x v="2"/>
    <x v="54"/>
    <x v="0"/>
    <x v="1"/>
    <n v="0.99999545858363903"/>
    <x v="12"/>
    <x v="0"/>
    <x v="3"/>
    <x v="3"/>
    <x v="1"/>
    <x v="0"/>
    <x v="0"/>
    <x v="0"/>
    <x v="1"/>
    <x v="1"/>
    <x v="1"/>
    <x v="1"/>
    <x v="1"/>
    <x v="5"/>
    <x v="2"/>
    <x v="2"/>
    <x v="0"/>
    <x v="0"/>
    <x v="1"/>
    <x v="1"/>
    <x v="1"/>
    <x v="1"/>
    <x v="1"/>
    <x v="0"/>
    <x v="1"/>
  </r>
  <r>
    <x v="5"/>
    <x v="36"/>
    <x v="0"/>
    <x v="0"/>
    <x v="0"/>
    <x v="76"/>
    <x v="0"/>
    <x v="2"/>
    <x v="54"/>
    <x v="1"/>
    <x v="0"/>
    <n v="4.6856565656565659"/>
    <x v="21"/>
    <x v="1"/>
    <x v="3"/>
    <x v="3"/>
    <x v="1"/>
    <x v="0"/>
    <x v="0"/>
    <x v="0"/>
    <x v="1"/>
    <x v="1"/>
    <x v="1"/>
    <x v="1"/>
    <x v="1"/>
    <x v="5"/>
    <x v="2"/>
    <x v="2"/>
    <x v="0"/>
    <x v="0"/>
    <x v="1"/>
    <x v="1"/>
    <x v="1"/>
    <x v="1"/>
    <x v="1"/>
    <x v="0"/>
    <x v="1"/>
  </r>
  <r>
    <x v="5"/>
    <x v="36"/>
    <x v="0"/>
    <x v="0"/>
    <x v="0"/>
    <x v="77"/>
    <x v="0"/>
    <x v="2"/>
    <x v="54"/>
    <x v="1"/>
    <x v="0"/>
    <n v="4.6856565656565659"/>
    <x v="21"/>
    <x v="1"/>
    <x v="3"/>
    <x v="3"/>
    <x v="1"/>
    <x v="0"/>
    <x v="0"/>
    <x v="0"/>
    <x v="1"/>
    <x v="1"/>
    <x v="1"/>
    <x v="1"/>
    <x v="1"/>
    <x v="5"/>
    <x v="4"/>
    <x v="1"/>
    <x v="0"/>
    <x v="0"/>
    <x v="1"/>
    <x v="1"/>
    <x v="1"/>
    <x v="1"/>
    <x v="1"/>
    <x v="0"/>
    <x v="1"/>
  </r>
  <r>
    <x v="5"/>
    <x v="36"/>
    <x v="0"/>
    <x v="0"/>
    <x v="0"/>
    <x v="77"/>
    <x v="0"/>
    <x v="2"/>
    <x v="54"/>
    <x v="2"/>
    <x v="0"/>
    <n v="2.7545152698863635"/>
    <x v="20"/>
    <x v="0"/>
    <x v="3"/>
    <x v="3"/>
    <x v="1"/>
    <x v="0"/>
    <x v="0"/>
    <x v="0"/>
    <x v="1"/>
    <x v="1"/>
    <x v="1"/>
    <x v="1"/>
    <x v="1"/>
    <x v="5"/>
    <x v="4"/>
    <x v="1"/>
    <x v="0"/>
    <x v="0"/>
    <x v="1"/>
    <x v="1"/>
    <x v="1"/>
    <x v="1"/>
    <x v="1"/>
    <x v="0"/>
    <x v="1"/>
  </r>
  <r>
    <x v="5"/>
    <x v="36"/>
    <x v="0"/>
    <x v="0"/>
    <x v="0"/>
    <x v="77"/>
    <x v="0"/>
    <x v="2"/>
    <x v="54"/>
    <x v="0"/>
    <x v="0"/>
    <n v="0.99999528685001404"/>
    <x v="12"/>
    <x v="0"/>
    <x v="3"/>
    <x v="3"/>
    <x v="1"/>
    <x v="0"/>
    <x v="0"/>
    <x v="0"/>
    <x v="1"/>
    <x v="1"/>
    <x v="1"/>
    <x v="1"/>
    <x v="1"/>
    <x v="5"/>
    <x v="4"/>
    <x v="1"/>
    <x v="0"/>
    <x v="0"/>
    <x v="1"/>
    <x v="1"/>
    <x v="1"/>
    <x v="1"/>
    <x v="1"/>
    <x v="0"/>
    <x v="1"/>
  </r>
  <r>
    <x v="5"/>
    <x v="36"/>
    <x v="0"/>
    <x v="0"/>
    <x v="0"/>
    <x v="77"/>
    <x v="0"/>
    <x v="2"/>
    <x v="54"/>
    <x v="1"/>
    <x v="1"/>
    <n v="4.9549494949494948"/>
    <x v="21"/>
    <x v="1"/>
    <x v="3"/>
    <x v="3"/>
    <x v="1"/>
    <x v="0"/>
    <x v="0"/>
    <x v="0"/>
    <x v="1"/>
    <x v="1"/>
    <x v="1"/>
    <x v="1"/>
    <x v="1"/>
    <x v="5"/>
    <x v="4"/>
    <x v="1"/>
    <x v="0"/>
    <x v="0"/>
    <x v="1"/>
    <x v="1"/>
    <x v="1"/>
    <x v="1"/>
    <x v="1"/>
    <x v="0"/>
    <x v="1"/>
  </r>
  <r>
    <x v="5"/>
    <x v="36"/>
    <x v="0"/>
    <x v="0"/>
    <x v="0"/>
    <x v="77"/>
    <x v="0"/>
    <x v="2"/>
    <x v="54"/>
    <x v="0"/>
    <x v="3"/>
    <n v="0.99999537576328612"/>
    <x v="12"/>
    <x v="0"/>
    <x v="3"/>
    <x v="3"/>
    <x v="1"/>
    <x v="0"/>
    <x v="0"/>
    <x v="0"/>
    <x v="1"/>
    <x v="1"/>
    <x v="1"/>
    <x v="1"/>
    <x v="1"/>
    <x v="5"/>
    <x v="4"/>
    <x v="1"/>
    <x v="0"/>
    <x v="0"/>
    <x v="1"/>
    <x v="1"/>
    <x v="1"/>
    <x v="1"/>
    <x v="1"/>
    <x v="0"/>
    <x v="1"/>
  </r>
  <r>
    <x v="5"/>
    <x v="36"/>
    <x v="0"/>
    <x v="0"/>
    <x v="0"/>
    <x v="77"/>
    <x v="0"/>
    <x v="2"/>
    <x v="54"/>
    <x v="2"/>
    <x v="3"/>
    <n v="2.4281439393939395"/>
    <x v="20"/>
    <x v="0"/>
    <x v="3"/>
    <x v="3"/>
    <x v="1"/>
    <x v="0"/>
    <x v="0"/>
    <x v="0"/>
    <x v="1"/>
    <x v="1"/>
    <x v="1"/>
    <x v="1"/>
    <x v="1"/>
    <x v="5"/>
    <x v="4"/>
    <x v="1"/>
    <x v="0"/>
    <x v="0"/>
    <x v="1"/>
    <x v="1"/>
    <x v="1"/>
    <x v="1"/>
    <x v="1"/>
    <x v="0"/>
    <x v="1"/>
  </r>
  <r>
    <x v="5"/>
    <x v="36"/>
    <x v="0"/>
    <x v="0"/>
    <x v="0"/>
    <x v="77"/>
    <x v="0"/>
    <x v="2"/>
    <x v="54"/>
    <x v="2"/>
    <x v="2"/>
    <n v="2.8197914693813133"/>
    <x v="20"/>
    <x v="0"/>
    <x v="3"/>
    <x v="3"/>
    <x v="1"/>
    <x v="0"/>
    <x v="0"/>
    <x v="0"/>
    <x v="1"/>
    <x v="1"/>
    <x v="1"/>
    <x v="1"/>
    <x v="1"/>
    <x v="5"/>
    <x v="4"/>
    <x v="1"/>
    <x v="0"/>
    <x v="0"/>
    <x v="1"/>
    <x v="1"/>
    <x v="1"/>
    <x v="1"/>
    <x v="1"/>
    <x v="0"/>
    <x v="1"/>
  </r>
  <r>
    <x v="5"/>
    <x v="36"/>
    <x v="0"/>
    <x v="0"/>
    <x v="0"/>
    <x v="77"/>
    <x v="0"/>
    <x v="2"/>
    <x v="54"/>
    <x v="2"/>
    <x v="2"/>
    <n v="2.8197914693813133"/>
    <x v="20"/>
    <x v="0"/>
    <x v="3"/>
    <x v="3"/>
    <x v="1"/>
    <x v="0"/>
    <x v="0"/>
    <x v="0"/>
    <x v="1"/>
    <x v="1"/>
    <x v="1"/>
    <x v="1"/>
    <x v="1"/>
    <x v="5"/>
    <x v="4"/>
    <x v="1"/>
    <x v="0"/>
    <x v="0"/>
    <x v="1"/>
    <x v="1"/>
    <x v="1"/>
    <x v="1"/>
    <x v="1"/>
    <x v="0"/>
    <x v="1"/>
  </r>
  <r>
    <x v="5"/>
    <x v="36"/>
    <x v="0"/>
    <x v="0"/>
    <x v="0"/>
    <x v="77"/>
    <x v="0"/>
    <x v="2"/>
    <x v="54"/>
    <x v="1"/>
    <x v="3"/>
    <n v="4.2335353535353537"/>
    <x v="21"/>
    <x v="1"/>
    <x v="3"/>
    <x v="3"/>
    <x v="1"/>
    <x v="0"/>
    <x v="0"/>
    <x v="0"/>
    <x v="1"/>
    <x v="1"/>
    <x v="1"/>
    <x v="1"/>
    <x v="1"/>
    <x v="5"/>
    <x v="4"/>
    <x v="1"/>
    <x v="0"/>
    <x v="0"/>
    <x v="1"/>
    <x v="1"/>
    <x v="1"/>
    <x v="1"/>
    <x v="1"/>
    <x v="0"/>
    <x v="1"/>
  </r>
  <r>
    <x v="5"/>
    <x v="36"/>
    <x v="0"/>
    <x v="0"/>
    <x v="0"/>
    <x v="77"/>
    <x v="0"/>
    <x v="2"/>
    <x v="54"/>
    <x v="1"/>
    <x v="2"/>
    <n v="4.9585858585858587"/>
    <x v="21"/>
    <x v="1"/>
    <x v="3"/>
    <x v="3"/>
    <x v="1"/>
    <x v="0"/>
    <x v="0"/>
    <x v="0"/>
    <x v="1"/>
    <x v="1"/>
    <x v="1"/>
    <x v="1"/>
    <x v="1"/>
    <x v="5"/>
    <x v="4"/>
    <x v="1"/>
    <x v="0"/>
    <x v="0"/>
    <x v="1"/>
    <x v="1"/>
    <x v="1"/>
    <x v="1"/>
    <x v="1"/>
    <x v="0"/>
    <x v="1"/>
  </r>
  <r>
    <x v="5"/>
    <x v="36"/>
    <x v="0"/>
    <x v="0"/>
    <x v="0"/>
    <x v="77"/>
    <x v="0"/>
    <x v="2"/>
    <x v="54"/>
    <x v="2"/>
    <x v="1"/>
    <n v="2.8135444286616162"/>
    <x v="20"/>
    <x v="0"/>
    <x v="3"/>
    <x v="3"/>
    <x v="1"/>
    <x v="0"/>
    <x v="0"/>
    <x v="0"/>
    <x v="1"/>
    <x v="1"/>
    <x v="1"/>
    <x v="1"/>
    <x v="1"/>
    <x v="5"/>
    <x v="4"/>
    <x v="1"/>
    <x v="0"/>
    <x v="0"/>
    <x v="1"/>
    <x v="1"/>
    <x v="1"/>
    <x v="1"/>
    <x v="1"/>
    <x v="0"/>
    <x v="1"/>
  </r>
  <r>
    <x v="5"/>
    <x v="36"/>
    <x v="0"/>
    <x v="0"/>
    <x v="0"/>
    <x v="77"/>
    <x v="0"/>
    <x v="2"/>
    <x v="54"/>
    <x v="0"/>
    <x v="1"/>
    <n v="0.99999545858363903"/>
    <x v="12"/>
    <x v="0"/>
    <x v="3"/>
    <x v="3"/>
    <x v="1"/>
    <x v="0"/>
    <x v="0"/>
    <x v="0"/>
    <x v="1"/>
    <x v="1"/>
    <x v="1"/>
    <x v="1"/>
    <x v="1"/>
    <x v="5"/>
    <x v="4"/>
    <x v="1"/>
    <x v="0"/>
    <x v="0"/>
    <x v="1"/>
    <x v="1"/>
    <x v="1"/>
    <x v="1"/>
    <x v="1"/>
    <x v="0"/>
    <x v="1"/>
  </r>
  <r>
    <x v="5"/>
    <x v="36"/>
    <x v="0"/>
    <x v="0"/>
    <x v="0"/>
    <x v="77"/>
    <x v="0"/>
    <x v="2"/>
    <x v="54"/>
    <x v="2"/>
    <x v="3"/>
    <n v="2.4281439393939395"/>
    <x v="20"/>
    <x v="0"/>
    <x v="3"/>
    <x v="3"/>
    <x v="1"/>
    <x v="0"/>
    <x v="0"/>
    <x v="0"/>
    <x v="1"/>
    <x v="1"/>
    <x v="1"/>
    <x v="1"/>
    <x v="1"/>
    <x v="5"/>
    <x v="4"/>
    <x v="1"/>
    <x v="0"/>
    <x v="0"/>
    <x v="1"/>
    <x v="1"/>
    <x v="1"/>
    <x v="1"/>
    <x v="1"/>
    <x v="0"/>
    <x v="1"/>
  </r>
  <r>
    <x v="5"/>
    <x v="36"/>
    <x v="0"/>
    <x v="0"/>
    <x v="0"/>
    <x v="77"/>
    <x v="0"/>
    <x v="2"/>
    <x v="54"/>
    <x v="2"/>
    <x v="1"/>
    <n v="2.8135444286616162"/>
    <x v="20"/>
    <x v="0"/>
    <x v="3"/>
    <x v="3"/>
    <x v="1"/>
    <x v="0"/>
    <x v="0"/>
    <x v="0"/>
    <x v="1"/>
    <x v="1"/>
    <x v="1"/>
    <x v="1"/>
    <x v="1"/>
    <x v="5"/>
    <x v="4"/>
    <x v="1"/>
    <x v="0"/>
    <x v="0"/>
    <x v="1"/>
    <x v="1"/>
    <x v="1"/>
    <x v="1"/>
    <x v="1"/>
    <x v="0"/>
    <x v="1"/>
  </r>
  <r>
    <x v="5"/>
    <x v="36"/>
    <x v="0"/>
    <x v="0"/>
    <x v="0"/>
    <x v="77"/>
    <x v="0"/>
    <x v="2"/>
    <x v="54"/>
    <x v="0"/>
    <x v="3"/>
    <n v="0.99999537576328612"/>
    <x v="12"/>
    <x v="0"/>
    <x v="3"/>
    <x v="3"/>
    <x v="1"/>
    <x v="0"/>
    <x v="0"/>
    <x v="0"/>
    <x v="1"/>
    <x v="1"/>
    <x v="1"/>
    <x v="1"/>
    <x v="1"/>
    <x v="5"/>
    <x v="4"/>
    <x v="1"/>
    <x v="0"/>
    <x v="0"/>
    <x v="1"/>
    <x v="1"/>
    <x v="1"/>
    <x v="1"/>
    <x v="1"/>
    <x v="0"/>
    <x v="1"/>
  </r>
  <r>
    <x v="5"/>
    <x v="36"/>
    <x v="0"/>
    <x v="0"/>
    <x v="0"/>
    <x v="77"/>
    <x v="0"/>
    <x v="2"/>
    <x v="54"/>
    <x v="1"/>
    <x v="3"/>
    <n v="4.2335353535353537"/>
    <x v="21"/>
    <x v="1"/>
    <x v="3"/>
    <x v="3"/>
    <x v="1"/>
    <x v="0"/>
    <x v="0"/>
    <x v="0"/>
    <x v="1"/>
    <x v="1"/>
    <x v="1"/>
    <x v="1"/>
    <x v="1"/>
    <x v="5"/>
    <x v="4"/>
    <x v="1"/>
    <x v="0"/>
    <x v="0"/>
    <x v="1"/>
    <x v="1"/>
    <x v="1"/>
    <x v="1"/>
    <x v="1"/>
    <x v="0"/>
    <x v="1"/>
  </r>
  <r>
    <x v="5"/>
    <x v="36"/>
    <x v="0"/>
    <x v="0"/>
    <x v="0"/>
    <x v="77"/>
    <x v="0"/>
    <x v="2"/>
    <x v="54"/>
    <x v="0"/>
    <x v="2"/>
    <n v="0.99999519393901637"/>
    <x v="12"/>
    <x v="0"/>
    <x v="3"/>
    <x v="3"/>
    <x v="1"/>
    <x v="0"/>
    <x v="0"/>
    <x v="0"/>
    <x v="1"/>
    <x v="1"/>
    <x v="1"/>
    <x v="1"/>
    <x v="1"/>
    <x v="5"/>
    <x v="4"/>
    <x v="1"/>
    <x v="0"/>
    <x v="0"/>
    <x v="1"/>
    <x v="1"/>
    <x v="1"/>
    <x v="1"/>
    <x v="1"/>
    <x v="0"/>
    <x v="1"/>
  </r>
  <r>
    <x v="5"/>
    <x v="36"/>
    <x v="0"/>
    <x v="0"/>
    <x v="0"/>
    <x v="77"/>
    <x v="0"/>
    <x v="2"/>
    <x v="54"/>
    <x v="1"/>
    <x v="2"/>
    <n v="4.9585858585858587"/>
    <x v="21"/>
    <x v="1"/>
    <x v="3"/>
    <x v="3"/>
    <x v="1"/>
    <x v="0"/>
    <x v="0"/>
    <x v="0"/>
    <x v="1"/>
    <x v="1"/>
    <x v="1"/>
    <x v="1"/>
    <x v="1"/>
    <x v="5"/>
    <x v="4"/>
    <x v="1"/>
    <x v="0"/>
    <x v="0"/>
    <x v="1"/>
    <x v="1"/>
    <x v="1"/>
    <x v="1"/>
    <x v="1"/>
    <x v="0"/>
    <x v="1"/>
  </r>
  <r>
    <x v="5"/>
    <x v="36"/>
    <x v="0"/>
    <x v="0"/>
    <x v="0"/>
    <x v="77"/>
    <x v="0"/>
    <x v="2"/>
    <x v="54"/>
    <x v="0"/>
    <x v="2"/>
    <n v="0.99999519393901637"/>
    <x v="12"/>
    <x v="0"/>
    <x v="3"/>
    <x v="3"/>
    <x v="1"/>
    <x v="0"/>
    <x v="0"/>
    <x v="0"/>
    <x v="1"/>
    <x v="1"/>
    <x v="1"/>
    <x v="1"/>
    <x v="1"/>
    <x v="5"/>
    <x v="4"/>
    <x v="1"/>
    <x v="0"/>
    <x v="0"/>
    <x v="1"/>
    <x v="1"/>
    <x v="1"/>
    <x v="1"/>
    <x v="1"/>
    <x v="0"/>
    <x v="1"/>
  </r>
  <r>
    <x v="5"/>
    <x v="36"/>
    <x v="0"/>
    <x v="0"/>
    <x v="0"/>
    <x v="77"/>
    <x v="0"/>
    <x v="2"/>
    <x v="54"/>
    <x v="0"/>
    <x v="0"/>
    <n v="0.99999528685001404"/>
    <x v="12"/>
    <x v="0"/>
    <x v="3"/>
    <x v="3"/>
    <x v="1"/>
    <x v="0"/>
    <x v="0"/>
    <x v="0"/>
    <x v="1"/>
    <x v="1"/>
    <x v="1"/>
    <x v="1"/>
    <x v="1"/>
    <x v="5"/>
    <x v="4"/>
    <x v="1"/>
    <x v="0"/>
    <x v="0"/>
    <x v="1"/>
    <x v="1"/>
    <x v="1"/>
    <x v="1"/>
    <x v="1"/>
    <x v="0"/>
    <x v="1"/>
  </r>
  <r>
    <x v="5"/>
    <x v="36"/>
    <x v="0"/>
    <x v="0"/>
    <x v="0"/>
    <x v="77"/>
    <x v="0"/>
    <x v="2"/>
    <x v="54"/>
    <x v="2"/>
    <x v="0"/>
    <n v="2.7545152698863635"/>
    <x v="20"/>
    <x v="0"/>
    <x v="3"/>
    <x v="3"/>
    <x v="1"/>
    <x v="0"/>
    <x v="0"/>
    <x v="0"/>
    <x v="1"/>
    <x v="1"/>
    <x v="1"/>
    <x v="1"/>
    <x v="1"/>
    <x v="5"/>
    <x v="4"/>
    <x v="1"/>
    <x v="0"/>
    <x v="0"/>
    <x v="1"/>
    <x v="1"/>
    <x v="1"/>
    <x v="1"/>
    <x v="1"/>
    <x v="0"/>
    <x v="1"/>
  </r>
  <r>
    <x v="5"/>
    <x v="36"/>
    <x v="0"/>
    <x v="0"/>
    <x v="0"/>
    <x v="76"/>
    <x v="0"/>
    <x v="2"/>
    <x v="54"/>
    <x v="2"/>
    <x v="2"/>
    <n v="2.8197914693813133"/>
    <x v="20"/>
    <x v="0"/>
    <x v="3"/>
    <x v="3"/>
    <x v="1"/>
    <x v="0"/>
    <x v="0"/>
    <x v="0"/>
    <x v="1"/>
    <x v="1"/>
    <x v="1"/>
    <x v="1"/>
    <x v="1"/>
    <x v="5"/>
    <x v="2"/>
    <x v="2"/>
    <x v="0"/>
    <x v="0"/>
    <x v="1"/>
    <x v="1"/>
    <x v="1"/>
    <x v="1"/>
    <x v="1"/>
    <x v="0"/>
    <x v="1"/>
  </r>
  <r>
    <x v="5"/>
    <x v="36"/>
    <x v="0"/>
    <x v="0"/>
    <x v="0"/>
    <x v="76"/>
    <x v="0"/>
    <x v="2"/>
    <x v="54"/>
    <x v="0"/>
    <x v="3"/>
    <n v="0.99999537576328612"/>
    <x v="12"/>
    <x v="0"/>
    <x v="3"/>
    <x v="3"/>
    <x v="1"/>
    <x v="0"/>
    <x v="0"/>
    <x v="0"/>
    <x v="1"/>
    <x v="1"/>
    <x v="1"/>
    <x v="1"/>
    <x v="1"/>
    <x v="5"/>
    <x v="2"/>
    <x v="2"/>
    <x v="0"/>
    <x v="0"/>
    <x v="1"/>
    <x v="1"/>
    <x v="1"/>
    <x v="1"/>
    <x v="1"/>
    <x v="0"/>
    <x v="1"/>
  </r>
  <r>
    <x v="5"/>
    <x v="36"/>
    <x v="0"/>
    <x v="0"/>
    <x v="0"/>
    <x v="76"/>
    <x v="0"/>
    <x v="2"/>
    <x v="54"/>
    <x v="2"/>
    <x v="0"/>
    <n v="2.7545152698863635"/>
    <x v="20"/>
    <x v="0"/>
    <x v="3"/>
    <x v="3"/>
    <x v="1"/>
    <x v="0"/>
    <x v="0"/>
    <x v="0"/>
    <x v="1"/>
    <x v="1"/>
    <x v="1"/>
    <x v="1"/>
    <x v="1"/>
    <x v="5"/>
    <x v="2"/>
    <x v="2"/>
    <x v="0"/>
    <x v="0"/>
    <x v="1"/>
    <x v="1"/>
    <x v="1"/>
    <x v="1"/>
    <x v="1"/>
    <x v="0"/>
    <x v="1"/>
  </r>
  <r>
    <x v="5"/>
    <x v="36"/>
    <x v="0"/>
    <x v="0"/>
    <x v="0"/>
    <x v="76"/>
    <x v="0"/>
    <x v="2"/>
    <x v="54"/>
    <x v="2"/>
    <x v="2"/>
    <n v="2.8197914693813133"/>
    <x v="20"/>
    <x v="0"/>
    <x v="3"/>
    <x v="3"/>
    <x v="1"/>
    <x v="0"/>
    <x v="0"/>
    <x v="0"/>
    <x v="1"/>
    <x v="1"/>
    <x v="1"/>
    <x v="1"/>
    <x v="1"/>
    <x v="5"/>
    <x v="2"/>
    <x v="2"/>
    <x v="0"/>
    <x v="0"/>
    <x v="1"/>
    <x v="1"/>
    <x v="1"/>
    <x v="1"/>
    <x v="1"/>
    <x v="0"/>
    <x v="1"/>
  </r>
  <r>
    <x v="5"/>
    <x v="36"/>
    <x v="0"/>
    <x v="0"/>
    <x v="0"/>
    <x v="76"/>
    <x v="0"/>
    <x v="2"/>
    <x v="54"/>
    <x v="0"/>
    <x v="2"/>
    <n v="0.99999519393901637"/>
    <x v="12"/>
    <x v="0"/>
    <x v="3"/>
    <x v="3"/>
    <x v="1"/>
    <x v="0"/>
    <x v="0"/>
    <x v="0"/>
    <x v="1"/>
    <x v="1"/>
    <x v="1"/>
    <x v="1"/>
    <x v="1"/>
    <x v="5"/>
    <x v="2"/>
    <x v="2"/>
    <x v="0"/>
    <x v="0"/>
    <x v="1"/>
    <x v="1"/>
    <x v="1"/>
    <x v="1"/>
    <x v="1"/>
    <x v="0"/>
    <x v="1"/>
  </r>
  <r>
    <x v="5"/>
    <x v="36"/>
    <x v="0"/>
    <x v="0"/>
    <x v="0"/>
    <x v="76"/>
    <x v="0"/>
    <x v="2"/>
    <x v="54"/>
    <x v="0"/>
    <x v="0"/>
    <n v="0.99999528685001404"/>
    <x v="12"/>
    <x v="0"/>
    <x v="3"/>
    <x v="3"/>
    <x v="1"/>
    <x v="0"/>
    <x v="0"/>
    <x v="0"/>
    <x v="1"/>
    <x v="1"/>
    <x v="1"/>
    <x v="1"/>
    <x v="1"/>
    <x v="5"/>
    <x v="2"/>
    <x v="2"/>
    <x v="0"/>
    <x v="0"/>
    <x v="1"/>
    <x v="1"/>
    <x v="1"/>
    <x v="1"/>
    <x v="1"/>
    <x v="0"/>
    <x v="1"/>
  </r>
  <r>
    <x v="5"/>
    <x v="36"/>
    <x v="0"/>
    <x v="0"/>
    <x v="0"/>
    <x v="76"/>
    <x v="0"/>
    <x v="2"/>
    <x v="54"/>
    <x v="2"/>
    <x v="0"/>
    <n v="2.7545152698863635"/>
    <x v="20"/>
    <x v="0"/>
    <x v="3"/>
    <x v="3"/>
    <x v="1"/>
    <x v="0"/>
    <x v="0"/>
    <x v="0"/>
    <x v="1"/>
    <x v="1"/>
    <x v="1"/>
    <x v="1"/>
    <x v="1"/>
    <x v="5"/>
    <x v="2"/>
    <x v="2"/>
    <x v="0"/>
    <x v="0"/>
    <x v="1"/>
    <x v="1"/>
    <x v="1"/>
    <x v="1"/>
    <x v="1"/>
    <x v="0"/>
    <x v="1"/>
  </r>
  <r>
    <x v="5"/>
    <x v="36"/>
    <x v="0"/>
    <x v="0"/>
    <x v="0"/>
    <x v="76"/>
    <x v="0"/>
    <x v="2"/>
    <x v="54"/>
    <x v="2"/>
    <x v="3"/>
    <n v="2.4281439393939395"/>
    <x v="20"/>
    <x v="0"/>
    <x v="3"/>
    <x v="3"/>
    <x v="1"/>
    <x v="0"/>
    <x v="0"/>
    <x v="0"/>
    <x v="1"/>
    <x v="1"/>
    <x v="1"/>
    <x v="1"/>
    <x v="1"/>
    <x v="5"/>
    <x v="2"/>
    <x v="2"/>
    <x v="0"/>
    <x v="0"/>
    <x v="1"/>
    <x v="1"/>
    <x v="1"/>
    <x v="1"/>
    <x v="1"/>
    <x v="0"/>
    <x v="1"/>
  </r>
  <r>
    <x v="5"/>
    <x v="36"/>
    <x v="0"/>
    <x v="0"/>
    <x v="0"/>
    <x v="77"/>
    <x v="0"/>
    <x v="2"/>
    <x v="54"/>
    <x v="0"/>
    <x v="1"/>
    <n v="0.99999545858363903"/>
    <x v="12"/>
    <x v="0"/>
    <x v="3"/>
    <x v="3"/>
    <x v="1"/>
    <x v="0"/>
    <x v="0"/>
    <x v="0"/>
    <x v="1"/>
    <x v="1"/>
    <x v="1"/>
    <x v="1"/>
    <x v="1"/>
    <x v="5"/>
    <x v="4"/>
    <x v="1"/>
    <x v="0"/>
    <x v="0"/>
    <x v="1"/>
    <x v="1"/>
    <x v="1"/>
    <x v="1"/>
    <x v="1"/>
    <x v="0"/>
    <x v="1"/>
  </r>
  <r>
    <x v="5"/>
    <x v="36"/>
    <x v="0"/>
    <x v="0"/>
    <x v="0"/>
    <x v="77"/>
    <x v="0"/>
    <x v="2"/>
    <x v="54"/>
    <x v="1"/>
    <x v="1"/>
    <n v="4.9549494949494948"/>
    <x v="21"/>
    <x v="1"/>
    <x v="3"/>
    <x v="3"/>
    <x v="1"/>
    <x v="0"/>
    <x v="0"/>
    <x v="0"/>
    <x v="1"/>
    <x v="1"/>
    <x v="1"/>
    <x v="1"/>
    <x v="1"/>
    <x v="5"/>
    <x v="4"/>
    <x v="1"/>
    <x v="0"/>
    <x v="0"/>
    <x v="1"/>
    <x v="1"/>
    <x v="1"/>
    <x v="1"/>
    <x v="1"/>
    <x v="0"/>
    <x v="1"/>
  </r>
  <r>
    <x v="5"/>
    <x v="36"/>
    <x v="0"/>
    <x v="0"/>
    <x v="0"/>
    <x v="77"/>
    <x v="0"/>
    <x v="2"/>
    <x v="54"/>
    <x v="1"/>
    <x v="0"/>
    <n v="4.6856565656565659"/>
    <x v="21"/>
    <x v="1"/>
    <x v="3"/>
    <x v="3"/>
    <x v="1"/>
    <x v="0"/>
    <x v="0"/>
    <x v="0"/>
    <x v="1"/>
    <x v="1"/>
    <x v="1"/>
    <x v="1"/>
    <x v="1"/>
    <x v="5"/>
    <x v="4"/>
    <x v="1"/>
    <x v="0"/>
    <x v="0"/>
    <x v="1"/>
    <x v="1"/>
    <x v="1"/>
    <x v="1"/>
    <x v="1"/>
    <x v="0"/>
    <x v="1"/>
  </r>
  <r>
    <x v="5"/>
    <x v="36"/>
    <x v="0"/>
    <x v="0"/>
    <x v="0"/>
    <x v="76"/>
    <x v="0"/>
    <x v="2"/>
    <x v="54"/>
    <x v="1"/>
    <x v="1"/>
    <n v="4.9549494949494948"/>
    <x v="21"/>
    <x v="1"/>
    <x v="3"/>
    <x v="3"/>
    <x v="1"/>
    <x v="0"/>
    <x v="0"/>
    <x v="0"/>
    <x v="1"/>
    <x v="1"/>
    <x v="1"/>
    <x v="1"/>
    <x v="1"/>
    <x v="5"/>
    <x v="2"/>
    <x v="2"/>
    <x v="0"/>
    <x v="0"/>
    <x v="1"/>
    <x v="1"/>
    <x v="1"/>
    <x v="1"/>
    <x v="1"/>
    <x v="0"/>
    <x v="1"/>
  </r>
  <r>
    <x v="5"/>
    <x v="36"/>
    <x v="0"/>
    <x v="0"/>
    <x v="0"/>
    <x v="76"/>
    <x v="0"/>
    <x v="2"/>
    <x v="54"/>
    <x v="1"/>
    <x v="2"/>
    <n v="4.9585858585858587"/>
    <x v="21"/>
    <x v="1"/>
    <x v="3"/>
    <x v="3"/>
    <x v="1"/>
    <x v="0"/>
    <x v="0"/>
    <x v="0"/>
    <x v="1"/>
    <x v="1"/>
    <x v="1"/>
    <x v="1"/>
    <x v="1"/>
    <x v="5"/>
    <x v="2"/>
    <x v="2"/>
    <x v="0"/>
    <x v="0"/>
    <x v="1"/>
    <x v="1"/>
    <x v="1"/>
    <x v="1"/>
    <x v="1"/>
    <x v="0"/>
    <x v="1"/>
  </r>
  <r>
    <x v="5"/>
    <x v="36"/>
    <x v="0"/>
    <x v="0"/>
    <x v="0"/>
    <x v="76"/>
    <x v="0"/>
    <x v="2"/>
    <x v="54"/>
    <x v="1"/>
    <x v="0"/>
    <n v="4.6856565656565659"/>
    <x v="21"/>
    <x v="1"/>
    <x v="3"/>
    <x v="3"/>
    <x v="1"/>
    <x v="0"/>
    <x v="0"/>
    <x v="0"/>
    <x v="1"/>
    <x v="1"/>
    <x v="1"/>
    <x v="1"/>
    <x v="1"/>
    <x v="5"/>
    <x v="2"/>
    <x v="2"/>
    <x v="0"/>
    <x v="0"/>
    <x v="1"/>
    <x v="1"/>
    <x v="1"/>
    <x v="1"/>
    <x v="1"/>
    <x v="0"/>
    <x v="1"/>
  </r>
  <r>
    <x v="5"/>
    <x v="36"/>
    <x v="0"/>
    <x v="0"/>
    <x v="0"/>
    <x v="76"/>
    <x v="0"/>
    <x v="2"/>
    <x v="54"/>
    <x v="0"/>
    <x v="0"/>
    <n v="0.99999528685001404"/>
    <x v="12"/>
    <x v="0"/>
    <x v="3"/>
    <x v="3"/>
    <x v="1"/>
    <x v="0"/>
    <x v="0"/>
    <x v="0"/>
    <x v="1"/>
    <x v="1"/>
    <x v="1"/>
    <x v="1"/>
    <x v="1"/>
    <x v="5"/>
    <x v="2"/>
    <x v="2"/>
    <x v="0"/>
    <x v="0"/>
    <x v="1"/>
    <x v="1"/>
    <x v="1"/>
    <x v="1"/>
    <x v="1"/>
    <x v="0"/>
    <x v="1"/>
  </r>
  <r>
    <x v="5"/>
    <x v="36"/>
    <x v="0"/>
    <x v="0"/>
    <x v="0"/>
    <x v="76"/>
    <x v="0"/>
    <x v="2"/>
    <x v="54"/>
    <x v="2"/>
    <x v="3"/>
    <n v="2.4281439393939395"/>
    <x v="20"/>
    <x v="0"/>
    <x v="3"/>
    <x v="3"/>
    <x v="1"/>
    <x v="0"/>
    <x v="0"/>
    <x v="0"/>
    <x v="1"/>
    <x v="1"/>
    <x v="1"/>
    <x v="1"/>
    <x v="1"/>
    <x v="5"/>
    <x v="2"/>
    <x v="2"/>
    <x v="0"/>
    <x v="0"/>
    <x v="1"/>
    <x v="1"/>
    <x v="1"/>
    <x v="1"/>
    <x v="1"/>
    <x v="0"/>
    <x v="1"/>
  </r>
  <r>
    <x v="5"/>
    <x v="36"/>
    <x v="0"/>
    <x v="0"/>
    <x v="0"/>
    <x v="76"/>
    <x v="0"/>
    <x v="2"/>
    <x v="54"/>
    <x v="1"/>
    <x v="3"/>
    <n v="4.2335353535353537"/>
    <x v="21"/>
    <x v="1"/>
    <x v="3"/>
    <x v="3"/>
    <x v="1"/>
    <x v="0"/>
    <x v="0"/>
    <x v="0"/>
    <x v="1"/>
    <x v="1"/>
    <x v="1"/>
    <x v="1"/>
    <x v="1"/>
    <x v="5"/>
    <x v="2"/>
    <x v="2"/>
    <x v="0"/>
    <x v="0"/>
    <x v="1"/>
    <x v="1"/>
    <x v="1"/>
    <x v="1"/>
    <x v="1"/>
    <x v="0"/>
    <x v="1"/>
  </r>
  <r>
    <x v="5"/>
    <x v="36"/>
    <x v="0"/>
    <x v="0"/>
    <x v="0"/>
    <x v="76"/>
    <x v="0"/>
    <x v="2"/>
    <x v="54"/>
    <x v="1"/>
    <x v="2"/>
    <n v="4.9585858585858587"/>
    <x v="21"/>
    <x v="1"/>
    <x v="3"/>
    <x v="3"/>
    <x v="1"/>
    <x v="0"/>
    <x v="0"/>
    <x v="0"/>
    <x v="1"/>
    <x v="1"/>
    <x v="1"/>
    <x v="1"/>
    <x v="1"/>
    <x v="5"/>
    <x v="2"/>
    <x v="2"/>
    <x v="0"/>
    <x v="0"/>
    <x v="1"/>
    <x v="1"/>
    <x v="1"/>
    <x v="1"/>
    <x v="1"/>
    <x v="0"/>
    <x v="1"/>
  </r>
  <r>
    <x v="5"/>
    <x v="36"/>
    <x v="0"/>
    <x v="0"/>
    <x v="0"/>
    <x v="76"/>
    <x v="0"/>
    <x v="2"/>
    <x v="54"/>
    <x v="1"/>
    <x v="1"/>
    <n v="4.9549494949494948"/>
    <x v="21"/>
    <x v="1"/>
    <x v="3"/>
    <x v="3"/>
    <x v="1"/>
    <x v="0"/>
    <x v="0"/>
    <x v="0"/>
    <x v="1"/>
    <x v="1"/>
    <x v="1"/>
    <x v="1"/>
    <x v="1"/>
    <x v="5"/>
    <x v="2"/>
    <x v="2"/>
    <x v="0"/>
    <x v="0"/>
    <x v="1"/>
    <x v="1"/>
    <x v="1"/>
    <x v="1"/>
    <x v="1"/>
    <x v="0"/>
    <x v="1"/>
  </r>
  <r>
    <x v="5"/>
    <x v="36"/>
    <x v="0"/>
    <x v="0"/>
    <x v="0"/>
    <x v="76"/>
    <x v="0"/>
    <x v="2"/>
    <x v="54"/>
    <x v="1"/>
    <x v="0"/>
    <n v="4.6856565656565659"/>
    <x v="21"/>
    <x v="1"/>
    <x v="3"/>
    <x v="3"/>
    <x v="1"/>
    <x v="0"/>
    <x v="0"/>
    <x v="0"/>
    <x v="1"/>
    <x v="1"/>
    <x v="1"/>
    <x v="1"/>
    <x v="1"/>
    <x v="5"/>
    <x v="2"/>
    <x v="2"/>
    <x v="0"/>
    <x v="0"/>
    <x v="1"/>
    <x v="1"/>
    <x v="1"/>
    <x v="1"/>
    <x v="1"/>
    <x v="0"/>
    <x v="1"/>
  </r>
  <r>
    <x v="5"/>
    <x v="36"/>
    <x v="0"/>
    <x v="0"/>
    <x v="0"/>
    <x v="76"/>
    <x v="0"/>
    <x v="2"/>
    <x v="54"/>
    <x v="2"/>
    <x v="3"/>
    <n v="2.4281439393939395"/>
    <x v="20"/>
    <x v="0"/>
    <x v="3"/>
    <x v="3"/>
    <x v="1"/>
    <x v="0"/>
    <x v="0"/>
    <x v="0"/>
    <x v="1"/>
    <x v="1"/>
    <x v="1"/>
    <x v="1"/>
    <x v="1"/>
    <x v="5"/>
    <x v="2"/>
    <x v="2"/>
    <x v="0"/>
    <x v="0"/>
    <x v="1"/>
    <x v="1"/>
    <x v="1"/>
    <x v="1"/>
    <x v="1"/>
    <x v="0"/>
    <x v="1"/>
  </r>
  <r>
    <x v="5"/>
    <x v="36"/>
    <x v="0"/>
    <x v="0"/>
    <x v="0"/>
    <x v="76"/>
    <x v="0"/>
    <x v="2"/>
    <x v="54"/>
    <x v="2"/>
    <x v="1"/>
    <n v="2.8135444286616162"/>
    <x v="20"/>
    <x v="0"/>
    <x v="3"/>
    <x v="3"/>
    <x v="1"/>
    <x v="0"/>
    <x v="0"/>
    <x v="0"/>
    <x v="1"/>
    <x v="1"/>
    <x v="1"/>
    <x v="1"/>
    <x v="1"/>
    <x v="5"/>
    <x v="2"/>
    <x v="2"/>
    <x v="0"/>
    <x v="0"/>
    <x v="1"/>
    <x v="1"/>
    <x v="1"/>
    <x v="1"/>
    <x v="1"/>
    <x v="0"/>
    <x v="1"/>
  </r>
  <r>
    <x v="5"/>
    <x v="36"/>
    <x v="0"/>
    <x v="0"/>
    <x v="0"/>
    <x v="76"/>
    <x v="0"/>
    <x v="2"/>
    <x v="54"/>
    <x v="0"/>
    <x v="1"/>
    <n v="0.99999545858363903"/>
    <x v="12"/>
    <x v="0"/>
    <x v="3"/>
    <x v="3"/>
    <x v="1"/>
    <x v="0"/>
    <x v="0"/>
    <x v="0"/>
    <x v="1"/>
    <x v="1"/>
    <x v="1"/>
    <x v="1"/>
    <x v="1"/>
    <x v="5"/>
    <x v="2"/>
    <x v="2"/>
    <x v="0"/>
    <x v="0"/>
    <x v="1"/>
    <x v="1"/>
    <x v="1"/>
    <x v="1"/>
    <x v="1"/>
    <x v="0"/>
    <x v="1"/>
  </r>
  <r>
    <x v="5"/>
    <x v="36"/>
    <x v="0"/>
    <x v="0"/>
    <x v="0"/>
    <x v="76"/>
    <x v="0"/>
    <x v="2"/>
    <x v="54"/>
    <x v="0"/>
    <x v="2"/>
    <n v="0.99999519393901637"/>
    <x v="12"/>
    <x v="0"/>
    <x v="3"/>
    <x v="3"/>
    <x v="1"/>
    <x v="0"/>
    <x v="0"/>
    <x v="0"/>
    <x v="1"/>
    <x v="1"/>
    <x v="1"/>
    <x v="1"/>
    <x v="1"/>
    <x v="5"/>
    <x v="2"/>
    <x v="2"/>
    <x v="0"/>
    <x v="0"/>
    <x v="1"/>
    <x v="1"/>
    <x v="1"/>
    <x v="1"/>
    <x v="1"/>
    <x v="0"/>
    <x v="1"/>
  </r>
  <r>
    <x v="5"/>
    <x v="36"/>
    <x v="0"/>
    <x v="0"/>
    <x v="0"/>
    <x v="76"/>
    <x v="0"/>
    <x v="2"/>
    <x v="54"/>
    <x v="1"/>
    <x v="2"/>
    <n v="4.9585858585858587"/>
    <x v="21"/>
    <x v="1"/>
    <x v="3"/>
    <x v="3"/>
    <x v="1"/>
    <x v="0"/>
    <x v="0"/>
    <x v="0"/>
    <x v="1"/>
    <x v="1"/>
    <x v="1"/>
    <x v="1"/>
    <x v="1"/>
    <x v="5"/>
    <x v="2"/>
    <x v="2"/>
    <x v="0"/>
    <x v="0"/>
    <x v="1"/>
    <x v="1"/>
    <x v="1"/>
    <x v="1"/>
    <x v="1"/>
    <x v="0"/>
    <x v="1"/>
  </r>
  <r>
    <x v="5"/>
    <x v="36"/>
    <x v="0"/>
    <x v="0"/>
    <x v="0"/>
    <x v="76"/>
    <x v="0"/>
    <x v="2"/>
    <x v="54"/>
    <x v="2"/>
    <x v="0"/>
    <n v="2.7545152698863635"/>
    <x v="20"/>
    <x v="0"/>
    <x v="3"/>
    <x v="3"/>
    <x v="1"/>
    <x v="0"/>
    <x v="0"/>
    <x v="0"/>
    <x v="1"/>
    <x v="1"/>
    <x v="1"/>
    <x v="1"/>
    <x v="1"/>
    <x v="5"/>
    <x v="2"/>
    <x v="2"/>
    <x v="0"/>
    <x v="0"/>
    <x v="1"/>
    <x v="1"/>
    <x v="1"/>
    <x v="1"/>
    <x v="1"/>
    <x v="0"/>
    <x v="1"/>
  </r>
  <r>
    <x v="5"/>
    <x v="36"/>
    <x v="0"/>
    <x v="0"/>
    <x v="0"/>
    <x v="76"/>
    <x v="0"/>
    <x v="2"/>
    <x v="54"/>
    <x v="0"/>
    <x v="2"/>
    <n v="0.99999519393901637"/>
    <x v="12"/>
    <x v="0"/>
    <x v="3"/>
    <x v="3"/>
    <x v="1"/>
    <x v="0"/>
    <x v="0"/>
    <x v="0"/>
    <x v="1"/>
    <x v="1"/>
    <x v="1"/>
    <x v="1"/>
    <x v="1"/>
    <x v="5"/>
    <x v="2"/>
    <x v="2"/>
    <x v="0"/>
    <x v="0"/>
    <x v="1"/>
    <x v="1"/>
    <x v="1"/>
    <x v="1"/>
    <x v="1"/>
    <x v="0"/>
    <x v="1"/>
  </r>
  <r>
    <x v="5"/>
    <x v="36"/>
    <x v="0"/>
    <x v="0"/>
    <x v="0"/>
    <x v="76"/>
    <x v="0"/>
    <x v="2"/>
    <x v="54"/>
    <x v="0"/>
    <x v="1"/>
    <n v="0.99999545858363903"/>
    <x v="12"/>
    <x v="0"/>
    <x v="3"/>
    <x v="3"/>
    <x v="1"/>
    <x v="0"/>
    <x v="0"/>
    <x v="0"/>
    <x v="1"/>
    <x v="1"/>
    <x v="1"/>
    <x v="1"/>
    <x v="1"/>
    <x v="5"/>
    <x v="2"/>
    <x v="2"/>
    <x v="0"/>
    <x v="0"/>
    <x v="1"/>
    <x v="1"/>
    <x v="1"/>
    <x v="1"/>
    <x v="1"/>
    <x v="0"/>
    <x v="1"/>
  </r>
  <r>
    <x v="5"/>
    <x v="36"/>
    <x v="0"/>
    <x v="0"/>
    <x v="0"/>
    <x v="76"/>
    <x v="0"/>
    <x v="2"/>
    <x v="54"/>
    <x v="0"/>
    <x v="0"/>
    <n v="0.99999528685001404"/>
    <x v="12"/>
    <x v="0"/>
    <x v="3"/>
    <x v="3"/>
    <x v="1"/>
    <x v="0"/>
    <x v="0"/>
    <x v="0"/>
    <x v="1"/>
    <x v="1"/>
    <x v="1"/>
    <x v="1"/>
    <x v="1"/>
    <x v="5"/>
    <x v="2"/>
    <x v="2"/>
    <x v="0"/>
    <x v="0"/>
    <x v="1"/>
    <x v="1"/>
    <x v="1"/>
    <x v="1"/>
    <x v="1"/>
    <x v="0"/>
    <x v="1"/>
  </r>
  <r>
    <x v="5"/>
    <x v="36"/>
    <x v="0"/>
    <x v="0"/>
    <x v="0"/>
    <x v="76"/>
    <x v="0"/>
    <x v="2"/>
    <x v="54"/>
    <x v="1"/>
    <x v="3"/>
    <n v="4.2335353535353537"/>
    <x v="21"/>
    <x v="1"/>
    <x v="3"/>
    <x v="3"/>
    <x v="1"/>
    <x v="0"/>
    <x v="0"/>
    <x v="0"/>
    <x v="1"/>
    <x v="1"/>
    <x v="1"/>
    <x v="1"/>
    <x v="1"/>
    <x v="5"/>
    <x v="2"/>
    <x v="2"/>
    <x v="0"/>
    <x v="0"/>
    <x v="1"/>
    <x v="1"/>
    <x v="1"/>
    <x v="1"/>
    <x v="1"/>
    <x v="0"/>
    <x v="1"/>
  </r>
  <r>
    <x v="5"/>
    <x v="36"/>
    <x v="0"/>
    <x v="0"/>
    <x v="0"/>
    <x v="76"/>
    <x v="0"/>
    <x v="2"/>
    <x v="54"/>
    <x v="0"/>
    <x v="3"/>
    <n v="0.99999537576328612"/>
    <x v="12"/>
    <x v="0"/>
    <x v="3"/>
    <x v="3"/>
    <x v="1"/>
    <x v="0"/>
    <x v="0"/>
    <x v="0"/>
    <x v="1"/>
    <x v="1"/>
    <x v="1"/>
    <x v="1"/>
    <x v="1"/>
    <x v="5"/>
    <x v="2"/>
    <x v="2"/>
    <x v="0"/>
    <x v="0"/>
    <x v="1"/>
    <x v="1"/>
    <x v="1"/>
    <x v="1"/>
    <x v="1"/>
    <x v="0"/>
    <x v="1"/>
  </r>
  <r>
    <x v="5"/>
    <x v="36"/>
    <x v="0"/>
    <x v="0"/>
    <x v="0"/>
    <x v="76"/>
    <x v="0"/>
    <x v="2"/>
    <x v="54"/>
    <x v="0"/>
    <x v="0"/>
    <n v="0.99999528685001404"/>
    <x v="12"/>
    <x v="0"/>
    <x v="3"/>
    <x v="3"/>
    <x v="1"/>
    <x v="0"/>
    <x v="0"/>
    <x v="0"/>
    <x v="1"/>
    <x v="1"/>
    <x v="1"/>
    <x v="1"/>
    <x v="1"/>
    <x v="5"/>
    <x v="2"/>
    <x v="2"/>
    <x v="0"/>
    <x v="0"/>
    <x v="1"/>
    <x v="1"/>
    <x v="1"/>
    <x v="1"/>
    <x v="1"/>
    <x v="0"/>
    <x v="1"/>
  </r>
  <r>
    <x v="5"/>
    <x v="36"/>
    <x v="0"/>
    <x v="0"/>
    <x v="0"/>
    <x v="76"/>
    <x v="0"/>
    <x v="2"/>
    <x v="54"/>
    <x v="0"/>
    <x v="1"/>
    <n v="0.99999545858363903"/>
    <x v="12"/>
    <x v="0"/>
    <x v="3"/>
    <x v="3"/>
    <x v="1"/>
    <x v="0"/>
    <x v="0"/>
    <x v="0"/>
    <x v="1"/>
    <x v="1"/>
    <x v="1"/>
    <x v="1"/>
    <x v="1"/>
    <x v="5"/>
    <x v="2"/>
    <x v="2"/>
    <x v="0"/>
    <x v="0"/>
    <x v="1"/>
    <x v="1"/>
    <x v="1"/>
    <x v="1"/>
    <x v="1"/>
    <x v="0"/>
    <x v="1"/>
  </r>
  <r>
    <x v="5"/>
    <x v="36"/>
    <x v="0"/>
    <x v="0"/>
    <x v="0"/>
    <x v="76"/>
    <x v="0"/>
    <x v="2"/>
    <x v="54"/>
    <x v="0"/>
    <x v="3"/>
    <n v="0.99999537576328612"/>
    <x v="12"/>
    <x v="0"/>
    <x v="3"/>
    <x v="3"/>
    <x v="1"/>
    <x v="0"/>
    <x v="0"/>
    <x v="0"/>
    <x v="1"/>
    <x v="1"/>
    <x v="1"/>
    <x v="1"/>
    <x v="1"/>
    <x v="5"/>
    <x v="2"/>
    <x v="2"/>
    <x v="0"/>
    <x v="0"/>
    <x v="1"/>
    <x v="1"/>
    <x v="1"/>
    <x v="1"/>
    <x v="1"/>
    <x v="0"/>
    <x v="1"/>
  </r>
  <r>
    <x v="5"/>
    <x v="36"/>
    <x v="0"/>
    <x v="0"/>
    <x v="0"/>
    <x v="76"/>
    <x v="0"/>
    <x v="2"/>
    <x v="54"/>
    <x v="1"/>
    <x v="3"/>
    <n v="4.2335353535353537"/>
    <x v="21"/>
    <x v="1"/>
    <x v="3"/>
    <x v="3"/>
    <x v="1"/>
    <x v="0"/>
    <x v="0"/>
    <x v="0"/>
    <x v="1"/>
    <x v="1"/>
    <x v="1"/>
    <x v="1"/>
    <x v="1"/>
    <x v="5"/>
    <x v="2"/>
    <x v="2"/>
    <x v="0"/>
    <x v="0"/>
    <x v="1"/>
    <x v="1"/>
    <x v="1"/>
    <x v="1"/>
    <x v="1"/>
    <x v="0"/>
    <x v="1"/>
  </r>
  <r>
    <x v="5"/>
    <x v="36"/>
    <x v="0"/>
    <x v="0"/>
    <x v="0"/>
    <x v="76"/>
    <x v="0"/>
    <x v="2"/>
    <x v="54"/>
    <x v="2"/>
    <x v="1"/>
    <n v="2.8135444286616162"/>
    <x v="20"/>
    <x v="0"/>
    <x v="3"/>
    <x v="3"/>
    <x v="1"/>
    <x v="0"/>
    <x v="0"/>
    <x v="0"/>
    <x v="1"/>
    <x v="1"/>
    <x v="1"/>
    <x v="1"/>
    <x v="1"/>
    <x v="5"/>
    <x v="2"/>
    <x v="2"/>
    <x v="0"/>
    <x v="0"/>
    <x v="1"/>
    <x v="1"/>
    <x v="1"/>
    <x v="1"/>
    <x v="1"/>
    <x v="0"/>
    <x v="1"/>
  </r>
  <r>
    <x v="5"/>
    <x v="36"/>
    <x v="0"/>
    <x v="0"/>
    <x v="0"/>
    <x v="76"/>
    <x v="0"/>
    <x v="2"/>
    <x v="54"/>
    <x v="1"/>
    <x v="1"/>
    <n v="4.9549494949494948"/>
    <x v="21"/>
    <x v="1"/>
    <x v="3"/>
    <x v="3"/>
    <x v="1"/>
    <x v="0"/>
    <x v="0"/>
    <x v="0"/>
    <x v="1"/>
    <x v="1"/>
    <x v="1"/>
    <x v="1"/>
    <x v="1"/>
    <x v="5"/>
    <x v="2"/>
    <x v="2"/>
    <x v="0"/>
    <x v="0"/>
    <x v="1"/>
    <x v="1"/>
    <x v="1"/>
    <x v="1"/>
    <x v="1"/>
    <x v="0"/>
    <x v="1"/>
  </r>
  <r>
    <x v="5"/>
    <x v="36"/>
    <x v="0"/>
    <x v="0"/>
    <x v="0"/>
    <x v="76"/>
    <x v="0"/>
    <x v="2"/>
    <x v="54"/>
    <x v="1"/>
    <x v="3"/>
    <n v="4.2335353535353537"/>
    <x v="21"/>
    <x v="1"/>
    <x v="3"/>
    <x v="3"/>
    <x v="1"/>
    <x v="0"/>
    <x v="0"/>
    <x v="0"/>
    <x v="1"/>
    <x v="1"/>
    <x v="1"/>
    <x v="1"/>
    <x v="1"/>
    <x v="5"/>
    <x v="2"/>
    <x v="2"/>
    <x v="0"/>
    <x v="0"/>
    <x v="1"/>
    <x v="1"/>
    <x v="1"/>
    <x v="1"/>
    <x v="1"/>
    <x v="0"/>
    <x v="1"/>
  </r>
  <r>
    <x v="5"/>
    <x v="36"/>
    <x v="0"/>
    <x v="0"/>
    <x v="0"/>
    <x v="76"/>
    <x v="0"/>
    <x v="2"/>
    <x v="54"/>
    <x v="2"/>
    <x v="0"/>
    <n v="2.7545152698863635"/>
    <x v="20"/>
    <x v="0"/>
    <x v="3"/>
    <x v="3"/>
    <x v="1"/>
    <x v="0"/>
    <x v="0"/>
    <x v="0"/>
    <x v="1"/>
    <x v="1"/>
    <x v="1"/>
    <x v="1"/>
    <x v="1"/>
    <x v="5"/>
    <x v="2"/>
    <x v="2"/>
    <x v="0"/>
    <x v="0"/>
    <x v="1"/>
    <x v="1"/>
    <x v="1"/>
    <x v="1"/>
    <x v="1"/>
    <x v="0"/>
    <x v="1"/>
  </r>
  <r>
    <x v="5"/>
    <x v="36"/>
    <x v="0"/>
    <x v="0"/>
    <x v="0"/>
    <x v="76"/>
    <x v="0"/>
    <x v="2"/>
    <x v="54"/>
    <x v="1"/>
    <x v="2"/>
    <n v="4.9585858585858587"/>
    <x v="21"/>
    <x v="1"/>
    <x v="3"/>
    <x v="3"/>
    <x v="1"/>
    <x v="0"/>
    <x v="0"/>
    <x v="0"/>
    <x v="1"/>
    <x v="1"/>
    <x v="1"/>
    <x v="1"/>
    <x v="1"/>
    <x v="5"/>
    <x v="2"/>
    <x v="2"/>
    <x v="0"/>
    <x v="0"/>
    <x v="1"/>
    <x v="1"/>
    <x v="1"/>
    <x v="1"/>
    <x v="1"/>
    <x v="0"/>
    <x v="1"/>
  </r>
  <r>
    <x v="5"/>
    <x v="36"/>
    <x v="0"/>
    <x v="0"/>
    <x v="0"/>
    <x v="76"/>
    <x v="0"/>
    <x v="2"/>
    <x v="54"/>
    <x v="2"/>
    <x v="1"/>
    <n v="2.8135444286616162"/>
    <x v="20"/>
    <x v="0"/>
    <x v="3"/>
    <x v="3"/>
    <x v="1"/>
    <x v="0"/>
    <x v="0"/>
    <x v="0"/>
    <x v="1"/>
    <x v="1"/>
    <x v="1"/>
    <x v="1"/>
    <x v="1"/>
    <x v="5"/>
    <x v="2"/>
    <x v="2"/>
    <x v="0"/>
    <x v="0"/>
    <x v="1"/>
    <x v="1"/>
    <x v="1"/>
    <x v="1"/>
    <x v="1"/>
    <x v="0"/>
    <x v="1"/>
  </r>
  <r>
    <x v="5"/>
    <x v="36"/>
    <x v="0"/>
    <x v="0"/>
    <x v="0"/>
    <x v="76"/>
    <x v="0"/>
    <x v="2"/>
    <x v="54"/>
    <x v="1"/>
    <x v="3"/>
    <n v="4.2335353535353537"/>
    <x v="21"/>
    <x v="1"/>
    <x v="3"/>
    <x v="3"/>
    <x v="1"/>
    <x v="0"/>
    <x v="0"/>
    <x v="0"/>
    <x v="1"/>
    <x v="1"/>
    <x v="1"/>
    <x v="1"/>
    <x v="1"/>
    <x v="5"/>
    <x v="2"/>
    <x v="2"/>
    <x v="0"/>
    <x v="0"/>
    <x v="1"/>
    <x v="1"/>
    <x v="1"/>
    <x v="1"/>
    <x v="1"/>
    <x v="0"/>
    <x v="1"/>
  </r>
  <r>
    <x v="5"/>
    <x v="36"/>
    <x v="0"/>
    <x v="0"/>
    <x v="0"/>
    <x v="76"/>
    <x v="0"/>
    <x v="2"/>
    <x v="54"/>
    <x v="2"/>
    <x v="2"/>
    <n v="2.8197914693813133"/>
    <x v="20"/>
    <x v="0"/>
    <x v="3"/>
    <x v="3"/>
    <x v="1"/>
    <x v="0"/>
    <x v="0"/>
    <x v="0"/>
    <x v="1"/>
    <x v="1"/>
    <x v="1"/>
    <x v="1"/>
    <x v="1"/>
    <x v="5"/>
    <x v="2"/>
    <x v="2"/>
    <x v="0"/>
    <x v="0"/>
    <x v="1"/>
    <x v="1"/>
    <x v="1"/>
    <x v="1"/>
    <x v="1"/>
    <x v="0"/>
    <x v="1"/>
  </r>
  <r>
    <x v="5"/>
    <x v="36"/>
    <x v="0"/>
    <x v="0"/>
    <x v="0"/>
    <x v="77"/>
    <x v="0"/>
    <x v="2"/>
    <x v="55"/>
    <x v="2"/>
    <x v="0"/>
    <n v="2.7545152698863635"/>
    <x v="20"/>
    <x v="0"/>
    <x v="3"/>
    <x v="3"/>
    <x v="1"/>
    <x v="0"/>
    <x v="0"/>
    <x v="0"/>
    <x v="1"/>
    <x v="1"/>
    <x v="1"/>
    <x v="1"/>
    <x v="1"/>
    <x v="5"/>
    <x v="4"/>
    <x v="1"/>
    <x v="0"/>
    <x v="0"/>
    <x v="1"/>
    <x v="1"/>
    <x v="1"/>
    <x v="1"/>
    <x v="1"/>
    <x v="0"/>
    <x v="1"/>
  </r>
  <r>
    <x v="5"/>
    <x v="36"/>
    <x v="0"/>
    <x v="0"/>
    <x v="0"/>
    <x v="77"/>
    <x v="0"/>
    <x v="2"/>
    <x v="55"/>
    <x v="1"/>
    <x v="0"/>
    <n v="4.6856565656565659"/>
    <x v="21"/>
    <x v="1"/>
    <x v="3"/>
    <x v="3"/>
    <x v="1"/>
    <x v="0"/>
    <x v="0"/>
    <x v="0"/>
    <x v="1"/>
    <x v="1"/>
    <x v="1"/>
    <x v="1"/>
    <x v="1"/>
    <x v="5"/>
    <x v="4"/>
    <x v="1"/>
    <x v="0"/>
    <x v="0"/>
    <x v="1"/>
    <x v="1"/>
    <x v="1"/>
    <x v="1"/>
    <x v="1"/>
    <x v="0"/>
    <x v="1"/>
  </r>
  <r>
    <x v="5"/>
    <x v="36"/>
    <x v="0"/>
    <x v="0"/>
    <x v="0"/>
    <x v="77"/>
    <x v="0"/>
    <x v="2"/>
    <x v="55"/>
    <x v="2"/>
    <x v="0"/>
    <n v="2.7545152698863635"/>
    <x v="20"/>
    <x v="0"/>
    <x v="3"/>
    <x v="3"/>
    <x v="1"/>
    <x v="0"/>
    <x v="0"/>
    <x v="0"/>
    <x v="1"/>
    <x v="1"/>
    <x v="1"/>
    <x v="1"/>
    <x v="1"/>
    <x v="5"/>
    <x v="4"/>
    <x v="1"/>
    <x v="0"/>
    <x v="0"/>
    <x v="1"/>
    <x v="1"/>
    <x v="1"/>
    <x v="1"/>
    <x v="1"/>
    <x v="0"/>
    <x v="1"/>
  </r>
  <r>
    <x v="5"/>
    <x v="36"/>
    <x v="0"/>
    <x v="0"/>
    <x v="0"/>
    <x v="77"/>
    <x v="0"/>
    <x v="2"/>
    <x v="55"/>
    <x v="0"/>
    <x v="0"/>
    <n v="0.99999528685001404"/>
    <x v="12"/>
    <x v="0"/>
    <x v="3"/>
    <x v="3"/>
    <x v="1"/>
    <x v="0"/>
    <x v="0"/>
    <x v="0"/>
    <x v="1"/>
    <x v="1"/>
    <x v="1"/>
    <x v="1"/>
    <x v="1"/>
    <x v="5"/>
    <x v="4"/>
    <x v="1"/>
    <x v="0"/>
    <x v="0"/>
    <x v="1"/>
    <x v="1"/>
    <x v="1"/>
    <x v="1"/>
    <x v="1"/>
    <x v="0"/>
    <x v="1"/>
  </r>
  <r>
    <x v="5"/>
    <x v="36"/>
    <x v="0"/>
    <x v="0"/>
    <x v="0"/>
    <x v="77"/>
    <x v="0"/>
    <x v="2"/>
    <x v="55"/>
    <x v="1"/>
    <x v="1"/>
    <n v="4.9549494949494948"/>
    <x v="21"/>
    <x v="1"/>
    <x v="3"/>
    <x v="3"/>
    <x v="1"/>
    <x v="0"/>
    <x v="0"/>
    <x v="0"/>
    <x v="1"/>
    <x v="1"/>
    <x v="1"/>
    <x v="1"/>
    <x v="1"/>
    <x v="5"/>
    <x v="4"/>
    <x v="1"/>
    <x v="0"/>
    <x v="0"/>
    <x v="1"/>
    <x v="1"/>
    <x v="1"/>
    <x v="1"/>
    <x v="1"/>
    <x v="0"/>
    <x v="1"/>
  </r>
  <r>
    <x v="5"/>
    <x v="36"/>
    <x v="0"/>
    <x v="0"/>
    <x v="0"/>
    <x v="77"/>
    <x v="0"/>
    <x v="2"/>
    <x v="55"/>
    <x v="0"/>
    <x v="3"/>
    <n v="0.99999537576328612"/>
    <x v="12"/>
    <x v="0"/>
    <x v="3"/>
    <x v="3"/>
    <x v="1"/>
    <x v="0"/>
    <x v="0"/>
    <x v="0"/>
    <x v="1"/>
    <x v="1"/>
    <x v="1"/>
    <x v="1"/>
    <x v="1"/>
    <x v="5"/>
    <x v="4"/>
    <x v="1"/>
    <x v="0"/>
    <x v="0"/>
    <x v="1"/>
    <x v="1"/>
    <x v="1"/>
    <x v="1"/>
    <x v="1"/>
    <x v="0"/>
    <x v="1"/>
  </r>
  <r>
    <x v="5"/>
    <x v="36"/>
    <x v="0"/>
    <x v="0"/>
    <x v="0"/>
    <x v="77"/>
    <x v="0"/>
    <x v="2"/>
    <x v="55"/>
    <x v="2"/>
    <x v="3"/>
    <n v="2.4281439393939395"/>
    <x v="20"/>
    <x v="0"/>
    <x v="3"/>
    <x v="3"/>
    <x v="1"/>
    <x v="0"/>
    <x v="0"/>
    <x v="0"/>
    <x v="1"/>
    <x v="1"/>
    <x v="1"/>
    <x v="1"/>
    <x v="1"/>
    <x v="5"/>
    <x v="4"/>
    <x v="1"/>
    <x v="0"/>
    <x v="0"/>
    <x v="1"/>
    <x v="1"/>
    <x v="1"/>
    <x v="1"/>
    <x v="1"/>
    <x v="0"/>
    <x v="1"/>
  </r>
  <r>
    <x v="5"/>
    <x v="36"/>
    <x v="0"/>
    <x v="0"/>
    <x v="0"/>
    <x v="77"/>
    <x v="0"/>
    <x v="2"/>
    <x v="55"/>
    <x v="2"/>
    <x v="2"/>
    <n v="2.8197914693813133"/>
    <x v="20"/>
    <x v="0"/>
    <x v="3"/>
    <x v="3"/>
    <x v="1"/>
    <x v="0"/>
    <x v="0"/>
    <x v="0"/>
    <x v="1"/>
    <x v="1"/>
    <x v="1"/>
    <x v="1"/>
    <x v="1"/>
    <x v="5"/>
    <x v="4"/>
    <x v="1"/>
    <x v="0"/>
    <x v="0"/>
    <x v="1"/>
    <x v="1"/>
    <x v="1"/>
    <x v="1"/>
    <x v="1"/>
    <x v="0"/>
    <x v="1"/>
  </r>
  <r>
    <x v="5"/>
    <x v="36"/>
    <x v="0"/>
    <x v="0"/>
    <x v="0"/>
    <x v="77"/>
    <x v="0"/>
    <x v="2"/>
    <x v="55"/>
    <x v="2"/>
    <x v="2"/>
    <n v="2.8197914693813133"/>
    <x v="20"/>
    <x v="0"/>
    <x v="3"/>
    <x v="3"/>
    <x v="1"/>
    <x v="0"/>
    <x v="0"/>
    <x v="0"/>
    <x v="1"/>
    <x v="1"/>
    <x v="1"/>
    <x v="1"/>
    <x v="1"/>
    <x v="5"/>
    <x v="4"/>
    <x v="1"/>
    <x v="0"/>
    <x v="0"/>
    <x v="1"/>
    <x v="1"/>
    <x v="1"/>
    <x v="1"/>
    <x v="1"/>
    <x v="0"/>
    <x v="1"/>
  </r>
  <r>
    <x v="5"/>
    <x v="36"/>
    <x v="0"/>
    <x v="0"/>
    <x v="0"/>
    <x v="77"/>
    <x v="0"/>
    <x v="2"/>
    <x v="55"/>
    <x v="1"/>
    <x v="3"/>
    <n v="4.2335353535353537"/>
    <x v="21"/>
    <x v="1"/>
    <x v="3"/>
    <x v="3"/>
    <x v="1"/>
    <x v="0"/>
    <x v="0"/>
    <x v="0"/>
    <x v="1"/>
    <x v="1"/>
    <x v="1"/>
    <x v="1"/>
    <x v="1"/>
    <x v="5"/>
    <x v="4"/>
    <x v="1"/>
    <x v="0"/>
    <x v="0"/>
    <x v="1"/>
    <x v="1"/>
    <x v="1"/>
    <x v="1"/>
    <x v="1"/>
    <x v="0"/>
    <x v="1"/>
  </r>
  <r>
    <x v="5"/>
    <x v="36"/>
    <x v="0"/>
    <x v="0"/>
    <x v="0"/>
    <x v="77"/>
    <x v="0"/>
    <x v="2"/>
    <x v="55"/>
    <x v="1"/>
    <x v="2"/>
    <n v="4.9585858585858587"/>
    <x v="21"/>
    <x v="1"/>
    <x v="3"/>
    <x v="3"/>
    <x v="1"/>
    <x v="0"/>
    <x v="0"/>
    <x v="0"/>
    <x v="1"/>
    <x v="1"/>
    <x v="1"/>
    <x v="1"/>
    <x v="1"/>
    <x v="5"/>
    <x v="4"/>
    <x v="1"/>
    <x v="0"/>
    <x v="0"/>
    <x v="1"/>
    <x v="1"/>
    <x v="1"/>
    <x v="1"/>
    <x v="1"/>
    <x v="0"/>
    <x v="1"/>
  </r>
  <r>
    <x v="5"/>
    <x v="36"/>
    <x v="0"/>
    <x v="0"/>
    <x v="0"/>
    <x v="77"/>
    <x v="0"/>
    <x v="2"/>
    <x v="55"/>
    <x v="1"/>
    <x v="0"/>
    <n v="4.6856565656565659"/>
    <x v="21"/>
    <x v="1"/>
    <x v="3"/>
    <x v="3"/>
    <x v="1"/>
    <x v="0"/>
    <x v="0"/>
    <x v="0"/>
    <x v="1"/>
    <x v="1"/>
    <x v="1"/>
    <x v="1"/>
    <x v="1"/>
    <x v="5"/>
    <x v="4"/>
    <x v="1"/>
    <x v="0"/>
    <x v="0"/>
    <x v="1"/>
    <x v="1"/>
    <x v="1"/>
    <x v="1"/>
    <x v="1"/>
    <x v="0"/>
    <x v="1"/>
  </r>
  <r>
    <x v="5"/>
    <x v="36"/>
    <x v="0"/>
    <x v="0"/>
    <x v="0"/>
    <x v="77"/>
    <x v="0"/>
    <x v="2"/>
    <x v="55"/>
    <x v="2"/>
    <x v="1"/>
    <n v="2.8135444286616162"/>
    <x v="20"/>
    <x v="0"/>
    <x v="3"/>
    <x v="3"/>
    <x v="1"/>
    <x v="0"/>
    <x v="0"/>
    <x v="0"/>
    <x v="1"/>
    <x v="1"/>
    <x v="1"/>
    <x v="1"/>
    <x v="1"/>
    <x v="5"/>
    <x v="4"/>
    <x v="1"/>
    <x v="0"/>
    <x v="0"/>
    <x v="1"/>
    <x v="1"/>
    <x v="1"/>
    <x v="1"/>
    <x v="1"/>
    <x v="0"/>
    <x v="1"/>
  </r>
  <r>
    <x v="5"/>
    <x v="36"/>
    <x v="0"/>
    <x v="0"/>
    <x v="0"/>
    <x v="77"/>
    <x v="0"/>
    <x v="2"/>
    <x v="55"/>
    <x v="0"/>
    <x v="1"/>
    <n v="0.99999545858363903"/>
    <x v="12"/>
    <x v="0"/>
    <x v="3"/>
    <x v="3"/>
    <x v="1"/>
    <x v="0"/>
    <x v="0"/>
    <x v="0"/>
    <x v="1"/>
    <x v="1"/>
    <x v="1"/>
    <x v="1"/>
    <x v="1"/>
    <x v="5"/>
    <x v="4"/>
    <x v="1"/>
    <x v="0"/>
    <x v="0"/>
    <x v="1"/>
    <x v="1"/>
    <x v="1"/>
    <x v="1"/>
    <x v="1"/>
    <x v="0"/>
    <x v="1"/>
  </r>
  <r>
    <x v="5"/>
    <x v="36"/>
    <x v="0"/>
    <x v="0"/>
    <x v="0"/>
    <x v="77"/>
    <x v="0"/>
    <x v="2"/>
    <x v="55"/>
    <x v="2"/>
    <x v="3"/>
    <n v="2.4281439393939395"/>
    <x v="20"/>
    <x v="0"/>
    <x v="3"/>
    <x v="3"/>
    <x v="1"/>
    <x v="0"/>
    <x v="0"/>
    <x v="0"/>
    <x v="1"/>
    <x v="1"/>
    <x v="1"/>
    <x v="1"/>
    <x v="1"/>
    <x v="5"/>
    <x v="4"/>
    <x v="1"/>
    <x v="0"/>
    <x v="0"/>
    <x v="1"/>
    <x v="1"/>
    <x v="1"/>
    <x v="1"/>
    <x v="1"/>
    <x v="0"/>
    <x v="1"/>
  </r>
  <r>
    <x v="5"/>
    <x v="36"/>
    <x v="0"/>
    <x v="0"/>
    <x v="0"/>
    <x v="77"/>
    <x v="0"/>
    <x v="2"/>
    <x v="55"/>
    <x v="2"/>
    <x v="1"/>
    <n v="2.8135444286616162"/>
    <x v="20"/>
    <x v="0"/>
    <x v="3"/>
    <x v="3"/>
    <x v="1"/>
    <x v="0"/>
    <x v="0"/>
    <x v="0"/>
    <x v="1"/>
    <x v="1"/>
    <x v="1"/>
    <x v="1"/>
    <x v="1"/>
    <x v="5"/>
    <x v="4"/>
    <x v="1"/>
    <x v="0"/>
    <x v="0"/>
    <x v="1"/>
    <x v="1"/>
    <x v="1"/>
    <x v="1"/>
    <x v="1"/>
    <x v="0"/>
    <x v="1"/>
  </r>
  <r>
    <x v="5"/>
    <x v="36"/>
    <x v="0"/>
    <x v="0"/>
    <x v="0"/>
    <x v="77"/>
    <x v="0"/>
    <x v="2"/>
    <x v="55"/>
    <x v="0"/>
    <x v="3"/>
    <n v="0.99999537576328612"/>
    <x v="12"/>
    <x v="0"/>
    <x v="3"/>
    <x v="3"/>
    <x v="1"/>
    <x v="0"/>
    <x v="0"/>
    <x v="0"/>
    <x v="1"/>
    <x v="1"/>
    <x v="1"/>
    <x v="1"/>
    <x v="1"/>
    <x v="5"/>
    <x v="4"/>
    <x v="1"/>
    <x v="0"/>
    <x v="0"/>
    <x v="1"/>
    <x v="1"/>
    <x v="1"/>
    <x v="1"/>
    <x v="1"/>
    <x v="0"/>
    <x v="1"/>
  </r>
  <r>
    <x v="5"/>
    <x v="36"/>
    <x v="0"/>
    <x v="0"/>
    <x v="0"/>
    <x v="77"/>
    <x v="0"/>
    <x v="2"/>
    <x v="55"/>
    <x v="1"/>
    <x v="3"/>
    <n v="4.2335353535353537"/>
    <x v="21"/>
    <x v="1"/>
    <x v="3"/>
    <x v="3"/>
    <x v="1"/>
    <x v="0"/>
    <x v="0"/>
    <x v="0"/>
    <x v="1"/>
    <x v="1"/>
    <x v="1"/>
    <x v="1"/>
    <x v="1"/>
    <x v="5"/>
    <x v="4"/>
    <x v="1"/>
    <x v="0"/>
    <x v="0"/>
    <x v="1"/>
    <x v="1"/>
    <x v="1"/>
    <x v="1"/>
    <x v="1"/>
    <x v="0"/>
    <x v="1"/>
  </r>
  <r>
    <x v="5"/>
    <x v="36"/>
    <x v="0"/>
    <x v="0"/>
    <x v="0"/>
    <x v="77"/>
    <x v="0"/>
    <x v="2"/>
    <x v="55"/>
    <x v="0"/>
    <x v="2"/>
    <n v="0.99999519393901637"/>
    <x v="12"/>
    <x v="0"/>
    <x v="3"/>
    <x v="3"/>
    <x v="1"/>
    <x v="0"/>
    <x v="0"/>
    <x v="0"/>
    <x v="1"/>
    <x v="1"/>
    <x v="1"/>
    <x v="1"/>
    <x v="1"/>
    <x v="5"/>
    <x v="4"/>
    <x v="1"/>
    <x v="0"/>
    <x v="0"/>
    <x v="1"/>
    <x v="1"/>
    <x v="1"/>
    <x v="1"/>
    <x v="1"/>
    <x v="0"/>
    <x v="1"/>
  </r>
  <r>
    <x v="5"/>
    <x v="36"/>
    <x v="0"/>
    <x v="0"/>
    <x v="0"/>
    <x v="77"/>
    <x v="0"/>
    <x v="2"/>
    <x v="55"/>
    <x v="1"/>
    <x v="2"/>
    <n v="4.9585858585858587"/>
    <x v="21"/>
    <x v="1"/>
    <x v="3"/>
    <x v="3"/>
    <x v="1"/>
    <x v="0"/>
    <x v="0"/>
    <x v="0"/>
    <x v="1"/>
    <x v="1"/>
    <x v="1"/>
    <x v="1"/>
    <x v="1"/>
    <x v="5"/>
    <x v="4"/>
    <x v="1"/>
    <x v="0"/>
    <x v="0"/>
    <x v="1"/>
    <x v="1"/>
    <x v="1"/>
    <x v="1"/>
    <x v="1"/>
    <x v="0"/>
    <x v="1"/>
  </r>
  <r>
    <x v="5"/>
    <x v="36"/>
    <x v="0"/>
    <x v="0"/>
    <x v="0"/>
    <x v="77"/>
    <x v="0"/>
    <x v="2"/>
    <x v="55"/>
    <x v="0"/>
    <x v="2"/>
    <n v="0.99999519393901637"/>
    <x v="12"/>
    <x v="0"/>
    <x v="3"/>
    <x v="3"/>
    <x v="1"/>
    <x v="0"/>
    <x v="0"/>
    <x v="0"/>
    <x v="1"/>
    <x v="1"/>
    <x v="1"/>
    <x v="1"/>
    <x v="1"/>
    <x v="5"/>
    <x v="4"/>
    <x v="1"/>
    <x v="0"/>
    <x v="0"/>
    <x v="1"/>
    <x v="1"/>
    <x v="1"/>
    <x v="1"/>
    <x v="1"/>
    <x v="0"/>
    <x v="1"/>
  </r>
  <r>
    <x v="5"/>
    <x v="36"/>
    <x v="0"/>
    <x v="0"/>
    <x v="0"/>
    <x v="77"/>
    <x v="0"/>
    <x v="2"/>
    <x v="55"/>
    <x v="0"/>
    <x v="0"/>
    <n v="0.99999528685001404"/>
    <x v="12"/>
    <x v="0"/>
    <x v="3"/>
    <x v="3"/>
    <x v="1"/>
    <x v="0"/>
    <x v="0"/>
    <x v="0"/>
    <x v="1"/>
    <x v="1"/>
    <x v="1"/>
    <x v="1"/>
    <x v="1"/>
    <x v="5"/>
    <x v="4"/>
    <x v="1"/>
    <x v="0"/>
    <x v="0"/>
    <x v="1"/>
    <x v="1"/>
    <x v="1"/>
    <x v="1"/>
    <x v="1"/>
    <x v="0"/>
    <x v="1"/>
  </r>
  <r>
    <x v="5"/>
    <x v="36"/>
    <x v="0"/>
    <x v="0"/>
    <x v="0"/>
    <x v="76"/>
    <x v="0"/>
    <x v="2"/>
    <x v="55"/>
    <x v="2"/>
    <x v="2"/>
    <n v="2.8197914693813133"/>
    <x v="20"/>
    <x v="0"/>
    <x v="3"/>
    <x v="3"/>
    <x v="1"/>
    <x v="0"/>
    <x v="0"/>
    <x v="0"/>
    <x v="1"/>
    <x v="1"/>
    <x v="1"/>
    <x v="1"/>
    <x v="1"/>
    <x v="5"/>
    <x v="2"/>
    <x v="2"/>
    <x v="0"/>
    <x v="0"/>
    <x v="1"/>
    <x v="1"/>
    <x v="1"/>
    <x v="1"/>
    <x v="1"/>
    <x v="0"/>
    <x v="1"/>
  </r>
  <r>
    <x v="5"/>
    <x v="36"/>
    <x v="0"/>
    <x v="0"/>
    <x v="0"/>
    <x v="76"/>
    <x v="0"/>
    <x v="2"/>
    <x v="55"/>
    <x v="0"/>
    <x v="3"/>
    <n v="0.99999537576328612"/>
    <x v="12"/>
    <x v="0"/>
    <x v="3"/>
    <x v="3"/>
    <x v="1"/>
    <x v="0"/>
    <x v="0"/>
    <x v="0"/>
    <x v="1"/>
    <x v="1"/>
    <x v="1"/>
    <x v="1"/>
    <x v="1"/>
    <x v="5"/>
    <x v="2"/>
    <x v="2"/>
    <x v="0"/>
    <x v="0"/>
    <x v="1"/>
    <x v="1"/>
    <x v="1"/>
    <x v="1"/>
    <x v="1"/>
    <x v="0"/>
    <x v="1"/>
  </r>
  <r>
    <x v="5"/>
    <x v="36"/>
    <x v="0"/>
    <x v="0"/>
    <x v="0"/>
    <x v="76"/>
    <x v="0"/>
    <x v="2"/>
    <x v="55"/>
    <x v="2"/>
    <x v="0"/>
    <n v="2.7545152698863635"/>
    <x v="20"/>
    <x v="0"/>
    <x v="3"/>
    <x v="3"/>
    <x v="1"/>
    <x v="0"/>
    <x v="0"/>
    <x v="0"/>
    <x v="1"/>
    <x v="1"/>
    <x v="1"/>
    <x v="1"/>
    <x v="1"/>
    <x v="5"/>
    <x v="2"/>
    <x v="2"/>
    <x v="0"/>
    <x v="0"/>
    <x v="1"/>
    <x v="1"/>
    <x v="1"/>
    <x v="1"/>
    <x v="1"/>
    <x v="0"/>
    <x v="1"/>
  </r>
  <r>
    <x v="5"/>
    <x v="36"/>
    <x v="0"/>
    <x v="0"/>
    <x v="0"/>
    <x v="76"/>
    <x v="0"/>
    <x v="2"/>
    <x v="55"/>
    <x v="2"/>
    <x v="2"/>
    <n v="2.8197914693813133"/>
    <x v="20"/>
    <x v="0"/>
    <x v="3"/>
    <x v="3"/>
    <x v="1"/>
    <x v="0"/>
    <x v="0"/>
    <x v="0"/>
    <x v="1"/>
    <x v="1"/>
    <x v="1"/>
    <x v="1"/>
    <x v="1"/>
    <x v="5"/>
    <x v="2"/>
    <x v="2"/>
    <x v="0"/>
    <x v="0"/>
    <x v="1"/>
    <x v="1"/>
    <x v="1"/>
    <x v="1"/>
    <x v="1"/>
    <x v="0"/>
    <x v="1"/>
  </r>
  <r>
    <x v="5"/>
    <x v="36"/>
    <x v="0"/>
    <x v="0"/>
    <x v="0"/>
    <x v="76"/>
    <x v="0"/>
    <x v="2"/>
    <x v="55"/>
    <x v="0"/>
    <x v="2"/>
    <n v="0.99999519393901637"/>
    <x v="12"/>
    <x v="0"/>
    <x v="3"/>
    <x v="3"/>
    <x v="1"/>
    <x v="0"/>
    <x v="0"/>
    <x v="0"/>
    <x v="1"/>
    <x v="1"/>
    <x v="1"/>
    <x v="1"/>
    <x v="1"/>
    <x v="5"/>
    <x v="2"/>
    <x v="2"/>
    <x v="0"/>
    <x v="0"/>
    <x v="1"/>
    <x v="1"/>
    <x v="1"/>
    <x v="1"/>
    <x v="1"/>
    <x v="0"/>
    <x v="1"/>
  </r>
  <r>
    <x v="5"/>
    <x v="36"/>
    <x v="0"/>
    <x v="0"/>
    <x v="0"/>
    <x v="76"/>
    <x v="0"/>
    <x v="2"/>
    <x v="55"/>
    <x v="0"/>
    <x v="0"/>
    <n v="0.99999528685001404"/>
    <x v="12"/>
    <x v="0"/>
    <x v="3"/>
    <x v="3"/>
    <x v="1"/>
    <x v="0"/>
    <x v="0"/>
    <x v="0"/>
    <x v="1"/>
    <x v="1"/>
    <x v="1"/>
    <x v="1"/>
    <x v="1"/>
    <x v="5"/>
    <x v="2"/>
    <x v="2"/>
    <x v="0"/>
    <x v="0"/>
    <x v="1"/>
    <x v="1"/>
    <x v="1"/>
    <x v="1"/>
    <x v="1"/>
    <x v="0"/>
    <x v="1"/>
  </r>
  <r>
    <x v="5"/>
    <x v="36"/>
    <x v="0"/>
    <x v="0"/>
    <x v="0"/>
    <x v="76"/>
    <x v="0"/>
    <x v="2"/>
    <x v="55"/>
    <x v="2"/>
    <x v="0"/>
    <n v="2.7545152698863635"/>
    <x v="20"/>
    <x v="0"/>
    <x v="3"/>
    <x v="3"/>
    <x v="1"/>
    <x v="0"/>
    <x v="0"/>
    <x v="0"/>
    <x v="1"/>
    <x v="1"/>
    <x v="1"/>
    <x v="1"/>
    <x v="1"/>
    <x v="5"/>
    <x v="2"/>
    <x v="2"/>
    <x v="0"/>
    <x v="0"/>
    <x v="1"/>
    <x v="1"/>
    <x v="1"/>
    <x v="1"/>
    <x v="1"/>
    <x v="0"/>
    <x v="1"/>
  </r>
  <r>
    <x v="5"/>
    <x v="36"/>
    <x v="0"/>
    <x v="0"/>
    <x v="0"/>
    <x v="76"/>
    <x v="0"/>
    <x v="2"/>
    <x v="55"/>
    <x v="2"/>
    <x v="3"/>
    <n v="2.4281439393939395"/>
    <x v="20"/>
    <x v="0"/>
    <x v="3"/>
    <x v="3"/>
    <x v="1"/>
    <x v="0"/>
    <x v="0"/>
    <x v="0"/>
    <x v="1"/>
    <x v="1"/>
    <x v="1"/>
    <x v="1"/>
    <x v="1"/>
    <x v="5"/>
    <x v="2"/>
    <x v="2"/>
    <x v="0"/>
    <x v="0"/>
    <x v="1"/>
    <x v="1"/>
    <x v="1"/>
    <x v="1"/>
    <x v="1"/>
    <x v="0"/>
    <x v="1"/>
  </r>
  <r>
    <x v="5"/>
    <x v="36"/>
    <x v="0"/>
    <x v="0"/>
    <x v="0"/>
    <x v="77"/>
    <x v="0"/>
    <x v="2"/>
    <x v="55"/>
    <x v="0"/>
    <x v="1"/>
    <n v="0.99999545858363903"/>
    <x v="12"/>
    <x v="0"/>
    <x v="3"/>
    <x v="3"/>
    <x v="1"/>
    <x v="0"/>
    <x v="0"/>
    <x v="0"/>
    <x v="1"/>
    <x v="1"/>
    <x v="1"/>
    <x v="1"/>
    <x v="1"/>
    <x v="5"/>
    <x v="4"/>
    <x v="1"/>
    <x v="0"/>
    <x v="0"/>
    <x v="1"/>
    <x v="1"/>
    <x v="1"/>
    <x v="1"/>
    <x v="1"/>
    <x v="0"/>
    <x v="1"/>
  </r>
  <r>
    <x v="5"/>
    <x v="36"/>
    <x v="0"/>
    <x v="0"/>
    <x v="0"/>
    <x v="77"/>
    <x v="0"/>
    <x v="2"/>
    <x v="55"/>
    <x v="1"/>
    <x v="1"/>
    <n v="4.9549494949494948"/>
    <x v="21"/>
    <x v="1"/>
    <x v="3"/>
    <x v="3"/>
    <x v="1"/>
    <x v="0"/>
    <x v="0"/>
    <x v="0"/>
    <x v="1"/>
    <x v="1"/>
    <x v="1"/>
    <x v="1"/>
    <x v="1"/>
    <x v="5"/>
    <x v="4"/>
    <x v="1"/>
    <x v="0"/>
    <x v="0"/>
    <x v="1"/>
    <x v="1"/>
    <x v="1"/>
    <x v="1"/>
    <x v="1"/>
    <x v="0"/>
    <x v="1"/>
  </r>
  <r>
    <x v="5"/>
    <x v="36"/>
    <x v="0"/>
    <x v="0"/>
    <x v="0"/>
    <x v="76"/>
    <x v="0"/>
    <x v="2"/>
    <x v="55"/>
    <x v="0"/>
    <x v="0"/>
    <n v="0.99999528685001404"/>
    <x v="12"/>
    <x v="0"/>
    <x v="3"/>
    <x v="3"/>
    <x v="1"/>
    <x v="0"/>
    <x v="0"/>
    <x v="0"/>
    <x v="1"/>
    <x v="1"/>
    <x v="1"/>
    <x v="1"/>
    <x v="1"/>
    <x v="5"/>
    <x v="2"/>
    <x v="2"/>
    <x v="0"/>
    <x v="0"/>
    <x v="1"/>
    <x v="1"/>
    <x v="1"/>
    <x v="1"/>
    <x v="1"/>
    <x v="0"/>
    <x v="1"/>
  </r>
  <r>
    <x v="5"/>
    <x v="36"/>
    <x v="0"/>
    <x v="0"/>
    <x v="0"/>
    <x v="76"/>
    <x v="0"/>
    <x v="2"/>
    <x v="55"/>
    <x v="2"/>
    <x v="2"/>
    <n v="2.8197914693813133"/>
    <x v="20"/>
    <x v="0"/>
    <x v="3"/>
    <x v="3"/>
    <x v="1"/>
    <x v="0"/>
    <x v="0"/>
    <x v="0"/>
    <x v="1"/>
    <x v="1"/>
    <x v="1"/>
    <x v="1"/>
    <x v="1"/>
    <x v="5"/>
    <x v="2"/>
    <x v="2"/>
    <x v="0"/>
    <x v="0"/>
    <x v="1"/>
    <x v="1"/>
    <x v="1"/>
    <x v="1"/>
    <x v="1"/>
    <x v="0"/>
    <x v="1"/>
  </r>
  <r>
    <x v="5"/>
    <x v="36"/>
    <x v="0"/>
    <x v="0"/>
    <x v="0"/>
    <x v="76"/>
    <x v="0"/>
    <x v="2"/>
    <x v="55"/>
    <x v="1"/>
    <x v="2"/>
    <n v="4.9585858585858587"/>
    <x v="21"/>
    <x v="1"/>
    <x v="3"/>
    <x v="3"/>
    <x v="1"/>
    <x v="0"/>
    <x v="0"/>
    <x v="0"/>
    <x v="1"/>
    <x v="1"/>
    <x v="1"/>
    <x v="1"/>
    <x v="1"/>
    <x v="5"/>
    <x v="2"/>
    <x v="2"/>
    <x v="0"/>
    <x v="0"/>
    <x v="1"/>
    <x v="1"/>
    <x v="1"/>
    <x v="1"/>
    <x v="1"/>
    <x v="0"/>
    <x v="1"/>
  </r>
  <r>
    <x v="5"/>
    <x v="36"/>
    <x v="0"/>
    <x v="0"/>
    <x v="0"/>
    <x v="76"/>
    <x v="0"/>
    <x v="2"/>
    <x v="55"/>
    <x v="2"/>
    <x v="0"/>
    <n v="2.7545152698863635"/>
    <x v="20"/>
    <x v="0"/>
    <x v="3"/>
    <x v="3"/>
    <x v="1"/>
    <x v="0"/>
    <x v="0"/>
    <x v="0"/>
    <x v="1"/>
    <x v="1"/>
    <x v="1"/>
    <x v="1"/>
    <x v="1"/>
    <x v="5"/>
    <x v="2"/>
    <x v="2"/>
    <x v="0"/>
    <x v="0"/>
    <x v="1"/>
    <x v="1"/>
    <x v="1"/>
    <x v="1"/>
    <x v="1"/>
    <x v="0"/>
    <x v="1"/>
  </r>
  <r>
    <x v="5"/>
    <x v="36"/>
    <x v="0"/>
    <x v="0"/>
    <x v="0"/>
    <x v="76"/>
    <x v="0"/>
    <x v="2"/>
    <x v="55"/>
    <x v="2"/>
    <x v="3"/>
    <n v="2.4281439393939395"/>
    <x v="20"/>
    <x v="0"/>
    <x v="3"/>
    <x v="3"/>
    <x v="1"/>
    <x v="0"/>
    <x v="0"/>
    <x v="0"/>
    <x v="1"/>
    <x v="1"/>
    <x v="1"/>
    <x v="1"/>
    <x v="1"/>
    <x v="5"/>
    <x v="2"/>
    <x v="2"/>
    <x v="0"/>
    <x v="0"/>
    <x v="1"/>
    <x v="1"/>
    <x v="1"/>
    <x v="1"/>
    <x v="1"/>
    <x v="0"/>
    <x v="1"/>
  </r>
  <r>
    <x v="5"/>
    <x v="36"/>
    <x v="0"/>
    <x v="0"/>
    <x v="0"/>
    <x v="76"/>
    <x v="0"/>
    <x v="2"/>
    <x v="55"/>
    <x v="1"/>
    <x v="2"/>
    <n v="4.9585858585858587"/>
    <x v="21"/>
    <x v="1"/>
    <x v="3"/>
    <x v="3"/>
    <x v="1"/>
    <x v="0"/>
    <x v="0"/>
    <x v="0"/>
    <x v="1"/>
    <x v="1"/>
    <x v="1"/>
    <x v="1"/>
    <x v="1"/>
    <x v="5"/>
    <x v="2"/>
    <x v="2"/>
    <x v="0"/>
    <x v="0"/>
    <x v="1"/>
    <x v="1"/>
    <x v="1"/>
    <x v="1"/>
    <x v="1"/>
    <x v="0"/>
    <x v="1"/>
  </r>
  <r>
    <x v="5"/>
    <x v="36"/>
    <x v="0"/>
    <x v="0"/>
    <x v="0"/>
    <x v="76"/>
    <x v="0"/>
    <x v="2"/>
    <x v="55"/>
    <x v="0"/>
    <x v="1"/>
    <n v="0.99999545858363903"/>
    <x v="12"/>
    <x v="0"/>
    <x v="3"/>
    <x v="3"/>
    <x v="1"/>
    <x v="0"/>
    <x v="0"/>
    <x v="0"/>
    <x v="1"/>
    <x v="1"/>
    <x v="1"/>
    <x v="1"/>
    <x v="1"/>
    <x v="5"/>
    <x v="2"/>
    <x v="2"/>
    <x v="0"/>
    <x v="0"/>
    <x v="1"/>
    <x v="1"/>
    <x v="1"/>
    <x v="1"/>
    <x v="1"/>
    <x v="0"/>
    <x v="1"/>
  </r>
  <r>
    <x v="5"/>
    <x v="36"/>
    <x v="0"/>
    <x v="0"/>
    <x v="0"/>
    <x v="76"/>
    <x v="0"/>
    <x v="2"/>
    <x v="55"/>
    <x v="2"/>
    <x v="1"/>
    <n v="2.8135444286616162"/>
    <x v="20"/>
    <x v="0"/>
    <x v="3"/>
    <x v="3"/>
    <x v="1"/>
    <x v="0"/>
    <x v="0"/>
    <x v="0"/>
    <x v="1"/>
    <x v="1"/>
    <x v="1"/>
    <x v="1"/>
    <x v="1"/>
    <x v="5"/>
    <x v="2"/>
    <x v="2"/>
    <x v="0"/>
    <x v="0"/>
    <x v="1"/>
    <x v="1"/>
    <x v="1"/>
    <x v="1"/>
    <x v="1"/>
    <x v="0"/>
    <x v="1"/>
  </r>
  <r>
    <x v="5"/>
    <x v="36"/>
    <x v="0"/>
    <x v="0"/>
    <x v="0"/>
    <x v="76"/>
    <x v="0"/>
    <x v="2"/>
    <x v="55"/>
    <x v="2"/>
    <x v="0"/>
    <n v="2.7545152698863635"/>
    <x v="20"/>
    <x v="0"/>
    <x v="3"/>
    <x v="3"/>
    <x v="1"/>
    <x v="0"/>
    <x v="0"/>
    <x v="0"/>
    <x v="1"/>
    <x v="1"/>
    <x v="1"/>
    <x v="1"/>
    <x v="1"/>
    <x v="5"/>
    <x v="2"/>
    <x v="2"/>
    <x v="0"/>
    <x v="0"/>
    <x v="1"/>
    <x v="1"/>
    <x v="1"/>
    <x v="1"/>
    <x v="1"/>
    <x v="0"/>
    <x v="1"/>
  </r>
  <r>
    <x v="5"/>
    <x v="36"/>
    <x v="0"/>
    <x v="0"/>
    <x v="0"/>
    <x v="76"/>
    <x v="0"/>
    <x v="2"/>
    <x v="55"/>
    <x v="1"/>
    <x v="0"/>
    <n v="4.6856565656565659"/>
    <x v="21"/>
    <x v="1"/>
    <x v="3"/>
    <x v="3"/>
    <x v="1"/>
    <x v="0"/>
    <x v="0"/>
    <x v="0"/>
    <x v="1"/>
    <x v="1"/>
    <x v="1"/>
    <x v="1"/>
    <x v="1"/>
    <x v="5"/>
    <x v="2"/>
    <x v="2"/>
    <x v="0"/>
    <x v="0"/>
    <x v="1"/>
    <x v="1"/>
    <x v="1"/>
    <x v="1"/>
    <x v="1"/>
    <x v="0"/>
    <x v="1"/>
  </r>
  <r>
    <x v="5"/>
    <x v="36"/>
    <x v="0"/>
    <x v="0"/>
    <x v="0"/>
    <x v="76"/>
    <x v="0"/>
    <x v="2"/>
    <x v="55"/>
    <x v="0"/>
    <x v="2"/>
    <n v="0.99999519393901637"/>
    <x v="12"/>
    <x v="0"/>
    <x v="3"/>
    <x v="3"/>
    <x v="1"/>
    <x v="0"/>
    <x v="0"/>
    <x v="0"/>
    <x v="1"/>
    <x v="1"/>
    <x v="1"/>
    <x v="1"/>
    <x v="1"/>
    <x v="5"/>
    <x v="2"/>
    <x v="2"/>
    <x v="0"/>
    <x v="0"/>
    <x v="1"/>
    <x v="1"/>
    <x v="1"/>
    <x v="1"/>
    <x v="1"/>
    <x v="0"/>
    <x v="1"/>
  </r>
  <r>
    <x v="5"/>
    <x v="36"/>
    <x v="0"/>
    <x v="0"/>
    <x v="0"/>
    <x v="76"/>
    <x v="0"/>
    <x v="2"/>
    <x v="55"/>
    <x v="1"/>
    <x v="0"/>
    <n v="4.6856565656565659"/>
    <x v="21"/>
    <x v="1"/>
    <x v="3"/>
    <x v="3"/>
    <x v="1"/>
    <x v="0"/>
    <x v="0"/>
    <x v="0"/>
    <x v="1"/>
    <x v="1"/>
    <x v="1"/>
    <x v="1"/>
    <x v="1"/>
    <x v="5"/>
    <x v="2"/>
    <x v="2"/>
    <x v="0"/>
    <x v="0"/>
    <x v="1"/>
    <x v="1"/>
    <x v="1"/>
    <x v="1"/>
    <x v="1"/>
    <x v="0"/>
    <x v="1"/>
  </r>
  <r>
    <x v="5"/>
    <x v="36"/>
    <x v="0"/>
    <x v="0"/>
    <x v="0"/>
    <x v="76"/>
    <x v="0"/>
    <x v="2"/>
    <x v="55"/>
    <x v="0"/>
    <x v="3"/>
    <n v="0.99999537576328612"/>
    <x v="12"/>
    <x v="0"/>
    <x v="3"/>
    <x v="3"/>
    <x v="1"/>
    <x v="0"/>
    <x v="0"/>
    <x v="0"/>
    <x v="1"/>
    <x v="1"/>
    <x v="1"/>
    <x v="1"/>
    <x v="1"/>
    <x v="5"/>
    <x v="2"/>
    <x v="2"/>
    <x v="0"/>
    <x v="0"/>
    <x v="1"/>
    <x v="1"/>
    <x v="1"/>
    <x v="1"/>
    <x v="1"/>
    <x v="0"/>
    <x v="1"/>
  </r>
  <r>
    <x v="5"/>
    <x v="36"/>
    <x v="0"/>
    <x v="0"/>
    <x v="0"/>
    <x v="76"/>
    <x v="0"/>
    <x v="2"/>
    <x v="55"/>
    <x v="0"/>
    <x v="2"/>
    <n v="0.99999519393901637"/>
    <x v="12"/>
    <x v="0"/>
    <x v="3"/>
    <x v="3"/>
    <x v="1"/>
    <x v="0"/>
    <x v="0"/>
    <x v="0"/>
    <x v="1"/>
    <x v="1"/>
    <x v="1"/>
    <x v="1"/>
    <x v="1"/>
    <x v="5"/>
    <x v="2"/>
    <x v="2"/>
    <x v="0"/>
    <x v="0"/>
    <x v="1"/>
    <x v="1"/>
    <x v="1"/>
    <x v="1"/>
    <x v="1"/>
    <x v="0"/>
    <x v="1"/>
  </r>
  <r>
    <x v="5"/>
    <x v="36"/>
    <x v="0"/>
    <x v="0"/>
    <x v="0"/>
    <x v="76"/>
    <x v="0"/>
    <x v="2"/>
    <x v="55"/>
    <x v="2"/>
    <x v="1"/>
    <n v="2.8135444286616162"/>
    <x v="20"/>
    <x v="0"/>
    <x v="3"/>
    <x v="3"/>
    <x v="1"/>
    <x v="0"/>
    <x v="0"/>
    <x v="0"/>
    <x v="1"/>
    <x v="1"/>
    <x v="1"/>
    <x v="1"/>
    <x v="1"/>
    <x v="5"/>
    <x v="2"/>
    <x v="2"/>
    <x v="0"/>
    <x v="0"/>
    <x v="1"/>
    <x v="1"/>
    <x v="1"/>
    <x v="1"/>
    <x v="1"/>
    <x v="0"/>
    <x v="1"/>
  </r>
  <r>
    <x v="5"/>
    <x v="36"/>
    <x v="0"/>
    <x v="0"/>
    <x v="0"/>
    <x v="76"/>
    <x v="0"/>
    <x v="2"/>
    <x v="55"/>
    <x v="1"/>
    <x v="1"/>
    <n v="4.9549494949494948"/>
    <x v="21"/>
    <x v="1"/>
    <x v="3"/>
    <x v="3"/>
    <x v="1"/>
    <x v="0"/>
    <x v="0"/>
    <x v="0"/>
    <x v="1"/>
    <x v="1"/>
    <x v="1"/>
    <x v="1"/>
    <x v="1"/>
    <x v="5"/>
    <x v="2"/>
    <x v="2"/>
    <x v="0"/>
    <x v="0"/>
    <x v="1"/>
    <x v="1"/>
    <x v="1"/>
    <x v="1"/>
    <x v="1"/>
    <x v="0"/>
    <x v="1"/>
  </r>
  <r>
    <x v="5"/>
    <x v="36"/>
    <x v="0"/>
    <x v="0"/>
    <x v="0"/>
    <x v="76"/>
    <x v="0"/>
    <x v="2"/>
    <x v="55"/>
    <x v="1"/>
    <x v="1"/>
    <n v="4.9549494949494948"/>
    <x v="21"/>
    <x v="1"/>
    <x v="3"/>
    <x v="3"/>
    <x v="1"/>
    <x v="0"/>
    <x v="0"/>
    <x v="0"/>
    <x v="1"/>
    <x v="1"/>
    <x v="1"/>
    <x v="1"/>
    <x v="1"/>
    <x v="5"/>
    <x v="2"/>
    <x v="2"/>
    <x v="0"/>
    <x v="0"/>
    <x v="1"/>
    <x v="1"/>
    <x v="1"/>
    <x v="1"/>
    <x v="1"/>
    <x v="0"/>
    <x v="1"/>
  </r>
  <r>
    <x v="5"/>
    <x v="36"/>
    <x v="0"/>
    <x v="0"/>
    <x v="0"/>
    <x v="76"/>
    <x v="0"/>
    <x v="2"/>
    <x v="55"/>
    <x v="1"/>
    <x v="0"/>
    <n v="4.6856565656565659"/>
    <x v="21"/>
    <x v="1"/>
    <x v="3"/>
    <x v="3"/>
    <x v="1"/>
    <x v="0"/>
    <x v="0"/>
    <x v="0"/>
    <x v="1"/>
    <x v="1"/>
    <x v="1"/>
    <x v="1"/>
    <x v="1"/>
    <x v="5"/>
    <x v="2"/>
    <x v="2"/>
    <x v="0"/>
    <x v="0"/>
    <x v="1"/>
    <x v="1"/>
    <x v="1"/>
    <x v="1"/>
    <x v="1"/>
    <x v="0"/>
    <x v="1"/>
  </r>
  <r>
    <x v="5"/>
    <x v="36"/>
    <x v="0"/>
    <x v="0"/>
    <x v="0"/>
    <x v="76"/>
    <x v="0"/>
    <x v="2"/>
    <x v="55"/>
    <x v="2"/>
    <x v="3"/>
    <n v="2.4281439393939395"/>
    <x v="20"/>
    <x v="0"/>
    <x v="3"/>
    <x v="3"/>
    <x v="1"/>
    <x v="0"/>
    <x v="0"/>
    <x v="0"/>
    <x v="1"/>
    <x v="1"/>
    <x v="1"/>
    <x v="1"/>
    <x v="1"/>
    <x v="5"/>
    <x v="2"/>
    <x v="2"/>
    <x v="0"/>
    <x v="0"/>
    <x v="1"/>
    <x v="1"/>
    <x v="1"/>
    <x v="1"/>
    <x v="1"/>
    <x v="0"/>
    <x v="1"/>
  </r>
  <r>
    <x v="5"/>
    <x v="36"/>
    <x v="0"/>
    <x v="0"/>
    <x v="0"/>
    <x v="76"/>
    <x v="0"/>
    <x v="2"/>
    <x v="55"/>
    <x v="2"/>
    <x v="1"/>
    <n v="2.8135444286616162"/>
    <x v="20"/>
    <x v="0"/>
    <x v="3"/>
    <x v="3"/>
    <x v="1"/>
    <x v="0"/>
    <x v="0"/>
    <x v="0"/>
    <x v="1"/>
    <x v="1"/>
    <x v="1"/>
    <x v="1"/>
    <x v="1"/>
    <x v="5"/>
    <x v="2"/>
    <x v="2"/>
    <x v="0"/>
    <x v="0"/>
    <x v="1"/>
    <x v="1"/>
    <x v="1"/>
    <x v="1"/>
    <x v="1"/>
    <x v="0"/>
    <x v="1"/>
  </r>
  <r>
    <x v="5"/>
    <x v="36"/>
    <x v="0"/>
    <x v="0"/>
    <x v="0"/>
    <x v="76"/>
    <x v="0"/>
    <x v="2"/>
    <x v="55"/>
    <x v="2"/>
    <x v="3"/>
    <n v="2.4281439393939395"/>
    <x v="20"/>
    <x v="0"/>
    <x v="3"/>
    <x v="3"/>
    <x v="1"/>
    <x v="0"/>
    <x v="0"/>
    <x v="0"/>
    <x v="1"/>
    <x v="1"/>
    <x v="1"/>
    <x v="1"/>
    <x v="1"/>
    <x v="5"/>
    <x v="2"/>
    <x v="2"/>
    <x v="0"/>
    <x v="0"/>
    <x v="1"/>
    <x v="1"/>
    <x v="1"/>
    <x v="1"/>
    <x v="1"/>
    <x v="0"/>
    <x v="1"/>
  </r>
  <r>
    <x v="5"/>
    <x v="36"/>
    <x v="0"/>
    <x v="0"/>
    <x v="0"/>
    <x v="76"/>
    <x v="0"/>
    <x v="2"/>
    <x v="55"/>
    <x v="1"/>
    <x v="3"/>
    <n v="4.2335353535353537"/>
    <x v="21"/>
    <x v="1"/>
    <x v="3"/>
    <x v="3"/>
    <x v="1"/>
    <x v="0"/>
    <x v="0"/>
    <x v="0"/>
    <x v="1"/>
    <x v="1"/>
    <x v="1"/>
    <x v="1"/>
    <x v="1"/>
    <x v="5"/>
    <x v="2"/>
    <x v="2"/>
    <x v="0"/>
    <x v="0"/>
    <x v="1"/>
    <x v="1"/>
    <x v="1"/>
    <x v="1"/>
    <x v="1"/>
    <x v="0"/>
    <x v="1"/>
  </r>
  <r>
    <x v="5"/>
    <x v="36"/>
    <x v="0"/>
    <x v="0"/>
    <x v="0"/>
    <x v="76"/>
    <x v="0"/>
    <x v="2"/>
    <x v="55"/>
    <x v="1"/>
    <x v="1"/>
    <n v="4.9549494949494948"/>
    <x v="21"/>
    <x v="1"/>
    <x v="3"/>
    <x v="3"/>
    <x v="1"/>
    <x v="0"/>
    <x v="0"/>
    <x v="0"/>
    <x v="1"/>
    <x v="1"/>
    <x v="1"/>
    <x v="1"/>
    <x v="1"/>
    <x v="5"/>
    <x v="2"/>
    <x v="2"/>
    <x v="0"/>
    <x v="0"/>
    <x v="1"/>
    <x v="1"/>
    <x v="1"/>
    <x v="1"/>
    <x v="1"/>
    <x v="0"/>
    <x v="1"/>
  </r>
  <r>
    <x v="5"/>
    <x v="36"/>
    <x v="0"/>
    <x v="0"/>
    <x v="0"/>
    <x v="76"/>
    <x v="0"/>
    <x v="2"/>
    <x v="55"/>
    <x v="2"/>
    <x v="2"/>
    <n v="2.8197914693813133"/>
    <x v="20"/>
    <x v="0"/>
    <x v="3"/>
    <x v="3"/>
    <x v="1"/>
    <x v="0"/>
    <x v="0"/>
    <x v="0"/>
    <x v="1"/>
    <x v="1"/>
    <x v="1"/>
    <x v="1"/>
    <x v="1"/>
    <x v="5"/>
    <x v="2"/>
    <x v="2"/>
    <x v="0"/>
    <x v="0"/>
    <x v="1"/>
    <x v="1"/>
    <x v="1"/>
    <x v="1"/>
    <x v="1"/>
    <x v="0"/>
    <x v="1"/>
  </r>
  <r>
    <x v="5"/>
    <x v="36"/>
    <x v="0"/>
    <x v="0"/>
    <x v="0"/>
    <x v="76"/>
    <x v="0"/>
    <x v="2"/>
    <x v="55"/>
    <x v="0"/>
    <x v="0"/>
    <n v="0.99999528685001404"/>
    <x v="12"/>
    <x v="0"/>
    <x v="3"/>
    <x v="3"/>
    <x v="1"/>
    <x v="0"/>
    <x v="0"/>
    <x v="0"/>
    <x v="1"/>
    <x v="1"/>
    <x v="1"/>
    <x v="1"/>
    <x v="1"/>
    <x v="5"/>
    <x v="2"/>
    <x v="2"/>
    <x v="0"/>
    <x v="0"/>
    <x v="1"/>
    <x v="1"/>
    <x v="1"/>
    <x v="1"/>
    <x v="1"/>
    <x v="0"/>
    <x v="1"/>
  </r>
  <r>
    <x v="5"/>
    <x v="36"/>
    <x v="0"/>
    <x v="0"/>
    <x v="0"/>
    <x v="76"/>
    <x v="0"/>
    <x v="2"/>
    <x v="55"/>
    <x v="0"/>
    <x v="3"/>
    <n v="0.99999537576328612"/>
    <x v="12"/>
    <x v="0"/>
    <x v="3"/>
    <x v="3"/>
    <x v="1"/>
    <x v="0"/>
    <x v="0"/>
    <x v="0"/>
    <x v="1"/>
    <x v="1"/>
    <x v="1"/>
    <x v="1"/>
    <x v="1"/>
    <x v="5"/>
    <x v="2"/>
    <x v="2"/>
    <x v="0"/>
    <x v="0"/>
    <x v="1"/>
    <x v="1"/>
    <x v="1"/>
    <x v="1"/>
    <x v="1"/>
    <x v="0"/>
    <x v="1"/>
  </r>
  <r>
    <x v="5"/>
    <x v="36"/>
    <x v="0"/>
    <x v="0"/>
    <x v="0"/>
    <x v="76"/>
    <x v="0"/>
    <x v="2"/>
    <x v="55"/>
    <x v="0"/>
    <x v="3"/>
    <n v="0.99999537576328612"/>
    <x v="12"/>
    <x v="0"/>
    <x v="3"/>
    <x v="3"/>
    <x v="1"/>
    <x v="0"/>
    <x v="0"/>
    <x v="0"/>
    <x v="1"/>
    <x v="1"/>
    <x v="1"/>
    <x v="1"/>
    <x v="1"/>
    <x v="5"/>
    <x v="2"/>
    <x v="2"/>
    <x v="0"/>
    <x v="0"/>
    <x v="1"/>
    <x v="1"/>
    <x v="1"/>
    <x v="1"/>
    <x v="1"/>
    <x v="0"/>
    <x v="1"/>
  </r>
  <r>
    <x v="5"/>
    <x v="36"/>
    <x v="0"/>
    <x v="0"/>
    <x v="0"/>
    <x v="76"/>
    <x v="0"/>
    <x v="2"/>
    <x v="55"/>
    <x v="2"/>
    <x v="2"/>
    <n v="2.8197914693813133"/>
    <x v="20"/>
    <x v="0"/>
    <x v="3"/>
    <x v="3"/>
    <x v="1"/>
    <x v="0"/>
    <x v="0"/>
    <x v="0"/>
    <x v="1"/>
    <x v="1"/>
    <x v="1"/>
    <x v="1"/>
    <x v="1"/>
    <x v="5"/>
    <x v="2"/>
    <x v="2"/>
    <x v="0"/>
    <x v="0"/>
    <x v="1"/>
    <x v="1"/>
    <x v="1"/>
    <x v="1"/>
    <x v="1"/>
    <x v="0"/>
    <x v="1"/>
  </r>
  <r>
    <x v="5"/>
    <x v="36"/>
    <x v="0"/>
    <x v="0"/>
    <x v="0"/>
    <x v="76"/>
    <x v="0"/>
    <x v="2"/>
    <x v="55"/>
    <x v="0"/>
    <x v="2"/>
    <n v="0.99999519393901637"/>
    <x v="12"/>
    <x v="0"/>
    <x v="3"/>
    <x v="3"/>
    <x v="1"/>
    <x v="0"/>
    <x v="0"/>
    <x v="0"/>
    <x v="1"/>
    <x v="1"/>
    <x v="1"/>
    <x v="1"/>
    <x v="1"/>
    <x v="5"/>
    <x v="2"/>
    <x v="2"/>
    <x v="0"/>
    <x v="0"/>
    <x v="1"/>
    <x v="1"/>
    <x v="1"/>
    <x v="1"/>
    <x v="1"/>
    <x v="0"/>
    <x v="1"/>
  </r>
  <r>
    <x v="5"/>
    <x v="36"/>
    <x v="0"/>
    <x v="0"/>
    <x v="0"/>
    <x v="76"/>
    <x v="0"/>
    <x v="2"/>
    <x v="55"/>
    <x v="0"/>
    <x v="1"/>
    <n v="0.99999545858363903"/>
    <x v="12"/>
    <x v="0"/>
    <x v="3"/>
    <x v="3"/>
    <x v="1"/>
    <x v="0"/>
    <x v="0"/>
    <x v="0"/>
    <x v="1"/>
    <x v="1"/>
    <x v="1"/>
    <x v="1"/>
    <x v="1"/>
    <x v="5"/>
    <x v="2"/>
    <x v="2"/>
    <x v="0"/>
    <x v="0"/>
    <x v="1"/>
    <x v="1"/>
    <x v="1"/>
    <x v="1"/>
    <x v="1"/>
    <x v="0"/>
    <x v="1"/>
  </r>
  <r>
    <x v="5"/>
    <x v="36"/>
    <x v="0"/>
    <x v="0"/>
    <x v="0"/>
    <x v="76"/>
    <x v="0"/>
    <x v="2"/>
    <x v="55"/>
    <x v="1"/>
    <x v="0"/>
    <n v="4.6856565656565659"/>
    <x v="21"/>
    <x v="1"/>
    <x v="3"/>
    <x v="3"/>
    <x v="1"/>
    <x v="0"/>
    <x v="0"/>
    <x v="0"/>
    <x v="1"/>
    <x v="1"/>
    <x v="1"/>
    <x v="1"/>
    <x v="1"/>
    <x v="5"/>
    <x v="2"/>
    <x v="2"/>
    <x v="0"/>
    <x v="0"/>
    <x v="1"/>
    <x v="1"/>
    <x v="1"/>
    <x v="1"/>
    <x v="1"/>
    <x v="0"/>
    <x v="1"/>
  </r>
  <r>
    <x v="5"/>
    <x v="36"/>
    <x v="0"/>
    <x v="0"/>
    <x v="0"/>
    <x v="76"/>
    <x v="0"/>
    <x v="2"/>
    <x v="55"/>
    <x v="0"/>
    <x v="1"/>
    <n v="0.99999545858363903"/>
    <x v="12"/>
    <x v="0"/>
    <x v="3"/>
    <x v="3"/>
    <x v="1"/>
    <x v="0"/>
    <x v="0"/>
    <x v="0"/>
    <x v="1"/>
    <x v="1"/>
    <x v="1"/>
    <x v="1"/>
    <x v="1"/>
    <x v="5"/>
    <x v="2"/>
    <x v="2"/>
    <x v="0"/>
    <x v="0"/>
    <x v="1"/>
    <x v="1"/>
    <x v="1"/>
    <x v="1"/>
    <x v="1"/>
    <x v="0"/>
    <x v="1"/>
  </r>
  <r>
    <x v="5"/>
    <x v="36"/>
    <x v="0"/>
    <x v="0"/>
    <x v="0"/>
    <x v="76"/>
    <x v="0"/>
    <x v="2"/>
    <x v="55"/>
    <x v="0"/>
    <x v="0"/>
    <n v="0.99999528685001404"/>
    <x v="12"/>
    <x v="0"/>
    <x v="3"/>
    <x v="3"/>
    <x v="1"/>
    <x v="0"/>
    <x v="0"/>
    <x v="0"/>
    <x v="1"/>
    <x v="1"/>
    <x v="1"/>
    <x v="1"/>
    <x v="1"/>
    <x v="5"/>
    <x v="2"/>
    <x v="2"/>
    <x v="0"/>
    <x v="0"/>
    <x v="1"/>
    <x v="1"/>
    <x v="1"/>
    <x v="1"/>
    <x v="1"/>
    <x v="0"/>
    <x v="1"/>
  </r>
  <r>
    <x v="5"/>
    <x v="36"/>
    <x v="0"/>
    <x v="0"/>
    <x v="0"/>
    <x v="76"/>
    <x v="0"/>
    <x v="2"/>
    <x v="55"/>
    <x v="1"/>
    <x v="1"/>
    <n v="4.9549494949494948"/>
    <x v="21"/>
    <x v="1"/>
    <x v="3"/>
    <x v="3"/>
    <x v="1"/>
    <x v="0"/>
    <x v="0"/>
    <x v="0"/>
    <x v="1"/>
    <x v="1"/>
    <x v="1"/>
    <x v="1"/>
    <x v="1"/>
    <x v="5"/>
    <x v="2"/>
    <x v="2"/>
    <x v="0"/>
    <x v="0"/>
    <x v="1"/>
    <x v="1"/>
    <x v="1"/>
    <x v="1"/>
    <x v="1"/>
    <x v="0"/>
    <x v="1"/>
  </r>
  <r>
    <x v="5"/>
    <x v="36"/>
    <x v="0"/>
    <x v="0"/>
    <x v="0"/>
    <x v="76"/>
    <x v="0"/>
    <x v="2"/>
    <x v="55"/>
    <x v="1"/>
    <x v="2"/>
    <n v="4.9585858585858587"/>
    <x v="21"/>
    <x v="1"/>
    <x v="3"/>
    <x v="3"/>
    <x v="1"/>
    <x v="0"/>
    <x v="0"/>
    <x v="0"/>
    <x v="1"/>
    <x v="1"/>
    <x v="1"/>
    <x v="1"/>
    <x v="1"/>
    <x v="5"/>
    <x v="2"/>
    <x v="2"/>
    <x v="0"/>
    <x v="0"/>
    <x v="1"/>
    <x v="1"/>
    <x v="1"/>
    <x v="1"/>
    <x v="1"/>
    <x v="0"/>
    <x v="1"/>
  </r>
  <r>
    <x v="5"/>
    <x v="36"/>
    <x v="0"/>
    <x v="0"/>
    <x v="0"/>
    <x v="76"/>
    <x v="0"/>
    <x v="2"/>
    <x v="55"/>
    <x v="1"/>
    <x v="0"/>
    <n v="4.6856565656565659"/>
    <x v="21"/>
    <x v="1"/>
    <x v="3"/>
    <x v="3"/>
    <x v="1"/>
    <x v="0"/>
    <x v="0"/>
    <x v="0"/>
    <x v="1"/>
    <x v="1"/>
    <x v="1"/>
    <x v="1"/>
    <x v="1"/>
    <x v="5"/>
    <x v="2"/>
    <x v="2"/>
    <x v="0"/>
    <x v="0"/>
    <x v="1"/>
    <x v="1"/>
    <x v="1"/>
    <x v="1"/>
    <x v="1"/>
    <x v="0"/>
    <x v="1"/>
  </r>
  <r>
    <x v="5"/>
    <x v="36"/>
    <x v="0"/>
    <x v="0"/>
    <x v="0"/>
    <x v="76"/>
    <x v="0"/>
    <x v="2"/>
    <x v="55"/>
    <x v="0"/>
    <x v="0"/>
    <n v="0.99999528685001404"/>
    <x v="12"/>
    <x v="0"/>
    <x v="3"/>
    <x v="3"/>
    <x v="1"/>
    <x v="0"/>
    <x v="0"/>
    <x v="0"/>
    <x v="1"/>
    <x v="1"/>
    <x v="1"/>
    <x v="1"/>
    <x v="1"/>
    <x v="5"/>
    <x v="2"/>
    <x v="2"/>
    <x v="0"/>
    <x v="0"/>
    <x v="1"/>
    <x v="1"/>
    <x v="1"/>
    <x v="1"/>
    <x v="1"/>
    <x v="0"/>
    <x v="1"/>
  </r>
  <r>
    <x v="5"/>
    <x v="36"/>
    <x v="0"/>
    <x v="0"/>
    <x v="0"/>
    <x v="76"/>
    <x v="0"/>
    <x v="2"/>
    <x v="55"/>
    <x v="2"/>
    <x v="3"/>
    <n v="2.4281439393939395"/>
    <x v="20"/>
    <x v="0"/>
    <x v="3"/>
    <x v="3"/>
    <x v="1"/>
    <x v="0"/>
    <x v="0"/>
    <x v="0"/>
    <x v="1"/>
    <x v="1"/>
    <x v="1"/>
    <x v="1"/>
    <x v="1"/>
    <x v="5"/>
    <x v="2"/>
    <x v="2"/>
    <x v="0"/>
    <x v="0"/>
    <x v="1"/>
    <x v="1"/>
    <x v="1"/>
    <x v="1"/>
    <x v="1"/>
    <x v="0"/>
    <x v="1"/>
  </r>
  <r>
    <x v="5"/>
    <x v="36"/>
    <x v="0"/>
    <x v="0"/>
    <x v="0"/>
    <x v="76"/>
    <x v="0"/>
    <x v="2"/>
    <x v="55"/>
    <x v="1"/>
    <x v="3"/>
    <n v="4.2335353535353537"/>
    <x v="21"/>
    <x v="1"/>
    <x v="3"/>
    <x v="3"/>
    <x v="1"/>
    <x v="0"/>
    <x v="0"/>
    <x v="0"/>
    <x v="1"/>
    <x v="1"/>
    <x v="1"/>
    <x v="1"/>
    <x v="1"/>
    <x v="5"/>
    <x v="2"/>
    <x v="2"/>
    <x v="0"/>
    <x v="0"/>
    <x v="1"/>
    <x v="1"/>
    <x v="1"/>
    <x v="1"/>
    <x v="1"/>
    <x v="0"/>
    <x v="1"/>
  </r>
  <r>
    <x v="5"/>
    <x v="36"/>
    <x v="0"/>
    <x v="0"/>
    <x v="0"/>
    <x v="76"/>
    <x v="0"/>
    <x v="2"/>
    <x v="55"/>
    <x v="1"/>
    <x v="2"/>
    <n v="4.9585858585858587"/>
    <x v="21"/>
    <x v="1"/>
    <x v="3"/>
    <x v="3"/>
    <x v="1"/>
    <x v="0"/>
    <x v="0"/>
    <x v="0"/>
    <x v="1"/>
    <x v="1"/>
    <x v="1"/>
    <x v="1"/>
    <x v="1"/>
    <x v="5"/>
    <x v="2"/>
    <x v="2"/>
    <x v="0"/>
    <x v="0"/>
    <x v="1"/>
    <x v="1"/>
    <x v="1"/>
    <x v="1"/>
    <x v="1"/>
    <x v="0"/>
    <x v="1"/>
  </r>
  <r>
    <x v="5"/>
    <x v="36"/>
    <x v="0"/>
    <x v="0"/>
    <x v="0"/>
    <x v="76"/>
    <x v="0"/>
    <x v="2"/>
    <x v="55"/>
    <x v="1"/>
    <x v="1"/>
    <n v="4.9549494949494948"/>
    <x v="21"/>
    <x v="1"/>
    <x v="3"/>
    <x v="3"/>
    <x v="1"/>
    <x v="0"/>
    <x v="0"/>
    <x v="0"/>
    <x v="1"/>
    <x v="1"/>
    <x v="1"/>
    <x v="1"/>
    <x v="1"/>
    <x v="5"/>
    <x v="2"/>
    <x v="2"/>
    <x v="0"/>
    <x v="0"/>
    <x v="1"/>
    <x v="1"/>
    <x v="1"/>
    <x v="1"/>
    <x v="1"/>
    <x v="0"/>
    <x v="1"/>
  </r>
  <r>
    <x v="5"/>
    <x v="36"/>
    <x v="0"/>
    <x v="0"/>
    <x v="0"/>
    <x v="76"/>
    <x v="0"/>
    <x v="2"/>
    <x v="55"/>
    <x v="1"/>
    <x v="0"/>
    <n v="4.6856565656565659"/>
    <x v="21"/>
    <x v="1"/>
    <x v="3"/>
    <x v="3"/>
    <x v="1"/>
    <x v="0"/>
    <x v="0"/>
    <x v="0"/>
    <x v="1"/>
    <x v="1"/>
    <x v="1"/>
    <x v="1"/>
    <x v="1"/>
    <x v="5"/>
    <x v="2"/>
    <x v="2"/>
    <x v="0"/>
    <x v="0"/>
    <x v="1"/>
    <x v="1"/>
    <x v="1"/>
    <x v="1"/>
    <x v="1"/>
    <x v="0"/>
    <x v="1"/>
  </r>
  <r>
    <x v="5"/>
    <x v="36"/>
    <x v="0"/>
    <x v="0"/>
    <x v="0"/>
    <x v="76"/>
    <x v="0"/>
    <x v="2"/>
    <x v="55"/>
    <x v="2"/>
    <x v="3"/>
    <n v="2.4281439393939395"/>
    <x v="20"/>
    <x v="0"/>
    <x v="3"/>
    <x v="3"/>
    <x v="1"/>
    <x v="0"/>
    <x v="0"/>
    <x v="0"/>
    <x v="1"/>
    <x v="1"/>
    <x v="1"/>
    <x v="1"/>
    <x v="1"/>
    <x v="5"/>
    <x v="2"/>
    <x v="2"/>
    <x v="0"/>
    <x v="0"/>
    <x v="1"/>
    <x v="1"/>
    <x v="1"/>
    <x v="1"/>
    <x v="1"/>
    <x v="0"/>
    <x v="1"/>
  </r>
  <r>
    <x v="5"/>
    <x v="36"/>
    <x v="0"/>
    <x v="0"/>
    <x v="0"/>
    <x v="76"/>
    <x v="0"/>
    <x v="2"/>
    <x v="55"/>
    <x v="2"/>
    <x v="2"/>
    <n v="2.8197914693813133"/>
    <x v="20"/>
    <x v="0"/>
    <x v="3"/>
    <x v="3"/>
    <x v="1"/>
    <x v="0"/>
    <x v="0"/>
    <x v="0"/>
    <x v="1"/>
    <x v="1"/>
    <x v="1"/>
    <x v="1"/>
    <x v="1"/>
    <x v="5"/>
    <x v="2"/>
    <x v="2"/>
    <x v="0"/>
    <x v="0"/>
    <x v="1"/>
    <x v="1"/>
    <x v="1"/>
    <x v="1"/>
    <x v="1"/>
    <x v="0"/>
    <x v="1"/>
  </r>
  <r>
    <x v="5"/>
    <x v="36"/>
    <x v="0"/>
    <x v="0"/>
    <x v="0"/>
    <x v="76"/>
    <x v="0"/>
    <x v="2"/>
    <x v="55"/>
    <x v="2"/>
    <x v="1"/>
    <n v="2.8135444286616162"/>
    <x v="20"/>
    <x v="0"/>
    <x v="3"/>
    <x v="3"/>
    <x v="1"/>
    <x v="0"/>
    <x v="0"/>
    <x v="0"/>
    <x v="1"/>
    <x v="1"/>
    <x v="1"/>
    <x v="1"/>
    <x v="1"/>
    <x v="5"/>
    <x v="2"/>
    <x v="2"/>
    <x v="0"/>
    <x v="0"/>
    <x v="1"/>
    <x v="1"/>
    <x v="1"/>
    <x v="1"/>
    <x v="1"/>
    <x v="0"/>
    <x v="1"/>
  </r>
  <r>
    <x v="5"/>
    <x v="36"/>
    <x v="0"/>
    <x v="0"/>
    <x v="0"/>
    <x v="76"/>
    <x v="0"/>
    <x v="2"/>
    <x v="55"/>
    <x v="0"/>
    <x v="1"/>
    <n v="0.99999545858363903"/>
    <x v="12"/>
    <x v="0"/>
    <x v="3"/>
    <x v="3"/>
    <x v="1"/>
    <x v="0"/>
    <x v="0"/>
    <x v="0"/>
    <x v="1"/>
    <x v="1"/>
    <x v="1"/>
    <x v="1"/>
    <x v="1"/>
    <x v="5"/>
    <x v="2"/>
    <x v="2"/>
    <x v="0"/>
    <x v="0"/>
    <x v="1"/>
    <x v="1"/>
    <x v="1"/>
    <x v="1"/>
    <x v="1"/>
    <x v="0"/>
    <x v="1"/>
  </r>
  <r>
    <x v="5"/>
    <x v="36"/>
    <x v="0"/>
    <x v="0"/>
    <x v="0"/>
    <x v="76"/>
    <x v="0"/>
    <x v="2"/>
    <x v="55"/>
    <x v="0"/>
    <x v="2"/>
    <n v="0.99999519393901637"/>
    <x v="12"/>
    <x v="0"/>
    <x v="3"/>
    <x v="3"/>
    <x v="1"/>
    <x v="0"/>
    <x v="0"/>
    <x v="0"/>
    <x v="1"/>
    <x v="1"/>
    <x v="1"/>
    <x v="1"/>
    <x v="1"/>
    <x v="5"/>
    <x v="2"/>
    <x v="2"/>
    <x v="0"/>
    <x v="0"/>
    <x v="1"/>
    <x v="1"/>
    <x v="1"/>
    <x v="1"/>
    <x v="1"/>
    <x v="0"/>
    <x v="1"/>
  </r>
  <r>
    <x v="5"/>
    <x v="36"/>
    <x v="0"/>
    <x v="0"/>
    <x v="0"/>
    <x v="76"/>
    <x v="0"/>
    <x v="2"/>
    <x v="55"/>
    <x v="1"/>
    <x v="2"/>
    <n v="4.9585858585858587"/>
    <x v="21"/>
    <x v="1"/>
    <x v="3"/>
    <x v="3"/>
    <x v="1"/>
    <x v="0"/>
    <x v="0"/>
    <x v="0"/>
    <x v="1"/>
    <x v="1"/>
    <x v="1"/>
    <x v="1"/>
    <x v="1"/>
    <x v="5"/>
    <x v="2"/>
    <x v="2"/>
    <x v="0"/>
    <x v="0"/>
    <x v="1"/>
    <x v="1"/>
    <x v="1"/>
    <x v="1"/>
    <x v="1"/>
    <x v="0"/>
    <x v="1"/>
  </r>
  <r>
    <x v="5"/>
    <x v="36"/>
    <x v="0"/>
    <x v="0"/>
    <x v="0"/>
    <x v="76"/>
    <x v="0"/>
    <x v="2"/>
    <x v="55"/>
    <x v="2"/>
    <x v="0"/>
    <n v="2.7545152698863635"/>
    <x v="20"/>
    <x v="0"/>
    <x v="3"/>
    <x v="3"/>
    <x v="1"/>
    <x v="0"/>
    <x v="0"/>
    <x v="0"/>
    <x v="1"/>
    <x v="1"/>
    <x v="1"/>
    <x v="1"/>
    <x v="1"/>
    <x v="5"/>
    <x v="2"/>
    <x v="2"/>
    <x v="0"/>
    <x v="0"/>
    <x v="1"/>
    <x v="1"/>
    <x v="1"/>
    <x v="1"/>
    <x v="1"/>
    <x v="0"/>
    <x v="1"/>
  </r>
  <r>
    <x v="5"/>
    <x v="36"/>
    <x v="0"/>
    <x v="0"/>
    <x v="0"/>
    <x v="76"/>
    <x v="0"/>
    <x v="2"/>
    <x v="55"/>
    <x v="0"/>
    <x v="2"/>
    <n v="0.99999519393901637"/>
    <x v="12"/>
    <x v="0"/>
    <x v="3"/>
    <x v="3"/>
    <x v="1"/>
    <x v="0"/>
    <x v="0"/>
    <x v="0"/>
    <x v="1"/>
    <x v="1"/>
    <x v="1"/>
    <x v="1"/>
    <x v="1"/>
    <x v="5"/>
    <x v="2"/>
    <x v="2"/>
    <x v="0"/>
    <x v="0"/>
    <x v="1"/>
    <x v="1"/>
    <x v="1"/>
    <x v="1"/>
    <x v="1"/>
    <x v="0"/>
    <x v="1"/>
  </r>
  <r>
    <x v="5"/>
    <x v="36"/>
    <x v="0"/>
    <x v="0"/>
    <x v="0"/>
    <x v="76"/>
    <x v="0"/>
    <x v="2"/>
    <x v="55"/>
    <x v="0"/>
    <x v="1"/>
    <n v="0.99999545858363903"/>
    <x v="12"/>
    <x v="0"/>
    <x v="3"/>
    <x v="3"/>
    <x v="1"/>
    <x v="0"/>
    <x v="0"/>
    <x v="0"/>
    <x v="1"/>
    <x v="1"/>
    <x v="1"/>
    <x v="1"/>
    <x v="1"/>
    <x v="5"/>
    <x v="2"/>
    <x v="2"/>
    <x v="0"/>
    <x v="0"/>
    <x v="1"/>
    <x v="1"/>
    <x v="1"/>
    <x v="1"/>
    <x v="1"/>
    <x v="0"/>
    <x v="1"/>
  </r>
  <r>
    <x v="5"/>
    <x v="36"/>
    <x v="0"/>
    <x v="0"/>
    <x v="0"/>
    <x v="76"/>
    <x v="0"/>
    <x v="2"/>
    <x v="55"/>
    <x v="0"/>
    <x v="0"/>
    <n v="0.99999528685001404"/>
    <x v="12"/>
    <x v="0"/>
    <x v="3"/>
    <x v="3"/>
    <x v="1"/>
    <x v="0"/>
    <x v="0"/>
    <x v="0"/>
    <x v="1"/>
    <x v="1"/>
    <x v="1"/>
    <x v="1"/>
    <x v="1"/>
    <x v="5"/>
    <x v="2"/>
    <x v="2"/>
    <x v="0"/>
    <x v="0"/>
    <x v="1"/>
    <x v="1"/>
    <x v="1"/>
    <x v="1"/>
    <x v="1"/>
    <x v="0"/>
    <x v="1"/>
  </r>
  <r>
    <x v="5"/>
    <x v="36"/>
    <x v="0"/>
    <x v="0"/>
    <x v="0"/>
    <x v="76"/>
    <x v="0"/>
    <x v="2"/>
    <x v="55"/>
    <x v="1"/>
    <x v="3"/>
    <n v="4.2335353535353537"/>
    <x v="21"/>
    <x v="1"/>
    <x v="3"/>
    <x v="3"/>
    <x v="1"/>
    <x v="0"/>
    <x v="0"/>
    <x v="0"/>
    <x v="1"/>
    <x v="1"/>
    <x v="1"/>
    <x v="1"/>
    <x v="1"/>
    <x v="5"/>
    <x v="2"/>
    <x v="2"/>
    <x v="0"/>
    <x v="0"/>
    <x v="1"/>
    <x v="1"/>
    <x v="1"/>
    <x v="1"/>
    <x v="1"/>
    <x v="0"/>
    <x v="1"/>
  </r>
  <r>
    <x v="5"/>
    <x v="36"/>
    <x v="0"/>
    <x v="0"/>
    <x v="0"/>
    <x v="76"/>
    <x v="0"/>
    <x v="2"/>
    <x v="55"/>
    <x v="0"/>
    <x v="3"/>
    <n v="0.99999537576328612"/>
    <x v="12"/>
    <x v="0"/>
    <x v="3"/>
    <x v="3"/>
    <x v="1"/>
    <x v="0"/>
    <x v="0"/>
    <x v="0"/>
    <x v="1"/>
    <x v="1"/>
    <x v="1"/>
    <x v="1"/>
    <x v="1"/>
    <x v="5"/>
    <x v="2"/>
    <x v="2"/>
    <x v="0"/>
    <x v="0"/>
    <x v="1"/>
    <x v="1"/>
    <x v="1"/>
    <x v="1"/>
    <x v="1"/>
    <x v="0"/>
    <x v="1"/>
  </r>
  <r>
    <x v="5"/>
    <x v="36"/>
    <x v="0"/>
    <x v="0"/>
    <x v="0"/>
    <x v="76"/>
    <x v="0"/>
    <x v="2"/>
    <x v="55"/>
    <x v="0"/>
    <x v="1"/>
    <n v="0.99999545858363903"/>
    <x v="12"/>
    <x v="0"/>
    <x v="3"/>
    <x v="3"/>
    <x v="1"/>
    <x v="0"/>
    <x v="0"/>
    <x v="0"/>
    <x v="1"/>
    <x v="1"/>
    <x v="1"/>
    <x v="1"/>
    <x v="1"/>
    <x v="5"/>
    <x v="2"/>
    <x v="2"/>
    <x v="0"/>
    <x v="0"/>
    <x v="1"/>
    <x v="1"/>
    <x v="1"/>
    <x v="1"/>
    <x v="1"/>
    <x v="0"/>
    <x v="1"/>
  </r>
  <r>
    <x v="5"/>
    <x v="36"/>
    <x v="0"/>
    <x v="0"/>
    <x v="0"/>
    <x v="76"/>
    <x v="0"/>
    <x v="2"/>
    <x v="55"/>
    <x v="0"/>
    <x v="3"/>
    <n v="0.99999537576328612"/>
    <x v="12"/>
    <x v="0"/>
    <x v="3"/>
    <x v="3"/>
    <x v="1"/>
    <x v="0"/>
    <x v="0"/>
    <x v="0"/>
    <x v="1"/>
    <x v="1"/>
    <x v="1"/>
    <x v="1"/>
    <x v="1"/>
    <x v="5"/>
    <x v="2"/>
    <x v="2"/>
    <x v="0"/>
    <x v="0"/>
    <x v="1"/>
    <x v="1"/>
    <x v="1"/>
    <x v="1"/>
    <x v="1"/>
    <x v="0"/>
    <x v="1"/>
  </r>
  <r>
    <x v="5"/>
    <x v="36"/>
    <x v="0"/>
    <x v="0"/>
    <x v="0"/>
    <x v="76"/>
    <x v="0"/>
    <x v="2"/>
    <x v="55"/>
    <x v="1"/>
    <x v="3"/>
    <n v="4.2335353535353537"/>
    <x v="21"/>
    <x v="1"/>
    <x v="3"/>
    <x v="3"/>
    <x v="1"/>
    <x v="0"/>
    <x v="0"/>
    <x v="0"/>
    <x v="1"/>
    <x v="1"/>
    <x v="1"/>
    <x v="1"/>
    <x v="1"/>
    <x v="5"/>
    <x v="2"/>
    <x v="2"/>
    <x v="0"/>
    <x v="0"/>
    <x v="1"/>
    <x v="1"/>
    <x v="1"/>
    <x v="1"/>
    <x v="1"/>
    <x v="0"/>
    <x v="1"/>
  </r>
  <r>
    <x v="5"/>
    <x v="36"/>
    <x v="0"/>
    <x v="0"/>
    <x v="0"/>
    <x v="76"/>
    <x v="0"/>
    <x v="2"/>
    <x v="55"/>
    <x v="2"/>
    <x v="1"/>
    <n v="2.8135444286616162"/>
    <x v="20"/>
    <x v="0"/>
    <x v="3"/>
    <x v="3"/>
    <x v="1"/>
    <x v="0"/>
    <x v="0"/>
    <x v="0"/>
    <x v="1"/>
    <x v="1"/>
    <x v="1"/>
    <x v="1"/>
    <x v="1"/>
    <x v="5"/>
    <x v="2"/>
    <x v="2"/>
    <x v="0"/>
    <x v="0"/>
    <x v="1"/>
    <x v="1"/>
    <x v="1"/>
    <x v="1"/>
    <x v="1"/>
    <x v="0"/>
    <x v="1"/>
  </r>
  <r>
    <x v="5"/>
    <x v="36"/>
    <x v="0"/>
    <x v="0"/>
    <x v="0"/>
    <x v="76"/>
    <x v="0"/>
    <x v="2"/>
    <x v="55"/>
    <x v="1"/>
    <x v="1"/>
    <n v="4.9549494949494948"/>
    <x v="21"/>
    <x v="1"/>
    <x v="3"/>
    <x v="3"/>
    <x v="1"/>
    <x v="0"/>
    <x v="0"/>
    <x v="0"/>
    <x v="1"/>
    <x v="1"/>
    <x v="1"/>
    <x v="1"/>
    <x v="1"/>
    <x v="5"/>
    <x v="2"/>
    <x v="2"/>
    <x v="0"/>
    <x v="0"/>
    <x v="1"/>
    <x v="1"/>
    <x v="1"/>
    <x v="1"/>
    <x v="1"/>
    <x v="0"/>
    <x v="1"/>
  </r>
  <r>
    <x v="5"/>
    <x v="36"/>
    <x v="0"/>
    <x v="0"/>
    <x v="0"/>
    <x v="76"/>
    <x v="0"/>
    <x v="2"/>
    <x v="55"/>
    <x v="1"/>
    <x v="3"/>
    <n v="4.2335353535353537"/>
    <x v="21"/>
    <x v="1"/>
    <x v="3"/>
    <x v="3"/>
    <x v="1"/>
    <x v="0"/>
    <x v="0"/>
    <x v="0"/>
    <x v="1"/>
    <x v="1"/>
    <x v="1"/>
    <x v="1"/>
    <x v="1"/>
    <x v="5"/>
    <x v="2"/>
    <x v="2"/>
    <x v="0"/>
    <x v="0"/>
    <x v="1"/>
    <x v="1"/>
    <x v="1"/>
    <x v="1"/>
    <x v="1"/>
    <x v="0"/>
    <x v="1"/>
  </r>
  <r>
    <x v="5"/>
    <x v="36"/>
    <x v="0"/>
    <x v="0"/>
    <x v="0"/>
    <x v="76"/>
    <x v="0"/>
    <x v="2"/>
    <x v="55"/>
    <x v="2"/>
    <x v="0"/>
    <n v="2.7545152698863635"/>
    <x v="20"/>
    <x v="0"/>
    <x v="3"/>
    <x v="3"/>
    <x v="1"/>
    <x v="0"/>
    <x v="0"/>
    <x v="0"/>
    <x v="1"/>
    <x v="1"/>
    <x v="1"/>
    <x v="1"/>
    <x v="1"/>
    <x v="5"/>
    <x v="2"/>
    <x v="2"/>
    <x v="0"/>
    <x v="0"/>
    <x v="1"/>
    <x v="1"/>
    <x v="1"/>
    <x v="1"/>
    <x v="1"/>
    <x v="0"/>
    <x v="1"/>
  </r>
  <r>
    <x v="5"/>
    <x v="36"/>
    <x v="0"/>
    <x v="0"/>
    <x v="0"/>
    <x v="76"/>
    <x v="0"/>
    <x v="2"/>
    <x v="55"/>
    <x v="1"/>
    <x v="2"/>
    <n v="4.9585858585858587"/>
    <x v="21"/>
    <x v="1"/>
    <x v="3"/>
    <x v="3"/>
    <x v="1"/>
    <x v="0"/>
    <x v="0"/>
    <x v="0"/>
    <x v="1"/>
    <x v="1"/>
    <x v="1"/>
    <x v="1"/>
    <x v="1"/>
    <x v="5"/>
    <x v="2"/>
    <x v="2"/>
    <x v="0"/>
    <x v="0"/>
    <x v="1"/>
    <x v="1"/>
    <x v="1"/>
    <x v="1"/>
    <x v="1"/>
    <x v="0"/>
    <x v="1"/>
  </r>
  <r>
    <x v="5"/>
    <x v="36"/>
    <x v="0"/>
    <x v="0"/>
    <x v="0"/>
    <x v="76"/>
    <x v="0"/>
    <x v="2"/>
    <x v="55"/>
    <x v="2"/>
    <x v="1"/>
    <n v="2.8135444286616162"/>
    <x v="20"/>
    <x v="0"/>
    <x v="3"/>
    <x v="3"/>
    <x v="1"/>
    <x v="0"/>
    <x v="0"/>
    <x v="0"/>
    <x v="1"/>
    <x v="1"/>
    <x v="1"/>
    <x v="1"/>
    <x v="1"/>
    <x v="5"/>
    <x v="2"/>
    <x v="2"/>
    <x v="0"/>
    <x v="0"/>
    <x v="1"/>
    <x v="1"/>
    <x v="1"/>
    <x v="1"/>
    <x v="1"/>
    <x v="0"/>
    <x v="1"/>
  </r>
  <r>
    <x v="5"/>
    <x v="36"/>
    <x v="0"/>
    <x v="0"/>
    <x v="0"/>
    <x v="76"/>
    <x v="0"/>
    <x v="2"/>
    <x v="55"/>
    <x v="1"/>
    <x v="3"/>
    <n v="4.2335353535353537"/>
    <x v="21"/>
    <x v="1"/>
    <x v="3"/>
    <x v="3"/>
    <x v="1"/>
    <x v="0"/>
    <x v="0"/>
    <x v="0"/>
    <x v="1"/>
    <x v="1"/>
    <x v="1"/>
    <x v="1"/>
    <x v="1"/>
    <x v="5"/>
    <x v="2"/>
    <x v="2"/>
    <x v="0"/>
    <x v="0"/>
    <x v="1"/>
    <x v="1"/>
    <x v="1"/>
    <x v="1"/>
    <x v="1"/>
    <x v="0"/>
    <x v="1"/>
  </r>
  <r>
    <x v="5"/>
    <x v="36"/>
    <x v="0"/>
    <x v="0"/>
    <x v="0"/>
    <x v="76"/>
    <x v="0"/>
    <x v="2"/>
    <x v="56"/>
    <x v="0"/>
    <x v="0"/>
    <n v="0.99999528685001404"/>
    <x v="12"/>
    <x v="0"/>
    <x v="3"/>
    <x v="3"/>
    <x v="1"/>
    <x v="0"/>
    <x v="0"/>
    <x v="0"/>
    <x v="1"/>
    <x v="1"/>
    <x v="1"/>
    <x v="1"/>
    <x v="1"/>
    <x v="5"/>
    <x v="2"/>
    <x v="2"/>
    <x v="0"/>
    <x v="0"/>
    <x v="1"/>
    <x v="1"/>
    <x v="1"/>
    <x v="1"/>
    <x v="1"/>
    <x v="0"/>
    <x v="1"/>
  </r>
  <r>
    <x v="5"/>
    <x v="36"/>
    <x v="0"/>
    <x v="0"/>
    <x v="0"/>
    <x v="76"/>
    <x v="0"/>
    <x v="2"/>
    <x v="56"/>
    <x v="2"/>
    <x v="2"/>
    <n v="2.8197914693813133"/>
    <x v="20"/>
    <x v="0"/>
    <x v="3"/>
    <x v="3"/>
    <x v="1"/>
    <x v="0"/>
    <x v="0"/>
    <x v="0"/>
    <x v="1"/>
    <x v="1"/>
    <x v="1"/>
    <x v="1"/>
    <x v="1"/>
    <x v="5"/>
    <x v="2"/>
    <x v="2"/>
    <x v="0"/>
    <x v="0"/>
    <x v="1"/>
    <x v="1"/>
    <x v="1"/>
    <x v="1"/>
    <x v="1"/>
    <x v="0"/>
    <x v="1"/>
  </r>
  <r>
    <x v="5"/>
    <x v="36"/>
    <x v="0"/>
    <x v="0"/>
    <x v="0"/>
    <x v="76"/>
    <x v="0"/>
    <x v="2"/>
    <x v="56"/>
    <x v="1"/>
    <x v="2"/>
    <n v="4.9585858585858587"/>
    <x v="21"/>
    <x v="1"/>
    <x v="3"/>
    <x v="3"/>
    <x v="1"/>
    <x v="0"/>
    <x v="0"/>
    <x v="0"/>
    <x v="1"/>
    <x v="1"/>
    <x v="1"/>
    <x v="1"/>
    <x v="1"/>
    <x v="5"/>
    <x v="2"/>
    <x v="2"/>
    <x v="0"/>
    <x v="0"/>
    <x v="1"/>
    <x v="1"/>
    <x v="1"/>
    <x v="1"/>
    <x v="1"/>
    <x v="0"/>
    <x v="1"/>
  </r>
  <r>
    <x v="5"/>
    <x v="36"/>
    <x v="0"/>
    <x v="0"/>
    <x v="0"/>
    <x v="76"/>
    <x v="0"/>
    <x v="2"/>
    <x v="56"/>
    <x v="2"/>
    <x v="0"/>
    <n v="2.7545152698863635"/>
    <x v="20"/>
    <x v="0"/>
    <x v="3"/>
    <x v="3"/>
    <x v="1"/>
    <x v="0"/>
    <x v="0"/>
    <x v="0"/>
    <x v="1"/>
    <x v="1"/>
    <x v="1"/>
    <x v="1"/>
    <x v="1"/>
    <x v="5"/>
    <x v="2"/>
    <x v="2"/>
    <x v="0"/>
    <x v="0"/>
    <x v="1"/>
    <x v="1"/>
    <x v="1"/>
    <x v="1"/>
    <x v="1"/>
    <x v="0"/>
    <x v="1"/>
  </r>
  <r>
    <x v="5"/>
    <x v="36"/>
    <x v="0"/>
    <x v="0"/>
    <x v="0"/>
    <x v="76"/>
    <x v="0"/>
    <x v="2"/>
    <x v="56"/>
    <x v="2"/>
    <x v="3"/>
    <n v="2.4281439393939395"/>
    <x v="20"/>
    <x v="0"/>
    <x v="3"/>
    <x v="3"/>
    <x v="1"/>
    <x v="0"/>
    <x v="0"/>
    <x v="0"/>
    <x v="1"/>
    <x v="1"/>
    <x v="1"/>
    <x v="1"/>
    <x v="1"/>
    <x v="5"/>
    <x v="2"/>
    <x v="2"/>
    <x v="0"/>
    <x v="0"/>
    <x v="1"/>
    <x v="1"/>
    <x v="1"/>
    <x v="1"/>
    <x v="1"/>
    <x v="0"/>
    <x v="1"/>
  </r>
  <r>
    <x v="5"/>
    <x v="36"/>
    <x v="0"/>
    <x v="0"/>
    <x v="0"/>
    <x v="76"/>
    <x v="0"/>
    <x v="2"/>
    <x v="56"/>
    <x v="1"/>
    <x v="2"/>
    <n v="4.9585858585858587"/>
    <x v="21"/>
    <x v="1"/>
    <x v="3"/>
    <x v="3"/>
    <x v="1"/>
    <x v="0"/>
    <x v="0"/>
    <x v="0"/>
    <x v="1"/>
    <x v="1"/>
    <x v="1"/>
    <x v="1"/>
    <x v="1"/>
    <x v="5"/>
    <x v="2"/>
    <x v="2"/>
    <x v="0"/>
    <x v="0"/>
    <x v="1"/>
    <x v="1"/>
    <x v="1"/>
    <x v="1"/>
    <x v="1"/>
    <x v="0"/>
    <x v="1"/>
  </r>
  <r>
    <x v="5"/>
    <x v="36"/>
    <x v="0"/>
    <x v="0"/>
    <x v="0"/>
    <x v="76"/>
    <x v="0"/>
    <x v="2"/>
    <x v="56"/>
    <x v="0"/>
    <x v="1"/>
    <n v="0.99999545858363903"/>
    <x v="12"/>
    <x v="0"/>
    <x v="3"/>
    <x v="3"/>
    <x v="1"/>
    <x v="0"/>
    <x v="0"/>
    <x v="0"/>
    <x v="1"/>
    <x v="1"/>
    <x v="1"/>
    <x v="1"/>
    <x v="1"/>
    <x v="5"/>
    <x v="2"/>
    <x v="2"/>
    <x v="0"/>
    <x v="0"/>
    <x v="1"/>
    <x v="1"/>
    <x v="1"/>
    <x v="1"/>
    <x v="1"/>
    <x v="0"/>
    <x v="1"/>
  </r>
  <r>
    <x v="5"/>
    <x v="36"/>
    <x v="0"/>
    <x v="0"/>
    <x v="0"/>
    <x v="76"/>
    <x v="0"/>
    <x v="2"/>
    <x v="56"/>
    <x v="2"/>
    <x v="1"/>
    <n v="2.8135444286616162"/>
    <x v="20"/>
    <x v="0"/>
    <x v="3"/>
    <x v="3"/>
    <x v="1"/>
    <x v="0"/>
    <x v="0"/>
    <x v="0"/>
    <x v="1"/>
    <x v="1"/>
    <x v="1"/>
    <x v="1"/>
    <x v="1"/>
    <x v="5"/>
    <x v="2"/>
    <x v="2"/>
    <x v="0"/>
    <x v="0"/>
    <x v="1"/>
    <x v="1"/>
    <x v="1"/>
    <x v="1"/>
    <x v="1"/>
    <x v="0"/>
    <x v="1"/>
  </r>
  <r>
    <x v="5"/>
    <x v="36"/>
    <x v="0"/>
    <x v="0"/>
    <x v="0"/>
    <x v="76"/>
    <x v="0"/>
    <x v="2"/>
    <x v="56"/>
    <x v="2"/>
    <x v="0"/>
    <n v="2.7545152698863635"/>
    <x v="20"/>
    <x v="0"/>
    <x v="3"/>
    <x v="3"/>
    <x v="1"/>
    <x v="0"/>
    <x v="0"/>
    <x v="0"/>
    <x v="1"/>
    <x v="1"/>
    <x v="1"/>
    <x v="1"/>
    <x v="1"/>
    <x v="5"/>
    <x v="2"/>
    <x v="2"/>
    <x v="0"/>
    <x v="0"/>
    <x v="1"/>
    <x v="1"/>
    <x v="1"/>
    <x v="1"/>
    <x v="1"/>
    <x v="0"/>
    <x v="1"/>
  </r>
  <r>
    <x v="5"/>
    <x v="36"/>
    <x v="0"/>
    <x v="0"/>
    <x v="0"/>
    <x v="76"/>
    <x v="0"/>
    <x v="2"/>
    <x v="56"/>
    <x v="1"/>
    <x v="0"/>
    <n v="4.6856565656565659"/>
    <x v="21"/>
    <x v="1"/>
    <x v="3"/>
    <x v="3"/>
    <x v="1"/>
    <x v="0"/>
    <x v="0"/>
    <x v="0"/>
    <x v="1"/>
    <x v="1"/>
    <x v="1"/>
    <x v="1"/>
    <x v="1"/>
    <x v="5"/>
    <x v="2"/>
    <x v="2"/>
    <x v="0"/>
    <x v="0"/>
    <x v="1"/>
    <x v="1"/>
    <x v="1"/>
    <x v="1"/>
    <x v="1"/>
    <x v="0"/>
    <x v="1"/>
  </r>
  <r>
    <x v="5"/>
    <x v="36"/>
    <x v="0"/>
    <x v="0"/>
    <x v="0"/>
    <x v="76"/>
    <x v="0"/>
    <x v="2"/>
    <x v="56"/>
    <x v="0"/>
    <x v="2"/>
    <n v="0.99999519393901637"/>
    <x v="12"/>
    <x v="0"/>
    <x v="3"/>
    <x v="3"/>
    <x v="1"/>
    <x v="0"/>
    <x v="0"/>
    <x v="0"/>
    <x v="1"/>
    <x v="1"/>
    <x v="1"/>
    <x v="1"/>
    <x v="1"/>
    <x v="5"/>
    <x v="2"/>
    <x v="2"/>
    <x v="0"/>
    <x v="0"/>
    <x v="1"/>
    <x v="1"/>
    <x v="1"/>
    <x v="1"/>
    <x v="1"/>
    <x v="0"/>
    <x v="1"/>
  </r>
  <r>
    <x v="5"/>
    <x v="36"/>
    <x v="0"/>
    <x v="0"/>
    <x v="0"/>
    <x v="76"/>
    <x v="0"/>
    <x v="2"/>
    <x v="56"/>
    <x v="0"/>
    <x v="3"/>
    <n v="0.99999537576328612"/>
    <x v="12"/>
    <x v="0"/>
    <x v="3"/>
    <x v="3"/>
    <x v="1"/>
    <x v="0"/>
    <x v="0"/>
    <x v="0"/>
    <x v="1"/>
    <x v="1"/>
    <x v="1"/>
    <x v="1"/>
    <x v="1"/>
    <x v="5"/>
    <x v="2"/>
    <x v="2"/>
    <x v="0"/>
    <x v="0"/>
    <x v="1"/>
    <x v="1"/>
    <x v="1"/>
    <x v="1"/>
    <x v="1"/>
    <x v="0"/>
    <x v="1"/>
  </r>
  <r>
    <x v="5"/>
    <x v="36"/>
    <x v="0"/>
    <x v="0"/>
    <x v="0"/>
    <x v="76"/>
    <x v="0"/>
    <x v="2"/>
    <x v="56"/>
    <x v="0"/>
    <x v="2"/>
    <n v="0.99999519393901637"/>
    <x v="12"/>
    <x v="0"/>
    <x v="3"/>
    <x v="3"/>
    <x v="1"/>
    <x v="0"/>
    <x v="0"/>
    <x v="0"/>
    <x v="1"/>
    <x v="1"/>
    <x v="1"/>
    <x v="1"/>
    <x v="1"/>
    <x v="5"/>
    <x v="2"/>
    <x v="2"/>
    <x v="0"/>
    <x v="0"/>
    <x v="1"/>
    <x v="1"/>
    <x v="1"/>
    <x v="1"/>
    <x v="1"/>
    <x v="0"/>
    <x v="1"/>
  </r>
  <r>
    <x v="5"/>
    <x v="36"/>
    <x v="0"/>
    <x v="0"/>
    <x v="0"/>
    <x v="76"/>
    <x v="0"/>
    <x v="2"/>
    <x v="56"/>
    <x v="2"/>
    <x v="1"/>
    <n v="2.8135444286616162"/>
    <x v="20"/>
    <x v="0"/>
    <x v="3"/>
    <x v="3"/>
    <x v="1"/>
    <x v="0"/>
    <x v="0"/>
    <x v="0"/>
    <x v="1"/>
    <x v="1"/>
    <x v="1"/>
    <x v="1"/>
    <x v="1"/>
    <x v="5"/>
    <x v="2"/>
    <x v="2"/>
    <x v="0"/>
    <x v="0"/>
    <x v="1"/>
    <x v="1"/>
    <x v="1"/>
    <x v="1"/>
    <x v="1"/>
    <x v="0"/>
    <x v="1"/>
  </r>
  <r>
    <x v="5"/>
    <x v="36"/>
    <x v="0"/>
    <x v="0"/>
    <x v="0"/>
    <x v="76"/>
    <x v="0"/>
    <x v="2"/>
    <x v="56"/>
    <x v="1"/>
    <x v="1"/>
    <n v="4.9549494949494948"/>
    <x v="21"/>
    <x v="1"/>
    <x v="3"/>
    <x v="3"/>
    <x v="1"/>
    <x v="0"/>
    <x v="0"/>
    <x v="0"/>
    <x v="1"/>
    <x v="1"/>
    <x v="1"/>
    <x v="1"/>
    <x v="1"/>
    <x v="5"/>
    <x v="2"/>
    <x v="2"/>
    <x v="0"/>
    <x v="0"/>
    <x v="1"/>
    <x v="1"/>
    <x v="1"/>
    <x v="1"/>
    <x v="1"/>
    <x v="0"/>
    <x v="1"/>
  </r>
  <r>
    <x v="5"/>
    <x v="36"/>
    <x v="0"/>
    <x v="0"/>
    <x v="0"/>
    <x v="76"/>
    <x v="0"/>
    <x v="2"/>
    <x v="56"/>
    <x v="1"/>
    <x v="1"/>
    <n v="4.9549494949494948"/>
    <x v="21"/>
    <x v="1"/>
    <x v="3"/>
    <x v="3"/>
    <x v="1"/>
    <x v="0"/>
    <x v="0"/>
    <x v="0"/>
    <x v="1"/>
    <x v="1"/>
    <x v="1"/>
    <x v="1"/>
    <x v="1"/>
    <x v="5"/>
    <x v="2"/>
    <x v="2"/>
    <x v="0"/>
    <x v="0"/>
    <x v="1"/>
    <x v="1"/>
    <x v="1"/>
    <x v="1"/>
    <x v="1"/>
    <x v="0"/>
    <x v="1"/>
  </r>
  <r>
    <x v="5"/>
    <x v="36"/>
    <x v="0"/>
    <x v="0"/>
    <x v="0"/>
    <x v="76"/>
    <x v="0"/>
    <x v="2"/>
    <x v="56"/>
    <x v="1"/>
    <x v="0"/>
    <n v="4.6856565656565659"/>
    <x v="21"/>
    <x v="1"/>
    <x v="3"/>
    <x v="3"/>
    <x v="1"/>
    <x v="0"/>
    <x v="0"/>
    <x v="0"/>
    <x v="1"/>
    <x v="1"/>
    <x v="1"/>
    <x v="1"/>
    <x v="1"/>
    <x v="5"/>
    <x v="2"/>
    <x v="2"/>
    <x v="0"/>
    <x v="0"/>
    <x v="1"/>
    <x v="1"/>
    <x v="1"/>
    <x v="1"/>
    <x v="1"/>
    <x v="0"/>
    <x v="1"/>
  </r>
  <r>
    <x v="5"/>
    <x v="36"/>
    <x v="0"/>
    <x v="0"/>
    <x v="0"/>
    <x v="76"/>
    <x v="0"/>
    <x v="2"/>
    <x v="56"/>
    <x v="2"/>
    <x v="3"/>
    <n v="2.4281439393939395"/>
    <x v="20"/>
    <x v="0"/>
    <x v="3"/>
    <x v="3"/>
    <x v="1"/>
    <x v="0"/>
    <x v="0"/>
    <x v="0"/>
    <x v="1"/>
    <x v="1"/>
    <x v="1"/>
    <x v="1"/>
    <x v="1"/>
    <x v="5"/>
    <x v="2"/>
    <x v="2"/>
    <x v="0"/>
    <x v="0"/>
    <x v="1"/>
    <x v="1"/>
    <x v="1"/>
    <x v="1"/>
    <x v="1"/>
    <x v="0"/>
    <x v="1"/>
  </r>
  <r>
    <x v="5"/>
    <x v="36"/>
    <x v="0"/>
    <x v="0"/>
    <x v="0"/>
    <x v="76"/>
    <x v="0"/>
    <x v="2"/>
    <x v="56"/>
    <x v="2"/>
    <x v="1"/>
    <n v="2.8135444286616162"/>
    <x v="20"/>
    <x v="0"/>
    <x v="3"/>
    <x v="3"/>
    <x v="1"/>
    <x v="0"/>
    <x v="0"/>
    <x v="0"/>
    <x v="1"/>
    <x v="1"/>
    <x v="1"/>
    <x v="1"/>
    <x v="1"/>
    <x v="5"/>
    <x v="2"/>
    <x v="2"/>
    <x v="0"/>
    <x v="0"/>
    <x v="1"/>
    <x v="1"/>
    <x v="1"/>
    <x v="1"/>
    <x v="1"/>
    <x v="0"/>
    <x v="1"/>
  </r>
  <r>
    <x v="5"/>
    <x v="36"/>
    <x v="0"/>
    <x v="0"/>
    <x v="0"/>
    <x v="76"/>
    <x v="0"/>
    <x v="2"/>
    <x v="56"/>
    <x v="2"/>
    <x v="3"/>
    <n v="2.4281439393939395"/>
    <x v="20"/>
    <x v="0"/>
    <x v="3"/>
    <x v="3"/>
    <x v="1"/>
    <x v="0"/>
    <x v="0"/>
    <x v="0"/>
    <x v="1"/>
    <x v="1"/>
    <x v="1"/>
    <x v="1"/>
    <x v="1"/>
    <x v="5"/>
    <x v="2"/>
    <x v="2"/>
    <x v="0"/>
    <x v="0"/>
    <x v="1"/>
    <x v="1"/>
    <x v="1"/>
    <x v="1"/>
    <x v="1"/>
    <x v="0"/>
    <x v="1"/>
  </r>
  <r>
    <x v="5"/>
    <x v="36"/>
    <x v="0"/>
    <x v="0"/>
    <x v="0"/>
    <x v="76"/>
    <x v="0"/>
    <x v="2"/>
    <x v="56"/>
    <x v="1"/>
    <x v="3"/>
    <n v="4.2335353535353537"/>
    <x v="21"/>
    <x v="1"/>
    <x v="3"/>
    <x v="3"/>
    <x v="1"/>
    <x v="0"/>
    <x v="0"/>
    <x v="0"/>
    <x v="1"/>
    <x v="1"/>
    <x v="1"/>
    <x v="1"/>
    <x v="1"/>
    <x v="5"/>
    <x v="2"/>
    <x v="2"/>
    <x v="0"/>
    <x v="0"/>
    <x v="1"/>
    <x v="1"/>
    <x v="1"/>
    <x v="1"/>
    <x v="1"/>
    <x v="0"/>
    <x v="1"/>
  </r>
  <r>
    <x v="5"/>
    <x v="36"/>
    <x v="0"/>
    <x v="0"/>
    <x v="0"/>
    <x v="76"/>
    <x v="0"/>
    <x v="2"/>
    <x v="56"/>
    <x v="1"/>
    <x v="1"/>
    <n v="4.9549494949494948"/>
    <x v="21"/>
    <x v="1"/>
    <x v="3"/>
    <x v="3"/>
    <x v="1"/>
    <x v="0"/>
    <x v="0"/>
    <x v="0"/>
    <x v="1"/>
    <x v="1"/>
    <x v="1"/>
    <x v="1"/>
    <x v="1"/>
    <x v="5"/>
    <x v="2"/>
    <x v="2"/>
    <x v="0"/>
    <x v="0"/>
    <x v="1"/>
    <x v="1"/>
    <x v="1"/>
    <x v="1"/>
    <x v="1"/>
    <x v="0"/>
    <x v="1"/>
  </r>
  <r>
    <x v="5"/>
    <x v="36"/>
    <x v="0"/>
    <x v="0"/>
    <x v="0"/>
    <x v="76"/>
    <x v="0"/>
    <x v="2"/>
    <x v="56"/>
    <x v="2"/>
    <x v="2"/>
    <n v="2.8197914693813133"/>
    <x v="20"/>
    <x v="0"/>
    <x v="3"/>
    <x v="3"/>
    <x v="1"/>
    <x v="0"/>
    <x v="0"/>
    <x v="0"/>
    <x v="1"/>
    <x v="1"/>
    <x v="1"/>
    <x v="1"/>
    <x v="1"/>
    <x v="5"/>
    <x v="2"/>
    <x v="2"/>
    <x v="0"/>
    <x v="0"/>
    <x v="1"/>
    <x v="1"/>
    <x v="1"/>
    <x v="1"/>
    <x v="1"/>
    <x v="0"/>
    <x v="1"/>
  </r>
  <r>
    <x v="5"/>
    <x v="36"/>
    <x v="0"/>
    <x v="0"/>
    <x v="0"/>
    <x v="76"/>
    <x v="0"/>
    <x v="2"/>
    <x v="56"/>
    <x v="0"/>
    <x v="0"/>
    <n v="0.99999528685001404"/>
    <x v="12"/>
    <x v="0"/>
    <x v="3"/>
    <x v="3"/>
    <x v="1"/>
    <x v="0"/>
    <x v="0"/>
    <x v="0"/>
    <x v="1"/>
    <x v="1"/>
    <x v="1"/>
    <x v="1"/>
    <x v="1"/>
    <x v="5"/>
    <x v="2"/>
    <x v="2"/>
    <x v="0"/>
    <x v="0"/>
    <x v="1"/>
    <x v="1"/>
    <x v="1"/>
    <x v="1"/>
    <x v="1"/>
    <x v="0"/>
    <x v="1"/>
  </r>
  <r>
    <x v="5"/>
    <x v="36"/>
    <x v="0"/>
    <x v="0"/>
    <x v="0"/>
    <x v="76"/>
    <x v="0"/>
    <x v="2"/>
    <x v="56"/>
    <x v="0"/>
    <x v="3"/>
    <n v="0.99999537576328612"/>
    <x v="12"/>
    <x v="0"/>
    <x v="3"/>
    <x v="3"/>
    <x v="1"/>
    <x v="0"/>
    <x v="0"/>
    <x v="0"/>
    <x v="1"/>
    <x v="1"/>
    <x v="1"/>
    <x v="1"/>
    <x v="1"/>
    <x v="5"/>
    <x v="2"/>
    <x v="2"/>
    <x v="0"/>
    <x v="0"/>
    <x v="1"/>
    <x v="1"/>
    <x v="1"/>
    <x v="1"/>
    <x v="1"/>
    <x v="0"/>
    <x v="1"/>
  </r>
  <r>
    <x v="5"/>
    <x v="36"/>
    <x v="0"/>
    <x v="0"/>
    <x v="0"/>
    <x v="76"/>
    <x v="0"/>
    <x v="2"/>
    <x v="56"/>
    <x v="0"/>
    <x v="3"/>
    <n v="0.99999537576328612"/>
    <x v="12"/>
    <x v="0"/>
    <x v="3"/>
    <x v="3"/>
    <x v="1"/>
    <x v="0"/>
    <x v="0"/>
    <x v="0"/>
    <x v="1"/>
    <x v="1"/>
    <x v="1"/>
    <x v="1"/>
    <x v="1"/>
    <x v="5"/>
    <x v="2"/>
    <x v="2"/>
    <x v="0"/>
    <x v="0"/>
    <x v="1"/>
    <x v="1"/>
    <x v="1"/>
    <x v="1"/>
    <x v="1"/>
    <x v="0"/>
    <x v="1"/>
  </r>
  <r>
    <x v="5"/>
    <x v="36"/>
    <x v="0"/>
    <x v="0"/>
    <x v="0"/>
    <x v="76"/>
    <x v="0"/>
    <x v="2"/>
    <x v="56"/>
    <x v="2"/>
    <x v="2"/>
    <n v="2.8197914693813133"/>
    <x v="20"/>
    <x v="0"/>
    <x v="3"/>
    <x v="3"/>
    <x v="1"/>
    <x v="0"/>
    <x v="0"/>
    <x v="0"/>
    <x v="1"/>
    <x v="1"/>
    <x v="1"/>
    <x v="1"/>
    <x v="1"/>
    <x v="5"/>
    <x v="2"/>
    <x v="2"/>
    <x v="0"/>
    <x v="0"/>
    <x v="1"/>
    <x v="1"/>
    <x v="1"/>
    <x v="1"/>
    <x v="1"/>
    <x v="0"/>
    <x v="1"/>
  </r>
  <r>
    <x v="5"/>
    <x v="36"/>
    <x v="0"/>
    <x v="0"/>
    <x v="0"/>
    <x v="76"/>
    <x v="0"/>
    <x v="2"/>
    <x v="56"/>
    <x v="0"/>
    <x v="2"/>
    <n v="0.99999519393901637"/>
    <x v="12"/>
    <x v="0"/>
    <x v="3"/>
    <x v="3"/>
    <x v="1"/>
    <x v="0"/>
    <x v="0"/>
    <x v="0"/>
    <x v="1"/>
    <x v="1"/>
    <x v="1"/>
    <x v="1"/>
    <x v="1"/>
    <x v="5"/>
    <x v="2"/>
    <x v="2"/>
    <x v="0"/>
    <x v="0"/>
    <x v="1"/>
    <x v="1"/>
    <x v="1"/>
    <x v="1"/>
    <x v="1"/>
    <x v="0"/>
    <x v="1"/>
  </r>
  <r>
    <x v="5"/>
    <x v="36"/>
    <x v="0"/>
    <x v="0"/>
    <x v="0"/>
    <x v="76"/>
    <x v="0"/>
    <x v="2"/>
    <x v="56"/>
    <x v="0"/>
    <x v="1"/>
    <n v="0.99999545858363903"/>
    <x v="12"/>
    <x v="0"/>
    <x v="3"/>
    <x v="3"/>
    <x v="1"/>
    <x v="0"/>
    <x v="0"/>
    <x v="0"/>
    <x v="1"/>
    <x v="1"/>
    <x v="1"/>
    <x v="1"/>
    <x v="1"/>
    <x v="5"/>
    <x v="2"/>
    <x v="2"/>
    <x v="0"/>
    <x v="0"/>
    <x v="1"/>
    <x v="1"/>
    <x v="1"/>
    <x v="1"/>
    <x v="1"/>
    <x v="0"/>
    <x v="1"/>
  </r>
  <r>
    <x v="5"/>
    <x v="36"/>
    <x v="0"/>
    <x v="0"/>
    <x v="0"/>
    <x v="76"/>
    <x v="0"/>
    <x v="2"/>
    <x v="56"/>
    <x v="1"/>
    <x v="0"/>
    <n v="4.6856565656565659"/>
    <x v="21"/>
    <x v="1"/>
    <x v="3"/>
    <x v="3"/>
    <x v="1"/>
    <x v="0"/>
    <x v="0"/>
    <x v="0"/>
    <x v="1"/>
    <x v="1"/>
    <x v="1"/>
    <x v="1"/>
    <x v="1"/>
    <x v="5"/>
    <x v="2"/>
    <x v="2"/>
    <x v="0"/>
    <x v="0"/>
    <x v="1"/>
    <x v="1"/>
    <x v="1"/>
    <x v="1"/>
    <x v="1"/>
    <x v="0"/>
    <x v="1"/>
  </r>
  <r>
    <x v="5"/>
    <x v="36"/>
    <x v="0"/>
    <x v="0"/>
    <x v="0"/>
    <x v="76"/>
    <x v="0"/>
    <x v="2"/>
    <x v="56"/>
    <x v="0"/>
    <x v="1"/>
    <n v="0.99999545858363903"/>
    <x v="12"/>
    <x v="0"/>
    <x v="3"/>
    <x v="3"/>
    <x v="1"/>
    <x v="0"/>
    <x v="0"/>
    <x v="0"/>
    <x v="1"/>
    <x v="1"/>
    <x v="1"/>
    <x v="1"/>
    <x v="1"/>
    <x v="5"/>
    <x v="2"/>
    <x v="2"/>
    <x v="0"/>
    <x v="0"/>
    <x v="1"/>
    <x v="1"/>
    <x v="1"/>
    <x v="1"/>
    <x v="1"/>
    <x v="0"/>
    <x v="1"/>
  </r>
  <r>
    <x v="5"/>
    <x v="36"/>
    <x v="0"/>
    <x v="0"/>
    <x v="0"/>
    <x v="76"/>
    <x v="0"/>
    <x v="2"/>
    <x v="56"/>
    <x v="1"/>
    <x v="0"/>
    <n v="4.6856565656565659"/>
    <x v="21"/>
    <x v="1"/>
    <x v="3"/>
    <x v="3"/>
    <x v="1"/>
    <x v="0"/>
    <x v="0"/>
    <x v="0"/>
    <x v="1"/>
    <x v="1"/>
    <x v="1"/>
    <x v="1"/>
    <x v="1"/>
    <x v="5"/>
    <x v="2"/>
    <x v="2"/>
    <x v="0"/>
    <x v="0"/>
    <x v="1"/>
    <x v="1"/>
    <x v="1"/>
    <x v="1"/>
    <x v="1"/>
    <x v="0"/>
    <x v="1"/>
  </r>
  <r>
    <x v="5"/>
    <x v="36"/>
    <x v="0"/>
    <x v="0"/>
    <x v="0"/>
    <x v="76"/>
    <x v="0"/>
    <x v="2"/>
    <x v="56"/>
    <x v="0"/>
    <x v="0"/>
    <n v="0.99999528685001404"/>
    <x v="12"/>
    <x v="0"/>
    <x v="3"/>
    <x v="3"/>
    <x v="1"/>
    <x v="0"/>
    <x v="0"/>
    <x v="0"/>
    <x v="1"/>
    <x v="1"/>
    <x v="1"/>
    <x v="1"/>
    <x v="1"/>
    <x v="5"/>
    <x v="2"/>
    <x v="2"/>
    <x v="0"/>
    <x v="0"/>
    <x v="1"/>
    <x v="1"/>
    <x v="1"/>
    <x v="1"/>
    <x v="1"/>
    <x v="0"/>
    <x v="1"/>
  </r>
  <r>
    <x v="5"/>
    <x v="36"/>
    <x v="0"/>
    <x v="0"/>
    <x v="0"/>
    <x v="76"/>
    <x v="0"/>
    <x v="2"/>
    <x v="56"/>
    <x v="1"/>
    <x v="1"/>
    <n v="4.9549494949494948"/>
    <x v="21"/>
    <x v="1"/>
    <x v="3"/>
    <x v="3"/>
    <x v="1"/>
    <x v="0"/>
    <x v="0"/>
    <x v="0"/>
    <x v="1"/>
    <x v="1"/>
    <x v="1"/>
    <x v="1"/>
    <x v="1"/>
    <x v="5"/>
    <x v="2"/>
    <x v="2"/>
    <x v="0"/>
    <x v="0"/>
    <x v="1"/>
    <x v="1"/>
    <x v="1"/>
    <x v="1"/>
    <x v="1"/>
    <x v="0"/>
    <x v="1"/>
  </r>
  <r>
    <x v="5"/>
    <x v="36"/>
    <x v="0"/>
    <x v="0"/>
    <x v="0"/>
    <x v="76"/>
    <x v="0"/>
    <x v="2"/>
    <x v="56"/>
    <x v="1"/>
    <x v="2"/>
    <n v="4.9585858585858587"/>
    <x v="21"/>
    <x v="1"/>
    <x v="3"/>
    <x v="3"/>
    <x v="1"/>
    <x v="0"/>
    <x v="0"/>
    <x v="0"/>
    <x v="1"/>
    <x v="1"/>
    <x v="1"/>
    <x v="1"/>
    <x v="1"/>
    <x v="5"/>
    <x v="2"/>
    <x v="2"/>
    <x v="0"/>
    <x v="0"/>
    <x v="1"/>
    <x v="1"/>
    <x v="1"/>
    <x v="1"/>
    <x v="1"/>
    <x v="0"/>
    <x v="1"/>
  </r>
  <r>
    <x v="5"/>
    <x v="36"/>
    <x v="0"/>
    <x v="0"/>
    <x v="0"/>
    <x v="76"/>
    <x v="0"/>
    <x v="2"/>
    <x v="56"/>
    <x v="1"/>
    <x v="0"/>
    <n v="4.6856565656565659"/>
    <x v="21"/>
    <x v="1"/>
    <x v="3"/>
    <x v="3"/>
    <x v="1"/>
    <x v="0"/>
    <x v="0"/>
    <x v="0"/>
    <x v="1"/>
    <x v="1"/>
    <x v="1"/>
    <x v="1"/>
    <x v="1"/>
    <x v="5"/>
    <x v="2"/>
    <x v="2"/>
    <x v="0"/>
    <x v="0"/>
    <x v="1"/>
    <x v="1"/>
    <x v="1"/>
    <x v="1"/>
    <x v="1"/>
    <x v="0"/>
    <x v="1"/>
  </r>
  <r>
    <x v="5"/>
    <x v="36"/>
    <x v="0"/>
    <x v="0"/>
    <x v="0"/>
    <x v="76"/>
    <x v="0"/>
    <x v="2"/>
    <x v="56"/>
    <x v="0"/>
    <x v="0"/>
    <n v="0.99999528685001404"/>
    <x v="12"/>
    <x v="0"/>
    <x v="3"/>
    <x v="3"/>
    <x v="1"/>
    <x v="0"/>
    <x v="0"/>
    <x v="0"/>
    <x v="1"/>
    <x v="1"/>
    <x v="1"/>
    <x v="1"/>
    <x v="1"/>
    <x v="5"/>
    <x v="2"/>
    <x v="2"/>
    <x v="0"/>
    <x v="0"/>
    <x v="1"/>
    <x v="1"/>
    <x v="1"/>
    <x v="1"/>
    <x v="1"/>
    <x v="0"/>
    <x v="1"/>
  </r>
  <r>
    <x v="5"/>
    <x v="36"/>
    <x v="0"/>
    <x v="0"/>
    <x v="0"/>
    <x v="76"/>
    <x v="0"/>
    <x v="2"/>
    <x v="56"/>
    <x v="2"/>
    <x v="3"/>
    <n v="2.4281439393939395"/>
    <x v="20"/>
    <x v="0"/>
    <x v="3"/>
    <x v="3"/>
    <x v="1"/>
    <x v="0"/>
    <x v="0"/>
    <x v="0"/>
    <x v="1"/>
    <x v="1"/>
    <x v="1"/>
    <x v="1"/>
    <x v="1"/>
    <x v="5"/>
    <x v="2"/>
    <x v="2"/>
    <x v="0"/>
    <x v="0"/>
    <x v="1"/>
    <x v="1"/>
    <x v="1"/>
    <x v="1"/>
    <x v="1"/>
    <x v="0"/>
    <x v="1"/>
  </r>
  <r>
    <x v="5"/>
    <x v="36"/>
    <x v="0"/>
    <x v="0"/>
    <x v="0"/>
    <x v="76"/>
    <x v="0"/>
    <x v="2"/>
    <x v="56"/>
    <x v="1"/>
    <x v="3"/>
    <n v="4.2335353535353537"/>
    <x v="21"/>
    <x v="1"/>
    <x v="3"/>
    <x v="3"/>
    <x v="1"/>
    <x v="0"/>
    <x v="0"/>
    <x v="0"/>
    <x v="1"/>
    <x v="1"/>
    <x v="1"/>
    <x v="1"/>
    <x v="1"/>
    <x v="5"/>
    <x v="2"/>
    <x v="2"/>
    <x v="0"/>
    <x v="0"/>
    <x v="1"/>
    <x v="1"/>
    <x v="1"/>
    <x v="1"/>
    <x v="1"/>
    <x v="0"/>
    <x v="1"/>
  </r>
  <r>
    <x v="5"/>
    <x v="36"/>
    <x v="0"/>
    <x v="0"/>
    <x v="0"/>
    <x v="76"/>
    <x v="0"/>
    <x v="2"/>
    <x v="56"/>
    <x v="1"/>
    <x v="2"/>
    <n v="4.9585858585858587"/>
    <x v="21"/>
    <x v="1"/>
    <x v="3"/>
    <x v="3"/>
    <x v="1"/>
    <x v="0"/>
    <x v="0"/>
    <x v="0"/>
    <x v="1"/>
    <x v="1"/>
    <x v="1"/>
    <x v="1"/>
    <x v="1"/>
    <x v="5"/>
    <x v="2"/>
    <x v="2"/>
    <x v="0"/>
    <x v="0"/>
    <x v="1"/>
    <x v="1"/>
    <x v="1"/>
    <x v="1"/>
    <x v="1"/>
    <x v="0"/>
    <x v="1"/>
  </r>
  <r>
    <x v="5"/>
    <x v="36"/>
    <x v="0"/>
    <x v="0"/>
    <x v="0"/>
    <x v="76"/>
    <x v="0"/>
    <x v="2"/>
    <x v="56"/>
    <x v="1"/>
    <x v="1"/>
    <n v="4.9549494949494948"/>
    <x v="21"/>
    <x v="1"/>
    <x v="3"/>
    <x v="3"/>
    <x v="1"/>
    <x v="0"/>
    <x v="0"/>
    <x v="0"/>
    <x v="1"/>
    <x v="1"/>
    <x v="1"/>
    <x v="1"/>
    <x v="1"/>
    <x v="5"/>
    <x v="2"/>
    <x v="2"/>
    <x v="0"/>
    <x v="0"/>
    <x v="1"/>
    <x v="1"/>
    <x v="1"/>
    <x v="1"/>
    <x v="1"/>
    <x v="0"/>
    <x v="1"/>
  </r>
  <r>
    <x v="5"/>
    <x v="36"/>
    <x v="0"/>
    <x v="0"/>
    <x v="0"/>
    <x v="76"/>
    <x v="0"/>
    <x v="2"/>
    <x v="56"/>
    <x v="1"/>
    <x v="0"/>
    <n v="4.6856565656565659"/>
    <x v="21"/>
    <x v="1"/>
    <x v="3"/>
    <x v="3"/>
    <x v="1"/>
    <x v="0"/>
    <x v="0"/>
    <x v="0"/>
    <x v="1"/>
    <x v="1"/>
    <x v="1"/>
    <x v="1"/>
    <x v="1"/>
    <x v="5"/>
    <x v="2"/>
    <x v="2"/>
    <x v="0"/>
    <x v="0"/>
    <x v="1"/>
    <x v="1"/>
    <x v="1"/>
    <x v="1"/>
    <x v="1"/>
    <x v="0"/>
    <x v="1"/>
  </r>
  <r>
    <x v="5"/>
    <x v="36"/>
    <x v="0"/>
    <x v="0"/>
    <x v="0"/>
    <x v="76"/>
    <x v="0"/>
    <x v="2"/>
    <x v="56"/>
    <x v="2"/>
    <x v="3"/>
    <n v="2.4281439393939395"/>
    <x v="20"/>
    <x v="0"/>
    <x v="3"/>
    <x v="3"/>
    <x v="1"/>
    <x v="0"/>
    <x v="0"/>
    <x v="0"/>
    <x v="1"/>
    <x v="1"/>
    <x v="1"/>
    <x v="1"/>
    <x v="1"/>
    <x v="5"/>
    <x v="2"/>
    <x v="2"/>
    <x v="0"/>
    <x v="0"/>
    <x v="1"/>
    <x v="1"/>
    <x v="1"/>
    <x v="1"/>
    <x v="1"/>
    <x v="0"/>
    <x v="1"/>
  </r>
  <r>
    <x v="5"/>
    <x v="36"/>
    <x v="0"/>
    <x v="0"/>
    <x v="0"/>
    <x v="76"/>
    <x v="0"/>
    <x v="2"/>
    <x v="56"/>
    <x v="2"/>
    <x v="1"/>
    <n v="2.8135444286616162"/>
    <x v="20"/>
    <x v="0"/>
    <x v="3"/>
    <x v="3"/>
    <x v="1"/>
    <x v="0"/>
    <x v="0"/>
    <x v="0"/>
    <x v="1"/>
    <x v="1"/>
    <x v="1"/>
    <x v="1"/>
    <x v="1"/>
    <x v="5"/>
    <x v="2"/>
    <x v="2"/>
    <x v="0"/>
    <x v="0"/>
    <x v="1"/>
    <x v="1"/>
    <x v="1"/>
    <x v="1"/>
    <x v="1"/>
    <x v="0"/>
    <x v="1"/>
  </r>
  <r>
    <x v="5"/>
    <x v="36"/>
    <x v="0"/>
    <x v="0"/>
    <x v="0"/>
    <x v="76"/>
    <x v="0"/>
    <x v="2"/>
    <x v="56"/>
    <x v="0"/>
    <x v="1"/>
    <n v="0.99999545858363903"/>
    <x v="12"/>
    <x v="0"/>
    <x v="3"/>
    <x v="3"/>
    <x v="1"/>
    <x v="0"/>
    <x v="0"/>
    <x v="0"/>
    <x v="1"/>
    <x v="1"/>
    <x v="1"/>
    <x v="1"/>
    <x v="1"/>
    <x v="5"/>
    <x v="2"/>
    <x v="2"/>
    <x v="0"/>
    <x v="0"/>
    <x v="1"/>
    <x v="1"/>
    <x v="1"/>
    <x v="1"/>
    <x v="1"/>
    <x v="0"/>
    <x v="1"/>
  </r>
  <r>
    <x v="5"/>
    <x v="36"/>
    <x v="0"/>
    <x v="0"/>
    <x v="0"/>
    <x v="76"/>
    <x v="0"/>
    <x v="2"/>
    <x v="56"/>
    <x v="0"/>
    <x v="2"/>
    <n v="0.99999519393901637"/>
    <x v="12"/>
    <x v="0"/>
    <x v="3"/>
    <x v="3"/>
    <x v="1"/>
    <x v="0"/>
    <x v="0"/>
    <x v="0"/>
    <x v="1"/>
    <x v="1"/>
    <x v="1"/>
    <x v="1"/>
    <x v="1"/>
    <x v="5"/>
    <x v="2"/>
    <x v="2"/>
    <x v="0"/>
    <x v="0"/>
    <x v="1"/>
    <x v="1"/>
    <x v="1"/>
    <x v="1"/>
    <x v="1"/>
    <x v="0"/>
    <x v="1"/>
  </r>
  <r>
    <x v="5"/>
    <x v="36"/>
    <x v="0"/>
    <x v="0"/>
    <x v="0"/>
    <x v="76"/>
    <x v="0"/>
    <x v="2"/>
    <x v="56"/>
    <x v="1"/>
    <x v="2"/>
    <n v="4.9585858585858587"/>
    <x v="21"/>
    <x v="1"/>
    <x v="3"/>
    <x v="3"/>
    <x v="1"/>
    <x v="0"/>
    <x v="0"/>
    <x v="0"/>
    <x v="1"/>
    <x v="1"/>
    <x v="1"/>
    <x v="1"/>
    <x v="1"/>
    <x v="5"/>
    <x v="2"/>
    <x v="2"/>
    <x v="0"/>
    <x v="0"/>
    <x v="1"/>
    <x v="1"/>
    <x v="1"/>
    <x v="1"/>
    <x v="1"/>
    <x v="0"/>
    <x v="1"/>
  </r>
  <r>
    <x v="5"/>
    <x v="36"/>
    <x v="0"/>
    <x v="0"/>
    <x v="0"/>
    <x v="76"/>
    <x v="0"/>
    <x v="2"/>
    <x v="56"/>
    <x v="2"/>
    <x v="0"/>
    <n v="2.7545152698863635"/>
    <x v="20"/>
    <x v="0"/>
    <x v="3"/>
    <x v="3"/>
    <x v="1"/>
    <x v="0"/>
    <x v="0"/>
    <x v="0"/>
    <x v="1"/>
    <x v="1"/>
    <x v="1"/>
    <x v="1"/>
    <x v="1"/>
    <x v="5"/>
    <x v="2"/>
    <x v="2"/>
    <x v="0"/>
    <x v="0"/>
    <x v="1"/>
    <x v="1"/>
    <x v="1"/>
    <x v="1"/>
    <x v="1"/>
    <x v="0"/>
    <x v="1"/>
  </r>
  <r>
    <x v="5"/>
    <x v="36"/>
    <x v="0"/>
    <x v="0"/>
    <x v="0"/>
    <x v="76"/>
    <x v="0"/>
    <x v="2"/>
    <x v="56"/>
    <x v="0"/>
    <x v="2"/>
    <n v="0.99999519393901637"/>
    <x v="12"/>
    <x v="0"/>
    <x v="3"/>
    <x v="3"/>
    <x v="1"/>
    <x v="0"/>
    <x v="0"/>
    <x v="0"/>
    <x v="1"/>
    <x v="1"/>
    <x v="1"/>
    <x v="1"/>
    <x v="1"/>
    <x v="5"/>
    <x v="2"/>
    <x v="2"/>
    <x v="0"/>
    <x v="0"/>
    <x v="1"/>
    <x v="1"/>
    <x v="1"/>
    <x v="1"/>
    <x v="1"/>
    <x v="0"/>
    <x v="1"/>
  </r>
  <r>
    <x v="5"/>
    <x v="36"/>
    <x v="0"/>
    <x v="0"/>
    <x v="0"/>
    <x v="76"/>
    <x v="0"/>
    <x v="2"/>
    <x v="56"/>
    <x v="0"/>
    <x v="1"/>
    <n v="0.99999545858363903"/>
    <x v="12"/>
    <x v="0"/>
    <x v="3"/>
    <x v="3"/>
    <x v="1"/>
    <x v="0"/>
    <x v="0"/>
    <x v="0"/>
    <x v="1"/>
    <x v="1"/>
    <x v="1"/>
    <x v="1"/>
    <x v="1"/>
    <x v="5"/>
    <x v="2"/>
    <x v="2"/>
    <x v="0"/>
    <x v="0"/>
    <x v="1"/>
    <x v="1"/>
    <x v="1"/>
    <x v="1"/>
    <x v="1"/>
    <x v="0"/>
    <x v="1"/>
  </r>
  <r>
    <x v="5"/>
    <x v="36"/>
    <x v="0"/>
    <x v="0"/>
    <x v="0"/>
    <x v="76"/>
    <x v="0"/>
    <x v="2"/>
    <x v="56"/>
    <x v="0"/>
    <x v="0"/>
    <n v="0.99999528685001404"/>
    <x v="12"/>
    <x v="0"/>
    <x v="3"/>
    <x v="3"/>
    <x v="1"/>
    <x v="0"/>
    <x v="0"/>
    <x v="0"/>
    <x v="1"/>
    <x v="1"/>
    <x v="1"/>
    <x v="1"/>
    <x v="1"/>
    <x v="5"/>
    <x v="2"/>
    <x v="2"/>
    <x v="0"/>
    <x v="0"/>
    <x v="1"/>
    <x v="1"/>
    <x v="1"/>
    <x v="1"/>
    <x v="1"/>
    <x v="0"/>
    <x v="1"/>
  </r>
  <r>
    <x v="5"/>
    <x v="36"/>
    <x v="0"/>
    <x v="0"/>
    <x v="0"/>
    <x v="76"/>
    <x v="0"/>
    <x v="2"/>
    <x v="56"/>
    <x v="1"/>
    <x v="3"/>
    <n v="4.2335353535353537"/>
    <x v="21"/>
    <x v="1"/>
    <x v="3"/>
    <x v="3"/>
    <x v="1"/>
    <x v="0"/>
    <x v="0"/>
    <x v="0"/>
    <x v="1"/>
    <x v="1"/>
    <x v="1"/>
    <x v="1"/>
    <x v="1"/>
    <x v="5"/>
    <x v="2"/>
    <x v="2"/>
    <x v="0"/>
    <x v="0"/>
    <x v="1"/>
    <x v="1"/>
    <x v="1"/>
    <x v="1"/>
    <x v="1"/>
    <x v="0"/>
    <x v="1"/>
  </r>
  <r>
    <x v="5"/>
    <x v="36"/>
    <x v="0"/>
    <x v="0"/>
    <x v="0"/>
    <x v="76"/>
    <x v="0"/>
    <x v="2"/>
    <x v="56"/>
    <x v="0"/>
    <x v="3"/>
    <n v="0.99999537576328612"/>
    <x v="12"/>
    <x v="0"/>
    <x v="3"/>
    <x v="3"/>
    <x v="1"/>
    <x v="0"/>
    <x v="0"/>
    <x v="0"/>
    <x v="1"/>
    <x v="1"/>
    <x v="1"/>
    <x v="1"/>
    <x v="1"/>
    <x v="5"/>
    <x v="2"/>
    <x v="2"/>
    <x v="0"/>
    <x v="0"/>
    <x v="1"/>
    <x v="1"/>
    <x v="1"/>
    <x v="1"/>
    <x v="1"/>
    <x v="0"/>
    <x v="1"/>
  </r>
  <r>
    <x v="5"/>
    <x v="36"/>
    <x v="0"/>
    <x v="0"/>
    <x v="0"/>
    <x v="76"/>
    <x v="0"/>
    <x v="2"/>
    <x v="56"/>
    <x v="0"/>
    <x v="1"/>
    <n v="0.99999545858363903"/>
    <x v="12"/>
    <x v="0"/>
    <x v="3"/>
    <x v="3"/>
    <x v="1"/>
    <x v="0"/>
    <x v="0"/>
    <x v="0"/>
    <x v="1"/>
    <x v="1"/>
    <x v="1"/>
    <x v="1"/>
    <x v="1"/>
    <x v="5"/>
    <x v="2"/>
    <x v="2"/>
    <x v="0"/>
    <x v="0"/>
    <x v="1"/>
    <x v="1"/>
    <x v="1"/>
    <x v="1"/>
    <x v="1"/>
    <x v="0"/>
    <x v="1"/>
  </r>
  <r>
    <x v="5"/>
    <x v="36"/>
    <x v="0"/>
    <x v="0"/>
    <x v="0"/>
    <x v="76"/>
    <x v="0"/>
    <x v="2"/>
    <x v="56"/>
    <x v="0"/>
    <x v="3"/>
    <n v="0.99999537576328612"/>
    <x v="12"/>
    <x v="0"/>
    <x v="3"/>
    <x v="3"/>
    <x v="1"/>
    <x v="0"/>
    <x v="0"/>
    <x v="0"/>
    <x v="1"/>
    <x v="1"/>
    <x v="1"/>
    <x v="1"/>
    <x v="1"/>
    <x v="5"/>
    <x v="2"/>
    <x v="2"/>
    <x v="0"/>
    <x v="0"/>
    <x v="1"/>
    <x v="1"/>
    <x v="1"/>
    <x v="1"/>
    <x v="1"/>
    <x v="0"/>
    <x v="1"/>
  </r>
  <r>
    <x v="5"/>
    <x v="36"/>
    <x v="0"/>
    <x v="0"/>
    <x v="0"/>
    <x v="76"/>
    <x v="0"/>
    <x v="2"/>
    <x v="56"/>
    <x v="1"/>
    <x v="3"/>
    <n v="4.2335353535353537"/>
    <x v="21"/>
    <x v="1"/>
    <x v="3"/>
    <x v="3"/>
    <x v="1"/>
    <x v="0"/>
    <x v="0"/>
    <x v="0"/>
    <x v="1"/>
    <x v="1"/>
    <x v="1"/>
    <x v="1"/>
    <x v="1"/>
    <x v="5"/>
    <x v="2"/>
    <x v="2"/>
    <x v="0"/>
    <x v="0"/>
    <x v="1"/>
    <x v="1"/>
    <x v="1"/>
    <x v="1"/>
    <x v="1"/>
    <x v="0"/>
    <x v="1"/>
  </r>
  <r>
    <x v="5"/>
    <x v="36"/>
    <x v="0"/>
    <x v="0"/>
    <x v="0"/>
    <x v="76"/>
    <x v="0"/>
    <x v="2"/>
    <x v="56"/>
    <x v="2"/>
    <x v="1"/>
    <n v="2.8135444286616162"/>
    <x v="20"/>
    <x v="0"/>
    <x v="3"/>
    <x v="3"/>
    <x v="1"/>
    <x v="0"/>
    <x v="0"/>
    <x v="0"/>
    <x v="1"/>
    <x v="1"/>
    <x v="1"/>
    <x v="1"/>
    <x v="1"/>
    <x v="5"/>
    <x v="2"/>
    <x v="2"/>
    <x v="0"/>
    <x v="0"/>
    <x v="1"/>
    <x v="1"/>
    <x v="1"/>
    <x v="1"/>
    <x v="1"/>
    <x v="0"/>
    <x v="1"/>
  </r>
  <r>
    <x v="5"/>
    <x v="36"/>
    <x v="0"/>
    <x v="0"/>
    <x v="0"/>
    <x v="76"/>
    <x v="0"/>
    <x v="2"/>
    <x v="56"/>
    <x v="1"/>
    <x v="1"/>
    <n v="4.9549494949494948"/>
    <x v="21"/>
    <x v="1"/>
    <x v="3"/>
    <x v="3"/>
    <x v="1"/>
    <x v="0"/>
    <x v="0"/>
    <x v="0"/>
    <x v="1"/>
    <x v="1"/>
    <x v="1"/>
    <x v="1"/>
    <x v="1"/>
    <x v="5"/>
    <x v="2"/>
    <x v="2"/>
    <x v="0"/>
    <x v="0"/>
    <x v="1"/>
    <x v="1"/>
    <x v="1"/>
    <x v="1"/>
    <x v="1"/>
    <x v="0"/>
    <x v="1"/>
  </r>
  <r>
    <x v="5"/>
    <x v="36"/>
    <x v="0"/>
    <x v="0"/>
    <x v="0"/>
    <x v="76"/>
    <x v="0"/>
    <x v="2"/>
    <x v="56"/>
    <x v="1"/>
    <x v="3"/>
    <n v="4.2335353535353537"/>
    <x v="21"/>
    <x v="1"/>
    <x v="3"/>
    <x v="3"/>
    <x v="1"/>
    <x v="0"/>
    <x v="0"/>
    <x v="0"/>
    <x v="1"/>
    <x v="1"/>
    <x v="1"/>
    <x v="1"/>
    <x v="1"/>
    <x v="5"/>
    <x v="2"/>
    <x v="2"/>
    <x v="0"/>
    <x v="0"/>
    <x v="1"/>
    <x v="1"/>
    <x v="1"/>
    <x v="1"/>
    <x v="1"/>
    <x v="0"/>
    <x v="1"/>
  </r>
  <r>
    <x v="5"/>
    <x v="36"/>
    <x v="0"/>
    <x v="0"/>
    <x v="0"/>
    <x v="76"/>
    <x v="0"/>
    <x v="2"/>
    <x v="56"/>
    <x v="2"/>
    <x v="0"/>
    <n v="2.7545152698863635"/>
    <x v="20"/>
    <x v="0"/>
    <x v="3"/>
    <x v="3"/>
    <x v="1"/>
    <x v="0"/>
    <x v="0"/>
    <x v="0"/>
    <x v="1"/>
    <x v="1"/>
    <x v="1"/>
    <x v="1"/>
    <x v="1"/>
    <x v="5"/>
    <x v="2"/>
    <x v="2"/>
    <x v="0"/>
    <x v="0"/>
    <x v="1"/>
    <x v="1"/>
    <x v="1"/>
    <x v="1"/>
    <x v="1"/>
    <x v="0"/>
    <x v="1"/>
  </r>
  <r>
    <x v="5"/>
    <x v="36"/>
    <x v="0"/>
    <x v="0"/>
    <x v="0"/>
    <x v="76"/>
    <x v="0"/>
    <x v="2"/>
    <x v="56"/>
    <x v="1"/>
    <x v="2"/>
    <n v="4.9585858585858587"/>
    <x v="21"/>
    <x v="1"/>
    <x v="3"/>
    <x v="3"/>
    <x v="1"/>
    <x v="0"/>
    <x v="0"/>
    <x v="0"/>
    <x v="1"/>
    <x v="1"/>
    <x v="1"/>
    <x v="1"/>
    <x v="1"/>
    <x v="5"/>
    <x v="2"/>
    <x v="2"/>
    <x v="0"/>
    <x v="0"/>
    <x v="1"/>
    <x v="1"/>
    <x v="1"/>
    <x v="1"/>
    <x v="1"/>
    <x v="0"/>
    <x v="1"/>
  </r>
  <r>
    <x v="5"/>
    <x v="36"/>
    <x v="0"/>
    <x v="0"/>
    <x v="0"/>
    <x v="76"/>
    <x v="0"/>
    <x v="2"/>
    <x v="56"/>
    <x v="2"/>
    <x v="1"/>
    <n v="2.8135444286616162"/>
    <x v="20"/>
    <x v="0"/>
    <x v="3"/>
    <x v="3"/>
    <x v="1"/>
    <x v="0"/>
    <x v="0"/>
    <x v="0"/>
    <x v="1"/>
    <x v="1"/>
    <x v="1"/>
    <x v="1"/>
    <x v="1"/>
    <x v="5"/>
    <x v="2"/>
    <x v="2"/>
    <x v="0"/>
    <x v="0"/>
    <x v="1"/>
    <x v="1"/>
    <x v="1"/>
    <x v="1"/>
    <x v="1"/>
    <x v="0"/>
    <x v="1"/>
  </r>
  <r>
    <x v="5"/>
    <x v="36"/>
    <x v="0"/>
    <x v="0"/>
    <x v="0"/>
    <x v="76"/>
    <x v="0"/>
    <x v="2"/>
    <x v="56"/>
    <x v="1"/>
    <x v="3"/>
    <n v="4.2335353535353537"/>
    <x v="21"/>
    <x v="1"/>
    <x v="3"/>
    <x v="3"/>
    <x v="1"/>
    <x v="0"/>
    <x v="0"/>
    <x v="0"/>
    <x v="1"/>
    <x v="1"/>
    <x v="1"/>
    <x v="1"/>
    <x v="1"/>
    <x v="5"/>
    <x v="2"/>
    <x v="2"/>
    <x v="0"/>
    <x v="0"/>
    <x v="1"/>
    <x v="1"/>
    <x v="1"/>
    <x v="1"/>
    <x v="1"/>
    <x v="0"/>
    <x v="1"/>
  </r>
  <r>
    <x v="5"/>
    <x v="36"/>
    <x v="0"/>
    <x v="0"/>
    <x v="0"/>
    <x v="76"/>
    <x v="0"/>
    <x v="2"/>
    <x v="56"/>
    <x v="2"/>
    <x v="2"/>
    <n v="2.8197914693813133"/>
    <x v="20"/>
    <x v="0"/>
    <x v="3"/>
    <x v="3"/>
    <x v="1"/>
    <x v="0"/>
    <x v="0"/>
    <x v="0"/>
    <x v="1"/>
    <x v="1"/>
    <x v="1"/>
    <x v="1"/>
    <x v="1"/>
    <x v="5"/>
    <x v="2"/>
    <x v="2"/>
    <x v="0"/>
    <x v="0"/>
    <x v="1"/>
    <x v="1"/>
    <x v="1"/>
    <x v="1"/>
    <x v="1"/>
    <x v="0"/>
    <x v="1"/>
  </r>
  <r>
    <x v="5"/>
    <x v="36"/>
    <x v="0"/>
    <x v="0"/>
    <x v="0"/>
    <x v="77"/>
    <x v="0"/>
    <x v="2"/>
    <x v="56"/>
    <x v="2"/>
    <x v="0"/>
    <n v="2.7545152698863635"/>
    <x v="20"/>
    <x v="0"/>
    <x v="3"/>
    <x v="3"/>
    <x v="1"/>
    <x v="0"/>
    <x v="0"/>
    <x v="0"/>
    <x v="1"/>
    <x v="1"/>
    <x v="1"/>
    <x v="1"/>
    <x v="1"/>
    <x v="5"/>
    <x v="4"/>
    <x v="1"/>
    <x v="0"/>
    <x v="0"/>
    <x v="1"/>
    <x v="1"/>
    <x v="1"/>
    <x v="1"/>
    <x v="1"/>
    <x v="0"/>
    <x v="1"/>
  </r>
  <r>
    <x v="5"/>
    <x v="36"/>
    <x v="0"/>
    <x v="0"/>
    <x v="0"/>
    <x v="77"/>
    <x v="0"/>
    <x v="2"/>
    <x v="56"/>
    <x v="1"/>
    <x v="0"/>
    <n v="4.6856565656565659"/>
    <x v="21"/>
    <x v="1"/>
    <x v="3"/>
    <x v="3"/>
    <x v="1"/>
    <x v="0"/>
    <x v="0"/>
    <x v="0"/>
    <x v="1"/>
    <x v="1"/>
    <x v="1"/>
    <x v="1"/>
    <x v="1"/>
    <x v="5"/>
    <x v="4"/>
    <x v="1"/>
    <x v="0"/>
    <x v="0"/>
    <x v="1"/>
    <x v="1"/>
    <x v="1"/>
    <x v="1"/>
    <x v="1"/>
    <x v="0"/>
    <x v="1"/>
  </r>
  <r>
    <x v="5"/>
    <x v="36"/>
    <x v="0"/>
    <x v="0"/>
    <x v="0"/>
    <x v="77"/>
    <x v="0"/>
    <x v="2"/>
    <x v="56"/>
    <x v="2"/>
    <x v="0"/>
    <n v="2.7545152698863635"/>
    <x v="20"/>
    <x v="0"/>
    <x v="3"/>
    <x v="3"/>
    <x v="1"/>
    <x v="0"/>
    <x v="0"/>
    <x v="0"/>
    <x v="1"/>
    <x v="1"/>
    <x v="1"/>
    <x v="1"/>
    <x v="1"/>
    <x v="5"/>
    <x v="4"/>
    <x v="1"/>
    <x v="0"/>
    <x v="0"/>
    <x v="1"/>
    <x v="1"/>
    <x v="1"/>
    <x v="1"/>
    <x v="1"/>
    <x v="0"/>
    <x v="1"/>
  </r>
  <r>
    <x v="5"/>
    <x v="36"/>
    <x v="0"/>
    <x v="0"/>
    <x v="0"/>
    <x v="77"/>
    <x v="0"/>
    <x v="2"/>
    <x v="56"/>
    <x v="0"/>
    <x v="0"/>
    <n v="0.99999528685001404"/>
    <x v="12"/>
    <x v="0"/>
    <x v="3"/>
    <x v="3"/>
    <x v="1"/>
    <x v="0"/>
    <x v="0"/>
    <x v="0"/>
    <x v="1"/>
    <x v="1"/>
    <x v="1"/>
    <x v="1"/>
    <x v="1"/>
    <x v="5"/>
    <x v="4"/>
    <x v="1"/>
    <x v="0"/>
    <x v="0"/>
    <x v="1"/>
    <x v="1"/>
    <x v="1"/>
    <x v="1"/>
    <x v="1"/>
    <x v="0"/>
    <x v="1"/>
  </r>
  <r>
    <x v="5"/>
    <x v="36"/>
    <x v="0"/>
    <x v="0"/>
    <x v="0"/>
    <x v="77"/>
    <x v="0"/>
    <x v="2"/>
    <x v="56"/>
    <x v="1"/>
    <x v="1"/>
    <n v="4.9549494949494948"/>
    <x v="21"/>
    <x v="1"/>
    <x v="3"/>
    <x v="3"/>
    <x v="1"/>
    <x v="0"/>
    <x v="0"/>
    <x v="0"/>
    <x v="1"/>
    <x v="1"/>
    <x v="1"/>
    <x v="1"/>
    <x v="1"/>
    <x v="5"/>
    <x v="4"/>
    <x v="1"/>
    <x v="0"/>
    <x v="0"/>
    <x v="1"/>
    <x v="1"/>
    <x v="1"/>
    <x v="1"/>
    <x v="1"/>
    <x v="0"/>
    <x v="1"/>
  </r>
  <r>
    <x v="5"/>
    <x v="36"/>
    <x v="0"/>
    <x v="0"/>
    <x v="0"/>
    <x v="77"/>
    <x v="0"/>
    <x v="2"/>
    <x v="56"/>
    <x v="0"/>
    <x v="3"/>
    <n v="0.99999537576328612"/>
    <x v="12"/>
    <x v="0"/>
    <x v="3"/>
    <x v="3"/>
    <x v="1"/>
    <x v="0"/>
    <x v="0"/>
    <x v="0"/>
    <x v="1"/>
    <x v="1"/>
    <x v="1"/>
    <x v="1"/>
    <x v="1"/>
    <x v="5"/>
    <x v="4"/>
    <x v="1"/>
    <x v="0"/>
    <x v="0"/>
    <x v="1"/>
    <x v="1"/>
    <x v="1"/>
    <x v="1"/>
    <x v="1"/>
    <x v="0"/>
    <x v="1"/>
  </r>
  <r>
    <x v="5"/>
    <x v="36"/>
    <x v="0"/>
    <x v="0"/>
    <x v="0"/>
    <x v="77"/>
    <x v="0"/>
    <x v="2"/>
    <x v="56"/>
    <x v="2"/>
    <x v="3"/>
    <n v="2.4281439393939395"/>
    <x v="20"/>
    <x v="0"/>
    <x v="3"/>
    <x v="3"/>
    <x v="1"/>
    <x v="0"/>
    <x v="0"/>
    <x v="0"/>
    <x v="1"/>
    <x v="1"/>
    <x v="1"/>
    <x v="1"/>
    <x v="1"/>
    <x v="5"/>
    <x v="4"/>
    <x v="1"/>
    <x v="0"/>
    <x v="0"/>
    <x v="1"/>
    <x v="1"/>
    <x v="1"/>
    <x v="1"/>
    <x v="1"/>
    <x v="0"/>
    <x v="1"/>
  </r>
  <r>
    <x v="5"/>
    <x v="36"/>
    <x v="0"/>
    <x v="0"/>
    <x v="0"/>
    <x v="77"/>
    <x v="0"/>
    <x v="2"/>
    <x v="56"/>
    <x v="2"/>
    <x v="2"/>
    <n v="2.8197914693813133"/>
    <x v="20"/>
    <x v="0"/>
    <x v="3"/>
    <x v="3"/>
    <x v="1"/>
    <x v="0"/>
    <x v="0"/>
    <x v="0"/>
    <x v="1"/>
    <x v="1"/>
    <x v="1"/>
    <x v="1"/>
    <x v="1"/>
    <x v="5"/>
    <x v="4"/>
    <x v="1"/>
    <x v="0"/>
    <x v="0"/>
    <x v="1"/>
    <x v="1"/>
    <x v="1"/>
    <x v="1"/>
    <x v="1"/>
    <x v="0"/>
    <x v="1"/>
  </r>
  <r>
    <x v="5"/>
    <x v="36"/>
    <x v="0"/>
    <x v="0"/>
    <x v="0"/>
    <x v="77"/>
    <x v="0"/>
    <x v="2"/>
    <x v="56"/>
    <x v="2"/>
    <x v="2"/>
    <n v="2.8197914693813133"/>
    <x v="20"/>
    <x v="0"/>
    <x v="3"/>
    <x v="3"/>
    <x v="1"/>
    <x v="0"/>
    <x v="0"/>
    <x v="0"/>
    <x v="1"/>
    <x v="1"/>
    <x v="1"/>
    <x v="1"/>
    <x v="1"/>
    <x v="5"/>
    <x v="4"/>
    <x v="1"/>
    <x v="0"/>
    <x v="0"/>
    <x v="1"/>
    <x v="1"/>
    <x v="1"/>
    <x v="1"/>
    <x v="1"/>
    <x v="0"/>
    <x v="1"/>
  </r>
  <r>
    <x v="5"/>
    <x v="36"/>
    <x v="0"/>
    <x v="0"/>
    <x v="0"/>
    <x v="77"/>
    <x v="0"/>
    <x v="2"/>
    <x v="56"/>
    <x v="1"/>
    <x v="3"/>
    <n v="4.2335353535353537"/>
    <x v="21"/>
    <x v="1"/>
    <x v="3"/>
    <x v="3"/>
    <x v="1"/>
    <x v="0"/>
    <x v="0"/>
    <x v="0"/>
    <x v="1"/>
    <x v="1"/>
    <x v="1"/>
    <x v="1"/>
    <x v="1"/>
    <x v="5"/>
    <x v="4"/>
    <x v="1"/>
    <x v="0"/>
    <x v="0"/>
    <x v="1"/>
    <x v="1"/>
    <x v="1"/>
    <x v="1"/>
    <x v="1"/>
    <x v="0"/>
    <x v="1"/>
  </r>
  <r>
    <x v="5"/>
    <x v="36"/>
    <x v="0"/>
    <x v="0"/>
    <x v="0"/>
    <x v="77"/>
    <x v="0"/>
    <x v="2"/>
    <x v="56"/>
    <x v="1"/>
    <x v="2"/>
    <n v="4.9585858585858587"/>
    <x v="21"/>
    <x v="1"/>
    <x v="3"/>
    <x v="3"/>
    <x v="1"/>
    <x v="0"/>
    <x v="0"/>
    <x v="0"/>
    <x v="1"/>
    <x v="1"/>
    <x v="1"/>
    <x v="1"/>
    <x v="1"/>
    <x v="5"/>
    <x v="4"/>
    <x v="1"/>
    <x v="0"/>
    <x v="0"/>
    <x v="1"/>
    <x v="1"/>
    <x v="1"/>
    <x v="1"/>
    <x v="1"/>
    <x v="0"/>
    <x v="1"/>
  </r>
  <r>
    <x v="5"/>
    <x v="36"/>
    <x v="0"/>
    <x v="0"/>
    <x v="0"/>
    <x v="77"/>
    <x v="0"/>
    <x v="2"/>
    <x v="56"/>
    <x v="2"/>
    <x v="1"/>
    <n v="2.8135444286616162"/>
    <x v="20"/>
    <x v="0"/>
    <x v="3"/>
    <x v="3"/>
    <x v="1"/>
    <x v="0"/>
    <x v="0"/>
    <x v="0"/>
    <x v="1"/>
    <x v="1"/>
    <x v="1"/>
    <x v="1"/>
    <x v="1"/>
    <x v="5"/>
    <x v="4"/>
    <x v="1"/>
    <x v="0"/>
    <x v="0"/>
    <x v="1"/>
    <x v="1"/>
    <x v="1"/>
    <x v="1"/>
    <x v="1"/>
    <x v="0"/>
    <x v="1"/>
  </r>
  <r>
    <x v="5"/>
    <x v="36"/>
    <x v="0"/>
    <x v="0"/>
    <x v="0"/>
    <x v="77"/>
    <x v="0"/>
    <x v="2"/>
    <x v="56"/>
    <x v="0"/>
    <x v="1"/>
    <n v="0.99999545858363903"/>
    <x v="12"/>
    <x v="0"/>
    <x v="3"/>
    <x v="3"/>
    <x v="1"/>
    <x v="0"/>
    <x v="0"/>
    <x v="0"/>
    <x v="1"/>
    <x v="1"/>
    <x v="1"/>
    <x v="1"/>
    <x v="1"/>
    <x v="5"/>
    <x v="4"/>
    <x v="1"/>
    <x v="0"/>
    <x v="0"/>
    <x v="1"/>
    <x v="1"/>
    <x v="1"/>
    <x v="1"/>
    <x v="1"/>
    <x v="0"/>
    <x v="1"/>
  </r>
  <r>
    <x v="5"/>
    <x v="36"/>
    <x v="0"/>
    <x v="0"/>
    <x v="0"/>
    <x v="77"/>
    <x v="0"/>
    <x v="2"/>
    <x v="56"/>
    <x v="2"/>
    <x v="3"/>
    <n v="2.4281439393939395"/>
    <x v="20"/>
    <x v="0"/>
    <x v="3"/>
    <x v="3"/>
    <x v="1"/>
    <x v="0"/>
    <x v="0"/>
    <x v="0"/>
    <x v="1"/>
    <x v="1"/>
    <x v="1"/>
    <x v="1"/>
    <x v="1"/>
    <x v="5"/>
    <x v="4"/>
    <x v="1"/>
    <x v="0"/>
    <x v="0"/>
    <x v="1"/>
    <x v="1"/>
    <x v="1"/>
    <x v="1"/>
    <x v="1"/>
    <x v="0"/>
    <x v="1"/>
  </r>
  <r>
    <x v="5"/>
    <x v="36"/>
    <x v="0"/>
    <x v="0"/>
    <x v="0"/>
    <x v="77"/>
    <x v="0"/>
    <x v="2"/>
    <x v="56"/>
    <x v="2"/>
    <x v="1"/>
    <n v="2.8135444286616162"/>
    <x v="20"/>
    <x v="0"/>
    <x v="3"/>
    <x v="3"/>
    <x v="1"/>
    <x v="0"/>
    <x v="0"/>
    <x v="0"/>
    <x v="1"/>
    <x v="1"/>
    <x v="1"/>
    <x v="1"/>
    <x v="1"/>
    <x v="5"/>
    <x v="4"/>
    <x v="1"/>
    <x v="0"/>
    <x v="0"/>
    <x v="1"/>
    <x v="1"/>
    <x v="1"/>
    <x v="1"/>
    <x v="1"/>
    <x v="0"/>
    <x v="1"/>
  </r>
  <r>
    <x v="5"/>
    <x v="36"/>
    <x v="0"/>
    <x v="0"/>
    <x v="0"/>
    <x v="77"/>
    <x v="0"/>
    <x v="2"/>
    <x v="56"/>
    <x v="0"/>
    <x v="3"/>
    <n v="0.99999537576328612"/>
    <x v="12"/>
    <x v="0"/>
    <x v="3"/>
    <x v="3"/>
    <x v="1"/>
    <x v="0"/>
    <x v="0"/>
    <x v="0"/>
    <x v="1"/>
    <x v="1"/>
    <x v="1"/>
    <x v="1"/>
    <x v="1"/>
    <x v="5"/>
    <x v="4"/>
    <x v="1"/>
    <x v="0"/>
    <x v="0"/>
    <x v="1"/>
    <x v="1"/>
    <x v="1"/>
    <x v="1"/>
    <x v="1"/>
    <x v="0"/>
    <x v="1"/>
  </r>
  <r>
    <x v="5"/>
    <x v="36"/>
    <x v="0"/>
    <x v="0"/>
    <x v="0"/>
    <x v="77"/>
    <x v="0"/>
    <x v="2"/>
    <x v="56"/>
    <x v="1"/>
    <x v="3"/>
    <n v="4.2335353535353537"/>
    <x v="21"/>
    <x v="1"/>
    <x v="3"/>
    <x v="3"/>
    <x v="1"/>
    <x v="0"/>
    <x v="0"/>
    <x v="0"/>
    <x v="1"/>
    <x v="1"/>
    <x v="1"/>
    <x v="1"/>
    <x v="1"/>
    <x v="5"/>
    <x v="4"/>
    <x v="1"/>
    <x v="0"/>
    <x v="0"/>
    <x v="1"/>
    <x v="1"/>
    <x v="1"/>
    <x v="1"/>
    <x v="1"/>
    <x v="0"/>
    <x v="1"/>
  </r>
  <r>
    <x v="5"/>
    <x v="36"/>
    <x v="0"/>
    <x v="0"/>
    <x v="0"/>
    <x v="77"/>
    <x v="0"/>
    <x v="2"/>
    <x v="56"/>
    <x v="0"/>
    <x v="2"/>
    <n v="0.99999519393901637"/>
    <x v="12"/>
    <x v="0"/>
    <x v="3"/>
    <x v="3"/>
    <x v="1"/>
    <x v="0"/>
    <x v="0"/>
    <x v="0"/>
    <x v="1"/>
    <x v="1"/>
    <x v="1"/>
    <x v="1"/>
    <x v="1"/>
    <x v="5"/>
    <x v="4"/>
    <x v="1"/>
    <x v="0"/>
    <x v="0"/>
    <x v="1"/>
    <x v="1"/>
    <x v="1"/>
    <x v="1"/>
    <x v="1"/>
    <x v="0"/>
    <x v="1"/>
  </r>
  <r>
    <x v="5"/>
    <x v="36"/>
    <x v="0"/>
    <x v="0"/>
    <x v="0"/>
    <x v="77"/>
    <x v="0"/>
    <x v="2"/>
    <x v="56"/>
    <x v="1"/>
    <x v="2"/>
    <n v="4.9585858585858587"/>
    <x v="21"/>
    <x v="1"/>
    <x v="3"/>
    <x v="3"/>
    <x v="1"/>
    <x v="0"/>
    <x v="0"/>
    <x v="0"/>
    <x v="1"/>
    <x v="1"/>
    <x v="1"/>
    <x v="1"/>
    <x v="1"/>
    <x v="5"/>
    <x v="4"/>
    <x v="1"/>
    <x v="0"/>
    <x v="0"/>
    <x v="1"/>
    <x v="1"/>
    <x v="1"/>
    <x v="1"/>
    <x v="1"/>
    <x v="0"/>
    <x v="1"/>
  </r>
  <r>
    <x v="5"/>
    <x v="36"/>
    <x v="0"/>
    <x v="0"/>
    <x v="0"/>
    <x v="77"/>
    <x v="0"/>
    <x v="2"/>
    <x v="56"/>
    <x v="0"/>
    <x v="2"/>
    <n v="0.99999519393901637"/>
    <x v="12"/>
    <x v="0"/>
    <x v="3"/>
    <x v="3"/>
    <x v="1"/>
    <x v="0"/>
    <x v="0"/>
    <x v="0"/>
    <x v="1"/>
    <x v="1"/>
    <x v="1"/>
    <x v="1"/>
    <x v="1"/>
    <x v="5"/>
    <x v="4"/>
    <x v="1"/>
    <x v="0"/>
    <x v="0"/>
    <x v="1"/>
    <x v="1"/>
    <x v="1"/>
    <x v="1"/>
    <x v="1"/>
    <x v="0"/>
    <x v="1"/>
  </r>
  <r>
    <x v="5"/>
    <x v="36"/>
    <x v="0"/>
    <x v="0"/>
    <x v="0"/>
    <x v="77"/>
    <x v="0"/>
    <x v="2"/>
    <x v="56"/>
    <x v="0"/>
    <x v="0"/>
    <n v="0.99999528685001404"/>
    <x v="12"/>
    <x v="0"/>
    <x v="3"/>
    <x v="3"/>
    <x v="1"/>
    <x v="0"/>
    <x v="0"/>
    <x v="0"/>
    <x v="1"/>
    <x v="1"/>
    <x v="1"/>
    <x v="1"/>
    <x v="1"/>
    <x v="5"/>
    <x v="4"/>
    <x v="1"/>
    <x v="0"/>
    <x v="0"/>
    <x v="1"/>
    <x v="1"/>
    <x v="1"/>
    <x v="1"/>
    <x v="1"/>
    <x v="0"/>
    <x v="1"/>
  </r>
  <r>
    <x v="5"/>
    <x v="36"/>
    <x v="0"/>
    <x v="0"/>
    <x v="0"/>
    <x v="76"/>
    <x v="0"/>
    <x v="2"/>
    <x v="56"/>
    <x v="2"/>
    <x v="2"/>
    <n v="2.8197914693813133"/>
    <x v="20"/>
    <x v="0"/>
    <x v="3"/>
    <x v="3"/>
    <x v="1"/>
    <x v="0"/>
    <x v="0"/>
    <x v="0"/>
    <x v="1"/>
    <x v="1"/>
    <x v="1"/>
    <x v="1"/>
    <x v="1"/>
    <x v="5"/>
    <x v="2"/>
    <x v="2"/>
    <x v="0"/>
    <x v="0"/>
    <x v="1"/>
    <x v="1"/>
    <x v="1"/>
    <x v="1"/>
    <x v="1"/>
    <x v="0"/>
    <x v="1"/>
  </r>
  <r>
    <x v="5"/>
    <x v="36"/>
    <x v="0"/>
    <x v="0"/>
    <x v="0"/>
    <x v="76"/>
    <x v="0"/>
    <x v="2"/>
    <x v="56"/>
    <x v="0"/>
    <x v="3"/>
    <n v="0.99999537576328612"/>
    <x v="12"/>
    <x v="0"/>
    <x v="3"/>
    <x v="3"/>
    <x v="1"/>
    <x v="0"/>
    <x v="0"/>
    <x v="0"/>
    <x v="1"/>
    <x v="1"/>
    <x v="1"/>
    <x v="1"/>
    <x v="1"/>
    <x v="5"/>
    <x v="2"/>
    <x v="2"/>
    <x v="0"/>
    <x v="0"/>
    <x v="1"/>
    <x v="1"/>
    <x v="1"/>
    <x v="1"/>
    <x v="1"/>
    <x v="0"/>
    <x v="1"/>
  </r>
  <r>
    <x v="5"/>
    <x v="36"/>
    <x v="0"/>
    <x v="0"/>
    <x v="0"/>
    <x v="76"/>
    <x v="0"/>
    <x v="2"/>
    <x v="56"/>
    <x v="2"/>
    <x v="0"/>
    <n v="2.7545152698863635"/>
    <x v="20"/>
    <x v="0"/>
    <x v="3"/>
    <x v="3"/>
    <x v="1"/>
    <x v="0"/>
    <x v="0"/>
    <x v="0"/>
    <x v="1"/>
    <x v="1"/>
    <x v="1"/>
    <x v="1"/>
    <x v="1"/>
    <x v="5"/>
    <x v="2"/>
    <x v="2"/>
    <x v="0"/>
    <x v="0"/>
    <x v="1"/>
    <x v="1"/>
    <x v="1"/>
    <x v="1"/>
    <x v="1"/>
    <x v="0"/>
    <x v="1"/>
  </r>
  <r>
    <x v="5"/>
    <x v="36"/>
    <x v="0"/>
    <x v="0"/>
    <x v="0"/>
    <x v="76"/>
    <x v="0"/>
    <x v="2"/>
    <x v="56"/>
    <x v="2"/>
    <x v="2"/>
    <n v="2.8197914693813133"/>
    <x v="20"/>
    <x v="0"/>
    <x v="3"/>
    <x v="3"/>
    <x v="1"/>
    <x v="0"/>
    <x v="0"/>
    <x v="0"/>
    <x v="1"/>
    <x v="1"/>
    <x v="1"/>
    <x v="1"/>
    <x v="1"/>
    <x v="5"/>
    <x v="2"/>
    <x v="2"/>
    <x v="0"/>
    <x v="0"/>
    <x v="1"/>
    <x v="1"/>
    <x v="1"/>
    <x v="1"/>
    <x v="1"/>
    <x v="0"/>
    <x v="1"/>
  </r>
  <r>
    <x v="5"/>
    <x v="36"/>
    <x v="0"/>
    <x v="0"/>
    <x v="0"/>
    <x v="76"/>
    <x v="0"/>
    <x v="2"/>
    <x v="56"/>
    <x v="0"/>
    <x v="2"/>
    <n v="0.99999519393901637"/>
    <x v="12"/>
    <x v="0"/>
    <x v="3"/>
    <x v="3"/>
    <x v="1"/>
    <x v="0"/>
    <x v="0"/>
    <x v="0"/>
    <x v="1"/>
    <x v="1"/>
    <x v="1"/>
    <x v="1"/>
    <x v="1"/>
    <x v="5"/>
    <x v="2"/>
    <x v="2"/>
    <x v="0"/>
    <x v="0"/>
    <x v="1"/>
    <x v="1"/>
    <x v="1"/>
    <x v="1"/>
    <x v="1"/>
    <x v="0"/>
    <x v="1"/>
  </r>
  <r>
    <x v="5"/>
    <x v="36"/>
    <x v="0"/>
    <x v="0"/>
    <x v="0"/>
    <x v="76"/>
    <x v="0"/>
    <x v="2"/>
    <x v="56"/>
    <x v="0"/>
    <x v="0"/>
    <n v="0.99999528685001404"/>
    <x v="12"/>
    <x v="0"/>
    <x v="3"/>
    <x v="3"/>
    <x v="1"/>
    <x v="0"/>
    <x v="0"/>
    <x v="0"/>
    <x v="1"/>
    <x v="1"/>
    <x v="1"/>
    <x v="1"/>
    <x v="1"/>
    <x v="5"/>
    <x v="2"/>
    <x v="2"/>
    <x v="0"/>
    <x v="0"/>
    <x v="1"/>
    <x v="1"/>
    <x v="1"/>
    <x v="1"/>
    <x v="1"/>
    <x v="0"/>
    <x v="1"/>
  </r>
  <r>
    <x v="5"/>
    <x v="36"/>
    <x v="0"/>
    <x v="0"/>
    <x v="0"/>
    <x v="76"/>
    <x v="0"/>
    <x v="2"/>
    <x v="56"/>
    <x v="2"/>
    <x v="0"/>
    <n v="2.7545152698863635"/>
    <x v="20"/>
    <x v="0"/>
    <x v="3"/>
    <x v="3"/>
    <x v="1"/>
    <x v="0"/>
    <x v="0"/>
    <x v="0"/>
    <x v="1"/>
    <x v="1"/>
    <x v="1"/>
    <x v="1"/>
    <x v="1"/>
    <x v="5"/>
    <x v="2"/>
    <x v="2"/>
    <x v="0"/>
    <x v="0"/>
    <x v="1"/>
    <x v="1"/>
    <x v="1"/>
    <x v="1"/>
    <x v="1"/>
    <x v="0"/>
    <x v="1"/>
  </r>
  <r>
    <x v="5"/>
    <x v="36"/>
    <x v="0"/>
    <x v="0"/>
    <x v="0"/>
    <x v="76"/>
    <x v="0"/>
    <x v="2"/>
    <x v="56"/>
    <x v="2"/>
    <x v="3"/>
    <n v="2.4281439393939395"/>
    <x v="20"/>
    <x v="0"/>
    <x v="3"/>
    <x v="3"/>
    <x v="1"/>
    <x v="0"/>
    <x v="0"/>
    <x v="0"/>
    <x v="1"/>
    <x v="1"/>
    <x v="1"/>
    <x v="1"/>
    <x v="1"/>
    <x v="5"/>
    <x v="2"/>
    <x v="2"/>
    <x v="0"/>
    <x v="0"/>
    <x v="1"/>
    <x v="1"/>
    <x v="1"/>
    <x v="1"/>
    <x v="1"/>
    <x v="0"/>
    <x v="1"/>
  </r>
  <r>
    <x v="5"/>
    <x v="36"/>
    <x v="0"/>
    <x v="0"/>
    <x v="0"/>
    <x v="77"/>
    <x v="0"/>
    <x v="2"/>
    <x v="56"/>
    <x v="0"/>
    <x v="1"/>
    <n v="0.99999545858363903"/>
    <x v="12"/>
    <x v="0"/>
    <x v="3"/>
    <x v="3"/>
    <x v="1"/>
    <x v="0"/>
    <x v="0"/>
    <x v="0"/>
    <x v="1"/>
    <x v="1"/>
    <x v="1"/>
    <x v="1"/>
    <x v="1"/>
    <x v="5"/>
    <x v="4"/>
    <x v="1"/>
    <x v="0"/>
    <x v="0"/>
    <x v="1"/>
    <x v="1"/>
    <x v="1"/>
    <x v="1"/>
    <x v="1"/>
    <x v="0"/>
    <x v="1"/>
  </r>
  <r>
    <x v="5"/>
    <x v="36"/>
    <x v="0"/>
    <x v="0"/>
    <x v="0"/>
    <x v="77"/>
    <x v="0"/>
    <x v="2"/>
    <x v="56"/>
    <x v="1"/>
    <x v="1"/>
    <n v="4.9549494949494948"/>
    <x v="21"/>
    <x v="1"/>
    <x v="3"/>
    <x v="3"/>
    <x v="1"/>
    <x v="0"/>
    <x v="0"/>
    <x v="0"/>
    <x v="1"/>
    <x v="1"/>
    <x v="1"/>
    <x v="1"/>
    <x v="1"/>
    <x v="5"/>
    <x v="4"/>
    <x v="1"/>
    <x v="0"/>
    <x v="0"/>
    <x v="1"/>
    <x v="1"/>
    <x v="1"/>
    <x v="1"/>
    <x v="1"/>
    <x v="0"/>
    <x v="1"/>
  </r>
  <r>
    <x v="5"/>
    <x v="36"/>
    <x v="0"/>
    <x v="0"/>
    <x v="0"/>
    <x v="77"/>
    <x v="0"/>
    <x v="2"/>
    <x v="56"/>
    <x v="1"/>
    <x v="0"/>
    <n v="4.6856565656565659"/>
    <x v="21"/>
    <x v="1"/>
    <x v="3"/>
    <x v="3"/>
    <x v="1"/>
    <x v="0"/>
    <x v="0"/>
    <x v="0"/>
    <x v="1"/>
    <x v="1"/>
    <x v="1"/>
    <x v="1"/>
    <x v="1"/>
    <x v="5"/>
    <x v="4"/>
    <x v="1"/>
    <x v="0"/>
    <x v="0"/>
    <x v="1"/>
    <x v="1"/>
    <x v="1"/>
    <x v="1"/>
    <x v="1"/>
    <x v="0"/>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4" fieldListSortAscending="1">
  <location ref="A1:C502" firstHeaderRow="0" firstDataRow="1" firstDataCol="1"/>
  <pivotFields count="7">
    <pivotField showAll="0" defaultSubtotal="0">
      <items count="37">
        <item m="1" x="21"/>
        <item m="1" x="35"/>
        <item m="1" x="4"/>
        <item m="1" x="9"/>
        <item m="1" x="14"/>
        <item m="1" x="22"/>
        <item m="1" x="25"/>
        <item m="1" x="31"/>
        <item m="1" x="16"/>
        <item m="1" x="19"/>
        <item m="1" x="34"/>
        <item m="1" x="36"/>
        <item m="1" x="5"/>
        <item m="1" x="10"/>
        <item m="1" x="29"/>
        <item m="1" x="12"/>
        <item m="1" x="32"/>
        <item m="1" x="7"/>
        <item m="1" x="18"/>
        <item m="1" x="28"/>
        <item m="1" x="20"/>
        <item m="1" x="11"/>
        <item m="1" x="3"/>
        <item m="1" x="30"/>
        <item m="1" x="23"/>
        <item m="1" x="13"/>
        <item m="1" x="6"/>
        <item m="1" x="33"/>
        <item m="1" x="24"/>
        <item m="1" x="15"/>
        <item m="1" x="8"/>
        <item m="1" x="1"/>
        <item m="1" x="26"/>
        <item m="1" x="17"/>
        <item x="0"/>
        <item m="1" x="2"/>
        <item m="1" x="27"/>
      </items>
    </pivotField>
    <pivotField showAll="0">
      <items count="527">
        <item h="1" m="1" x="274"/>
        <item h="1" m="1" x="165"/>
        <item h="1" m="1" x="45"/>
        <item h="1" m="1" x="166"/>
        <item h="1" m="1" x="512"/>
        <item h="1" m="1" x="461"/>
        <item h="1" m="1" x="455"/>
        <item h="1" m="1" x="124"/>
        <item h="1" m="1" x="113"/>
        <item h="1" m="1" x="152"/>
        <item h="1" m="1" x="253"/>
        <item h="1" m="1" x="375"/>
        <item h="1" m="1" x="144"/>
        <item h="1" m="1" x="367"/>
        <item h="1" m="1" x="191"/>
        <item h="1" m="1" x="341"/>
        <item h="1" m="1" x="332"/>
        <item h="1" m="1" x="419"/>
        <item h="1" m="1" x="120"/>
        <item h="1" m="1" x="43"/>
        <item h="1" m="1" x="90"/>
        <item h="1" m="1" x="354"/>
        <item h="1" m="1" x="474"/>
        <item h="1" m="1" x="19"/>
        <item h="1" m="1" x="158"/>
        <item h="1" m="1" x="259"/>
        <item h="1" m="1" x="62"/>
        <item h="1" m="1" x="363"/>
        <item h="1" m="1" x="87"/>
        <item h="1" m="1" x="128"/>
        <item h="1" m="1" x="146"/>
        <item h="1" m="1" x="167"/>
        <item h="1" m="1" x="344"/>
        <item h="1" m="1" x="417"/>
        <item h="1" m="1" x="448"/>
        <item h="1" m="1" x="14"/>
        <item h="1" m="1" x="209"/>
        <item h="1" m="1" x="336"/>
        <item h="1" m="1" x="456"/>
        <item h="1" m="1" x="26"/>
        <item h="1" m="1" x="184"/>
        <item h="1" m="1" x="246"/>
        <item h="1" m="1" x="154"/>
        <item h="1" m="1" x="175"/>
        <item h="1" m="1" x="224"/>
        <item h="1" m="1" x="321"/>
        <item h="1" m="1" x="394"/>
        <item h="1" m="1" x="510"/>
        <item h="1" m="1" x="342"/>
        <item h="1" m="1" x="403"/>
        <item h="1" m="1" x="10"/>
        <item h="1" m="1" x="69"/>
        <item h="1" m="1" x="92"/>
        <item h="1" m="1" x="221"/>
        <item h="1" m="1" x="358"/>
        <item h="1" m="1" x="407"/>
        <item h="1" m="1" x="471"/>
        <item h="1" m="1" x="520"/>
        <item h="1" m="1" x="9"/>
        <item h="1" m="1" x="31"/>
        <item h="1" m="1" x="82"/>
        <item h="1" m="1" x="282"/>
        <item h="1" m="1" x="325"/>
        <item h="1" m="1" x="443"/>
        <item h="1" m="1" x="29"/>
        <item h="1" m="1" x="50"/>
        <item h="1" m="1" x="101"/>
        <item h="1" m="1" x="121"/>
        <item h="1" m="1" x="180"/>
        <item h="1" m="1" x="192"/>
        <item h="1" m="1" x="300"/>
        <item h="1" m="1" x="306"/>
        <item h="1" m="1" x="365"/>
        <item h="1" m="1" x="402"/>
        <item h="1" m="1" x="469"/>
        <item h="1" m="1" x="49"/>
        <item h="1" m="1" x="501"/>
        <item h="1" m="1" x="140"/>
        <item h="1" m="1" x="404"/>
        <item h="1" m="1" x="413"/>
        <item h="1" m="1" x="442"/>
        <item h="1" m="1" x="458"/>
        <item h="1" m="1" x="38"/>
        <item h="1" m="1" x="172"/>
        <item h="1" m="1" x="318"/>
        <item h="1" m="1" x="351"/>
        <item h="1" m="1" x="373"/>
        <item h="1" m="1" x="399"/>
        <item h="1" m="1" x="431"/>
        <item h="1" m="1" x="476"/>
        <item h="1" m="1" x="132"/>
        <item h="1" m="1" x="171"/>
        <item h="1" m="1" x="213"/>
        <item h="1" m="1" x="232"/>
        <item h="1" m="1" x="260"/>
        <item h="1" m="1" x="379"/>
        <item h="1" m="1" x="468"/>
        <item h="1" m="1" x="48"/>
        <item h="1" m="1" x="81"/>
        <item h="1" m="1" x="100"/>
        <item h="1" m="1" x="218"/>
        <item h="1" x="0"/>
        <item h="1" m="1" x="317"/>
        <item h="1" m="1" x="391"/>
        <item h="1" m="1" x="508"/>
        <item h="1" m="1" x="525"/>
        <item h="1" m="1" x="7"/>
        <item h="1" m="1" x="65"/>
        <item h="1" m="1" x="99"/>
        <item h="1" m="1" x="130"/>
        <item h="1" m="1" x="151"/>
        <item h="1" m="1" x="206"/>
        <item h="1" m="1" x="239"/>
        <item h="1" m="1" x="272"/>
        <item h="1" m="1" x="311"/>
        <item h="1" m="1" x="355"/>
        <item h="1" m="1" x="418"/>
        <item h="1" m="1" x="327"/>
        <item h="1" m="1" x="22"/>
        <item h="1" m="1" x="44"/>
        <item h="1" m="1" x="138"/>
        <item h="1" m="1" x="178"/>
        <item h="1" m="1" x="249"/>
        <item h="1" m="1" x="331"/>
        <item h="1" m="1" x="80"/>
        <item h="1" m="1" x="364"/>
        <item h="1" m="1" x="372"/>
        <item h="1" m="1" x="109"/>
        <item h="1" m="1" x="190"/>
        <item h="1" m="1" x="467"/>
        <item h="1" m="1" x="515"/>
        <item h="1" m="1" x="21"/>
        <item h="1" m="1" x="79"/>
        <item h="1" m="1" x="148"/>
        <item h="1" m="1" x="159"/>
        <item h="1" m="1" x="20"/>
        <item h="1" m="1" x="316"/>
        <item h="1" m="1" x="28"/>
        <item h="1" m="1" x="108"/>
        <item h="1" m="1" x="389"/>
        <item h="1" m="1" x="198"/>
        <item h="1" m="1" x="236"/>
        <item h="1" m="1" x="248"/>
        <item h="1" m="1" x="514"/>
        <item h="1" m="1" x="523"/>
        <item h="1" m="1" x="37"/>
        <item h="1" m="1" x="42"/>
        <item h="1" m="1" x="63"/>
        <item h="1" m="1" x="88"/>
        <item h="1" m="1" x="11"/>
        <item h="1" m="1" x="97"/>
        <item h="1" m="1" x="410"/>
        <item h="1" m="1" x="176"/>
        <item h="1" m="1" x="428"/>
        <item h="1" m="1" x="216"/>
        <item h="1" m="1" x="491"/>
        <item h="1" m="1" x="257"/>
        <item h="1" m="1" x="498"/>
        <item h="1" m="1" x="349"/>
        <item h="1" m="1" x="96"/>
        <item h="1" m="1" x="117"/>
        <item h="1" m="1" x="387"/>
        <item h="1" m="1" x="168"/>
        <item h="1" m="1" x="204"/>
        <item h="1" m="1" x="466"/>
        <item h="1" m="1" x="256"/>
        <item h="1" m="1" x="46"/>
        <item h="1" m="1" x="278"/>
        <item h="1" m="1" x="513"/>
        <item h="1" m="1" x="295"/>
        <item h="1" m="1" x="17"/>
        <item h="1" m="1" x="315"/>
        <item h="1" m="1" x="75"/>
        <item h="1" m="1" x="437"/>
        <item h="1" m="1" x="227"/>
        <item h="1" m="1" x="277"/>
        <item h="1" m="1" x="309"/>
        <item h="1" m="1" x="314"/>
        <item h="1" m="1" x="343"/>
        <item h="1" m="1" x="60"/>
        <item h="1" m="1" x="33"/>
        <item h="1" m="1" x="116"/>
        <item h="1" m="1" x="136"/>
        <item h="1" m="1" x="156"/>
        <item h="1" m="1" x="416"/>
        <item h="1" m="1" x="423"/>
        <item h="1" m="1" x="197"/>
        <item h="1" m="1" x="210"/>
        <item h="1" m="1" x="215"/>
        <item h="1" m="1" x="234"/>
        <item h="1" m="1" x="484"/>
        <item h="1" m="1" x="488"/>
        <item h="1" m="1" x="293"/>
        <item h="1" m="1" x="27"/>
        <item h="1" m="1" x="329"/>
        <item h="1" m="1" x="337"/>
        <item h="1" m="1" x="53"/>
        <item h="1" m="1" x="73"/>
        <item h="1" m="1" x="115"/>
        <item h="1" m="1" x="185"/>
        <item h="1" m="1" x="473"/>
        <item h="1" m="1" x="247"/>
        <item h="1" m="1" x="292"/>
        <item h="1" m="1" x="13"/>
        <item h="1" m="1" x="313"/>
        <item h="1" m="1" x="126"/>
        <item h="1" m="1" x="396"/>
        <item h="1" m="1" x="422"/>
        <item h="1" m="1" x="103"/>
        <item h="1" m="1" x="196"/>
        <item h="1" m="1" x="447"/>
        <item h="1" m="1" x="233"/>
        <item h="1" m="1" x="497"/>
        <item h="1" m="1" x="276"/>
        <item h="1" m="1" x="506"/>
        <item h="1" m="1" x="243"/>
        <item h="1" m="1" x="35"/>
        <item h="1" m="1" x="335"/>
        <item h="1" m="1" x="86"/>
        <item h="1" m="1" x="8"/>
        <item h="1" m="1" x="95"/>
        <item h="1" m="1" x="377"/>
        <item h="1" m="1" x="415"/>
        <item h="1" m="1" x="164"/>
        <item h="1" m="1" x="421"/>
        <item h="1" m="1" x="427"/>
        <item h="1" m="1" x="393"/>
        <item h="1" m="1" x="225"/>
        <item h="1" m="1" x="255"/>
        <item h="1" m="1" x="496"/>
        <item h="1" m="1" x="266"/>
        <item h="1" m="1" x="451"/>
        <item h="1" m="1" x="285"/>
        <item h="1" m="1" x="12"/>
        <item h="1" m="1" x="72"/>
        <item h="1" m="1" x="84"/>
        <item h="1" m="1" x="107"/>
        <item h="1" m="1" x="125"/>
        <item h="1" m="1" x="395"/>
        <item h="1" m="1" x="155"/>
        <item h="1" m="1" x="102"/>
        <item h="1" m="1" x="183"/>
        <item h="1" m="1" x="462"/>
        <item h="1" m="1" x="214"/>
        <item h="1" m="1" x="479"/>
        <item h="1" m="1" x="244"/>
        <item h="1" m="1" x="505"/>
        <item h="1" m="1" x="284"/>
        <item h="1" m="1" x="291"/>
        <item h="1" m="1" x="40"/>
        <item h="1" m="1" x="58"/>
        <item h="1" m="1" x="369"/>
        <item h="1" m="1" x="153"/>
        <item h="1" m="1" x="163"/>
        <item h="1" m="1" x="182"/>
        <item h="1" m="1" x="202"/>
        <item h="1" m="1" x="487"/>
        <item h="1" m="1" x="275"/>
        <item h="1" m="1" x="511"/>
        <item h="1" m="1" x="34"/>
        <item h="1" m="1" x="328"/>
        <item h="1" m="1" x="57"/>
        <item h="1" m="1" x="71"/>
        <item h="1" m="1" x="353"/>
        <item h="1" m="1" x="83"/>
        <item h="1" m="1" x="361"/>
        <item h="1" m="1" x="23"/>
        <item h="1" m="1" x="106"/>
        <item h="1" m="1" x="386"/>
        <item h="1" m="1" x="145"/>
        <item h="1" m="1" x="446"/>
        <item h="1" m="1" x="201"/>
        <item h="1" m="1" x="460"/>
        <item h="1" m="1" x="173"/>
        <item h="1" m="1" x="432"/>
        <item h="1" m="1" x="504"/>
        <item h="1" m="1" x="283"/>
        <item h="1" m="1" x="303"/>
        <item h="1" m="1" x="5"/>
        <item h="1" m="1" x="312"/>
        <item h="1" m="1" x="52"/>
        <item h="1" m="1" x="56"/>
        <item h="1" m="1" x="70"/>
        <item h="1" m="1" x="352"/>
        <item h="1" m="1" x="360"/>
        <item h="1" m="1" x="94"/>
        <item h="1" m="1" x="134"/>
        <item h="1" m="1" x="408"/>
        <item h="1" m="1" x="436"/>
        <item h="1" m="1" x="195"/>
        <item h="1" m="1" x="445"/>
        <item h="1" m="1" x="454"/>
        <item h="1" m="1" x="459"/>
        <item h="1" m="1" x="223"/>
        <item h="1" m="1" x="230"/>
        <item h="1" m="1" x="265"/>
        <item h="1" m="1" x="521"/>
        <item h="1" m="1" x="228"/>
        <item h="1" m="1" x="334"/>
        <item h="1" m="1" x="93"/>
        <item h="1" m="1" x="376"/>
        <item h="1" m="1" x="123"/>
        <item h="1" m="1" x="174"/>
        <item h="1" m="1" x="181"/>
        <item h="1" m="1" x="194"/>
        <item h="1" m="1" x="200"/>
        <item h="1" m="1" x="453"/>
        <item h="1" m="1" x="222"/>
        <item h="1" m="1" x="472"/>
        <item h="1" m="1" x="495"/>
        <item h="1" m="1" x="302"/>
        <item h="1" m="1" x="326"/>
        <item h="1" m="1" x="359"/>
        <item h="1" m="1" x="105"/>
        <item h="1" m="1" x="114"/>
        <item h="1" m="1" x="435"/>
        <item h="1" m="1" x="110"/>
        <item h="1" m="1" x="444"/>
        <item h="1" m="1" x="199"/>
        <item x="1"/>
        <item h="1" m="1" x="465"/>
        <item h="1" m="1" x="220"/>
        <item h="1" m="1" x="345"/>
        <item h="1" m="1" x="486"/>
        <item h="1" m="1" x="254"/>
        <item h="1" m="1" x="494"/>
        <item h="1" m="1" x="129"/>
        <item h="1" m="1" x="137"/>
        <item h="1" m="1" x="170"/>
        <item h="1" m="1" x="308"/>
        <item h="1" m="1" x="424"/>
        <item h="1" m="1" x="430"/>
        <item h="1" m="1" x="32"/>
        <item h="1" m="1" x="449"/>
        <item h="1" m="1" x="205"/>
        <item h="1" m="1" x="212"/>
        <item h="1" m="1" x="217"/>
        <item h="1" m="1" x="475"/>
        <item h="1" m="1" x="357"/>
        <item h="1" m="1" x="238"/>
        <item h="1" m="1" x="104"/>
        <item h="1" m="1" x="385"/>
        <item h="1" m="1" x="271"/>
        <item h="1" m="1" x="503"/>
        <item h="1" m="1" x="280"/>
        <item h="1" m="1" x="287"/>
        <item h="1" m="1" x="516"/>
        <item h="1" m="1" x="297"/>
        <item h="1" m="1" x="304"/>
        <item h="1" m="1" x="310"/>
        <item h="1" m="1" x="426"/>
        <item h="1" m="1" x="434"/>
        <item h="1" m="1" x="452"/>
        <item h="1" m="1" x="207"/>
        <item h="1" m="1" x="339"/>
        <item h="1" m="1" x="89"/>
        <item h="1" m="1" x="98"/>
        <item h="1" m="1" x="264"/>
        <item h="1" m="1" x="390"/>
        <item h="1" m="1" x="149"/>
        <item h="1" m="1" x="160"/>
        <item h="1" m="1" x="4"/>
        <item h="1" m="1" x="169"/>
        <item h="1" m="1" x="320"/>
        <item h="1" m="1" x="517"/>
        <item h="1" m="1" x="30"/>
        <item h="1" m="1" x="457"/>
        <item h="1" m="1" x="51"/>
        <item h="1" m="1" x="55"/>
        <item h="1" m="1" x="68"/>
        <item h="1" m="1" x="356"/>
        <item h="1" m="1" x="485"/>
        <item h="1" m="1" x="493"/>
        <item h="1" m="1" x="112"/>
        <item h="1" m="1" x="286"/>
        <item h="1" m="1" x="406"/>
        <item h="1" m="1" x="383"/>
        <item h="1" m="1" x="193"/>
        <item h="1" m="1" x="323"/>
        <item h="1" m="1" x="15"/>
        <item h="1" m="1" x="346"/>
        <item h="1" m="1" x="464"/>
        <item h="1" m="1" x="219"/>
        <item h="1" m="1" x="78"/>
        <item h="1" m="1" x="242"/>
        <item h="1" m="1" x="252"/>
        <item h="1" m="1" x="119"/>
        <item h="1" m="1" x="290"/>
        <item h="1" m="1" x="307"/>
        <item h="1" m="1" x="177"/>
        <item h="1" m="1" x="25"/>
        <item h="1" m="1" x="189"/>
        <item h="1" m="1" x="440"/>
        <item h="1" m="1" x="67"/>
        <item h="1" m="1" x="237"/>
        <item h="1" m="1" x="368"/>
        <item h="1" m="1" x="492"/>
        <item h="1" m="1" x="122"/>
        <item h="1" m="1" x="279"/>
        <item h="1" m="1" x="143"/>
        <item h="1" m="1" x="405"/>
        <item h="1" m="1" x="296"/>
        <item h="1" m="1" x="524"/>
        <item h="1" m="1" x="162"/>
        <item h="1" m="1" x="18"/>
        <item h="1" m="1" x="322"/>
        <item h="1" m="1" x="64"/>
        <item h="1" m="1" x="77"/>
        <item h="1" m="1" x="229"/>
        <item h="1" m="1" x="478"/>
        <item h="1" m="1" x="241"/>
        <item h="1" m="1" x="251"/>
        <item h="1" m="1" x="118"/>
        <item h="1" m="1" x="263"/>
        <item h="1" m="1" x="388"/>
        <item h="1" m="1" x="281"/>
        <item h="1" m="1" x="289"/>
        <item h="1" m="1" x="411"/>
        <item h="1" m="1" x="301"/>
        <item h="1" m="1" x="429"/>
        <item h="1" m="1" x="24"/>
        <item h="1" m="1" x="188"/>
        <item h="1" m="1" x="319"/>
        <item h="1" m="1" x="439"/>
        <item h="1" m="1" x="324"/>
        <item h="1" m="1" x="463"/>
        <item h="1" m="1" x="54"/>
        <item h="1" m="1" x="481"/>
        <item h="1" m="1" x="91"/>
        <item h="1" m="1" x="235"/>
        <item h="1" m="1" x="366"/>
        <item h="1" m="1" x="258"/>
        <item h="1" m="1" x="499"/>
        <item h="1" m="1" x="270"/>
        <item h="1" m="1" x="142"/>
        <item h="1" m="1" x="414"/>
        <item h="1" m="1" x="420"/>
        <item h="1" m="1" x="6"/>
        <item h="1" m="1" x="425"/>
        <item h="1" m="1" x="433"/>
        <item h="1" m="1" x="36"/>
        <item h="1" m="1" x="338"/>
        <item h="1" m="1" x="61"/>
        <item h="1" m="1" x="350"/>
        <item h="1" m="1" x="470"/>
        <item h="1" m="1" x="76"/>
        <item h="1" m="1" x="362"/>
        <item h="1" m="1" x="240"/>
        <item h="1" m="1" x="262"/>
        <item h="1" m="1" x="147"/>
        <item h="1" m="1" x="378"/>
        <item h="1" m="1" x="519"/>
        <item h="1" m="1" x="157"/>
        <item h="1" m="1" x="438"/>
        <item h="1" m="1" x="211"/>
        <item h="1" m="1" x="231"/>
        <item h="1" m="1" x="374"/>
        <item h="1" m="1" x="384"/>
        <item h="1" m="1" x="269"/>
        <item h="1" m="1" x="502"/>
        <item h="1" m="1" x="133"/>
        <item h="1" m="1" x="401"/>
        <item h="1" m="1" x="141"/>
        <item h="1" m="1" x="179"/>
        <item h="1" m="1" x="371"/>
        <item h="1" m="1" x="127"/>
        <item h="1" m="1" x="518"/>
        <item h="1" m="1" x="187"/>
        <item h="1" m="1" x="39"/>
        <item h="1" m="1" x="333"/>
        <item h="1" m="1" x="490"/>
        <item h="1" m="1" x="507"/>
        <item h="1" m="1" x="294"/>
        <item h="1" m="1" x="131"/>
        <item h="1" m="1" x="16"/>
        <item h="1" m="1" x="41"/>
        <item h="1" m="1" x="348"/>
        <item h="1" m="1" x="74"/>
        <item h="1" m="1" x="299"/>
        <item h="1" x="2"/>
        <item h="1" m="1" x="226"/>
        <item h="1" m="1" x="489"/>
        <item h="1" m="1" x="268"/>
        <item h="1" m="1" x="400"/>
        <item h="1" m="1" x="161"/>
        <item h="1" m="1" x="330"/>
        <item h="1" m="1" x="450"/>
        <item h="1" m="1" x="477"/>
        <item h="1" m="1" x="370"/>
        <item h="1" m="1" x="261"/>
        <item h="1" m="1" x="273"/>
        <item h="1" m="1" x="397"/>
        <item h="1" m="1" x="509"/>
        <item h="1" m="1" x="288"/>
        <item h="1" m="1" x="186"/>
        <item h="1" m="1" x="480"/>
        <item h="1" m="1" x="381"/>
        <item h="1" m="1" x="139"/>
        <item h="1" m="1" x="412"/>
        <item h="1" m="1" x="380"/>
        <item h="1" m="1" x="522"/>
        <item h="1" m="1" x="441"/>
        <item h="1" m="1" x="59"/>
        <item h="1" m="1" x="250"/>
        <item h="1" m="1" x="135"/>
        <item h="1" m="1" x="409"/>
        <item h="1" m="1" x="203"/>
        <item h="1" x="3"/>
        <item h="1" m="1" x="245"/>
        <item h="1" m="1" x="267"/>
        <item h="1" m="1" x="398"/>
        <item h="1" m="1" x="85"/>
        <item h="1" m="1" x="483"/>
        <item h="1" m="1" x="347"/>
        <item h="1" m="1" x="340"/>
        <item h="1" m="1" x="392"/>
        <item h="1" m="1" x="47"/>
        <item h="1" m="1" x="66"/>
        <item h="1" m="1" x="482"/>
        <item h="1" m="1" x="208"/>
        <item h="1" m="1" x="150"/>
        <item h="1" m="1" x="500"/>
        <item h="1" m="1" x="305"/>
        <item h="1" m="1" x="298"/>
        <item h="1" m="1" x="111"/>
        <item h="1" m="1" x="382"/>
        <item t="default"/>
      </items>
    </pivotField>
    <pivotField showAll="0"/>
    <pivotField axis="axisRow" showAll="0">
      <items count="50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m="1" x="2997"/>
        <item m="1" x="3136"/>
        <item m="1" x="3275"/>
        <item m="1" x="3414"/>
        <item m="1" x="3553"/>
        <item m="1" x="3692"/>
        <item m="1" x="3831"/>
        <item m="1" x="3970"/>
        <item m="1" x="4107"/>
        <item m="1" x="4244"/>
        <item m="1" x="4381"/>
        <item m="1" x="4518"/>
        <item m="1" x="4655"/>
        <item m="1" x="4725"/>
        <item m="1" x="4795"/>
        <item m="1" x="4865"/>
        <item m="1" x="4935"/>
        <item m="1" x="505"/>
        <item m="1" x="575"/>
        <item m="1" x="644"/>
        <item m="1" x="713"/>
        <item m="1" x="782"/>
        <item m="1" x="851"/>
        <item m="1" x="920"/>
        <item m="1" x="989"/>
        <item m="1" x="1058"/>
        <item m="1" x="1127"/>
        <item m="1" x="1196"/>
        <item m="1" x="1265"/>
        <item m="1" x="1334"/>
        <item m="1" x="1403"/>
        <item m="1" x="1472"/>
        <item m="1" x="1541"/>
        <item m="1" x="1610"/>
        <item m="1" x="1679"/>
        <item m="1" x="1747"/>
        <item m="1" x="1815"/>
        <item m="1" x="1884"/>
        <item m="1" x="1953"/>
        <item m="1" x="2022"/>
        <item m="1" x="2091"/>
        <item m="1" x="2160"/>
        <item m="1" x="2229"/>
        <item m="1" x="2297"/>
        <item m="1" x="2365"/>
        <item m="1" x="2435"/>
        <item m="1" x="2505"/>
        <item m="1" x="2575"/>
        <item m="1" x="2645"/>
        <item m="1" x="2715"/>
        <item m="1" x="2785"/>
        <item m="1" x="2854"/>
        <item m="1" x="2923"/>
        <item m="1" x="2992"/>
        <item m="1" x="3062"/>
        <item m="1" x="3131"/>
        <item m="1" x="3201"/>
        <item m="1" x="3270"/>
        <item m="1" x="3340"/>
        <item m="1" x="3409"/>
        <item m="1" x="3479"/>
        <item m="1" x="3548"/>
        <item m="1" x="3618"/>
        <item m="1" x="3687"/>
        <item m="1" x="3757"/>
        <item m="1" x="3826"/>
        <item m="1" x="3896"/>
        <item m="1" x="3965"/>
        <item m="1" x="4034"/>
        <item m="1" x="4102"/>
        <item m="1" x="4171"/>
        <item m="1" x="4239"/>
        <item m="1" x="4308"/>
        <item m="1" x="4376"/>
        <item m="1" x="4445"/>
        <item m="1" x="4513"/>
        <item m="1" x="4581"/>
        <item m="1" x="4650"/>
        <item m="1" x="4720"/>
        <item m="1" x="4790"/>
        <item m="1" x="4860"/>
        <item m="1" x="4930"/>
        <item m="1" x="500"/>
        <item m="1" x="570"/>
        <item m="1" x="639"/>
        <item m="1" x="708"/>
        <item m="1" x="777"/>
        <item m="1" x="846"/>
        <item m="1" x="915"/>
        <item m="1" x="984"/>
        <item m="1" x="1053"/>
        <item m="1" x="1122"/>
        <item m="1" x="1191"/>
        <item m="1" x="1260"/>
        <item m="1" x="1329"/>
        <item m="1" x="1398"/>
        <item m="1" x="1467"/>
        <item m="1" x="1536"/>
        <item m="1" x="1605"/>
        <item m="1" x="1674"/>
        <item m="1" x="1742"/>
        <item m="1" x="1810"/>
        <item m="1" x="1879"/>
        <item m="1" x="1948"/>
        <item m="1" x="2017"/>
        <item m="1" x="2086"/>
        <item m="1" x="2155"/>
        <item m="1" x="2224"/>
        <item m="1" x="2292"/>
        <item m="1" x="2360"/>
        <item m="1" x="2430"/>
        <item m="1" x="2500"/>
        <item m="1" x="2570"/>
        <item m="1" x="2640"/>
        <item m="1" x="2710"/>
        <item m="1" x="2780"/>
        <item m="1" x="2849"/>
        <item m="1" x="2918"/>
        <item m="1" x="2987"/>
        <item m="1" x="3057"/>
        <item m="1" x="3126"/>
        <item m="1" x="3196"/>
        <item m="1" x="3265"/>
        <item m="1" x="3335"/>
        <item m="1" x="3404"/>
        <item m="1" x="3474"/>
        <item m="1" x="3543"/>
        <item m="1" x="3613"/>
        <item m="1" x="3682"/>
        <item m="1" x="3752"/>
        <item m="1" x="3821"/>
        <item m="1" x="3891"/>
        <item m="1" x="3960"/>
        <item m="1" x="4029"/>
        <item m="1" x="4097"/>
        <item m="1" x="4166"/>
        <item m="1" x="4234"/>
        <item m="1" x="4303"/>
        <item m="1" x="4371"/>
        <item m="1" x="4440"/>
        <item m="1" x="4508"/>
        <item m="1" x="4576"/>
        <item m="1" x="4645"/>
        <item m="1" x="4715"/>
        <item m="1" x="4785"/>
        <item m="1" x="4855"/>
        <item m="1" x="4925"/>
        <item m="1" x="4995"/>
        <item m="1" x="565"/>
        <item m="1" x="635"/>
        <item m="1" x="704"/>
        <item m="1" x="773"/>
        <item m="1" x="842"/>
        <item m="1" x="911"/>
        <item m="1" x="980"/>
        <item m="1" x="1049"/>
        <item m="1" x="1118"/>
        <item m="1" x="1187"/>
        <item m="1" x="1256"/>
        <item m="1" x="1325"/>
        <item m="1" x="1394"/>
        <item m="1" x="1463"/>
        <item m="1" x="1532"/>
        <item m="1" x="1601"/>
        <item m="1" x="1670"/>
        <item m="1" x="1738"/>
        <item m="1" x="1806"/>
        <item m="1" x="1875"/>
        <item m="1" x="1944"/>
        <item m="1" x="2013"/>
        <item m="1" x="2082"/>
        <item m="1" x="2151"/>
        <item m="1" x="2220"/>
        <item m="1" x="2288"/>
        <item m="1" x="2356"/>
        <item m="1" x="2426"/>
        <item m="1" x="2496"/>
        <item m="1" x="2566"/>
        <item m="1" x="2636"/>
        <item m="1" x="2706"/>
        <item m="1" x="2776"/>
        <item m="1" x="2846"/>
        <item m="1" x="2915"/>
        <item m="1" x="2984"/>
        <item m="1" x="3054"/>
        <item m="1" x="3123"/>
        <item m="1" x="3193"/>
        <item m="1" x="3262"/>
        <item m="1" x="3332"/>
        <item m="1" x="3401"/>
        <item m="1" x="3471"/>
        <item m="1" x="3540"/>
        <item m="1" x="3610"/>
        <item m="1" x="3679"/>
        <item m="1" x="3749"/>
        <item m="1" x="3818"/>
        <item m="1" x="3888"/>
        <item m="1" x="3957"/>
        <item m="1" x="4026"/>
        <item m="1" x="4094"/>
        <item m="1" x="4163"/>
        <item m="1" x="4231"/>
        <item m="1" x="4300"/>
        <item m="1" x="4368"/>
        <item m="1" x="4437"/>
        <item m="1" x="4505"/>
        <item m="1" x="4573"/>
        <item m="1" x="4642"/>
        <item m="1" x="4712"/>
        <item m="1" x="4782"/>
        <item m="1" x="4852"/>
        <item m="1" x="4922"/>
        <item m="1" x="4992"/>
        <item m="1" x="562"/>
        <item m="1" x="632"/>
        <item m="1" x="701"/>
        <item m="1" x="770"/>
        <item m="1" x="839"/>
        <item m="1" x="908"/>
        <item m="1" x="977"/>
        <item m="1" x="1046"/>
        <item m="1" x="1115"/>
        <item m="1" x="1184"/>
        <item m="1" x="1253"/>
        <item m="1" x="1322"/>
        <item m="1" x="1391"/>
        <item m="1" x="1460"/>
        <item m="1" x="1529"/>
        <item m="1" x="1598"/>
        <item m="1" x="1667"/>
        <item m="1" x="1735"/>
        <item m="1" x="1803"/>
        <item m="1" x="1872"/>
        <item m="1" x="1941"/>
        <item m="1" x="2010"/>
        <item m="1" x="2079"/>
        <item m="1" x="2148"/>
        <item m="1" x="2217"/>
        <item m="1" x="2285"/>
        <item m="1" x="2353"/>
        <item m="1" x="2423"/>
        <item m="1" x="2493"/>
        <item m="1" x="2563"/>
        <item m="1" x="2633"/>
        <item m="1" x="2703"/>
        <item m="1" x="2773"/>
        <item m="1" x="2843"/>
        <item m="1" x="2912"/>
        <item m="1" x="2981"/>
        <item m="1" x="3051"/>
        <item m="1" x="3120"/>
        <item m="1" x="3190"/>
        <item m="1" x="3259"/>
        <item m="1" x="3329"/>
        <item m="1" x="3398"/>
        <item m="1" x="3468"/>
        <item m="1" x="3537"/>
        <item m="1" x="3607"/>
        <item m="1" x="3676"/>
        <item m="1" x="3746"/>
        <item m="1" x="3815"/>
        <item m="1" x="3885"/>
        <item m="1" x="3954"/>
        <item m="1" x="4023"/>
        <item m="1" x="4091"/>
        <item m="1" x="4160"/>
        <item m="1" x="4228"/>
        <item m="1" x="4297"/>
        <item m="1" x="4365"/>
        <item m="1" x="4434"/>
        <item m="1" x="4502"/>
        <item m="1" x="4570"/>
        <item m="1" x="4639"/>
        <item m="1" x="4709"/>
        <item m="1" x="4779"/>
        <item m="1" x="4849"/>
        <item m="1" x="4919"/>
        <item m="1" x="4989"/>
        <item m="1" x="559"/>
        <item m="1" x="629"/>
        <item m="1" x="698"/>
        <item m="1" x="767"/>
        <item m="1" x="836"/>
        <item m="1" x="905"/>
        <item m="1" x="974"/>
        <item m="1" x="1043"/>
        <item m="1" x="1112"/>
        <item m="1" x="1181"/>
        <item m="1" x="1249"/>
        <item m="1" x="1318"/>
        <item m="1" x="1387"/>
        <item m="1" x="1456"/>
        <item m="1" x="1525"/>
        <item m="1" x="1594"/>
        <item m="1" x="1663"/>
        <item m="1" x="1731"/>
        <item m="1" x="1799"/>
        <item m="1" x="1868"/>
        <item m="1" x="1937"/>
        <item m="1" x="2006"/>
        <item m="1" x="2075"/>
        <item m="1" x="2144"/>
        <item m="1" x="2213"/>
        <item m="1" x="2281"/>
        <item m="1" x="2349"/>
        <item m="1" x="2419"/>
        <item m="1" x="2489"/>
        <item m="1" x="2559"/>
        <item m="1" x="2629"/>
        <item m="1" x="2699"/>
        <item m="1" x="2769"/>
        <item m="1" x="2839"/>
        <item m="1" x="2908"/>
        <item m="1" x="2977"/>
        <item m="1" x="3047"/>
        <item m="1" x="3116"/>
        <item m="1" x="3186"/>
        <item m="1" x="3255"/>
        <item m="1" x="3325"/>
        <item m="1" x="3394"/>
        <item m="1" x="3463"/>
        <item m="1" x="3532"/>
        <item m="1" x="3602"/>
        <item m="1" x="3671"/>
        <item m="1" x="3741"/>
        <item m="1" x="3810"/>
        <item m="1" x="3880"/>
        <item m="1" x="3949"/>
        <item m="1" x="4018"/>
        <item m="1" x="4086"/>
        <item m="1" x="4155"/>
        <item m="1" x="4223"/>
        <item m="1" x="4292"/>
        <item m="1" x="4360"/>
        <item m="1" x="4429"/>
        <item m="1" x="4497"/>
        <item m="1" x="4565"/>
        <item m="1" x="4634"/>
        <item m="1" x="4704"/>
        <item m="1" x="4774"/>
        <item m="1" x="4844"/>
        <item m="1" x="4914"/>
        <item m="1" x="4984"/>
        <item m="1" x="554"/>
        <item m="1" x="624"/>
        <item m="1" x="693"/>
        <item m="1" x="762"/>
        <item m="1" x="831"/>
        <item m="1" x="900"/>
        <item m="1" x="969"/>
        <item m="1" x="1038"/>
        <item m="1" x="1107"/>
        <item m="1" x="1176"/>
        <item m="1" x="1244"/>
        <item m="1" x="1313"/>
        <item m="1" x="1382"/>
        <item m="1" x="1451"/>
        <item m="1" x="1520"/>
        <item m="1" x="1589"/>
        <item m="1" x="1658"/>
        <item m="1" x="1726"/>
        <item m="1" x="1794"/>
        <item m="1" x="1863"/>
        <item m="1" x="1932"/>
        <item m="1" x="2001"/>
        <item m="1" x="2070"/>
        <item m="1" x="2139"/>
        <item m="1" x="2208"/>
        <item m="1" x="2276"/>
        <item m="1" x="2344"/>
        <item m="1" x="2414"/>
        <item m="1" x="2484"/>
        <item m="1" x="2554"/>
        <item m="1" x="2624"/>
        <item m="1" x="2694"/>
        <item m="1" x="2764"/>
        <item m="1" x="2834"/>
        <item m="1" x="2903"/>
        <item m="1" x="2972"/>
        <item m="1" x="3042"/>
        <item m="1" x="3111"/>
        <item m="1" x="3181"/>
        <item m="1" x="3250"/>
        <item m="1" x="3320"/>
        <item m="1" x="3389"/>
        <item m="1" x="3458"/>
        <item m="1" x="3527"/>
        <item m="1" x="3597"/>
        <item m="1" x="3666"/>
        <item m="1" x="3736"/>
        <item m="1" x="3805"/>
        <item m="1" x="3875"/>
        <item m="1" x="3944"/>
        <item m="1" x="4013"/>
        <item m="1" x="4081"/>
        <item m="1" x="4150"/>
        <item m="1" x="4218"/>
        <item m="1" x="4287"/>
        <item m="1" x="4355"/>
        <item m="1" x="4424"/>
        <item m="1" x="4492"/>
        <item m="1" x="4561"/>
        <item m="1" x="4630"/>
        <item m="1" x="4700"/>
        <item m="1" x="4770"/>
        <item m="1" x="4840"/>
        <item m="1" x="4910"/>
        <item m="1" x="4980"/>
        <item m="1" x="550"/>
        <item m="1" x="620"/>
        <item m="1" x="689"/>
        <item m="1" x="758"/>
        <item m="1" x="827"/>
        <item m="1" x="896"/>
        <item m="1" x="965"/>
        <item m="1" x="1034"/>
        <item m="1" x="1103"/>
        <item m="1" x="1172"/>
        <item m="1" x="1240"/>
        <item m="1" x="1309"/>
        <item m="1" x="1378"/>
        <item m="1" x="1447"/>
        <item m="1" x="1516"/>
        <item m="1" x="1585"/>
        <item m="1" x="1654"/>
        <item m="1" x="1722"/>
        <item m="1" x="1790"/>
        <item m="1" x="1859"/>
        <item m="1" x="1928"/>
        <item m="1" x="1997"/>
        <item m="1" x="2066"/>
        <item m="1" x="2135"/>
        <item m="1" x="2204"/>
        <item m="1" x="2273"/>
        <item m="1" x="2341"/>
        <item m="1" x="2411"/>
        <item m="1" x="2481"/>
        <item m="1" x="2551"/>
        <item m="1" x="2621"/>
        <item m="1" x="2691"/>
        <item m="1" x="2761"/>
        <item m="1" x="2831"/>
        <item m="1" x="2900"/>
        <item m="1" x="2969"/>
        <item m="1" x="3039"/>
        <item m="1" x="3108"/>
        <item m="1" x="3178"/>
        <item m="1" x="3247"/>
        <item m="1" x="3317"/>
        <item m="1" x="3386"/>
        <item m="1" x="3455"/>
        <item m="1" x="3524"/>
        <item m="1" x="3594"/>
        <item m="1" x="3663"/>
        <item m="1" x="3733"/>
        <item m="1" x="3802"/>
        <item m="1" x="3872"/>
        <item m="1" x="3941"/>
        <item m="1" x="4010"/>
        <item m="1" x="4078"/>
        <item m="1" x="4147"/>
        <item m="1" x="4215"/>
        <item m="1" x="4284"/>
        <item m="1" x="4352"/>
        <item m="1" x="4421"/>
        <item m="1" x="4489"/>
        <item m="1" x="4558"/>
        <item m="1" x="4627"/>
        <item m="1" x="4697"/>
        <item m="1" x="4767"/>
        <item m="1" x="4837"/>
        <item m="1" x="4907"/>
        <item m="1" x="4977"/>
        <item m="1" x="547"/>
        <item m="1" x="617"/>
        <item m="1" x="686"/>
        <item m="1" x="755"/>
        <item m="1" x="824"/>
        <item m="1" x="893"/>
        <item m="1" x="962"/>
        <item m="1" x="1031"/>
        <item m="1" x="1100"/>
        <item m="1" x="1169"/>
        <item m="1" x="1237"/>
        <item m="1" x="1306"/>
        <item m="1" x="1375"/>
        <item m="1" x="1444"/>
        <item m="1" x="1513"/>
        <item m="1" x="1582"/>
        <item m="1" x="1651"/>
        <item m="1" x="1719"/>
        <item m="1" x="1787"/>
        <item m="1" x="1856"/>
        <item m="1" x="1925"/>
        <item m="1" x="1994"/>
        <item m="1" x="2063"/>
        <item m="1" x="2132"/>
        <item m="1" x="2201"/>
        <item m="1" x="2270"/>
        <item m="1" x="2338"/>
        <item m="1" x="2408"/>
        <item m="1" x="2478"/>
        <item m="1" x="2548"/>
        <item m="1" x="2618"/>
        <item m="1" x="2688"/>
        <item m="1" x="2758"/>
        <item m="1" x="2828"/>
        <item m="1" x="2897"/>
        <item m="1" x="2966"/>
        <item m="1" x="3036"/>
        <item m="1" x="3105"/>
        <item m="1" x="3175"/>
        <item m="1" x="3244"/>
        <item m="1" x="3314"/>
        <item m="1" x="3383"/>
        <item m="1" x="3452"/>
        <item m="1" x="3521"/>
        <item m="1" x="3591"/>
        <item m="1" x="3660"/>
        <item m="1" x="3730"/>
        <item m="1" x="3799"/>
        <item m="1" x="3869"/>
        <item m="1" x="3938"/>
        <item m="1" x="4007"/>
        <item m="1" x="4075"/>
        <item m="1" x="1854"/>
        <item m="1" x="4144"/>
        <item m="1" x="1923"/>
        <item m="1" x="4212"/>
        <item m="1" x="1992"/>
        <item m="1" x="4281"/>
        <item m="1" x="2061"/>
        <item m="1" x="4349"/>
        <item m="1" x="2130"/>
        <item m="1" x="4418"/>
        <item m="1" x="2199"/>
        <item m="1" x="4486"/>
        <item m="1" x="2268"/>
        <item m="1" x="4555"/>
        <item m="1" x="2336"/>
        <item m="1" x="4623"/>
        <item m="1" x="2405"/>
        <item m="1" x="4693"/>
        <item m="1" x="2475"/>
        <item m="1" x="4763"/>
        <item m="1" x="2545"/>
        <item m="1" x="4833"/>
        <item m="1" x="2615"/>
        <item m="1" x="4903"/>
        <item m="1" x="2685"/>
        <item m="1" x="4973"/>
        <item m="1" x="2755"/>
        <item m="1" x="543"/>
        <item m="1" x="2825"/>
        <item m="1" x="613"/>
        <item m="1" x="2894"/>
        <item m="1" x="682"/>
        <item m="1" x="2963"/>
        <item m="1" x="751"/>
        <item m="1" x="3033"/>
        <item m="1" x="820"/>
        <item m="1" x="3102"/>
        <item m="1" x="889"/>
        <item m="1" x="3172"/>
        <item m="1" x="958"/>
        <item m="1" x="3241"/>
        <item m="1" x="1027"/>
        <item m="1" x="3311"/>
        <item m="1" x="1096"/>
        <item m="1" x="3380"/>
        <item m="1" x="1165"/>
        <item m="1" x="3449"/>
        <item m="1" x="1233"/>
        <item m="1" x="3518"/>
        <item m="1" x="1302"/>
        <item m="1" x="3588"/>
        <item m="1" x="1371"/>
        <item m="1" x="3657"/>
        <item m="1" x="1440"/>
        <item m="1" x="3727"/>
        <item m="1" x="1509"/>
        <item m="1" x="3796"/>
        <item m="1" x="1578"/>
        <item m="1" x="3866"/>
        <item m="1" x="1647"/>
        <item m="1" x="3935"/>
        <item m="1" x="1715"/>
        <item m="1" x="4004"/>
        <item m="1" x="1783"/>
        <item m="1" x="4072"/>
        <item m="1" x="1851"/>
        <item m="1" x="4141"/>
        <item m="1" x="1920"/>
        <item m="1" x="4209"/>
        <item m="1" x="1989"/>
        <item m="1" x="4278"/>
        <item m="1" x="2058"/>
        <item m="1" x="4346"/>
        <item m="1" x="2127"/>
        <item m="1" x="4415"/>
        <item m="1" x="2196"/>
        <item m="1" x="4483"/>
        <item m="1" x="2265"/>
        <item m="1" x="4552"/>
        <item m="1" x="2333"/>
        <item m="1" x="4620"/>
        <item m="1" x="2402"/>
        <item m="1" x="4690"/>
        <item m="1" x="2472"/>
        <item m="1" x="4760"/>
        <item m="1" x="2542"/>
        <item m="1" x="4830"/>
        <item m="1" x="2612"/>
        <item m="1" x="4900"/>
        <item m="1" x="2682"/>
        <item m="1" x="4970"/>
        <item m="1" x="2752"/>
        <item m="1" x="540"/>
        <item m="1" x="2822"/>
        <item m="1" x="610"/>
        <item m="1" x="2891"/>
        <item m="1" x="679"/>
        <item m="1" x="2960"/>
        <item m="1" x="748"/>
        <item m="1" x="3030"/>
        <item m="1" x="817"/>
        <item m="1" x="3099"/>
        <item m="1" x="886"/>
        <item m="1" x="3169"/>
        <item m="1" x="955"/>
        <item m="1" x="3238"/>
        <item m="1" x="1024"/>
        <item m="1" x="3308"/>
        <item m="1" x="1093"/>
        <item m="1" x="3377"/>
        <item m="1" x="1162"/>
        <item m="1" x="3446"/>
        <item m="1" x="1230"/>
        <item m="1" x="3515"/>
        <item m="1" x="1299"/>
        <item m="1" x="3585"/>
        <item m="1" x="1368"/>
        <item m="1" x="3654"/>
        <item m="1" x="1437"/>
        <item m="1" x="3724"/>
        <item m="1" x="1506"/>
        <item m="1" x="3793"/>
        <item m="1" x="1575"/>
        <item m="1" x="3863"/>
        <item m="1" x="1644"/>
        <item m="1" x="3932"/>
        <item m="1" x="1712"/>
        <item m="1" x="4001"/>
        <item m="1" x="1780"/>
        <item m="1" x="4069"/>
        <item m="1" x="1848"/>
        <item m="1" x="4138"/>
        <item m="1" x="1917"/>
        <item m="1" x="4206"/>
        <item m="1" x="1986"/>
        <item m="1" x="4275"/>
        <item m="1" x="2055"/>
        <item m="1" x="4343"/>
        <item m="1" x="2124"/>
        <item m="1" x="4412"/>
        <item m="1" x="2193"/>
        <item m="1" x="4480"/>
        <item m="1" x="2262"/>
        <item m="1" x="4549"/>
        <item m="1" x="2330"/>
        <item m="1" x="4617"/>
        <item m="1" x="2399"/>
        <item m="1" x="4687"/>
        <item m="1" x="2469"/>
        <item m="1" x="4757"/>
        <item m="1" x="2539"/>
        <item m="1" x="4827"/>
        <item m="1" x="2609"/>
        <item m="1" x="4897"/>
        <item m="1" x="2679"/>
        <item m="1" x="4967"/>
        <item m="1" x="2749"/>
        <item m="1" x="537"/>
        <item m="1" x="2819"/>
        <item m="1" x="607"/>
        <item m="1" x="2888"/>
        <item m="1" x="676"/>
        <item m="1" x="2957"/>
        <item m="1" x="745"/>
        <item m="1" x="3027"/>
        <item m="1" x="814"/>
        <item m="1" x="3096"/>
        <item m="1" x="883"/>
        <item m="1" x="3166"/>
        <item m="1" x="952"/>
        <item m="1" x="3235"/>
        <item m="1" x="1021"/>
        <item m="1" x="3305"/>
        <item m="1" x="1090"/>
        <item m="1" x="3374"/>
        <item m="1" x="1159"/>
        <item m="1" x="3443"/>
        <item m="1" x="1227"/>
        <item m="1" x="3512"/>
        <item m="1" x="1296"/>
        <item m="1" x="3582"/>
        <item m="1" x="1365"/>
        <item m="1" x="3651"/>
        <item m="1" x="1434"/>
        <item m="1" x="3721"/>
        <item m="1" x="1503"/>
        <item m="1" x="3790"/>
        <item m="1" x="1572"/>
        <item m="1" x="3860"/>
        <item m="1" x="1641"/>
        <item m="1" x="3929"/>
        <item m="1" x="1709"/>
        <item m="1" x="3998"/>
        <item m="1" x="1777"/>
        <item m="1" x="4066"/>
        <item m="1" x="1845"/>
        <item m="1" x="4135"/>
        <item m="1" x="1914"/>
        <item m="1" x="4203"/>
        <item m="1" x="1983"/>
        <item m="1" x="4272"/>
        <item m="1" x="2052"/>
        <item m="1" x="4340"/>
        <item m="1" x="2121"/>
        <item m="1" x="4409"/>
        <item m="1" x="2190"/>
        <item m="1" x="4477"/>
        <item m="1" x="2259"/>
        <item m="1" x="4546"/>
        <item m="1" x="2327"/>
        <item m="1" x="4614"/>
        <item m="1" x="2396"/>
        <item m="1" x="4684"/>
        <item m="1" x="2466"/>
        <item m="1" x="4754"/>
        <item m="1" x="2536"/>
        <item m="1" x="4824"/>
        <item m="1" x="2606"/>
        <item m="1" x="4894"/>
        <item m="1" x="2676"/>
        <item m="1" x="4964"/>
        <item m="1" x="2746"/>
        <item m="1" x="534"/>
        <item m="1" x="2816"/>
        <item m="1" x="604"/>
        <item m="1" x="2885"/>
        <item m="1" x="673"/>
        <item m="1" x="2954"/>
        <item m="1" x="742"/>
        <item m="1" x="3024"/>
        <item m="1" x="811"/>
        <item m="1" x="3093"/>
        <item m="1" x="880"/>
        <item m="1" x="3163"/>
        <item m="1" x="949"/>
        <item m="1" x="3232"/>
        <item m="1" x="1018"/>
        <item m="1" x="3302"/>
        <item m="1" x="1087"/>
        <item m="1" x="3371"/>
        <item m="1" x="1156"/>
        <item m="1" x="3440"/>
        <item m="1" x="1224"/>
        <item m="1" x="3509"/>
        <item m="1" x="1293"/>
        <item m="1" x="3579"/>
        <item m="1" x="1362"/>
        <item m="1" x="3648"/>
        <item m="1" x="1431"/>
        <item m="1" x="3718"/>
        <item m="1" x="1500"/>
        <item m="1" x="3787"/>
        <item m="1" x="1569"/>
        <item m="1" x="3857"/>
        <item m="1" x="1638"/>
        <item m="1" x="3926"/>
        <item m="1" x="1707"/>
        <item m="1" x="3996"/>
        <item m="1" x="1775"/>
        <item m="1" x="4064"/>
        <item m="1" x="1843"/>
        <item m="1" x="4133"/>
        <item m="1" x="1912"/>
        <item m="1" x="4201"/>
        <item m="1" x="1981"/>
        <item m="1" x="4270"/>
        <item m="1" x="2050"/>
        <item m="1" x="4338"/>
        <item m="1" x="2119"/>
        <item m="1" x="4407"/>
        <item m="1" x="2188"/>
        <item m="1" x="4475"/>
        <item m="1" x="2257"/>
        <item m="1" x="4544"/>
        <item m="1" x="2325"/>
        <item m="1" x="4612"/>
        <item m="1" x="2394"/>
        <item m="1" x="4682"/>
        <item m="1" x="2464"/>
        <item m="1" x="4752"/>
        <item m="1" x="2534"/>
        <item m="1" x="4822"/>
        <item m="1" x="2604"/>
        <item m="1" x="4892"/>
        <item m="1" x="2674"/>
        <item m="1" x="4962"/>
        <item m="1" x="2744"/>
        <item m="1" x="532"/>
        <item m="1" x="2814"/>
        <item m="1" x="602"/>
        <item m="1" x="2883"/>
        <item m="1" x="671"/>
        <item m="1" x="2952"/>
        <item m="1" x="740"/>
        <item m="1" x="3022"/>
        <item m="1" x="809"/>
        <item m="1" x="3091"/>
        <item m="1" x="878"/>
        <item m="1" x="3161"/>
        <item m="1" x="947"/>
        <item m="1" x="3230"/>
        <item m="1" x="1016"/>
        <item m="1" x="3300"/>
        <item m="1" x="1085"/>
        <item m="1" x="3369"/>
        <item m="1" x="1154"/>
        <item m="1" x="3438"/>
        <item m="1" x="1222"/>
        <item m="1" x="3507"/>
        <item m="1" x="1291"/>
        <item m="1" x="3577"/>
        <item m="1" x="1360"/>
        <item m="1" x="3646"/>
        <item m="1" x="1429"/>
        <item m="1" x="3716"/>
        <item m="1" x="1498"/>
        <item m="1" x="3785"/>
        <item m="1" x="1567"/>
        <item m="1" x="3855"/>
        <item m="1" x="1636"/>
        <item m="1" x="3924"/>
        <item m="1" x="1705"/>
        <item m="1" x="3994"/>
        <item m="1" x="1773"/>
        <item m="1" x="4062"/>
        <item m="1" x="1841"/>
        <item m="1" x="4131"/>
        <item m="1" x="1910"/>
        <item m="1" x="4199"/>
        <item m="1" x="1979"/>
        <item m="1" x="4268"/>
        <item m="1" x="2048"/>
        <item m="1" x="4336"/>
        <item m="1" x="2117"/>
        <item m="1" x="4405"/>
        <item m="1" x="2186"/>
        <item m="1" x="4473"/>
        <item m="1" x="2255"/>
        <item m="1" x="4542"/>
        <item m="1" x="2323"/>
        <item m="1" x="4610"/>
        <item m="1" x="2392"/>
        <item m="1" x="4680"/>
        <item m="1" x="2462"/>
        <item m="1" x="4750"/>
        <item m="1" x="2532"/>
        <item m="1" x="4820"/>
        <item m="1" x="2602"/>
        <item m="1" x="4890"/>
        <item m="1" x="2672"/>
        <item m="1" x="4960"/>
        <item m="1" x="2742"/>
        <item m="1" x="530"/>
        <item m="1" x="2812"/>
        <item m="1" x="600"/>
        <item m="1" x="2881"/>
        <item m="1" x="669"/>
        <item m="1" x="2950"/>
        <item m="1" x="738"/>
        <item m="1" x="3020"/>
        <item m="1" x="807"/>
        <item m="1" x="3089"/>
        <item m="1" x="876"/>
        <item m="1" x="3159"/>
        <item m="1" x="945"/>
        <item m="1" x="3228"/>
        <item m="1" x="1014"/>
        <item m="1" x="3298"/>
        <item m="1" x="1083"/>
        <item m="1" x="3367"/>
        <item m="1" x="1152"/>
        <item m="1" x="3436"/>
        <item m="1" x="1220"/>
        <item m="1" x="3505"/>
        <item m="1" x="1289"/>
        <item m="1" x="3575"/>
        <item m="1" x="1358"/>
        <item m="1" x="3644"/>
        <item m="1" x="1427"/>
        <item m="1" x="3714"/>
        <item m="1" x="1496"/>
        <item m="1" x="3783"/>
        <item m="1" x="1565"/>
        <item m="1" x="3853"/>
        <item m="1" x="1634"/>
        <item m="1" x="3922"/>
        <item m="1" x="1703"/>
        <item m="1" x="3992"/>
        <item m="1" x="1771"/>
        <item m="1" x="4060"/>
        <item m="1" x="1839"/>
        <item m="1" x="4129"/>
        <item m="1" x="1908"/>
        <item m="1" x="4197"/>
        <item m="1" x="1977"/>
        <item m="1" x="4266"/>
        <item m="1" x="2046"/>
        <item m="1" x="4334"/>
        <item m="1" x="2115"/>
        <item m="1" x="4403"/>
        <item m="1" x="2184"/>
        <item m="1" x="4471"/>
        <item m="1" x="2253"/>
        <item m="1" x="4540"/>
        <item m="1" x="2321"/>
        <item m="1" x="4608"/>
        <item m="1" x="2390"/>
        <item m="1" x="4678"/>
        <item m="1" x="2460"/>
        <item m="1" x="4748"/>
        <item m="1" x="2530"/>
        <item m="1" x="4818"/>
        <item m="1" x="2600"/>
        <item m="1" x="4888"/>
        <item m="1" x="2670"/>
        <item m="1" x="4958"/>
        <item m="1" x="2740"/>
        <item m="1" x="528"/>
        <item m="1" x="2810"/>
        <item m="1" x="598"/>
        <item m="1" x="2879"/>
        <item m="1" x="667"/>
        <item m="1" x="2948"/>
        <item m="1" x="736"/>
        <item m="1" x="3018"/>
        <item m="1" x="805"/>
        <item m="1" x="3087"/>
        <item m="1" x="874"/>
        <item m="1" x="3157"/>
        <item m="1" x="943"/>
        <item m="1" x="3226"/>
        <item m="1" x="1012"/>
        <item m="1" x="3296"/>
        <item m="1" x="1081"/>
        <item m="1" x="3365"/>
        <item m="1" x="1150"/>
        <item m="1" x="3434"/>
        <item m="1" x="1218"/>
        <item m="1" x="3503"/>
        <item m="1" x="1287"/>
        <item m="1" x="3573"/>
        <item m="1" x="1356"/>
        <item m="1" x="3642"/>
        <item m="1" x="1425"/>
        <item m="1" x="3712"/>
        <item m="1" x="1494"/>
        <item m="1" x="3781"/>
        <item m="1" x="1563"/>
        <item m="1" x="3851"/>
        <item m="1" x="1632"/>
        <item m="1" x="3920"/>
        <item m="1" x="1701"/>
        <item m="1" x="3990"/>
        <item m="1" x="1769"/>
        <item m="1" x="4058"/>
        <item m="1" x="1837"/>
        <item m="1" x="4127"/>
        <item m="1" x="1906"/>
        <item m="1" x="4195"/>
        <item m="1" x="1975"/>
        <item m="1" x="4264"/>
        <item m="1" x="2044"/>
        <item m="1" x="4332"/>
        <item m="1" x="2113"/>
        <item m="1" x="4401"/>
        <item m="1" x="2182"/>
        <item m="1" x="4469"/>
        <item m="1" x="2251"/>
        <item m="1" x="4538"/>
        <item m="1" x="2319"/>
        <item m="1" x="4606"/>
        <item m="1" x="2388"/>
        <item m="1" x="4676"/>
        <item m="1" x="2458"/>
        <item m="1" x="4746"/>
        <item m="1" x="2528"/>
        <item m="1" x="4816"/>
        <item m="1" x="2598"/>
        <item m="1" x="4886"/>
        <item m="1" x="2668"/>
        <item m="1" x="4956"/>
        <item m="1" x="2738"/>
        <item m="1" x="526"/>
        <item m="1" x="2808"/>
        <item m="1" x="596"/>
        <item m="1" x="2877"/>
        <item m="1" x="665"/>
        <item m="1" x="2946"/>
        <item m="1" x="734"/>
        <item m="1" x="3016"/>
        <item m="1" x="803"/>
        <item m="1" x="3085"/>
        <item m="1" x="872"/>
        <item m="1" x="3155"/>
        <item m="1" x="941"/>
        <item m="1" x="3224"/>
        <item m="1" x="1010"/>
        <item m="1" x="3294"/>
        <item m="1" x="1079"/>
        <item m="1" x="3363"/>
        <item m="1" x="1148"/>
        <item m="1" x="3432"/>
        <item m="1" x="1216"/>
        <item m="1" x="3501"/>
        <item m="1" x="1285"/>
        <item m="1" x="3571"/>
        <item m="1" x="1354"/>
        <item m="1" x="3640"/>
        <item m="1" x="1423"/>
        <item m="1" x="3710"/>
        <item m="1" x="1492"/>
        <item m="1" x="3779"/>
        <item m="1" x="1561"/>
        <item m="1" x="3849"/>
        <item m="1" x="1630"/>
        <item m="1" x="3918"/>
        <item m="1" x="1699"/>
        <item m="1" x="3988"/>
        <item m="1" x="1767"/>
        <item m="1" x="4056"/>
        <item m="1" x="1835"/>
        <item m="1" x="4125"/>
        <item m="1" x="1904"/>
        <item m="1" x="4193"/>
        <item m="1" x="1973"/>
        <item m="1" x="4262"/>
        <item m="1" x="2042"/>
        <item m="1" x="4330"/>
        <item m="1" x="2111"/>
        <item m="1" x="4399"/>
        <item m="1" x="2180"/>
        <item m="1" x="4467"/>
        <item m="1" x="2249"/>
        <item m="1" x="4536"/>
        <item m="1" x="2317"/>
        <item m="1" x="4603"/>
        <item m="1" x="2385"/>
        <item m="1" x="4673"/>
        <item m="1" x="2455"/>
        <item m="1" x="4743"/>
        <item m="1" x="2525"/>
        <item m="1" x="4813"/>
        <item m="1" x="2595"/>
        <item m="1" x="4883"/>
        <item m="1" x="2665"/>
        <item m="1" x="4953"/>
        <item m="1" x="2735"/>
        <item m="1" x="523"/>
        <item m="1" x="2805"/>
        <item m="1" x="593"/>
        <item m="1" x="2874"/>
        <item m="1" x="662"/>
        <item m="1" x="2943"/>
        <item m="1" x="731"/>
        <item m="1" x="3013"/>
        <item m="1" x="800"/>
        <item m="1" x="3082"/>
        <item m="1" x="869"/>
        <item m="1" x="3152"/>
        <item m="1" x="938"/>
        <item m="1" x="3221"/>
        <item m="1" x="1007"/>
        <item m="1" x="3291"/>
        <item m="1" x="1076"/>
        <item m="1" x="3360"/>
        <item m="1" x="1145"/>
        <item m="1" x="3429"/>
        <item m="1" x="1213"/>
        <item m="1" x="3498"/>
        <item m="1" x="1282"/>
        <item m="1" x="3568"/>
        <item m="1" x="1351"/>
        <item m="1" x="3637"/>
        <item m="1" x="1420"/>
        <item m="1" x="3707"/>
        <item m="1" x="1489"/>
        <item m="1" x="3776"/>
        <item m="1" x="1558"/>
        <item m="1" x="3846"/>
        <item m="1" x="1627"/>
        <item m="1" x="3915"/>
        <item m="1" x="1696"/>
        <item m="1" x="3985"/>
        <item m="1" x="1764"/>
        <item m="1" x="4053"/>
        <item m="1" x="1832"/>
        <item m="1" x="4122"/>
        <item m="1" x="1901"/>
        <item m="1" x="4190"/>
        <item m="1" x="1970"/>
        <item m="1" x="4259"/>
        <item m="1" x="2039"/>
        <item m="1" x="4327"/>
        <item m="1" x="2108"/>
        <item m="1" x="4396"/>
        <item m="1" x="2177"/>
        <item m="1" x="4464"/>
        <item m="1" x="2246"/>
        <item m="1" x="4533"/>
        <item m="1" x="2314"/>
        <item m="1" x="4600"/>
        <item m="1" x="2382"/>
        <item m="1" x="4670"/>
        <item m="1" x="2452"/>
        <item m="1" x="4740"/>
        <item m="1" x="2522"/>
        <item m="1" x="4810"/>
        <item m="1" x="2592"/>
        <item m="1" x="4880"/>
        <item m="1" x="2662"/>
        <item m="1" x="4950"/>
        <item m="1" x="2732"/>
        <item m="1" x="520"/>
        <item m="1" x="2802"/>
        <item m="1" x="590"/>
        <item m="1" x="2871"/>
        <item m="1" x="659"/>
        <item m="1" x="2940"/>
        <item m="1" x="728"/>
        <item m="1" x="3010"/>
        <item m="1" x="797"/>
        <item m="1" x="3079"/>
        <item m="1" x="866"/>
        <item m="1" x="3149"/>
        <item m="1" x="935"/>
        <item m="1" x="3218"/>
        <item m="1" x="1004"/>
        <item m="1" x="3288"/>
        <item m="1" x="1073"/>
        <item m="1" x="3357"/>
        <item m="1" x="1142"/>
        <item m="1" x="3426"/>
        <item m="1" x="1210"/>
        <item m="1" x="3495"/>
        <item m="1" x="1279"/>
        <item m="1" x="3565"/>
        <item m="1" x="1348"/>
        <item m="1" x="3634"/>
        <item m="1" x="1417"/>
        <item m="1" x="3704"/>
        <item m="1" x="1486"/>
        <item m="1" x="3773"/>
        <item m="1" x="1555"/>
        <item m="1" x="3843"/>
        <item m="1" x="1624"/>
        <item m="1" x="3912"/>
        <item m="1" x="1693"/>
        <item m="1" x="3982"/>
        <item m="1" x="1761"/>
        <item m="1" x="4050"/>
        <item m="1" x="1829"/>
        <item m="1" x="4119"/>
        <item m="1" x="1898"/>
        <item m="1" x="4187"/>
        <item m="1" x="1967"/>
        <item m="1" x="4256"/>
        <item m="1" x="2036"/>
        <item m="1" x="4324"/>
        <item m="1" x="2105"/>
        <item m="1" x="4393"/>
        <item m="1" x="2174"/>
        <item m="1" x="4461"/>
        <item m="1" x="2243"/>
        <item m="1" x="4530"/>
        <item m="1" x="2311"/>
        <item m="1" x="4597"/>
        <item m="1" x="2379"/>
        <item m="1" x="4667"/>
        <item m="1" x="2449"/>
        <item m="1" x="4737"/>
        <item m="1" x="2519"/>
        <item m="1" x="4807"/>
        <item m="1" x="2589"/>
        <item m="1" x="4877"/>
        <item m="1" x="2659"/>
        <item m="1" x="4947"/>
        <item m="1" x="2729"/>
        <item m="1" x="517"/>
        <item m="1" x="2799"/>
        <item m="1" x="587"/>
        <item m="1" x="2868"/>
        <item m="1" x="656"/>
        <item m="1" x="2937"/>
        <item m="1" x="725"/>
        <item m="1" x="3007"/>
        <item m="1" x="794"/>
        <item m="1" x="3076"/>
        <item m="1" x="863"/>
        <item m="1" x="3146"/>
        <item m="1" x="932"/>
        <item m="1" x="3215"/>
        <item m="1" x="1001"/>
        <item m="1" x="3285"/>
        <item m="1" x="1070"/>
        <item m="1" x="3354"/>
        <item m="1" x="1139"/>
        <item m="1" x="3423"/>
        <item m="1" x="1207"/>
        <item m="1" x="3492"/>
        <item m="1" x="1276"/>
        <item m="1" x="3562"/>
        <item m="1" x="1345"/>
        <item m="1" x="3631"/>
        <item m="1" x="1414"/>
        <item m="1" x="3701"/>
        <item m="1" x="1483"/>
        <item m="1" x="3770"/>
        <item m="1" x="1552"/>
        <item m="1" x="3840"/>
        <item m="1" x="1621"/>
        <item m="1" x="3909"/>
        <item m="1" x="1690"/>
        <item m="1" x="3979"/>
        <item m="1" x="1758"/>
        <item m="1" x="4047"/>
        <item m="1" x="1826"/>
        <item m="1" x="4116"/>
        <item m="1" x="1895"/>
        <item m="1" x="4184"/>
        <item m="1" x="1964"/>
        <item m="1" x="4253"/>
        <item m="1" x="2033"/>
        <item m="1" x="4321"/>
        <item m="1" x="2102"/>
        <item m="1" x="4390"/>
        <item m="1" x="2171"/>
        <item m="1" x="4458"/>
        <item m="1" x="2240"/>
        <item m="1" x="4527"/>
        <item m="1" x="2308"/>
        <item m="1" x="4594"/>
        <item m="1" x="2376"/>
        <item m="1" x="4664"/>
        <item m="1" x="2446"/>
        <item m="1" x="4734"/>
        <item m="1" x="2516"/>
        <item m="1" x="4804"/>
        <item m="1" x="2586"/>
        <item m="1" x="4874"/>
        <item m="1" x="2656"/>
        <item m="1" x="4944"/>
        <item m="1" x="2726"/>
        <item m="1" x="514"/>
        <item m="1" x="2796"/>
        <item m="1" x="584"/>
        <item m="1" x="2865"/>
        <item m="1" x="653"/>
        <item m="1" x="2934"/>
        <item m="1" x="722"/>
        <item m="1" x="3004"/>
        <item m="1" x="791"/>
        <item m="1" x="3073"/>
        <item m="1" x="860"/>
        <item m="1" x="3143"/>
        <item m="1" x="929"/>
        <item m="1" x="3212"/>
        <item m="1" x="998"/>
        <item m="1" x="3282"/>
        <item m="1" x="1067"/>
        <item m="1" x="3351"/>
        <item m="1" x="1136"/>
        <item m="1" x="3421"/>
        <item m="1" x="1205"/>
        <item m="1" x="3490"/>
        <item m="1" x="1274"/>
        <item m="1" x="3560"/>
        <item m="1" x="1343"/>
        <item m="1" x="3629"/>
        <item m="1" x="1412"/>
        <item m="1" x="3699"/>
        <item m="1" x="1481"/>
        <item m="1" x="3768"/>
        <item m="1" x="1550"/>
        <item m="1" x="3838"/>
        <item m="1" x="1619"/>
        <item m="1" x="3907"/>
        <item m="1" x="1688"/>
        <item m="1" x="3977"/>
        <item m="1" x="1756"/>
        <item m="1" x="4045"/>
        <item m="1" x="1824"/>
        <item m="1" x="4114"/>
        <item m="1" x="1893"/>
        <item m="1" x="4182"/>
        <item m="1" x="1962"/>
        <item m="1" x="4251"/>
        <item m="1" x="2031"/>
        <item m="1" x="4319"/>
        <item m="1" x="2100"/>
        <item m="1" x="4388"/>
        <item m="1" x="2169"/>
        <item m="1" x="4456"/>
        <item m="1" x="2238"/>
        <item m="1" x="4525"/>
        <item m="1" x="2306"/>
        <item m="1" x="4592"/>
        <item m="1" x="2374"/>
        <item m="1" x="4662"/>
        <item m="1" x="2444"/>
        <item m="1" x="4732"/>
        <item m="1" x="2514"/>
        <item m="1" x="4802"/>
        <item m="1" x="2584"/>
        <item m="1" x="4872"/>
        <item m="1" x="2654"/>
        <item m="1" x="4942"/>
        <item m="1" x="2724"/>
        <item m="1" x="512"/>
        <item m="1" x="2794"/>
        <item m="1" x="582"/>
        <item m="1" x="2863"/>
        <item m="1" x="651"/>
        <item m="1" x="2932"/>
        <item m="1" x="720"/>
        <item m="1" x="3002"/>
        <item m="1" x="789"/>
        <item m="1" x="3071"/>
        <item m="1" x="858"/>
        <item m="1" x="3141"/>
        <item m="1" x="927"/>
        <item m="1" x="3210"/>
        <item m="1" x="996"/>
        <item m="1" x="3280"/>
        <item m="1" x="1065"/>
        <item m="1" x="3349"/>
        <item m="1" x="1134"/>
        <item m="1" x="3419"/>
        <item m="1" x="1203"/>
        <item m="1" x="3488"/>
        <item m="1" x="1272"/>
        <item m="1" x="3558"/>
        <item m="1" x="1341"/>
        <item m="1" x="3627"/>
        <item m="1" x="1410"/>
        <item m="1" x="3697"/>
        <item m="1" x="1479"/>
        <item m="1" x="3766"/>
        <item m="1" x="1548"/>
        <item m="1" x="3836"/>
        <item m="1" x="1617"/>
        <item m="1" x="3905"/>
        <item m="1" x="1686"/>
        <item m="1" x="3975"/>
        <item m="1" x="1754"/>
        <item m="1" x="4043"/>
        <item m="1" x="1822"/>
        <item m="1" x="4112"/>
        <item m="1" x="1891"/>
        <item m="1" x="4180"/>
        <item m="1" x="1960"/>
        <item m="1" x="4249"/>
        <item m="1" x="2029"/>
        <item m="1" x="4317"/>
        <item m="1" x="2098"/>
        <item m="1" x="4386"/>
        <item m="1" x="2167"/>
        <item m="1" x="4454"/>
        <item m="1" x="2236"/>
        <item m="1" x="4523"/>
        <item m="1" x="2304"/>
        <item m="1" x="4590"/>
        <item m="1" x="2372"/>
        <item m="1" x="4660"/>
        <item m="1" x="2442"/>
        <item m="1" x="4730"/>
        <item m="1" x="2512"/>
        <item m="1" x="4800"/>
        <item m="1" x="2582"/>
        <item m="1" x="4870"/>
        <item m="1" x="2652"/>
        <item m="1" x="4940"/>
        <item m="1" x="2722"/>
        <item m="1" x="510"/>
        <item m="1" x="2792"/>
        <item m="1" x="580"/>
        <item m="1" x="2861"/>
        <item m="1" x="649"/>
        <item m="1" x="2930"/>
        <item m="1" x="718"/>
        <item m="1" x="3000"/>
        <item m="1" x="787"/>
        <item m="1" x="3069"/>
        <item m="1" x="856"/>
        <item m="1" x="3139"/>
        <item m="1" x="925"/>
        <item m="1" x="3208"/>
        <item m="1" x="994"/>
        <item m="1" x="3278"/>
        <item m="1" x="1063"/>
        <item m="1" x="3347"/>
        <item m="1" x="1132"/>
        <item m="1" x="3417"/>
        <item m="1" x="1201"/>
        <item m="1" x="3486"/>
        <item m="1" x="1270"/>
        <item m="1" x="3556"/>
        <item m="1" x="1339"/>
        <item m="1" x="3625"/>
        <item m="1" x="1408"/>
        <item m="1" x="3695"/>
        <item m="1" x="1477"/>
        <item m="1" x="3764"/>
        <item m="1" x="1546"/>
        <item m="1" x="3834"/>
        <item m="1" x="1615"/>
        <item m="1" x="3903"/>
        <item m="1" x="1684"/>
        <item m="1" x="3973"/>
        <item m="1" x="1752"/>
        <item m="1" x="4041"/>
        <item m="1" x="1820"/>
        <item m="1" x="4110"/>
        <item m="1" x="1889"/>
        <item m="1" x="4178"/>
        <item m="1" x="1958"/>
        <item m="1" x="4247"/>
        <item m="1" x="2027"/>
        <item m="1" x="4315"/>
        <item m="1" x="2096"/>
        <item m="1" x="4384"/>
        <item m="1" x="2165"/>
        <item m="1" x="4452"/>
        <item m="1" x="2234"/>
        <item m="1" x="4521"/>
        <item m="1" x="2302"/>
        <item m="1" x="4588"/>
        <item m="1" x="2370"/>
        <item m="1" x="4658"/>
        <item m="1" x="2440"/>
        <item m="1" x="4728"/>
        <item m="1" x="2510"/>
        <item m="1" x="4798"/>
        <item m="1" x="2580"/>
        <item m="1" x="4868"/>
        <item m="1" x="2650"/>
        <item m="1" x="4938"/>
        <item m="1" x="2720"/>
        <item m="1" x="508"/>
        <item m="1" x="2790"/>
        <item m="1" x="578"/>
        <item m="1" x="2859"/>
        <item m="1" x="647"/>
        <item m="1" x="2928"/>
        <item m="1" x="716"/>
        <item m="1" x="2998"/>
        <item m="1" x="785"/>
        <item m="1" x="3067"/>
        <item m="1" x="854"/>
        <item m="1" x="3137"/>
        <item m="1" x="923"/>
        <item m="1" x="3206"/>
        <item m="1" x="992"/>
        <item m="1" x="3276"/>
        <item m="1" x="1061"/>
        <item m="1" x="3345"/>
        <item m="1" x="1130"/>
        <item m="1" x="3415"/>
        <item m="1" x="1199"/>
        <item m="1" x="3484"/>
        <item m="1" x="1268"/>
        <item m="1" x="3554"/>
        <item m="1" x="1337"/>
        <item m="1" x="3623"/>
        <item m="1" x="1406"/>
        <item m="1" x="3693"/>
        <item m="1" x="1475"/>
        <item m="1" x="3762"/>
        <item m="1" x="1544"/>
        <item m="1" x="3832"/>
        <item m="1" x="1613"/>
        <item m="1" x="3901"/>
        <item m="1" x="1682"/>
        <item m="1" x="3971"/>
        <item m="1" x="1750"/>
        <item m="1" x="4039"/>
        <item m="1" x="1818"/>
        <item m="1" x="4108"/>
        <item m="1" x="1887"/>
        <item m="1" x="4176"/>
        <item m="1" x="1956"/>
        <item m="1" x="4245"/>
        <item m="1" x="2025"/>
        <item m="1" x="4313"/>
        <item m="1" x="2094"/>
        <item m="1" x="4382"/>
        <item m="1" x="2163"/>
        <item m="1" x="4450"/>
        <item m="1" x="2232"/>
        <item m="1" x="4519"/>
        <item m="1" x="2300"/>
        <item m="1" x="4586"/>
        <item m="1" x="2368"/>
        <item m="1" x="4656"/>
        <item m="1" x="2438"/>
        <item m="1" x="4726"/>
        <item m="1" x="2508"/>
        <item m="1" x="4796"/>
        <item m="1" x="2578"/>
        <item m="1" x="4866"/>
        <item m="1" x="2648"/>
        <item m="1" x="4936"/>
        <item m="1" x="2718"/>
        <item m="1" x="506"/>
        <item m="1" x="2788"/>
        <item m="1" x="576"/>
        <item m="1" x="2857"/>
        <item m="1" x="645"/>
        <item m="1" x="2926"/>
        <item m="1" x="714"/>
        <item m="1" x="2995"/>
        <item m="1" x="783"/>
        <item m="1" x="3065"/>
        <item m="1" x="852"/>
        <item m="1" x="3134"/>
        <item m="1" x="921"/>
        <item m="1" x="3204"/>
        <item m="1" x="990"/>
        <item m="1" x="3273"/>
        <item m="1" x="1059"/>
        <item m="1" x="3343"/>
        <item m="1" x="1128"/>
        <item m="1" x="3412"/>
        <item m="1" x="1197"/>
        <item m="1" x="3482"/>
        <item m="1" x="4624"/>
        <item m="1" x="1266"/>
        <item m="1" x="2406"/>
        <item m="1" x="3551"/>
        <item m="1" x="4694"/>
        <item m="1" x="1335"/>
        <item m="1" x="2476"/>
        <item m="1" x="3621"/>
        <item m="1" x="4764"/>
        <item m="1" x="1404"/>
        <item m="1" x="2546"/>
        <item m="1" x="3690"/>
        <item m="1" x="4834"/>
        <item m="1" x="1473"/>
        <item m="1" x="2616"/>
        <item m="1" x="3760"/>
        <item m="1" x="4904"/>
        <item m="1" x="1542"/>
        <item m="1" x="2686"/>
        <item m="1" x="3829"/>
        <item m="1" x="4974"/>
        <item m="1" x="1611"/>
        <item m="1" x="2756"/>
        <item m="1" x="3899"/>
        <item m="1" x="544"/>
        <item m="1" x="1680"/>
        <item m="1" x="2826"/>
        <item m="1" x="3968"/>
        <item m="1" x="614"/>
        <item m="1" x="1748"/>
        <item m="1" x="2895"/>
        <item m="1" x="4037"/>
        <item m="1" x="683"/>
        <item m="1" x="1816"/>
        <item m="1" x="2964"/>
        <item m="1" x="4105"/>
        <item m="1" x="752"/>
        <item m="1" x="1885"/>
        <item m="1" x="3034"/>
        <item m="1" x="4174"/>
        <item m="1" x="821"/>
        <item m="1" x="1954"/>
        <item m="1" x="3103"/>
        <item m="1" x="4242"/>
        <item m="1" x="890"/>
        <item m="1" x="2023"/>
        <item m="1" x="3173"/>
        <item m="1" x="4311"/>
        <item m="1" x="959"/>
        <item m="1" x="2092"/>
        <item m="1" x="3242"/>
        <item m="1" x="4379"/>
        <item m="1" x="1028"/>
        <item m="1" x="2161"/>
        <item m="1" x="3312"/>
        <item m="1" x="4448"/>
        <item m="1" x="1097"/>
        <item m="1" x="2230"/>
        <item m="1" x="3381"/>
        <item m="1" x="4516"/>
        <item m="1" x="1166"/>
        <item m="1" x="2298"/>
        <item m="1" x="3450"/>
        <item m="1" x="4584"/>
        <item m="1" x="1234"/>
        <item m="1" x="2366"/>
        <item m="1" x="3519"/>
        <item m="1" x="4653"/>
        <item m="1" x="1303"/>
        <item m="1" x="2436"/>
        <item m="1" x="3589"/>
        <item m="1" x="4723"/>
        <item m="1" x="1372"/>
        <item m="1" x="2506"/>
        <item m="1" x="3658"/>
        <item m="1" x="4793"/>
        <item m="1" x="1441"/>
        <item m="1" x="2576"/>
        <item m="1" x="3728"/>
        <item m="1" x="4863"/>
        <item m="1" x="1510"/>
        <item m="1" x="2646"/>
        <item m="1" x="3797"/>
        <item m="1" x="4933"/>
        <item m="1" x="1579"/>
        <item m="1" x="2716"/>
        <item m="1" x="3867"/>
        <item m="1" x="503"/>
        <item m="1" x="1648"/>
        <item m="1" x="2786"/>
        <item m="1" x="3936"/>
        <item m="1" x="573"/>
        <item m="1" x="1716"/>
        <item m="1" x="2855"/>
        <item m="1" x="4005"/>
        <item m="1" x="642"/>
        <item m="1" x="1784"/>
        <item m="1" x="2924"/>
        <item m="1" x="4073"/>
        <item m="1" x="711"/>
        <item m="1" x="1852"/>
        <item m="1" x="2993"/>
        <item m="1" x="4142"/>
        <item m="1" x="780"/>
        <item m="1" x="1921"/>
        <item m="1" x="3063"/>
        <item m="1" x="4210"/>
        <item m="1" x="849"/>
        <item m="1" x="1990"/>
        <item m="1" x="3132"/>
        <item m="1" x="4279"/>
        <item m="1" x="918"/>
        <item m="1" x="2059"/>
        <item m="1" x="3202"/>
        <item m="1" x="4347"/>
        <item m="1" x="987"/>
        <item m="1" x="2128"/>
        <item m="1" x="3271"/>
        <item m="1" x="4416"/>
        <item m="1" x="1056"/>
        <item m="1" x="2197"/>
        <item m="1" x="3341"/>
        <item m="1" x="4484"/>
        <item m="1" x="1125"/>
        <item m="1" x="2266"/>
        <item m="1" x="3410"/>
        <item m="1" x="4553"/>
        <item m="1" x="1194"/>
        <item m="1" x="2334"/>
        <item m="1" x="3480"/>
        <item m="1" x="4621"/>
        <item m="1" x="1263"/>
        <item m="1" x="2403"/>
        <item m="1" x="3549"/>
        <item m="1" x="4691"/>
        <item m="1" x="1332"/>
        <item m="1" x="2473"/>
        <item m="1" x="3619"/>
        <item m="1" x="4761"/>
        <item m="1" x="1401"/>
        <item m="1" x="2543"/>
        <item m="1" x="3688"/>
        <item m="1" x="4831"/>
        <item m="1" x="1470"/>
        <item m="1" x="2613"/>
        <item m="1" x="3758"/>
        <item m="1" x="4901"/>
        <item m="1" x="1539"/>
        <item m="1" x="2683"/>
        <item m="1" x="3827"/>
        <item m="1" x="4971"/>
        <item m="1" x="1608"/>
        <item m="1" x="2753"/>
        <item m="1" x="3897"/>
        <item m="1" x="541"/>
        <item m="1" x="1677"/>
        <item m="1" x="2823"/>
        <item m="1" x="3966"/>
        <item m="1" x="611"/>
        <item m="1" x="1745"/>
        <item m="1" x="2892"/>
        <item m="1" x="4035"/>
        <item m="1" x="680"/>
        <item m="1" x="1813"/>
        <item m="1" x="2961"/>
        <item m="1" x="4103"/>
        <item m="1" x="749"/>
        <item m="1" x="1882"/>
        <item m="1" x="3031"/>
        <item m="1" x="4172"/>
        <item m="1" x="818"/>
        <item m="1" x="1951"/>
        <item m="1" x="3100"/>
        <item m="1" x="4240"/>
        <item m="1" x="887"/>
        <item m="1" x="2020"/>
        <item m="1" x="3170"/>
        <item m="1" x="4309"/>
        <item m="1" x="956"/>
        <item m="1" x="2089"/>
        <item m="1" x="3239"/>
        <item m="1" x="4377"/>
        <item m="1" x="1025"/>
        <item m="1" x="2158"/>
        <item m="1" x="3309"/>
        <item m="1" x="4446"/>
        <item m="1" x="1094"/>
        <item m="1" x="2227"/>
        <item m="1" x="3378"/>
        <item m="1" x="4514"/>
        <item m="1" x="1163"/>
        <item m="1" x="2295"/>
        <item m="1" x="3447"/>
        <item m="1" x="4582"/>
        <item m="1" x="1231"/>
        <item m="1" x="2363"/>
        <item m="1" x="3516"/>
        <item m="1" x="4651"/>
        <item m="1" x="1300"/>
        <item m="1" x="2433"/>
        <item m="1" x="3586"/>
        <item m="1" x="4721"/>
        <item m="1" x="1369"/>
        <item m="1" x="2503"/>
        <item m="1" x="3655"/>
        <item m="1" x="4791"/>
        <item m="1" x="1438"/>
        <item m="1" x="2573"/>
        <item m="1" x="3725"/>
        <item m="1" x="4861"/>
        <item m="1" x="1507"/>
        <item m="1" x="2643"/>
        <item m="1" x="3794"/>
        <item m="1" x="4931"/>
        <item m="1" x="1576"/>
        <item m="1" x="2713"/>
        <item m="1" x="3864"/>
        <item m="1" x="501"/>
        <item m="1" x="1645"/>
        <item m="1" x="2783"/>
        <item m="1" x="3933"/>
        <item m="1" x="571"/>
        <item m="1" x="1713"/>
        <item m="1" x="2852"/>
        <item m="1" x="4002"/>
        <item m="1" x="640"/>
        <item m="1" x="1781"/>
        <item m="1" x="2921"/>
        <item m="1" x="4070"/>
        <item m="1" x="709"/>
        <item m="1" x="1849"/>
        <item m="1" x="2990"/>
        <item m="1" x="4139"/>
        <item m="1" x="778"/>
        <item m="1" x="1918"/>
        <item m="1" x="3060"/>
        <item m="1" x="4207"/>
        <item m="1" x="847"/>
        <item m="1" x="1987"/>
        <item m="1" x="3129"/>
        <item m="1" x="4276"/>
        <item m="1" x="916"/>
        <item m="1" x="2056"/>
        <item m="1" x="3199"/>
        <item m="1" x="4344"/>
        <item m="1" x="985"/>
        <item m="1" x="2125"/>
        <item m="1" x="3268"/>
        <item m="1" x="4413"/>
        <item m="1" x="1054"/>
        <item m="1" x="2194"/>
        <item m="1" x="3338"/>
        <item m="1" x="4481"/>
        <item m="1" x="1123"/>
        <item m="1" x="2263"/>
        <item m="1" x="3407"/>
        <item m="1" x="4550"/>
        <item m="1" x="1192"/>
        <item m="1" x="2331"/>
        <item m="1" x="3477"/>
        <item m="1" x="4618"/>
        <item m="1" x="1261"/>
        <item m="1" x="2400"/>
        <item m="1" x="3546"/>
        <item m="1" x="4688"/>
        <item m="1" x="1330"/>
        <item m="1" x="2470"/>
        <item m="1" x="3616"/>
        <item m="1" x="4758"/>
        <item m="1" x="1399"/>
        <item m="1" x="2540"/>
        <item m="1" x="3685"/>
        <item m="1" x="4828"/>
        <item m="1" x="1468"/>
        <item m="1" x="2610"/>
        <item m="1" x="3755"/>
        <item m="1" x="4898"/>
        <item m="1" x="1537"/>
        <item m="1" x="2680"/>
        <item m="1" x="3824"/>
        <item m="1" x="4968"/>
        <item m="1" x="1606"/>
        <item m="1" x="2750"/>
        <item m="1" x="3894"/>
        <item m="1" x="538"/>
        <item m="1" x="1675"/>
        <item m="1" x="2820"/>
        <item m="1" x="3963"/>
        <item m="1" x="608"/>
        <item m="1" x="1743"/>
        <item m="1" x="2889"/>
        <item m="1" x="4032"/>
        <item m="1" x="677"/>
        <item m="1" x="1811"/>
        <item m="1" x="2958"/>
        <item m="1" x="4100"/>
        <item m="1" x="746"/>
        <item m="1" x="1880"/>
        <item m="1" x="3028"/>
        <item m="1" x="4169"/>
        <item m="1" x="815"/>
        <item m="1" x="1949"/>
        <item m="1" x="3097"/>
        <item m="1" x="4237"/>
        <item m="1" x="884"/>
        <item m="1" x="2018"/>
        <item m="1" x="3167"/>
        <item m="1" x="4306"/>
        <item m="1" x="953"/>
        <item m="1" x="2087"/>
        <item m="1" x="3236"/>
        <item m="1" x="4374"/>
        <item m="1" x="1022"/>
        <item m="1" x="2156"/>
        <item m="1" x="3306"/>
        <item m="1" x="4443"/>
        <item m="1" x="1091"/>
        <item m="1" x="2225"/>
        <item m="1" x="3375"/>
        <item m="1" x="4511"/>
        <item m="1" x="1160"/>
        <item m="1" x="2293"/>
        <item m="1" x="3444"/>
        <item m="1" x="4579"/>
        <item m="1" x="1228"/>
        <item m="1" x="2361"/>
        <item m="1" x="3513"/>
        <item m="1" x="4648"/>
        <item m="1" x="1297"/>
        <item m="1" x="2431"/>
        <item m="1" x="3583"/>
        <item m="1" x="4718"/>
        <item m="1" x="1366"/>
        <item m="1" x="2501"/>
        <item m="1" x="3652"/>
        <item m="1" x="4788"/>
        <item m="1" x="1435"/>
        <item m="1" x="2571"/>
        <item m="1" x="3722"/>
        <item m="1" x="4858"/>
        <item m="1" x="1504"/>
        <item m="1" x="2641"/>
        <item m="1" x="3791"/>
        <item m="1" x="4928"/>
        <item m="1" x="1573"/>
        <item m="1" x="2711"/>
        <item m="1" x="3861"/>
        <item m="1" x="4998"/>
        <item m="1" x="1642"/>
        <item m="1" x="2781"/>
        <item m="1" x="3930"/>
        <item m="1" x="568"/>
        <item m="1" x="1710"/>
        <item m="1" x="2850"/>
        <item m="1" x="3999"/>
        <item m="1" x="637"/>
        <item m="1" x="1778"/>
        <item m="1" x="2919"/>
        <item m="1" x="4067"/>
        <item m="1" x="706"/>
        <item m="1" x="1846"/>
        <item m="1" x="2988"/>
        <item m="1" x="4136"/>
        <item m="1" x="775"/>
        <item m="1" x="1915"/>
        <item m="1" x="3058"/>
        <item m="1" x="4204"/>
        <item m="1" x="844"/>
        <item m="1" x="1984"/>
        <item m="1" x="3127"/>
        <item m="1" x="4273"/>
        <item m="1" x="913"/>
        <item m="1" x="2053"/>
        <item m="1" x="3197"/>
        <item m="1" x="4341"/>
        <item m="1" x="982"/>
        <item m="1" x="2122"/>
        <item m="1" x="3266"/>
        <item m="1" x="4410"/>
        <item m="1" x="1051"/>
        <item m="1" x="2191"/>
        <item m="1" x="3336"/>
        <item m="1" x="4478"/>
        <item m="1" x="1120"/>
        <item m="1" x="2260"/>
        <item m="1" x="3405"/>
        <item m="1" x="4547"/>
        <item m="1" x="1189"/>
        <item m="1" x="2328"/>
        <item m="1" x="3475"/>
        <item m="1" x="4615"/>
        <item m="1" x="1258"/>
        <item m="1" x="2397"/>
        <item m="1" x="3544"/>
        <item m="1" x="4685"/>
        <item m="1" x="1327"/>
        <item m="1" x="2467"/>
        <item m="1" x="3614"/>
        <item m="1" x="4755"/>
        <item m="1" x="1396"/>
        <item m="1" x="2537"/>
        <item m="1" x="3683"/>
        <item m="1" x="4825"/>
        <item m="1" x="1465"/>
        <item m="1" x="2607"/>
        <item m="1" x="3753"/>
        <item m="1" x="4895"/>
        <item m="1" x="1534"/>
        <item m="1" x="2677"/>
        <item m="1" x="3822"/>
        <item m="1" x="4965"/>
        <item m="1" x="1603"/>
        <item m="1" x="2747"/>
        <item m="1" x="3892"/>
        <item m="1" x="535"/>
        <item m="1" x="1672"/>
        <item m="1" x="2817"/>
        <item m="1" x="3961"/>
        <item m="1" x="605"/>
        <item m="1" x="1740"/>
        <item m="1" x="2886"/>
        <item m="1" x="4030"/>
        <item m="1" x="674"/>
        <item m="1" x="1808"/>
        <item m="1" x="2955"/>
        <item m="1" x="4098"/>
        <item m="1" x="743"/>
        <item m="1" x="1877"/>
        <item m="1" x="3025"/>
        <item m="1" x="4167"/>
        <item m="1" x="812"/>
        <item m="1" x="1946"/>
        <item m="1" x="3094"/>
        <item m="1" x="4235"/>
        <item m="1" x="881"/>
        <item m="1" x="2015"/>
        <item m="1" x="3164"/>
        <item m="1" x="4304"/>
        <item m="1" x="950"/>
        <item m="1" x="2084"/>
        <item m="1" x="3233"/>
        <item m="1" x="4372"/>
        <item m="1" x="1019"/>
        <item m="1" x="2153"/>
        <item m="1" x="3303"/>
        <item m="1" x="4441"/>
        <item m="1" x="1088"/>
        <item m="1" x="2222"/>
        <item m="1" x="3372"/>
        <item m="1" x="4509"/>
        <item m="1" x="1157"/>
        <item m="1" x="2290"/>
        <item m="1" x="3441"/>
        <item m="1" x="4577"/>
        <item m="1" x="1225"/>
        <item m="1" x="2358"/>
        <item m="1" x="3510"/>
        <item m="1" x="4646"/>
        <item m="1" x="1294"/>
        <item m="1" x="2428"/>
        <item m="1" x="3580"/>
        <item m="1" x="4716"/>
        <item m="1" x="1363"/>
        <item m="1" x="2498"/>
        <item m="1" x="3649"/>
        <item m="1" x="4786"/>
        <item m="1" x="1432"/>
        <item m="1" x="2568"/>
        <item m="1" x="3719"/>
        <item m="1" x="4856"/>
        <item m="1" x="1501"/>
        <item m="1" x="2638"/>
        <item m="1" x="3788"/>
        <item m="1" x="4926"/>
        <item m="1" x="1570"/>
        <item m="1" x="2708"/>
        <item m="1" x="3858"/>
        <item m="1" x="4996"/>
        <item m="1" x="1639"/>
        <item m="1" x="2778"/>
        <item m="1" x="3927"/>
        <item m="1" x="566"/>
        <item m="1" x="1708"/>
        <item m="1" x="2848"/>
        <item m="1" x="3997"/>
        <item m="1" x="636"/>
        <item m="1" x="1776"/>
        <item m="1" x="2917"/>
        <item m="1" x="4065"/>
        <item m="1" x="705"/>
        <item m="1" x="1844"/>
        <item m="1" x="2986"/>
        <item m="1" x="4134"/>
        <item m="1" x="774"/>
        <item m="1" x="1913"/>
        <item m="1" x="3056"/>
        <item m="1" x="4202"/>
        <item m="1" x="843"/>
        <item m="1" x="1982"/>
        <item m="1" x="3125"/>
        <item m="1" x="4271"/>
        <item m="1" x="912"/>
        <item m="1" x="2051"/>
        <item m="1" x="3195"/>
        <item m="1" x="4339"/>
        <item m="1" x="981"/>
        <item m="1" x="2120"/>
        <item m="1" x="3264"/>
        <item m="1" x="4408"/>
        <item m="1" x="1050"/>
        <item m="1" x="2189"/>
        <item m="1" x="3334"/>
        <item m="1" x="4476"/>
        <item m="1" x="1119"/>
        <item m="1" x="2258"/>
        <item m="1" x="3403"/>
        <item m="1" x="4545"/>
        <item m="1" x="1188"/>
        <item m="1" x="2326"/>
        <item m="1" x="3473"/>
        <item m="1" x="4613"/>
        <item m="1" x="1257"/>
        <item m="1" x="2395"/>
        <item m="1" x="3542"/>
        <item m="1" x="4683"/>
        <item m="1" x="1326"/>
        <item m="1" x="2465"/>
        <item m="1" x="3612"/>
        <item m="1" x="4753"/>
        <item m="1" x="1395"/>
        <item m="1" x="2535"/>
        <item m="1" x="3681"/>
        <item m="1" x="4823"/>
        <item m="1" x="1464"/>
        <item m="1" x="2605"/>
        <item m="1" x="3751"/>
        <item m="1" x="4893"/>
        <item m="1" x="1533"/>
        <item m="1" x="2675"/>
        <item m="1" x="3820"/>
        <item m="1" x="4963"/>
        <item m="1" x="1602"/>
        <item m="1" x="2745"/>
        <item m="1" x="3890"/>
        <item m="1" x="533"/>
        <item m="1" x="1671"/>
        <item m="1" x="2815"/>
        <item m="1" x="3959"/>
        <item m="1" x="603"/>
        <item m="1" x="1739"/>
        <item m="1" x="2884"/>
        <item m="1" x="4028"/>
        <item m="1" x="672"/>
        <item m="1" x="1807"/>
        <item m="1" x="2953"/>
        <item m="1" x="4096"/>
        <item m="1" x="741"/>
        <item m="1" x="1876"/>
        <item m="1" x="3023"/>
        <item m="1" x="4165"/>
        <item m="1" x="810"/>
        <item m="1" x="1945"/>
        <item m="1" x="3092"/>
        <item m="1" x="4233"/>
        <item m="1" x="879"/>
        <item m="1" x="2014"/>
        <item m="1" x="3162"/>
        <item m="1" x="4302"/>
        <item m="1" x="948"/>
        <item m="1" x="2083"/>
        <item m="1" x="3231"/>
        <item m="1" x="4370"/>
        <item m="1" x="1017"/>
        <item m="1" x="2152"/>
        <item m="1" x="3301"/>
        <item m="1" x="4439"/>
        <item m="1" x="1086"/>
        <item m="1" x="2221"/>
        <item m="1" x="3370"/>
        <item m="1" x="4507"/>
        <item m="1" x="1155"/>
        <item m="1" x="2289"/>
        <item m="1" x="3439"/>
        <item m="1" x="4575"/>
        <item m="1" x="1223"/>
        <item m="1" x="2357"/>
        <item m="1" x="3508"/>
        <item m="1" x="4644"/>
        <item m="1" x="1292"/>
        <item m="1" x="2427"/>
        <item m="1" x="3578"/>
        <item m="1" x="4714"/>
        <item m="1" x="1361"/>
        <item m="1" x="2497"/>
        <item m="1" x="3647"/>
        <item m="1" x="4784"/>
        <item m="1" x="1430"/>
        <item m="1" x="2567"/>
        <item m="1" x="3717"/>
        <item m="1" x="4854"/>
        <item m="1" x="1499"/>
        <item m="1" x="2637"/>
        <item m="1" x="3786"/>
        <item m="1" x="4924"/>
        <item m="1" x="1568"/>
        <item m="1" x="2707"/>
        <item m="1" x="3856"/>
        <item m="1" x="4994"/>
        <item m="1" x="1637"/>
        <item m="1" x="2777"/>
        <item m="1" x="3925"/>
        <item m="1" x="564"/>
        <item m="1" x="1706"/>
        <item m="1" x="2847"/>
        <item m="1" x="3995"/>
        <item m="1" x="634"/>
        <item m="1" x="1774"/>
        <item m="1" x="2916"/>
        <item m="1" x="4063"/>
        <item m="1" x="703"/>
        <item m="1" x="1842"/>
        <item m="1" x="2985"/>
        <item m="1" x="4132"/>
        <item m="1" x="772"/>
        <item m="1" x="1911"/>
        <item m="1" x="3055"/>
        <item m="1" x="4200"/>
        <item m="1" x="841"/>
        <item m="1" x="1980"/>
        <item m="1" x="3124"/>
        <item m="1" x="4269"/>
        <item m="1" x="910"/>
        <item m="1" x="2049"/>
        <item m="1" x="3194"/>
        <item m="1" x="4337"/>
        <item m="1" x="979"/>
        <item m="1" x="2118"/>
        <item m="1" x="3263"/>
        <item m="1" x="4406"/>
        <item m="1" x="1048"/>
        <item m="1" x="2187"/>
        <item m="1" x="3333"/>
        <item m="1" x="4474"/>
        <item m="1" x="1117"/>
        <item m="1" x="2256"/>
        <item m="1" x="3402"/>
        <item m="1" x="4543"/>
        <item m="1" x="1186"/>
        <item m="1" x="2324"/>
        <item m="1" x="3472"/>
        <item m="1" x="4611"/>
        <item m="1" x="1255"/>
        <item m="1" x="2393"/>
        <item m="1" x="3541"/>
        <item m="1" x="4681"/>
        <item m="1" x="1324"/>
        <item m="1" x="2463"/>
        <item m="1" x="3611"/>
        <item m="1" x="4751"/>
        <item m="1" x="1393"/>
        <item m="1" x="2533"/>
        <item m="1" x="3680"/>
        <item m="1" x="4821"/>
        <item m="1" x="1462"/>
        <item m="1" x="2603"/>
        <item m="1" x="3750"/>
        <item m="1" x="4891"/>
        <item m="1" x="1531"/>
        <item m="1" x="2673"/>
        <item m="1" x="3819"/>
        <item m="1" x="4961"/>
        <item m="1" x="1600"/>
        <item m="1" x="2743"/>
        <item m="1" x="3889"/>
        <item m="1" x="531"/>
        <item m="1" x="1669"/>
        <item m="1" x="2813"/>
        <item m="1" x="3958"/>
        <item m="1" x="601"/>
        <item m="1" x="1737"/>
        <item m="1" x="2882"/>
        <item m="1" x="4027"/>
        <item m="1" x="670"/>
        <item m="1" x="1805"/>
        <item m="1" x="2951"/>
        <item m="1" x="4095"/>
        <item m="1" x="739"/>
        <item m="1" x="1874"/>
        <item m="1" x="3021"/>
        <item m="1" x="4164"/>
        <item m="1" x="808"/>
        <item m="1" x="1943"/>
        <item m="1" x="3090"/>
        <item m="1" x="4232"/>
        <item m="1" x="877"/>
        <item m="1" x="2012"/>
        <item m="1" x="3160"/>
        <item m="1" x="4301"/>
        <item m="1" x="946"/>
        <item m="1" x="2081"/>
        <item m="1" x="3229"/>
        <item m="1" x="4369"/>
        <item m="1" x="1015"/>
        <item m="1" x="2150"/>
        <item m="1" x="3299"/>
        <item m="1" x="4438"/>
        <item m="1" x="1084"/>
        <item m="1" x="2219"/>
        <item m="1" x="3368"/>
        <item m="1" x="4506"/>
        <item m="1" x="1153"/>
        <item m="1" x="2287"/>
        <item m="1" x="3437"/>
        <item m="1" x="4574"/>
        <item m="1" x="1221"/>
        <item m="1" x="2355"/>
        <item m="1" x="3506"/>
        <item m="1" x="4643"/>
        <item m="1" x="1290"/>
        <item m="1" x="2425"/>
        <item m="1" x="3576"/>
        <item m="1" x="4713"/>
        <item m="1" x="1359"/>
        <item m="1" x="2495"/>
        <item m="1" x="3645"/>
        <item m="1" x="4783"/>
        <item m="1" x="1428"/>
        <item m="1" x="2565"/>
        <item m="1" x="3715"/>
        <item m="1" x="4853"/>
        <item m="1" x="1497"/>
        <item m="1" x="2635"/>
        <item m="1" x="3784"/>
        <item m="1" x="4923"/>
        <item m="1" x="1566"/>
        <item m="1" x="2705"/>
        <item m="1" x="3854"/>
        <item m="1" x="4993"/>
        <item m="1" x="1635"/>
        <item m="1" x="2775"/>
        <item m="1" x="3923"/>
        <item m="1" x="563"/>
        <item m="1" x="1704"/>
        <item m="1" x="2845"/>
        <item m="1" x="3993"/>
        <item m="1" x="633"/>
        <item m="1" x="1772"/>
        <item m="1" x="2914"/>
        <item m="1" x="4061"/>
        <item m="1" x="702"/>
        <item m="1" x="1840"/>
        <item m="1" x="2983"/>
        <item m="1" x="4130"/>
        <item m="1" x="771"/>
        <item m="1" x="1909"/>
        <item m="1" x="3053"/>
        <item m="1" x="4198"/>
        <item m="1" x="840"/>
        <item m="1" x="1978"/>
        <item m="1" x="3122"/>
        <item m="1" x="4267"/>
        <item m="1" x="909"/>
        <item m="1" x="2047"/>
        <item m="1" x="3192"/>
        <item m="1" x="4335"/>
        <item m="1" x="978"/>
        <item m="1" x="2116"/>
        <item m="1" x="3261"/>
        <item m="1" x="4404"/>
        <item m="1" x="1047"/>
        <item m="1" x="2185"/>
        <item m="1" x="3331"/>
        <item m="1" x="4472"/>
        <item m="1" x="1116"/>
        <item m="1" x="2254"/>
        <item m="1" x="3400"/>
        <item m="1" x="4541"/>
        <item m="1" x="1185"/>
        <item m="1" x="2322"/>
        <item m="1" x="3470"/>
        <item m="1" x="4609"/>
        <item m="1" x="1254"/>
        <item m="1" x="2391"/>
        <item m="1" x="3539"/>
        <item m="1" x="4679"/>
        <item m="1" x="1323"/>
        <item m="1" x="2461"/>
        <item m="1" x="3609"/>
        <item m="1" x="4749"/>
        <item m="1" x="1392"/>
        <item m="1" x="2531"/>
        <item m="1" x="3678"/>
        <item m="1" x="4819"/>
        <item m="1" x="1461"/>
        <item m="1" x="2601"/>
        <item m="1" x="3748"/>
        <item m="1" x="4889"/>
        <item m="1" x="1530"/>
        <item m="1" x="2671"/>
        <item m="1" x="3817"/>
        <item m="1" x="4959"/>
        <item m="1" x="1599"/>
        <item m="1" x="2741"/>
        <item m="1" x="3887"/>
        <item m="1" x="529"/>
        <item m="1" x="1668"/>
        <item m="1" x="2811"/>
        <item m="1" x="3956"/>
        <item m="1" x="599"/>
        <item m="1" x="1736"/>
        <item m="1" x="2880"/>
        <item m="1" x="4025"/>
        <item m="1" x="668"/>
        <item m="1" x="1804"/>
        <item m="1" x="2949"/>
        <item m="1" x="4093"/>
        <item m="1" x="737"/>
        <item m="1" x="1873"/>
        <item m="1" x="3019"/>
        <item m="1" x="4162"/>
        <item m="1" x="806"/>
        <item m="1" x="1942"/>
        <item m="1" x="3088"/>
        <item m="1" x="4230"/>
        <item m="1" x="875"/>
        <item m="1" x="2011"/>
        <item m="1" x="3158"/>
        <item m="1" x="4299"/>
        <item m="1" x="944"/>
        <item m="1" x="2080"/>
        <item m="1" x="3227"/>
        <item m="1" x="4367"/>
        <item m="1" x="1013"/>
        <item m="1" x="2149"/>
        <item m="1" x="3297"/>
        <item m="1" x="4436"/>
        <item m="1" x="1082"/>
        <item m="1" x="2218"/>
        <item m="1" x="3366"/>
        <item m="1" x="4504"/>
        <item m="1" x="1151"/>
        <item m="1" x="2286"/>
        <item m="1" x="3435"/>
        <item m="1" x="4572"/>
        <item m="1" x="1219"/>
        <item m="1" x="2354"/>
        <item m="1" x="3504"/>
        <item m="1" x="4641"/>
        <item m="1" x="1288"/>
        <item m="1" x="2424"/>
        <item m="1" x="3574"/>
        <item m="1" x="4711"/>
        <item m="1" x="1357"/>
        <item m="1" x="2494"/>
        <item m="1" x="3643"/>
        <item m="1" x="4781"/>
        <item m="1" x="1426"/>
        <item m="1" x="2564"/>
        <item m="1" x="3713"/>
        <item m="1" x="4851"/>
        <item m="1" x="1495"/>
        <item m="1" x="2634"/>
        <item m="1" x="3782"/>
        <item m="1" x="4921"/>
        <item m="1" x="1564"/>
        <item m="1" x="2704"/>
        <item m="1" x="3852"/>
        <item m="1" x="4991"/>
        <item m="1" x="1633"/>
        <item m="1" x="2774"/>
        <item m="1" x="3921"/>
        <item m="1" x="561"/>
        <item m="1" x="1702"/>
        <item m="1" x="2844"/>
        <item m="1" x="3991"/>
        <item m="1" x="631"/>
        <item m="1" x="1770"/>
        <item m="1" x="2913"/>
        <item m="1" x="4059"/>
        <item m="1" x="700"/>
        <item m="1" x="1838"/>
        <item m="1" x="2982"/>
        <item m="1" x="4128"/>
        <item m="1" x="769"/>
        <item m="1" x="1907"/>
        <item m="1" x="3052"/>
        <item m="1" x="4196"/>
        <item m="1" x="838"/>
        <item m="1" x="1976"/>
        <item m="1" x="3121"/>
        <item m="1" x="4265"/>
        <item m="1" x="907"/>
        <item m="1" x="2045"/>
        <item m="1" x="3191"/>
        <item m="1" x="4333"/>
        <item m="1" x="976"/>
        <item m="1" x="2114"/>
        <item m="1" x="3260"/>
        <item m="1" x="4402"/>
        <item m="1" x="1045"/>
        <item m="1" x="2183"/>
        <item m="1" x="3330"/>
        <item m="1" x="4470"/>
        <item m="1" x="1114"/>
        <item m="1" x="2252"/>
        <item m="1" x="3399"/>
        <item m="1" x="4539"/>
        <item m="1" x="1183"/>
        <item m="1" x="2320"/>
        <item m="1" x="3469"/>
        <item m="1" x="4607"/>
        <item m="1" x="1252"/>
        <item m="1" x="2389"/>
        <item m="1" x="3538"/>
        <item m="1" x="4677"/>
        <item m="1" x="1321"/>
        <item m="1" x="2459"/>
        <item m="1" x="3608"/>
        <item m="1" x="4747"/>
        <item m="1" x="1390"/>
        <item m="1" x="2529"/>
        <item m="1" x="3677"/>
        <item m="1" x="4817"/>
        <item m="1" x="1459"/>
        <item m="1" x="2599"/>
        <item m="1" x="3747"/>
        <item m="1" x="4887"/>
        <item m="1" x="1528"/>
        <item m="1" x="2669"/>
        <item m="1" x="3816"/>
        <item m="1" x="4957"/>
        <item m="1" x="1597"/>
        <item m="1" x="2739"/>
        <item m="1" x="3886"/>
        <item m="1" x="527"/>
        <item m="1" x="1666"/>
        <item m="1" x="2809"/>
        <item m="1" x="3955"/>
        <item m="1" x="597"/>
        <item m="1" x="1734"/>
        <item m="1" x="2878"/>
        <item m="1" x="4024"/>
        <item m="1" x="666"/>
        <item m="1" x="1802"/>
        <item m="1" x="2947"/>
        <item m="1" x="4092"/>
        <item m="1" x="735"/>
        <item m="1" x="1871"/>
        <item m="1" x="3017"/>
        <item m="1" x="4161"/>
        <item m="1" x="804"/>
        <item m="1" x="1940"/>
        <item m="1" x="3086"/>
        <item m="1" x="4229"/>
        <item m="1" x="873"/>
        <item m="1" x="2009"/>
        <item m="1" x="3156"/>
        <item m="1" x="4298"/>
        <item m="1" x="942"/>
        <item m="1" x="2078"/>
        <item m="1" x="3225"/>
        <item m="1" x="4366"/>
        <item m="1" x="1011"/>
        <item m="1" x="2147"/>
        <item m="1" x="3295"/>
        <item m="1" x="4435"/>
        <item m="1" x="1080"/>
        <item m="1" x="2216"/>
        <item m="1" x="3364"/>
        <item m="1" x="4503"/>
        <item m="1" x="1149"/>
        <item m="1" x="2284"/>
        <item m="1" x="3433"/>
        <item m="1" x="4571"/>
        <item m="1" x="1217"/>
        <item m="1" x="2352"/>
        <item m="1" x="3502"/>
        <item m="1" x="4640"/>
        <item m="1" x="1286"/>
        <item m="1" x="2422"/>
        <item m="1" x="3572"/>
        <item m="1" x="4710"/>
        <item m="1" x="1355"/>
        <item m="1" x="2492"/>
        <item m="1" x="3641"/>
        <item m="1" x="4780"/>
        <item m="1" x="1424"/>
        <item m="1" x="2562"/>
        <item m="1" x="3711"/>
        <item m="1" x="4850"/>
        <item m="1" x="1493"/>
        <item m="1" x="2632"/>
        <item m="1" x="3780"/>
        <item m="1" x="4920"/>
        <item m="1" x="1562"/>
        <item m="1" x="2702"/>
        <item m="1" x="3850"/>
        <item m="1" x="4990"/>
        <item m="1" x="1631"/>
        <item m="1" x="2772"/>
        <item m="1" x="3919"/>
        <item m="1" x="560"/>
        <item m="1" x="1700"/>
        <item m="1" x="2842"/>
        <item m="1" x="3989"/>
        <item m="1" x="630"/>
        <item m="1" x="1768"/>
        <item m="1" x="2911"/>
        <item m="1" x="4057"/>
        <item m="1" x="699"/>
        <item m="1" x="1836"/>
        <item m="1" x="2980"/>
        <item m="1" x="4126"/>
        <item m="1" x="768"/>
        <item m="1" x="1905"/>
        <item m="1" x="3050"/>
        <item m="1" x="4194"/>
        <item m="1" x="837"/>
        <item m="1" x="1974"/>
        <item m="1" x="3119"/>
        <item m="1" x="4263"/>
        <item m="1" x="906"/>
        <item m="1" x="2043"/>
        <item m="1" x="3189"/>
        <item m="1" x="4331"/>
        <item m="1" x="975"/>
        <item m="1" x="2112"/>
        <item m="1" x="3258"/>
        <item m="1" x="4400"/>
        <item m="1" x="1044"/>
        <item m="1" x="2181"/>
        <item m="1" x="3328"/>
        <item m="1" x="4468"/>
        <item m="1" x="1113"/>
        <item m="1" x="2250"/>
        <item m="1" x="3397"/>
        <item m="1" x="4537"/>
        <item m="1" x="1182"/>
        <item m="1" x="2318"/>
        <item m="1" x="3466"/>
        <item m="1" x="4604"/>
        <item m="1" x="1250"/>
        <item m="1" x="2386"/>
        <item m="1" x="3535"/>
        <item m="1" x="4674"/>
        <item m="1" x="1319"/>
        <item m="1" x="2456"/>
        <item m="1" x="3605"/>
        <item m="1" x="4744"/>
        <item m="1" x="1388"/>
        <item m="1" x="2526"/>
        <item m="1" x="3674"/>
        <item m="1" x="4814"/>
        <item m="1" x="1457"/>
        <item m="1" x="2596"/>
        <item m="1" x="3744"/>
        <item m="1" x="4884"/>
        <item m="1" x="1526"/>
        <item m="1" x="2666"/>
        <item m="1" x="3813"/>
        <item m="1" x="4954"/>
        <item m="1" x="1595"/>
        <item m="1" x="2736"/>
        <item m="1" x="3883"/>
        <item m="1" x="524"/>
        <item m="1" x="1664"/>
        <item m="1" x="2806"/>
        <item m="1" x="3952"/>
        <item m="1" x="594"/>
        <item m="1" x="1732"/>
        <item m="1" x="2875"/>
        <item m="1" x="4021"/>
        <item m="1" x="663"/>
        <item m="1" x="1800"/>
        <item m="1" x="2944"/>
        <item m="1" x="4089"/>
        <item m="1" x="732"/>
        <item m="1" x="1869"/>
        <item m="1" x="3014"/>
        <item m="1" x="4158"/>
        <item m="1" x="801"/>
        <item m="1" x="1938"/>
        <item m="1" x="3083"/>
        <item m="1" x="4226"/>
        <item m="1" x="870"/>
        <item m="1" x="2007"/>
        <item m="1" x="3153"/>
        <item m="1" x="4295"/>
        <item m="1" x="939"/>
        <item m="1" x="2076"/>
        <item m="1" x="3222"/>
        <item m="1" x="4363"/>
        <item m="1" x="1008"/>
        <item m="1" x="2145"/>
        <item m="1" x="3292"/>
        <item m="1" x="4432"/>
        <item m="1" x="1077"/>
        <item m="1" x="2214"/>
        <item m="1" x="3361"/>
        <item m="1" x="4500"/>
        <item m="1" x="1146"/>
        <item m="1" x="2282"/>
        <item m="1" x="3430"/>
        <item m="1" x="4568"/>
        <item m="1" x="1214"/>
        <item m="1" x="2350"/>
        <item m="1" x="3499"/>
        <item m="1" x="4637"/>
        <item m="1" x="1283"/>
        <item m="1" x="2420"/>
        <item m="1" x="3569"/>
        <item m="1" x="4707"/>
        <item m="1" x="1352"/>
        <item m="1" x="2490"/>
        <item m="1" x="3638"/>
        <item m="1" x="4777"/>
        <item m="1" x="1421"/>
        <item m="1" x="2560"/>
        <item m="1" x="3708"/>
        <item m="1" x="4847"/>
        <item m="1" x="1490"/>
        <item m="1" x="2630"/>
        <item m="1" x="3777"/>
        <item m="1" x="4917"/>
        <item m="1" x="1559"/>
        <item m="1" x="2700"/>
        <item m="1" x="3847"/>
        <item m="1" x="4987"/>
        <item m="1" x="1628"/>
        <item m="1" x="2770"/>
        <item m="1" x="3916"/>
        <item m="1" x="557"/>
        <item m="1" x="1697"/>
        <item m="1" x="2840"/>
        <item m="1" x="3986"/>
        <item m="1" x="627"/>
        <item m="1" x="1765"/>
        <item m="1" x="2909"/>
        <item m="1" x="4054"/>
        <item m="1" x="696"/>
        <item m="1" x="1833"/>
        <item m="1" x="2978"/>
        <item m="1" x="4123"/>
        <item m="1" x="765"/>
        <item m="1" x="1902"/>
        <item m="1" x="3048"/>
        <item m="1" x="4191"/>
        <item m="1" x="834"/>
        <item m="1" x="1971"/>
        <item m="1" x="3117"/>
        <item m="1" x="4260"/>
        <item m="1" x="903"/>
        <item m="1" x="2040"/>
        <item m="1" x="3187"/>
        <item m="1" x="4328"/>
        <item m="1" x="972"/>
        <item m="1" x="2109"/>
        <item m="1" x="3256"/>
        <item m="1" x="4397"/>
        <item m="1" x="1041"/>
        <item m="1" x="2178"/>
        <item m="1" x="3326"/>
        <item m="1" x="4465"/>
        <item m="1" x="1110"/>
        <item m="1" x="2247"/>
        <item m="1" x="3395"/>
        <item m="1" x="4534"/>
        <item m="1" x="1179"/>
        <item m="1" x="2315"/>
        <item m="1" x="3464"/>
        <item m="1" x="4601"/>
        <item m="1" x="1247"/>
        <item m="1" x="2383"/>
        <item m="1" x="3533"/>
        <item m="1" x="4671"/>
        <item m="1" x="1316"/>
        <item m="1" x="2453"/>
        <item m="1" x="3603"/>
        <item m="1" x="4741"/>
        <item m="1" x="1385"/>
        <item m="1" x="2523"/>
        <item m="1" x="3672"/>
        <item m="1" x="4811"/>
        <item m="1" x="1454"/>
        <item m="1" x="2593"/>
        <item m="1" x="3742"/>
        <item m="1" x="4881"/>
        <item m="1" x="1523"/>
        <item m="1" x="2663"/>
        <item m="1" x="3811"/>
        <item m="1" x="4951"/>
        <item m="1" x="1592"/>
        <item m="1" x="2733"/>
        <item m="1" x="3881"/>
        <item m="1" x="521"/>
        <item m="1" x="1661"/>
        <item m="1" x="2803"/>
        <item m="1" x="3950"/>
        <item m="1" x="591"/>
        <item m="1" x="1729"/>
        <item m="1" x="2872"/>
        <item m="1" x="4019"/>
        <item m="1" x="660"/>
        <item m="1" x="1797"/>
        <item m="1" x="2941"/>
        <item m="1" x="4087"/>
        <item m="1" x="729"/>
        <item m="1" x="1866"/>
        <item m="1" x="3011"/>
        <item m="1" x="4156"/>
        <item m="1" x="798"/>
        <item m="1" x="1935"/>
        <item m="1" x="3080"/>
        <item m="1" x="4224"/>
        <item m="1" x="867"/>
        <item m="1" x="2004"/>
        <item m="1" x="3150"/>
        <item m="1" x="4293"/>
        <item m="1" x="936"/>
        <item m="1" x="2073"/>
        <item m="1" x="3219"/>
        <item m="1" x="4361"/>
        <item m="1" x="1005"/>
        <item m="1" x="2142"/>
        <item m="1" x="3289"/>
        <item m="1" x="4430"/>
        <item m="1" x="1074"/>
        <item m="1" x="2211"/>
        <item m="1" x="3358"/>
        <item m="1" x="4498"/>
        <item m="1" x="1143"/>
        <item m="1" x="2279"/>
        <item m="1" x="3427"/>
        <item m="1" x="4566"/>
        <item m="1" x="1211"/>
        <item m="1" x="2347"/>
        <item m="1" x="3496"/>
        <item m="1" x="4635"/>
        <item m="1" x="1280"/>
        <item m="1" x="2417"/>
        <item m="1" x="3566"/>
        <item m="1" x="4705"/>
        <item m="1" x="1349"/>
        <item m="1" x="2487"/>
        <item m="1" x="3635"/>
        <item m="1" x="4775"/>
        <item m="1" x="1418"/>
        <item m="1" x="2557"/>
        <item m="1" x="3705"/>
        <item m="1" x="4845"/>
        <item m="1" x="1487"/>
        <item m="1" x="2627"/>
        <item m="1" x="3774"/>
        <item m="1" x="4915"/>
        <item m="1" x="1556"/>
        <item m="1" x="2697"/>
        <item m="1" x="3844"/>
        <item m="1" x="4985"/>
        <item m="1" x="1625"/>
        <item m="1" x="2767"/>
        <item m="1" x="3913"/>
        <item m="1" x="555"/>
        <item m="1" x="1694"/>
        <item m="1" x="2837"/>
        <item m="1" x="3983"/>
        <item m="1" x="625"/>
        <item m="1" x="1762"/>
        <item m="1" x="2906"/>
        <item m="1" x="4051"/>
        <item m="1" x="694"/>
        <item m="1" x="1830"/>
        <item m="1" x="2975"/>
        <item m="1" x="4120"/>
        <item m="1" x="763"/>
        <item m="1" x="1899"/>
        <item m="1" x="3045"/>
        <item m="1" x="4188"/>
        <item m="1" x="832"/>
        <item m="1" x="1968"/>
        <item m="1" x="3114"/>
        <item m="1" x="4257"/>
        <item m="1" x="901"/>
        <item m="1" x="2037"/>
        <item m="1" x="3184"/>
        <item m="1" x="4325"/>
        <item m="1" x="970"/>
        <item m="1" x="2106"/>
        <item m="1" x="3253"/>
        <item m="1" x="4394"/>
        <item m="1" x="1039"/>
        <item m="1" x="2175"/>
        <item m="1" x="3323"/>
        <item m="1" x="4462"/>
        <item m="1" x="1108"/>
        <item m="1" x="2244"/>
        <item m="1" x="3392"/>
        <item m="1" x="4531"/>
        <item m="1" x="1177"/>
        <item m="1" x="2312"/>
        <item m="1" x="3461"/>
        <item m="1" x="4598"/>
        <item m="1" x="1245"/>
        <item m="1" x="2380"/>
        <item m="1" x="3530"/>
        <item m="1" x="4668"/>
        <item m="1" x="1314"/>
        <item m="1" x="2450"/>
        <item m="1" x="3600"/>
        <item m="1" x="4738"/>
        <item m="1" x="1383"/>
        <item m="1" x="2520"/>
        <item m="1" x="3669"/>
        <item m="1" x="4808"/>
        <item m="1" x="1452"/>
        <item m="1" x="2590"/>
        <item m="1" x="3739"/>
        <item m="1" x="4878"/>
        <item m="1" x="1521"/>
        <item m="1" x="2660"/>
        <item m="1" x="3808"/>
        <item m="1" x="4948"/>
        <item m="1" x="1590"/>
        <item m="1" x="2730"/>
        <item m="1" x="3878"/>
        <item m="1" x="518"/>
        <item m="1" x="1659"/>
        <item m="1" x="2800"/>
        <item m="1" x="3947"/>
        <item m="1" x="588"/>
        <item m="1" x="1727"/>
        <item m="1" x="2869"/>
        <item m="1" x="4016"/>
        <item m="1" x="657"/>
        <item m="1" x="1795"/>
        <item m="1" x="2938"/>
        <item m="1" x="4084"/>
        <item m="1" x="726"/>
        <item m="1" x="1864"/>
        <item m="1" x="3008"/>
        <item m="1" x="4153"/>
        <item m="1" x="795"/>
        <item m="1" x="1933"/>
        <item m="1" x="3077"/>
        <item m="1" x="4221"/>
        <item m="1" x="864"/>
        <item m="1" x="2002"/>
        <item m="1" x="3147"/>
        <item m="1" x="4290"/>
        <item m="1" x="933"/>
        <item m="1" x="2071"/>
        <item m="1" x="3216"/>
        <item m="1" x="4358"/>
        <item m="1" x="1002"/>
        <item m="1" x="2140"/>
        <item m="1" x="3286"/>
        <item m="1" x="4427"/>
        <item m="1" x="1071"/>
        <item m="1" x="2209"/>
        <item m="1" x="3355"/>
        <item m="1" x="4495"/>
        <item m="1" x="1140"/>
        <item m="1" x="2277"/>
        <item m="1" x="3424"/>
        <item m="1" x="4563"/>
        <item m="1" x="1208"/>
        <item m="1" x="2345"/>
        <item m="1" x="3493"/>
        <item m="1" x="4632"/>
        <item m="1" x="1277"/>
        <item m="1" x="2415"/>
        <item m="1" x="3563"/>
        <item m="1" x="4702"/>
        <item m="1" x="1346"/>
        <item m="1" x="2485"/>
        <item m="1" x="3632"/>
        <item m="1" x="4772"/>
        <item m="1" x="1415"/>
        <item m="1" x="2555"/>
        <item m="1" x="3702"/>
        <item m="1" x="4842"/>
        <item m="1" x="1484"/>
        <item m="1" x="2625"/>
        <item m="1" x="3771"/>
        <item m="1" x="4912"/>
        <item m="1" x="1553"/>
        <item m="1" x="2695"/>
        <item m="1" x="3841"/>
        <item m="1" x="4982"/>
        <item m="1" x="1622"/>
        <item m="1" x="2765"/>
        <item m="1" x="3910"/>
        <item m="1" x="552"/>
        <item m="1" x="1691"/>
        <item m="1" x="2835"/>
        <item m="1" x="3980"/>
        <item m="1" x="622"/>
        <item m="1" x="1759"/>
        <item m="1" x="2904"/>
        <item m="1" x="4048"/>
        <item m="1" x="691"/>
        <item m="1" x="1827"/>
        <item m="1" x="2973"/>
        <item m="1" x="4117"/>
        <item m="1" x="760"/>
        <item m="1" x="1896"/>
        <item m="1" x="3043"/>
        <item m="1" x="4185"/>
        <item m="1" x="829"/>
        <item m="1" x="1965"/>
        <item m="1" x="3112"/>
        <item m="1" x="4254"/>
        <item m="1" x="898"/>
        <item m="1" x="2034"/>
        <item m="1" x="3182"/>
        <item m="1" x="4322"/>
        <item m="1" x="967"/>
        <item m="1" x="2103"/>
        <item m="1" x="3251"/>
        <item m="1" x="4391"/>
        <item m="1" x="1036"/>
        <item m="1" x="2172"/>
        <item m="1" x="3321"/>
        <item m="1" x="4459"/>
        <item m="1" x="1105"/>
        <item m="1" x="2241"/>
        <item m="1" x="3390"/>
        <item m="1" x="4528"/>
        <item m="1" x="1174"/>
        <item m="1" x="2309"/>
        <item m="1" x="3459"/>
        <item m="1" x="4595"/>
        <item m="1" x="1242"/>
        <item m="1" x="2377"/>
        <item m="1" x="3528"/>
        <item m="1" x="4665"/>
        <item m="1" x="1311"/>
        <item m="1" x="2447"/>
        <item m="1" x="3598"/>
        <item m="1" x="4735"/>
        <item m="1" x="1380"/>
        <item m="1" x="2517"/>
        <item m="1" x="3667"/>
        <item m="1" x="4805"/>
        <item m="1" x="1449"/>
        <item m="1" x="2587"/>
        <item m="1" x="3737"/>
        <item m="1" x="4875"/>
        <item m="1" x="1518"/>
        <item m="1" x="2657"/>
        <item m="1" x="3806"/>
        <item m="1" x="4945"/>
        <item m="1" x="1587"/>
        <item m="1" x="2727"/>
        <item m="1" x="3876"/>
        <item m="1" x="515"/>
        <item m="1" x="1656"/>
        <item m="1" x="2797"/>
        <item m="1" x="3945"/>
        <item m="1" x="585"/>
        <item m="1" x="1724"/>
        <item m="1" x="2866"/>
        <item m="1" x="4014"/>
        <item m="1" x="654"/>
        <item m="1" x="1792"/>
        <item m="1" x="2935"/>
        <item m="1" x="4082"/>
        <item m="1" x="723"/>
        <item m="1" x="1861"/>
        <item m="1" x="3005"/>
        <item m="1" x="4151"/>
        <item m="1" x="792"/>
        <item m="1" x="1930"/>
        <item m="1" x="3074"/>
        <item m="1" x="4219"/>
        <item m="1" x="861"/>
        <item m="1" x="1999"/>
        <item m="1" x="3144"/>
        <item m="1" x="4288"/>
        <item m="1" x="930"/>
        <item m="1" x="2068"/>
        <item m="1" x="3213"/>
        <item m="1" x="4356"/>
        <item m="1" x="999"/>
        <item m="1" x="2137"/>
        <item m="1" x="3283"/>
        <item m="1" x="4425"/>
        <item m="1" x="1068"/>
        <item m="1" x="2206"/>
        <item m="1" x="3352"/>
        <item m="1" x="4493"/>
        <item m="1" x="1137"/>
        <item m="1" x="2275"/>
        <item m="1" x="3422"/>
        <item m="1" x="4562"/>
        <item m="1" x="1206"/>
        <item m="1" x="2343"/>
        <item m="1" x="3491"/>
        <item m="1" x="4631"/>
        <item m="1" x="1275"/>
        <item m="1" x="2413"/>
        <item m="1" x="3561"/>
        <item m="1" x="4701"/>
        <item m="1" x="1344"/>
        <item m="1" x="2483"/>
        <item m="1" x="3630"/>
        <item m="1" x="4771"/>
        <item m="1" x="1413"/>
        <item m="1" x="2553"/>
        <item m="1" x="3700"/>
        <item m="1" x="4841"/>
        <item m="1" x="1482"/>
        <item m="1" x="2623"/>
        <item m="1" x="3769"/>
        <item m="1" x="4911"/>
        <item m="1" x="1551"/>
        <item m="1" x="2693"/>
        <item m="1" x="3839"/>
        <item m="1" x="4981"/>
        <item m="1" x="1620"/>
        <item m="1" x="2763"/>
        <item m="1" x="3908"/>
        <item m="1" x="551"/>
        <item m="1" x="1689"/>
        <item m="1" x="2833"/>
        <item m="1" x="3978"/>
        <item m="1" x="621"/>
        <item m="1" x="1757"/>
        <item m="1" x="2902"/>
        <item m="1" x="4046"/>
        <item m="1" x="690"/>
        <item m="1" x="1825"/>
        <item m="1" x="2971"/>
        <item m="1" x="4115"/>
        <item m="1" x="759"/>
        <item m="1" x="1894"/>
        <item m="1" x="3041"/>
        <item m="1" x="4183"/>
        <item m="1" x="828"/>
        <item m="1" x="1963"/>
        <item m="1" x="3110"/>
        <item m="1" x="4252"/>
        <item m="1" x="897"/>
        <item m="1" x="2032"/>
        <item m="1" x="3180"/>
        <item m="1" x="4320"/>
        <item m="1" x="966"/>
        <item m="1" x="2101"/>
        <item m="1" x="3249"/>
        <item m="1" x="4389"/>
        <item m="1" x="1035"/>
        <item m="1" x="2170"/>
        <item m="1" x="3319"/>
        <item m="1" x="4457"/>
        <item m="1" x="1104"/>
        <item m="1" x="2239"/>
        <item m="1" x="3388"/>
        <item m="1" x="4526"/>
        <item m="1" x="1173"/>
        <item m="1" x="2307"/>
        <item m="1" x="3457"/>
        <item m="1" x="4593"/>
        <item m="1" x="1241"/>
        <item m="1" x="2375"/>
        <item m="1" x="3526"/>
        <item m="1" x="4663"/>
        <item m="1" x="1310"/>
        <item m="1" x="2445"/>
        <item m="1" x="3596"/>
        <item m="1" x="4733"/>
        <item m="1" x="1379"/>
        <item m="1" x="2515"/>
        <item m="1" x="3665"/>
        <item m="1" x="4803"/>
        <item m="1" x="1448"/>
        <item m="1" x="2585"/>
        <item m="1" x="3735"/>
        <item m="1" x="4873"/>
        <item m="1" x="1517"/>
        <item m="1" x="2655"/>
        <item m="1" x="3804"/>
        <item m="1" x="4943"/>
        <item m="1" x="1586"/>
        <item m="1" x="2725"/>
        <item m="1" x="3874"/>
        <item m="1" x="513"/>
        <item m="1" x="1655"/>
        <item m="1" x="2795"/>
        <item m="1" x="3943"/>
        <item m="1" x="583"/>
        <item m="1" x="1723"/>
        <item m="1" x="2864"/>
        <item m="1" x="4012"/>
        <item m="1" x="652"/>
        <item m="1" x="1791"/>
        <item m="1" x="2933"/>
        <item m="1" x="4080"/>
        <item m="1" x="721"/>
        <item m="1" x="1860"/>
        <item m="1" x="3003"/>
        <item m="1" x="4149"/>
        <item m="1" x="790"/>
        <item m="1" x="1929"/>
        <item m="1" x="3072"/>
        <item m="1" x="4217"/>
        <item m="1" x="859"/>
        <item m="1" x="1998"/>
        <item m="1" x="3142"/>
        <item m="1" x="4286"/>
        <item m="1" x="928"/>
        <item m="1" x="2067"/>
        <item m="1" x="3211"/>
        <item m="1" x="4354"/>
        <item m="1" x="997"/>
        <item m="1" x="2136"/>
        <item m="1" x="3281"/>
        <item m="1" x="4423"/>
        <item m="1" x="1066"/>
        <item m="1" x="2205"/>
        <item m="1" x="3350"/>
        <item m="1" x="4491"/>
        <item m="1" x="1135"/>
        <item m="1" x="2274"/>
        <item m="1" x="3420"/>
        <item m="1" x="4560"/>
        <item m="1" x="1204"/>
        <item m="1" x="2342"/>
        <item m="1" x="3489"/>
        <item m="1" x="4629"/>
        <item m="1" x="1273"/>
        <item m="1" x="2412"/>
        <item m="1" x="3559"/>
        <item m="1" x="4699"/>
        <item m="1" x="1342"/>
        <item m="1" x="2482"/>
        <item m="1" x="3628"/>
        <item m="1" x="4769"/>
        <item m="1" x="1411"/>
        <item m="1" x="2552"/>
        <item m="1" x="3698"/>
        <item m="1" x="4839"/>
        <item m="1" x="1480"/>
        <item m="1" x="2622"/>
        <item m="1" x="3767"/>
        <item m="1" x="4909"/>
        <item m="1" x="1549"/>
        <item m="1" x="2692"/>
        <item m="1" x="3837"/>
        <item m="1" x="4979"/>
        <item m="1" x="1618"/>
        <item m="1" x="2762"/>
        <item m="1" x="3906"/>
        <item m="1" x="549"/>
        <item m="1" x="1687"/>
        <item m="1" x="2832"/>
        <item m="1" x="3976"/>
        <item m="1" x="619"/>
        <item m="1" x="1755"/>
        <item m="1" x="2901"/>
        <item m="1" x="4044"/>
        <item m="1" x="688"/>
        <item m="1" x="1823"/>
        <item m="1" x="2970"/>
        <item m="1" x="4113"/>
        <item m="1" x="757"/>
        <item m="1" x="1892"/>
        <item m="1" x="3040"/>
        <item m="1" x="4181"/>
        <item m="1" x="826"/>
        <item m="1" x="1961"/>
        <item m="1" x="3109"/>
        <item m="1" x="4250"/>
        <item m="1" x="895"/>
        <item m="1" x="2030"/>
        <item m="1" x="3179"/>
        <item m="1" x="4318"/>
        <item m="1" x="964"/>
        <item m="1" x="2099"/>
        <item m="1" x="3248"/>
        <item m="1" x="4387"/>
        <item m="1" x="1033"/>
        <item m="1" x="2168"/>
        <item m="1" x="3318"/>
        <item m="1" x="4455"/>
        <item m="1" x="1102"/>
        <item m="1" x="2237"/>
        <item m="1" x="3387"/>
        <item m="1" x="4524"/>
        <item m="1" x="1171"/>
        <item m="1" x="2305"/>
        <item m="1" x="3456"/>
        <item m="1" x="4591"/>
        <item m="1" x="1239"/>
        <item m="1" x="2373"/>
        <item m="1" x="3525"/>
        <item m="1" x="4661"/>
        <item m="1" x="1308"/>
        <item m="1" x="2443"/>
        <item m="1" x="3595"/>
        <item m="1" x="4731"/>
        <item m="1" x="1377"/>
        <item m="1" x="2513"/>
        <item m="1" x="3664"/>
        <item m="1" x="4801"/>
        <item m="1" x="1446"/>
        <item m="1" x="2583"/>
        <item m="1" x="3734"/>
        <item m="1" x="4871"/>
        <item m="1" x="1515"/>
        <item m="1" x="2653"/>
        <item m="1" x="3803"/>
        <item m="1" x="4941"/>
        <item m="1" x="1584"/>
        <item m="1" x="2723"/>
        <item m="1" x="3873"/>
        <item m="1" x="511"/>
        <item m="1" x="1653"/>
        <item m="1" x="2793"/>
        <item m="1" x="3942"/>
        <item m="1" x="581"/>
        <item m="1" x="1721"/>
        <item m="1" x="2862"/>
        <item m="1" x="4011"/>
        <item m="1" x="650"/>
        <item m="1" x="1789"/>
        <item m="1" x="2931"/>
        <item m="1" x="4079"/>
        <item m="1" x="719"/>
        <item m="1" x="1858"/>
        <item m="1" x="3001"/>
        <item m="1" x="4148"/>
        <item m="1" x="788"/>
        <item m="1" x="1927"/>
        <item m="1" x="3070"/>
        <item m="1" x="4216"/>
        <item m="1" x="857"/>
        <item m="1" x="1996"/>
        <item m="1" x="3140"/>
        <item m="1" x="4285"/>
        <item m="1" x="926"/>
        <item m="1" x="2065"/>
        <item m="1" x="3209"/>
        <item m="1" x="4353"/>
        <item m="1" x="995"/>
        <item m="1" x="2134"/>
        <item m="1" x="3279"/>
        <item m="1" x="4422"/>
        <item m="1" x="1064"/>
        <item m="1" x="2203"/>
        <item m="1" x="3348"/>
        <item m="1" x="4490"/>
        <item m="1" x="1133"/>
        <item m="1" x="2272"/>
        <item m="1" x="3418"/>
        <item m="1" x="4559"/>
        <item m="1" x="1202"/>
        <item m="1" x="2340"/>
        <item m="1" x="3487"/>
        <item m="1" x="4628"/>
        <item m="1" x="1271"/>
        <item m="1" x="2410"/>
        <item m="1" x="3557"/>
        <item m="1" x="4698"/>
        <item m="1" x="1340"/>
        <item m="1" x="2480"/>
        <item m="1" x="3626"/>
        <item m="1" x="4768"/>
        <item m="1" x="1409"/>
        <item m="1" x="2550"/>
        <item m="1" x="3696"/>
        <item m="1" x="4838"/>
        <item m="1" x="1478"/>
        <item m="1" x="2620"/>
        <item m="1" x="3765"/>
        <item m="1" x="4908"/>
        <item m="1" x="1547"/>
        <item m="1" x="2690"/>
        <item m="1" x="3835"/>
        <item m="1" x="4978"/>
        <item m="1" x="1616"/>
        <item m="1" x="2760"/>
        <item m="1" x="3904"/>
        <item m="1" x="548"/>
        <item m="1" x="1685"/>
        <item m="1" x="2830"/>
        <item m="1" x="3974"/>
        <item m="1" x="618"/>
        <item m="1" x="1753"/>
        <item m="1" x="2899"/>
        <item m="1" x="4042"/>
        <item m="1" x="687"/>
        <item m="1" x="1821"/>
        <item m="1" x="2968"/>
        <item m="1" x="4111"/>
        <item m="1" x="756"/>
        <item m="1" x="1890"/>
        <item m="1" x="3038"/>
        <item m="1" x="4179"/>
        <item m="1" x="825"/>
        <item m="1" x="1959"/>
        <item m="1" x="3107"/>
        <item m="1" x="4248"/>
        <item m="1" x="894"/>
        <item m="1" x="2028"/>
        <item m="1" x="3177"/>
        <item m="1" x="4316"/>
        <item m="1" x="963"/>
        <item m="1" x="2097"/>
        <item m="1" x="3246"/>
        <item m="1" x="4385"/>
        <item m="1" x="1032"/>
        <item m="1" x="2166"/>
        <item m="1" x="3316"/>
        <item m="1" x="4453"/>
        <item m="1" x="1101"/>
        <item m="1" x="2235"/>
        <item m="1" x="3385"/>
        <item m="1" x="4522"/>
        <item m="1" x="1170"/>
        <item m="1" x="2303"/>
        <item m="1" x="3454"/>
        <item m="1" x="4589"/>
        <item m="1" x="1238"/>
        <item m="1" x="2371"/>
        <item m="1" x="3523"/>
        <item m="1" x="4659"/>
        <item m="1" x="1307"/>
        <item m="1" x="2441"/>
        <item m="1" x="3593"/>
        <item m="1" x="4729"/>
        <item m="1" x="1376"/>
        <item m="1" x="2511"/>
        <item m="1" x="3662"/>
        <item m="1" x="4799"/>
        <item m="1" x="1445"/>
        <item m="1" x="2581"/>
        <item m="1" x="3732"/>
        <item m="1" x="4869"/>
        <item m="1" x="1514"/>
        <item m="1" x="2651"/>
        <item m="1" x="3801"/>
        <item m="1" x="4939"/>
        <item m="1" x="1583"/>
        <item m="1" x="2721"/>
        <item m="1" x="3871"/>
        <item m="1" x="509"/>
        <item m="1" x="1652"/>
        <item m="1" x="2791"/>
        <item m="1" x="3940"/>
        <item m="1" x="579"/>
        <item m="1" x="1720"/>
        <item m="1" x="2860"/>
        <item m="1" x="4009"/>
        <item m="1" x="648"/>
        <item m="1" x="1788"/>
        <item m="1" x="2929"/>
        <item m="1" x="4077"/>
        <item m="1" x="717"/>
        <item m="1" x="1857"/>
        <item m="1" x="2999"/>
        <item m="1" x="4146"/>
        <item m="1" x="786"/>
        <item m="1" x="1926"/>
        <item m="1" x="3068"/>
        <item m="1" x="4214"/>
        <item m="1" x="855"/>
        <item m="1" x="1995"/>
        <item m="1" x="3138"/>
        <item m="1" x="4283"/>
        <item m="1" x="924"/>
        <item m="1" x="2064"/>
        <item m="1" x="3207"/>
        <item m="1" x="4351"/>
        <item m="1" x="993"/>
        <item m="1" x="2133"/>
        <item m="1" x="3277"/>
        <item m="1" x="4420"/>
        <item m="1" x="1062"/>
        <item m="1" x="2202"/>
        <item m="1" x="3346"/>
        <item m="1" x="4488"/>
        <item m="1" x="1131"/>
        <item m="1" x="2271"/>
        <item m="1" x="3416"/>
        <item m="1" x="4557"/>
        <item m="1" x="1200"/>
        <item m="1" x="2339"/>
        <item m="1" x="3485"/>
        <item m="1" x="4626"/>
        <item m="1" x="1269"/>
        <item m="1" x="2409"/>
        <item m="1" x="3555"/>
        <item m="1" x="4696"/>
        <item m="1" x="1338"/>
        <item m="1" x="2479"/>
        <item m="1" x="3624"/>
        <item m="1" x="4766"/>
        <item m="1" x="1407"/>
        <item m="1" x="2549"/>
        <item m="1" x="3694"/>
        <item m="1" x="4836"/>
        <item m="1" x="1476"/>
        <item m="1" x="2619"/>
        <item m="1" x="3763"/>
        <item m="1" x="4906"/>
        <item m="1" x="1545"/>
        <item m="1" x="2689"/>
        <item m="1" x="3833"/>
        <item m="1" x="4976"/>
        <item m="1" x="1614"/>
        <item m="1" x="2759"/>
        <item m="1" x="3902"/>
        <item m="1" x="546"/>
        <item m="1" x="1683"/>
        <item m="1" x="2829"/>
        <item m="1" x="3972"/>
        <item m="1" x="616"/>
        <item m="1" x="1751"/>
        <item m="1" x="2898"/>
        <item m="1" x="4040"/>
        <item m="1" x="685"/>
        <item m="1" x="1819"/>
        <item m="1" x="2967"/>
        <item m="1" x="4109"/>
        <item m="1" x="754"/>
        <item m="1" x="1888"/>
        <item m="1" x="3037"/>
        <item m="1" x="4177"/>
        <item m="1" x="823"/>
        <item m="1" x="1957"/>
        <item m="1" x="3106"/>
        <item m="1" x="4246"/>
        <item m="1" x="892"/>
        <item m="1" x="2026"/>
        <item m="1" x="3176"/>
        <item m="1" x="4314"/>
        <item m="1" x="961"/>
        <item m="1" x="2095"/>
        <item m="1" x="3245"/>
        <item m="1" x="4383"/>
        <item m="1" x="1030"/>
        <item m="1" x="2164"/>
        <item m="1" x="3315"/>
        <item m="1" x="4451"/>
        <item m="1" x="1099"/>
        <item m="1" x="2233"/>
        <item m="1" x="3384"/>
        <item m="1" x="4520"/>
        <item m="1" x="1168"/>
        <item m="1" x="2301"/>
        <item m="1" x="3453"/>
        <item m="1" x="4587"/>
        <item m="1" x="1236"/>
        <item m="1" x="2369"/>
        <item m="1" x="3522"/>
        <item m="1" x="4657"/>
        <item m="1" x="1305"/>
        <item m="1" x="2439"/>
        <item m="1" x="3592"/>
        <item m="1" x="4727"/>
        <item m="1" x="1374"/>
        <item m="1" x="2509"/>
        <item m="1" x="3661"/>
        <item m="1" x="4797"/>
        <item m="1" x="1443"/>
        <item m="1" x="2579"/>
        <item m="1" x="3731"/>
        <item m="1" x="4867"/>
        <item m="1" x="1512"/>
        <item m="1" x="2649"/>
        <item m="1" x="3800"/>
        <item m="1" x="4937"/>
        <item m="1" x="1581"/>
        <item m="1" x="2719"/>
        <item m="1" x="3870"/>
        <item m="1" x="507"/>
        <item m="1" x="1650"/>
        <item m="1" x="2789"/>
        <item m="1" x="3939"/>
        <item m="1" x="577"/>
        <item m="1" x="1718"/>
        <item m="1" x="2858"/>
        <item m="1" x="4008"/>
        <item m="1" x="646"/>
        <item m="1" x="1786"/>
        <item m="1" x="2927"/>
        <item m="1" x="4076"/>
        <item m="1" x="715"/>
        <item m="1" x="1855"/>
        <item m="1" x="2996"/>
        <item m="1" x="4145"/>
        <item m="1" x="784"/>
        <item m="1" x="1924"/>
        <item m="1" x="3066"/>
        <item m="1" x="4213"/>
        <item m="1" x="853"/>
        <item m="1" x="1993"/>
        <item m="1" x="3135"/>
        <item m="1" x="4282"/>
        <item m="1" x="922"/>
        <item m="1" x="2062"/>
        <item m="1" x="3205"/>
        <item m="1" x="4350"/>
        <item m="1" x="991"/>
        <item m="1" x="2131"/>
        <item m="1" x="3274"/>
        <item m="1" x="4419"/>
        <item m="1" x="1060"/>
        <item m="1" x="2200"/>
        <item m="1" x="3344"/>
        <item m="1" x="4487"/>
        <item m="1" x="1129"/>
        <item m="1" x="2269"/>
        <item m="1" x="3413"/>
        <item m="1" x="4556"/>
        <item m="1" x="1198"/>
        <item m="1" x="2337"/>
        <item m="1" x="3483"/>
        <item m="1" x="4625"/>
        <item m="1" x="1267"/>
        <item m="1" x="2407"/>
        <item m="1" x="3552"/>
        <item m="1" x="4695"/>
        <item m="1" x="1336"/>
        <item m="1" x="2477"/>
        <item m="1" x="3622"/>
        <item m="1" x="4765"/>
        <item m="1" x="1405"/>
        <item m="1" x="2547"/>
        <item m="1" x="3691"/>
        <item m="1" x="4835"/>
        <item m="1" x="1474"/>
        <item m="1" x="2617"/>
        <item m="1" x="3761"/>
        <item m="1" x="4905"/>
        <item m="1" x="1543"/>
        <item m="1" x="2687"/>
        <item m="1" x="3830"/>
        <item m="1" x="4975"/>
        <item m="1" x="1612"/>
        <item m="1" x="2757"/>
        <item m="1" x="3900"/>
        <item m="1" x="545"/>
        <item m="1" x="1681"/>
        <item m="1" x="2827"/>
        <item m="1" x="3969"/>
        <item m="1" x="615"/>
        <item m="1" x="1749"/>
        <item m="1" x="2896"/>
        <item m="1" x="3467"/>
        <item m="1" x="4038"/>
        <item m="1" x="4605"/>
        <item m="1" x="684"/>
        <item m="1" x="1251"/>
        <item m="1" x="1817"/>
        <item m="1" x="2387"/>
        <item m="1" x="2965"/>
        <item m="1" x="3536"/>
        <item m="1" x="4106"/>
        <item m="1" x="4675"/>
        <item m="1" x="753"/>
        <item m="1" x="1320"/>
        <item m="1" x="1886"/>
        <item m="1" x="2457"/>
        <item m="1" x="3035"/>
        <item m="1" x="3606"/>
        <item m="1" x="4175"/>
        <item m="1" x="4745"/>
        <item m="1" x="822"/>
        <item m="1" x="1389"/>
        <item m="1" x="1955"/>
        <item m="1" x="2527"/>
        <item m="1" x="3104"/>
        <item m="1" x="3675"/>
        <item m="1" x="4243"/>
        <item m="1" x="4815"/>
        <item m="1" x="891"/>
        <item m="1" x="1458"/>
        <item m="1" x="2024"/>
        <item m="1" x="2597"/>
        <item m="1" x="3174"/>
        <item m="1" x="3745"/>
        <item m="1" x="4312"/>
        <item m="1" x="4885"/>
        <item m="1" x="960"/>
        <item m="1" x="1527"/>
        <item m="1" x="2093"/>
        <item m="1" x="2667"/>
        <item m="1" x="3243"/>
        <item m="1" x="3814"/>
        <item m="1" x="4380"/>
        <item m="1" x="4955"/>
        <item m="1" x="1029"/>
        <item m="1" x="1596"/>
        <item m="1" x="2162"/>
        <item m="1" x="2737"/>
        <item m="1" x="3313"/>
        <item m="1" x="3884"/>
        <item m="1" x="4449"/>
        <item m="1" x="525"/>
        <item m="1" x="1098"/>
        <item m="1" x="1665"/>
        <item m="1" x="2231"/>
        <item m="1" x="2807"/>
        <item m="1" x="3382"/>
        <item m="1" x="3953"/>
        <item m="1" x="4517"/>
        <item m="1" x="595"/>
        <item m="1" x="1167"/>
        <item m="1" x="1733"/>
        <item m="1" x="2299"/>
        <item m="1" x="2876"/>
        <item m="1" x="3451"/>
        <item m="1" x="4022"/>
        <item m="1" x="4585"/>
        <item m="1" x="664"/>
        <item m="1" x="1235"/>
        <item m="1" x="1801"/>
        <item m="1" x="2367"/>
        <item m="1" x="2945"/>
        <item m="1" x="3520"/>
        <item m="1" x="4090"/>
        <item m="1" x="4654"/>
        <item m="1" x="733"/>
        <item m="1" x="1304"/>
        <item m="1" x="1870"/>
        <item m="1" x="2437"/>
        <item m="1" x="3015"/>
        <item m="1" x="3590"/>
        <item m="1" x="4159"/>
        <item m="1" x="4724"/>
        <item m="1" x="802"/>
        <item m="1" x="1373"/>
        <item m="1" x="1939"/>
        <item m="1" x="2507"/>
        <item m="1" x="3084"/>
        <item m="1" x="3659"/>
        <item m="1" x="4227"/>
        <item m="1" x="4794"/>
        <item m="1" x="871"/>
        <item m="1" x="1442"/>
        <item m="1" x="2008"/>
        <item m="1" x="2577"/>
        <item m="1" x="3154"/>
        <item m="1" x="3729"/>
        <item m="1" x="4296"/>
        <item m="1" x="4864"/>
        <item m="1" x="940"/>
        <item m="1" x="1511"/>
        <item m="1" x="2077"/>
        <item m="1" x="2647"/>
        <item m="1" x="3223"/>
        <item m="1" x="3798"/>
        <item m="1" x="4364"/>
        <item m="1" x="4934"/>
        <item m="1" x="1009"/>
        <item m="1" x="1580"/>
        <item m="1" x="2146"/>
        <item m="1" x="2717"/>
        <item m="1" x="3293"/>
        <item m="1" x="3868"/>
        <item m="1" x="4433"/>
        <item m="1" x="504"/>
        <item m="1" x="1078"/>
        <item m="1" x="1649"/>
        <item m="1" x="2215"/>
        <item m="1" x="2787"/>
        <item m="1" x="3362"/>
        <item m="1" x="3937"/>
        <item m="1" x="4501"/>
        <item m="1" x="574"/>
        <item m="1" x="1147"/>
        <item m="1" x="1717"/>
        <item m="1" x="2283"/>
        <item m="1" x="2856"/>
        <item m="1" x="3431"/>
        <item m="1" x="4006"/>
        <item m="1" x="4569"/>
        <item m="1" x="643"/>
        <item m="1" x="1215"/>
        <item m="1" x="1785"/>
        <item m="1" x="2351"/>
        <item m="1" x="2925"/>
        <item m="1" x="3500"/>
        <item m="1" x="4074"/>
        <item m="1" x="4638"/>
        <item m="1" x="712"/>
        <item m="1" x="1284"/>
        <item m="1" x="1853"/>
        <item m="1" x="2421"/>
        <item m="1" x="2994"/>
        <item m="1" x="3570"/>
        <item m="1" x="4143"/>
        <item m="1" x="4708"/>
        <item m="1" x="781"/>
        <item m="1" x="1353"/>
        <item m="1" x="1922"/>
        <item m="1" x="2491"/>
        <item m="1" x="3064"/>
        <item m="1" x="3639"/>
        <item m="1" x="4211"/>
        <item m="1" x="4778"/>
        <item m="1" x="850"/>
        <item m="1" x="1422"/>
        <item m="1" x="1991"/>
        <item m="1" x="2561"/>
        <item m="1" x="3133"/>
        <item m="1" x="3709"/>
        <item m="1" x="4280"/>
        <item m="1" x="4848"/>
        <item m="1" x="919"/>
        <item m="1" x="1491"/>
        <item m="1" x="2060"/>
        <item m="1" x="2631"/>
        <item m="1" x="3203"/>
        <item m="1" x="3778"/>
        <item m="1" x="4348"/>
        <item m="1" x="4918"/>
        <item m="1" x="988"/>
        <item m="1" x="1560"/>
        <item m="1" x="2129"/>
        <item m="1" x="2701"/>
        <item m="1" x="3272"/>
        <item m="1" x="3848"/>
        <item m="1" x="4417"/>
        <item m="1" x="4988"/>
        <item m="1" x="1057"/>
        <item m="1" x="1629"/>
        <item m="1" x="2198"/>
        <item m="1" x="2771"/>
        <item m="1" x="3342"/>
        <item m="1" x="3917"/>
        <item m="1" x="4485"/>
        <item m="1" x="558"/>
        <item m="1" x="1126"/>
        <item m="1" x="1698"/>
        <item m="1" x="2267"/>
        <item m="1" x="2841"/>
        <item m="1" x="3411"/>
        <item m="1" x="3987"/>
        <item m="1" x="4554"/>
        <item m="1" x="628"/>
        <item m="1" x="1195"/>
        <item m="1" x="1766"/>
        <item m="1" x="2335"/>
        <item m="1" x="2910"/>
        <item m="1" x="3481"/>
        <item m="1" x="4055"/>
        <item m="1" x="4622"/>
        <item m="1" x="697"/>
        <item m="1" x="1264"/>
        <item m="1" x="1834"/>
        <item m="1" x="2404"/>
        <item m="1" x="2979"/>
        <item m="1" x="3550"/>
        <item m="1" x="4124"/>
        <item m="1" x="4692"/>
        <item m="1" x="766"/>
        <item m="1" x="1333"/>
        <item m="1" x="1903"/>
        <item m="1" x="2474"/>
        <item m="1" x="3049"/>
        <item m="1" x="3620"/>
        <item m="1" x="4192"/>
        <item m="1" x="4762"/>
        <item m="1" x="835"/>
        <item m="1" x="1402"/>
        <item m="1" x="1972"/>
        <item m="1" x="2544"/>
        <item m="1" x="3118"/>
        <item m="1" x="3689"/>
        <item m="1" x="4261"/>
        <item m="1" x="4832"/>
        <item m="1" x="904"/>
        <item m="1" x="1471"/>
        <item m="1" x="2041"/>
        <item m="1" x="2614"/>
        <item m="1" x="3188"/>
        <item m="1" x="3759"/>
        <item m="1" x="4329"/>
        <item m="1" x="4902"/>
        <item m="1" x="973"/>
        <item m="1" x="1540"/>
        <item m="1" x="2110"/>
        <item m="1" x="2684"/>
        <item m="1" x="3257"/>
        <item m="1" x="3828"/>
        <item m="1" x="4398"/>
        <item m="1" x="4972"/>
        <item m="1" x="1042"/>
        <item m="1" x="1609"/>
        <item m="1" x="2179"/>
        <item m="1" x="2754"/>
        <item m="1" x="3327"/>
        <item m="1" x="3898"/>
        <item m="1" x="4466"/>
        <item m="1" x="542"/>
        <item m="1" x="1111"/>
        <item m="1" x="1678"/>
        <item m="1" x="2248"/>
        <item m="1" x="2824"/>
        <item m="1" x="3396"/>
        <item m="1" x="3967"/>
        <item m="1" x="4535"/>
        <item m="1" x="612"/>
        <item m="1" x="1180"/>
        <item m="1" x="1746"/>
        <item m="1" x="2316"/>
        <item m="1" x="2893"/>
        <item m="1" x="3465"/>
        <item m="1" x="4036"/>
        <item m="1" x="4602"/>
        <item m="1" x="681"/>
        <item m="1" x="1248"/>
        <item m="1" x="1814"/>
        <item m="1" x="2384"/>
        <item m="1" x="2962"/>
        <item m="1" x="3534"/>
        <item m="1" x="4104"/>
        <item m="1" x="4672"/>
        <item m="1" x="750"/>
        <item m="1" x="1317"/>
        <item m="1" x="1883"/>
        <item m="1" x="2454"/>
        <item m="1" x="3032"/>
        <item m="1" x="3604"/>
        <item m="1" x="4173"/>
        <item m="1" x="4742"/>
        <item m="1" x="819"/>
        <item m="1" x="1386"/>
        <item m="1" x="1952"/>
        <item m="1" x="2524"/>
        <item m="1" x="3101"/>
        <item m="1" x="3673"/>
        <item m="1" x="4241"/>
        <item m="1" x="4812"/>
        <item m="1" x="888"/>
        <item m="1" x="1455"/>
        <item m="1" x="2021"/>
        <item m="1" x="2594"/>
        <item m="1" x="3171"/>
        <item m="1" x="3743"/>
        <item m="1" x="4310"/>
        <item m="1" x="4882"/>
        <item m="1" x="957"/>
        <item m="1" x="1524"/>
        <item m="1" x="2090"/>
        <item m="1" x="2664"/>
        <item m="1" x="3240"/>
        <item m="1" x="3812"/>
        <item m="1" x="4378"/>
        <item m="1" x="4952"/>
        <item m="1" x="1026"/>
        <item m="1" x="1593"/>
        <item m="1" x="2159"/>
        <item m="1" x="2734"/>
        <item m="1" x="3310"/>
        <item m="1" x="3882"/>
        <item m="1" x="4447"/>
        <item m="1" x="522"/>
        <item m="1" x="1095"/>
        <item m="1" x="1662"/>
        <item m="1" x="2228"/>
        <item m="1" x="2804"/>
        <item m="1" x="3379"/>
        <item m="1" x="3951"/>
        <item m="1" x="4515"/>
        <item m="1" x="592"/>
        <item m="1" x="1164"/>
        <item m="1" x="1730"/>
        <item m="1" x="2296"/>
        <item m="1" x="2873"/>
        <item m="1" x="3448"/>
        <item m="1" x="4020"/>
        <item m="1" x="4583"/>
        <item m="1" x="661"/>
        <item m="1" x="1232"/>
        <item m="1" x="1798"/>
        <item m="1" x="2364"/>
        <item m="1" x="2942"/>
        <item m="1" x="3517"/>
        <item m="1" x="4088"/>
        <item m="1" x="4652"/>
        <item m="1" x="730"/>
        <item m="1" x="1301"/>
        <item m="1" x="1867"/>
        <item m="1" x="2434"/>
        <item m="1" x="3012"/>
        <item m="1" x="3587"/>
        <item m="1" x="4157"/>
        <item m="1" x="4722"/>
        <item m="1" x="799"/>
        <item m="1" x="1370"/>
        <item m="1" x="1936"/>
        <item m="1" x="2504"/>
        <item m="1" x="3081"/>
        <item m="1" x="3656"/>
        <item m="1" x="4225"/>
        <item m="1" x="4792"/>
        <item m="1" x="868"/>
        <item m="1" x="1439"/>
        <item m="1" x="2005"/>
        <item m="1" x="2574"/>
        <item m="1" x="3151"/>
        <item m="1" x="3726"/>
        <item m="1" x="4294"/>
        <item m="1" x="4862"/>
        <item m="1" x="937"/>
        <item m="1" x="1508"/>
        <item m="1" x="2074"/>
        <item m="1" x="2644"/>
        <item m="1" x="3220"/>
        <item m="1" x="3795"/>
        <item m="1" x="4362"/>
        <item m="1" x="4932"/>
        <item m="1" x="1006"/>
        <item m="1" x="1577"/>
        <item m="1" x="2143"/>
        <item m="1" x="2714"/>
        <item m="1" x="3290"/>
        <item m="1" x="3865"/>
        <item m="1" x="4431"/>
        <item m="1" x="502"/>
        <item m="1" x="1075"/>
        <item m="1" x="1646"/>
        <item m="1" x="2212"/>
        <item m="1" x="2784"/>
        <item m="1" x="3359"/>
        <item m="1" x="3934"/>
        <item m="1" x="4499"/>
        <item m="1" x="572"/>
        <item m="1" x="1144"/>
        <item m="1" x="1714"/>
        <item m="1" x="2280"/>
        <item m="1" x="2853"/>
        <item m="1" x="3428"/>
        <item m="1" x="4003"/>
        <item m="1" x="4567"/>
        <item m="1" x="641"/>
        <item m="1" x="1212"/>
        <item m="1" x="1782"/>
        <item m="1" x="2348"/>
        <item m="1" x="2922"/>
        <item m="1" x="3497"/>
        <item m="1" x="4071"/>
        <item m="1" x="4636"/>
        <item m="1" x="710"/>
        <item m="1" x="1281"/>
        <item m="1" x="1850"/>
        <item m="1" x="2418"/>
        <item m="1" x="2991"/>
        <item m="1" x="3567"/>
        <item m="1" x="4140"/>
        <item m="1" x="4706"/>
        <item m="1" x="779"/>
        <item m="1" x="1350"/>
        <item m="1" x="1919"/>
        <item m="1" x="2488"/>
        <item m="1" x="3061"/>
        <item m="1" x="3636"/>
        <item m="1" x="4208"/>
        <item m="1" x="4776"/>
        <item m="1" x="848"/>
        <item m="1" x="1419"/>
        <item m="1" x="1988"/>
        <item m="1" x="2558"/>
        <item m="1" x="3130"/>
        <item m="1" x="3706"/>
        <item m="1" x="4277"/>
        <item m="1" x="4846"/>
        <item m="1" x="917"/>
        <item m="1" x="1488"/>
        <item m="1" x="2057"/>
        <item m="1" x="2628"/>
        <item m="1" x="3200"/>
        <item m="1" x="3775"/>
        <item m="1" x="4345"/>
        <item m="1" x="4916"/>
        <item m="1" x="986"/>
        <item m="1" x="1557"/>
        <item m="1" x="2126"/>
        <item m="1" x="2698"/>
        <item m="1" x="3269"/>
        <item m="1" x="3845"/>
        <item m="1" x="4414"/>
        <item m="1" x="4986"/>
        <item m="1" x="1055"/>
        <item m="1" x="1626"/>
        <item m="1" x="2195"/>
        <item m="1" x="2768"/>
        <item m="1" x="3339"/>
        <item m="1" x="3914"/>
        <item m="1" x="4482"/>
        <item m="1" x="556"/>
        <item m="1" x="1124"/>
        <item m="1" x="1695"/>
        <item m="1" x="2264"/>
        <item m="1" x="2838"/>
        <item m="1" x="3408"/>
        <item m="1" x="3984"/>
        <item m="1" x="4551"/>
        <item m="1" x="626"/>
        <item m="1" x="1193"/>
        <item m="1" x="1763"/>
        <item m="1" x="2332"/>
        <item m="1" x="2907"/>
        <item m="1" x="3478"/>
        <item m="1" x="4052"/>
        <item m="1" x="4619"/>
        <item m="1" x="695"/>
        <item m="1" x="1262"/>
        <item m="1" x="1831"/>
        <item m="1" x="2401"/>
        <item m="1" x="2976"/>
        <item m="1" x="3547"/>
        <item m="1" x="4121"/>
        <item m="1" x="4689"/>
        <item m="1" x="764"/>
        <item m="1" x="1331"/>
        <item m="1" x="1900"/>
        <item m="1" x="2471"/>
        <item m="1" x="3046"/>
        <item m="1" x="3617"/>
        <item m="1" x="4189"/>
        <item m="1" x="4759"/>
        <item m="1" x="833"/>
        <item m="1" x="1400"/>
        <item m="1" x="1969"/>
        <item m="1" x="2541"/>
        <item m="1" x="3115"/>
        <item m="1" x="3686"/>
        <item m="1" x="4258"/>
        <item m="1" x="4829"/>
        <item m="1" x="902"/>
        <item m="1" x="1469"/>
        <item m="1" x="2038"/>
        <item m="1" x="2611"/>
        <item m="1" x="3185"/>
        <item m="1" x="3756"/>
        <item m="1" x="4326"/>
        <item m="1" x="4899"/>
        <item m="1" x="971"/>
        <item m="1" x="1538"/>
        <item m="1" x="2107"/>
        <item m="1" x="2681"/>
        <item m="1" x="3254"/>
        <item m="1" x="3825"/>
        <item m="1" x="4395"/>
        <item m="1" x="4969"/>
        <item m="1" x="1040"/>
        <item m="1" x="1607"/>
        <item m="1" x="2176"/>
        <item m="1" x="2751"/>
        <item m="1" x="3324"/>
        <item m="1" x="3895"/>
        <item m="1" x="4463"/>
        <item m="1" x="539"/>
        <item m="1" x="1109"/>
        <item m="1" x="1676"/>
        <item m="1" x="2245"/>
        <item m="1" x="2821"/>
        <item m="1" x="3393"/>
        <item m="1" x="3964"/>
        <item m="1" x="4532"/>
        <item m="1" x="609"/>
        <item m="1" x="1178"/>
        <item m="1" x="1744"/>
        <item m="1" x="2313"/>
        <item m="1" x="2890"/>
        <item m="1" x="3462"/>
        <item m="1" x="4033"/>
        <item m="1" x="4599"/>
        <item m="1" x="678"/>
        <item m="1" x="1246"/>
        <item m="1" x="1812"/>
        <item m="1" x="2381"/>
        <item m="1" x="2959"/>
        <item m="1" x="3531"/>
        <item m="1" x="4101"/>
        <item m="1" x="4669"/>
        <item m="1" x="747"/>
        <item m="1" x="1315"/>
        <item m="1" x="1881"/>
        <item m="1" x="2451"/>
        <item m="1" x="3029"/>
        <item m="1" x="3601"/>
        <item m="1" x="4170"/>
        <item m="1" x="4739"/>
        <item m="1" x="816"/>
        <item m="1" x="1384"/>
        <item m="1" x="1950"/>
        <item m="1" x="2521"/>
        <item m="1" x="3098"/>
        <item m="1" x="3670"/>
        <item m="1" x="4238"/>
        <item m="1" x="4809"/>
        <item m="1" x="885"/>
        <item m="1" x="1453"/>
        <item m="1" x="2019"/>
        <item m="1" x="2591"/>
        <item m="1" x="3168"/>
        <item m="1" x="3740"/>
        <item m="1" x="4307"/>
        <item m="1" x="4879"/>
        <item m="1" x="954"/>
        <item m="1" x="1522"/>
        <item m="1" x="2088"/>
        <item m="1" x="2661"/>
        <item m="1" x="3237"/>
        <item m="1" x="3809"/>
        <item m="1" x="4375"/>
        <item m="1" x="4949"/>
        <item m="1" x="1023"/>
        <item m="1" x="1591"/>
        <item m="1" x="2157"/>
        <item m="1" x="2731"/>
        <item m="1" x="3307"/>
        <item m="1" x="3879"/>
        <item m="1" x="4444"/>
        <item m="1" x="519"/>
        <item m="1" x="1092"/>
        <item m="1" x="1660"/>
        <item m="1" x="2226"/>
        <item m="1" x="2801"/>
        <item m="1" x="3376"/>
        <item m="1" x="3948"/>
        <item m="1" x="4512"/>
        <item m="1" x="589"/>
        <item m="1" x="1161"/>
        <item m="1" x="1728"/>
        <item m="1" x="2294"/>
        <item m="1" x="2870"/>
        <item m="1" x="3445"/>
        <item m="1" x="4017"/>
        <item m="1" x="4580"/>
        <item m="1" x="658"/>
        <item m="1" x="1229"/>
        <item m="1" x="1796"/>
        <item m="1" x="2362"/>
        <item m="1" x="2939"/>
        <item m="1" x="3514"/>
        <item m="1" x="4085"/>
        <item m="1" x="4649"/>
        <item m="1" x="727"/>
        <item m="1" x="1298"/>
        <item m="1" x="1865"/>
        <item m="1" x="2432"/>
        <item m="1" x="3009"/>
        <item m="1" x="3584"/>
        <item m="1" x="4154"/>
        <item m="1" x="4719"/>
        <item m="1" x="796"/>
        <item m="1" x="1367"/>
        <item m="1" x="1934"/>
        <item m="1" x="2502"/>
        <item m="1" x="3078"/>
        <item m="1" x="3653"/>
        <item m="1" x="4222"/>
        <item m="1" x="4789"/>
        <item m="1" x="865"/>
        <item m="1" x="1436"/>
        <item m="1" x="2003"/>
        <item m="1" x="2572"/>
        <item m="1" x="3148"/>
        <item m="1" x="3723"/>
        <item m="1" x="4291"/>
        <item m="1" x="4859"/>
        <item m="1" x="934"/>
        <item m="1" x="1505"/>
        <item m="1" x="2072"/>
        <item m="1" x="2642"/>
        <item m="1" x="3217"/>
        <item m="1" x="3792"/>
        <item m="1" x="4359"/>
        <item m="1" x="4929"/>
        <item m="1" x="1003"/>
        <item m="1" x="1574"/>
        <item m="1" x="2141"/>
        <item m="1" x="2712"/>
        <item m="1" x="3287"/>
        <item m="1" x="3862"/>
        <item m="1" x="4428"/>
        <item m="1" x="4999"/>
        <item m="1" x="1072"/>
        <item m="1" x="1643"/>
        <item m="1" x="2210"/>
        <item m="1" x="2782"/>
        <item m="1" x="3356"/>
        <item m="1" x="3931"/>
        <item m="1" x="4496"/>
        <item m="1" x="569"/>
        <item m="1" x="1141"/>
        <item m="1" x="1711"/>
        <item m="1" x="2278"/>
        <item m="1" x="2851"/>
        <item m="1" x="3425"/>
        <item m="1" x="4000"/>
        <item m="1" x="4564"/>
        <item m="1" x="638"/>
        <item m="1" x="1209"/>
        <item m="1" x="1779"/>
        <item m="1" x="2346"/>
        <item m="1" x="2920"/>
        <item m="1" x="3494"/>
        <item m="1" x="4068"/>
        <item m="1" x="4633"/>
        <item m="1" x="707"/>
        <item m="1" x="1278"/>
        <item m="1" x="1847"/>
        <item m="1" x="2416"/>
        <item m="1" x="2989"/>
        <item m="1" x="3564"/>
        <item m="1" x="4137"/>
        <item m="1" x="4703"/>
        <item m="1" x="776"/>
        <item m="1" x="1347"/>
        <item m="1" x="1916"/>
        <item m="1" x="2486"/>
        <item m="1" x="3059"/>
        <item m="1" x="3633"/>
        <item m="1" x="4205"/>
        <item m="1" x="4773"/>
        <item m="1" x="845"/>
        <item m="1" x="1416"/>
        <item m="1" x="1985"/>
        <item m="1" x="2556"/>
        <item m="1" x="3128"/>
        <item m="1" x="3703"/>
        <item m="1" x="4274"/>
        <item m="1" x="4843"/>
        <item m="1" x="914"/>
        <item m="1" x="1485"/>
        <item m="1" x="2054"/>
        <item m="1" x="2626"/>
        <item m="1" x="3198"/>
        <item m="1" x="3772"/>
        <item m="1" x="4342"/>
        <item m="1" x="4913"/>
        <item m="1" x="983"/>
        <item m="1" x="1554"/>
        <item m="1" x="2123"/>
        <item m="1" x="2696"/>
        <item m="1" x="3267"/>
        <item m="1" x="3842"/>
        <item m="1" x="4411"/>
        <item m="1" x="4983"/>
        <item m="1" x="1052"/>
        <item m="1" x="1623"/>
        <item m="1" x="2192"/>
        <item m="1" x="2766"/>
        <item m="1" x="3337"/>
        <item m="1" x="3911"/>
        <item m="1" x="4479"/>
        <item m="1" x="553"/>
        <item m="1" x="1121"/>
        <item m="1" x="1692"/>
        <item m="1" x="2261"/>
        <item m="1" x="2836"/>
        <item m="1" x="3406"/>
        <item m="1" x="3981"/>
        <item m="1" x="4548"/>
        <item m="1" x="623"/>
        <item m="1" x="1190"/>
        <item m="1" x="1760"/>
        <item m="1" x="2329"/>
        <item m="1" x="2905"/>
        <item m="1" x="3476"/>
        <item m="1" x="4049"/>
        <item m="1" x="4616"/>
        <item m="1" x="692"/>
        <item m="1" x="1259"/>
        <item m="1" x="1828"/>
        <item m="1" x="2398"/>
        <item m="1" x="2974"/>
        <item m="1" x="3545"/>
        <item m="1" x="4118"/>
        <item m="1" x="4686"/>
        <item m="1" x="761"/>
        <item m="1" x="1328"/>
        <item m="1" x="1897"/>
        <item m="1" x="2468"/>
        <item m="1" x="3044"/>
        <item m="1" x="3615"/>
        <item m="1" x="4186"/>
        <item m="1" x="4756"/>
        <item m="1" x="830"/>
        <item m="1" x="1397"/>
        <item m="1" x="1966"/>
        <item m="1" x="2538"/>
        <item m="1" x="3113"/>
        <item m="1" x="3684"/>
        <item m="1" x="4255"/>
        <item m="1" x="4826"/>
        <item m="1" x="899"/>
        <item m="1" x="1466"/>
        <item m="1" x="2035"/>
        <item m="1" x="2608"/>
        <item m="1" x="3183"/>
        <item m="1" x="3754"/>
        <item m="1" x="4323"/>
        <item m="1" x="4896"/>
        <item m="1" x="968"/>
        <item m="1" x="1535"/>
        <item m="1" x="2104"/>
        <item m="1" x="2678"/>
        <item m="1" x="3252"/>
        <item m="1" x="3823"/>
        <item m="1" x="4392"/>
        <item m="1" x="4966"/>
        <item m="1" x="1037"/>
        <item m="1" x="1604"/>
        <item m="1" x="2173"/>
        <item m="1" x="2748"/>
        <item m="1" x="3322"/>
        <item m="1" x="3893"/>
        <item m="1" x="4460"/>
        <item m="1" x="536"/>
        <item m="1" x="1106"/>
        <item m="1" x="1673"/>
        <item m="1" x="2242"/>
        <item m="1" x="2818"/>
        <item m="1" x="3391"/>
        <item m="1" x="3962"/>
        <item m="1" x="4529"/>
        <item m="1" x="606"/>
        <item m="1" x="1175"/>
        <item m="1" x="1741"/>
        <item m="1" x="2310"/>
        <item m="1" x="2887"/>
        <item m="1" x="3460"/>
        <item m="1" x="4031"/>
        <item m="1" x="4596"/>
        <item m="1" x="675"/>
        <item m="1" x="1243"/>
        <item m="1" x="1809"/>
        <item m="1" x="2378"/>
        <item m="1" x="2956"/>
        <item m="1" x="3529"/>
        <item m="1" x="4099"/>
        <item m="1" x="4666"/>
        <item m="1" x="744"/>
        <item m="1" x="1312"/>
        <item m="1" x="1878"/>
        <item m="1" x="2448"/>
        <item m="1" x="3026"/>
        <item m="1" x="3599"/>
        <item m="1" x="4168"/>
        <item m="1" x="4736"/>
        <item m="1" x="813"/>
        <item m="1" x="1381"/>
        <item m="1" x="1947"/>
        <item m="1" x="2518"/>
        <item m="1" x="3095"/>
        <item m="1" x="3668"/>
        <item m="1" x="4236"/>
        <item m="1" x="4806"/>
        <item m="1" x="882"/>
        <item m="1" x="1450"/>
        <item m="1" x="2016"/>
        <item m="1" x="2588"/>
        <item m="1" x="3165"/>
        <item m="1" x="3738"/>
        <item m="1" x="4305"/>
        <item m="1" x="4876"/>
        <item m="1" x="951"/>
        <item m="1" x="1519"/>
        <item m="1" x="2085"/>
        <item m="1" x="2658"/>
        <item m="1" x="3234"/>
        <item m="1" x="3807"/>
        <item m="1" x="4373"/>
        <item m="1" x="4946"/>
        <item m="1" x="1020"/>
        <item m="1" x="1588"/>
        <item m="1" x="2154"/>
        <item m="1" x="2728"/>
        <item m="1" x="3304"/>
        <item m="1" x="3877"/>
        <item m="1" x="4442"/>
        <item m="1" x="516"/>
        <item m="1" x="1089"/>
        <item m="1" x="1657"/>
        <item m="1" x="2223"/>
        <item m="1" x="2798"/>
        <item m="1" x="3373"/>
        <item m="1" x="3946"/>
        <item m="1" x="4510"/>
        <item m="1" x="586"/>
        <item m="1" x="1158"/>
        <item m="1" x="1725"/>
        <item m="1" x="2291"/>
        <item m="1" x="2867"/>
        <item m="1" x="3442"/>
        <item m="1" x="4015"/>
        <item m="1" x="4578"/>
        <item m="1" x="655"/>
        <item m="1" x="1226"/>
        <item m="1" x="1793"/>
        <item m="1" x="2359"/>
        <item m="1" x="2936"/>
        <item m="1" x="3511"/>
        <item m="1" x="4083"/>
        <item m="1" x="4647"/>
        <item m="1" x="724"/>
        <item m="1" x="1295"/>
        <item m="1" x="1862"/>
        <item m="1" x="2429"/>
        <item m="1" x="3006"/>
        <item m="1" x="3581"/>
        <item m="1" x="4152"/>
        <item m="1" x="4717"/>
        <item m="1" x="793"/>
        <item m="1" x="1364"/>
        <item m="1" x="1931"/>
        <item m="1" x="2499"/>
        <item m="1" x="3075"/>
        <item m="1" x="3650"/>
        <item m="1" x="4220"/>
        <item m="1" x="4787"/>
        <item m="1" x="862"/>
        <item m="1" x="1433"/>
        <item m="1" x="2000"/>
        <item m="1" x="2569"/>
        <item m="1" x="3145"/>
        <item m="1" x="3720"/>
        <item m="1" x="4289"/>
        <item m="1" x="4857"/>
        <item m="1" x="931"/>
        <item m="1" x="1502"/>
        <item m="1" x="2069"/>
        <item m="1" x="2639"/>
        <item m="1" x="3214"/>
        <item m="1" x="3789"/>
        <item m="1" x="4357"/>
        <item m="1" x="4927"/>
        <item m="1" x="1000"/>
        <item m="1" x="1571"/>
        <item m="1" x="2138"/>
        <item m="1" x="2709"/>
        <item m="1" x="3284"/>
        <item m="1" x="3859"/>
        <item m="1" x="4426"/>
        <item m="1" x="4997"/>
        <item m="1" x="1069"/>
        <item m="1" x="1640"/>
        <item m="1" x="2207"/>
        <item m="1" x="2779"/>
        <item m="1" x="3353"/>
        <item m="1" x="3928"/>
        <item m="1" x="4494"/>
        <item m="1" x="567"/>
        <item m="1" x="1138"/>
        <item t="default"/>
      </items>
    </pivotField>
    <pivotField dataField="1" showAll="0" defaultSubtotal="0"/>
    <pivotField dataField="1" showAll="0"/>
    <pivotField showAll="0"/>
  </pivotFields>
  <rowFields count="1">
    <field x="3"/>
  </rowFields>
  <rowItems count="50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t="grand">
      <x/>
    </i>
  </rowItems>
  <colFields count="1">
    <field x="-2"/>
  </colFields>
  <colItems count="2">
    <i>
      <x/>
    </i>
    <i i="1">
      <x v="1"/>
    </i>
  </colItems>
  <dataFields count="2">
    <dataField name="Training" fld="5" subtotal="average" baseField="2" baseItem="0" numFmtId="164"/>
    <dataField name="Average of DURATION" fld="4" subtotal="average" baseField="3" baseItem="3" numFmtId="1"/>
  </dataFields>
  <chartFormats count="2">
    <chartFormat chart="0" format="0" series="1">
      <pivotArea type="data" outline="0" fieldPosition="0">
        <references count="1">
          <reference field="4294967294" count="1" selected="0">
            <x v="0"/>
          </reference>
        </references>
      </pivotArea>
    </chartFormat>
    <chartFormat chart="0" format="2"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1"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5" fieldListSortAscending="1">
  <location ref="A1:D1004" firstHeaderRow="0" firstDataRow="1" firstDataCol="1"/>
  <pivotFields count="19">
    <pivotField showAll="0">
      <items count="89">
        <item m="1" x="27"/>
        <item m="1" x="36"/>
        <item m="1" x="9"/>
        <item m="1" x="42"/>
        <item m="1" x="48"/>
        <item m="1" x="60"/>
        <item m="1" x="19"/>
        <item m="1" x="28"/>
        <item m="1" x="6"/>
        <item m="1" x="85"/>
        <item m="1" x="43"/>
        <item m="1" x="75"/>
        <item m="1" x="18"/>
        <item m="1" x="20"/>
        <item m="1" x="72"/>
        <item m="1" x="33"/>
        <item m="1" x="54"/>
        <item m="1" x="13"/>
        <item m="1" x="67"/>
        <item m="1" x="40"/>
        <item m="1" x="49"/>
        <item m="1" x="4"/>
        <item m="1" x="44"/>
        <item x="0"/>
        <item m="1" x="50"/>
        <item m="1" x="35"/>
        <item m="1" x="70"/>
        <item m="1" x="24"/>
        <item m="1" x="63"/>
        <item m="1" x="29"/>
        <item m="1" x="21"/>
        <item m="1" x="37"/>
        <item m="1" x="73"/>
        <item x="1"/>
        <item m="1" x="38"/>
        <item m="1" x="34"/>
        <item m="1" x="80"/>
        <item m="1" x="87"/>
        <item m="1" x="2"/>
        <item m="1" x="79"/>
        <item m="1" x="69"/>
        <item m="1" x="68"/>
        <item m="1" x="61"/>
        <item m="1" x="39"/>
        <item m="1" x="11"/>
        <item m="1" x="62"/>
        <item m="1" x="76"/>
        <item m="1" x="45"/>
        <item m="1" x="31"/>
        <item m="1" x="16"/>
        <item m="1" x="3"/>
        <item m="1" x="14"/>
        <item m="1" x="5"/>
        <item m="1" x="46"/>
        <item m="1" x="22"/>
        <item m="1" x="77"/>
        <item m="1" x="10"/>
        <item m="1" x="55"/>
        <item m="1" x="81"/>
        <item m="1" x="82"/>
        <item m="1" x="57"/>
        <item m="1" x="71"/>
        <item m="1" x="30"/>
        <item m="1" x="15"/>
        <item m="1" x="64"/>
        <item m="1" x="23"/>
        <item m="1" x="83"/>
        <item m="1" x="58"/>
        <item m="1" x="7"/>
        <item m="1" x="78"/>
        <item m="1" x="12"/>
        <item m="1" x="26"/>
        <item m="1" x="66"/>
        <item m="1" x="25"/>
        <item m="1" x="56"/>
        <item m="1" x="51"/>
        <item m="1" x="52"/>
        <item m="1" x="86"/>
        <item m="1" x="41"/>
        <item m="1" x="53"/>
        <item m="1" x="59"/>
        <item m="1" x="65"/>
        <item m="1" x="8"/>
        <item m="1" x="84"/>
        <item m="1" x="17"/>
        <item m="1" x="32"/>
        <item m="1" x="74"/>
        <item m="1" x="47"/>
        <item t="default"/>
      </items>
    </pivotField>
    <pivotField showAll="0">
      <items count="273">
        <item m="1" x="20"/>
        <item m="1" x="251"/>
        <item m="1" x="69"/>
        <item m="1" x="202"/>
        <item m="1" x="211"/>
        <item m="1" x="207"/>
        <item m="1" x="182"/>
        <item m="1" x="246"/>
        <item m="1" x="93"/>
        <item m="1" x="47"/>
        <item m="1" x="138"/>
        <item m="1" x="38"/>
        <item m="1" x="179"/>
        <item m="1" x="139"/>
        <item m="1" x="221"/>
        <item m="1" x="142"/>
        <item m="1" x="39"/>
        <item m="1" x="152"/>
        <item m="1" x="54"/>
        <item m="1" x="21"/>
        <item m="1" x="194"/>
        <item m="1" x="229"/>
        <item m="1" x="34"/>
        <item m="1" x="162"/>
        <item m="1" x="86"/>
        <item x="1"/>
        <item m="1" x="252"/>
        <item m="1" x="59"/>
        <item m="1" x="117"/>
        <item m="1" x="27"/>
        <item x="4"/>
        <item m="1" x="106"/>
        <item m="1" x="234"/>
        <item m="1" x="130"/>
        <item m="1" x="28"/>
        <item m="1" x="222"/>
        <item m="1" x="82"/>
        <item m="1" x="237"/>
        <item m="1" x="238"/>
        <item m="1" x="256"/>
        <item m="1" x="118"/>
        <item m="1" x="217"/>
        <item m="1" x="29"/>
        <item m="1" x="90"/>
        <item m="1" x="16"/>
        <item m="1" x="195"/>
        <item m="1" x="158"/>
        <item m="1" x="74"/>
        <item m="1" x="174"/>
        <item m="1" x="134"/>
        <item m="1" x="230"/>
        <item m="1" x="183"/>
        <item m="1" x="98"/>
        <item m="1" x="196"/>
        <item m="1" x="22"/>
        <item m="1" x="67"/>
        <item m="1" x="163"/>
        <item m="1" x="247"/>
        <item m="1" x="119"/>
        <item m="1" x="215"/>
        <item m="1" x="135"/>
        <item m="1" x="143"/>
        <item m="1" x="257"/>
        <item m="1" x="175"/>
        <item m="1" x="30"/>
        <item x="9"/>
        <item m="1" x="31"/>
        <item m="1" x="107"/>
        <item m="1" x="164"/>
        <item m="1" x="266"/>
        <item m="1" x="121"/>
        <item m="1" x="125"/>
        <item m="1" x="176"/>
        <item m="1" x="51"/>
        <item m="1" x="112"/>
        <item m="1" x="242"/>
        <item m="1" x="123"/>
        <item m="1" x="148"/>
        <item m="1" x="126"/>
        <item m="1" x="42"/>
        <item m="1" x="258"/>
        <item m="1" x="94"/>
        <item m="1" x="113"/>
        <item m="1" x="60"/>
        <item m="1" x="91"/>
        <item m="1" x="212"/>
        <item m="1" x="218"/>
        <item m="1" x="32"/>
        <item m="1" x="170"/>
        <item m="1" x="136"/>
        <item m="1" x="92"/>
        <item m="1" x="186"/>
        <item m="1" x="83"/>
        <item m="1" x="114"/>
        <item m="1" x="131"/>
        <item m="1" x="197"/>
        <item m="1" x="55"/>
        <item m="1" x="150"/>
        <item m="1" x="48"/>
        <item m="1" x="56"/>
        <item m="1" x="108"/>
        <item m="1" x="80"/>
        <item m="1" x="216"/>
        <item m="1" x="23"/>
        <item m="1" x="49"/>
        <item m="1" x="153"/>
        <item m="1" x="225"/>
        <item m="1" x="184"/>
        <item m="1" x="165"/>
        <item m="1" x="248"/>
        <item m="1" x="171"/>
        <item m="1" x="243"/>
        <item m="1" x="109"/>
        <item m="1" x="208"/>
        <item m="1" x="95"/>
        <item m="1" x="87"/>
        <item m="1" x="43"/>
        <item m="1" x="249"/>
        <item m="1" x="61"/>
        <item m="1" x="187"/>
        <item m="1" x="40"/>
        <item m="1" x="127"/>
        <item m="1" x="177"/>
        <item m="1" x="81"/>
        <item m="1" x="213"/>
        <item m="1" x="231"/>
        <item m="1" x="52"/>
        <item m="1" x="155"/>
        <item m="1" x="267"/>
        <item x="0"/>
        <item m="1" x="128"/>
        <item m="1" x="172"/>
        <item m="1" x="227"/>
        <item m="1" x="181"/>
        <item x="2"/>
        <item m="1" x="50"/>
        <item m="1" x="209"/>
        <item m="1" x="263"/>
        <item m="1" x="68"/>
        <item m="1" x="124"/>
        <item m="1" x="270"/>
        <item m="1" x="129"/>
        <item m="1" x="44"/>
        <item m="1" x="259"/>
        <item m="1" x="178"/>
        <item m="1" x="110"/>
        <item m="1" x="166"/>
        <item m="1" x="132"/>
        <item m="1" x="102"/>
        <item m="1" x="62"/>
        <item m="1" x="245"/>
        <item m="1" x="250"/>
        <item m="1" x="169"/>
        <item m="1" x="17"/>
        <item m="1" x="70"/>
        <item m="1" x="45"/>
        <item m="1" x="12"/>
        <item m="1" x="64"/>
        <item m="1" x="188"/>
        <item m="1" x="71"/>
        <item m="1" x="88"/>
        <item m="1" x="103"/>
        <item m="1" x="120"/>
        <item m="1" x="219"/>
        <item m="1" x="35"/>
        <item m="1" x="189"/>
        <item m="1" x="53"/>
        <item m="1" x="239"/>
        <item m="1" x="72"/>
        <item m="1" x="24"/>
        <item m="1" x="203"/>
        <item m="1" x="264"/>
        <item m="1" x="190"/>
        <item m="1" x="214"/>
        <item m="1" x="84"/>
        <item m="1" x="244"/>
        <item m="1" x="13"/>
        <item m="1" x="232"/>
        <item m="1" x="65"/>
        <item m="1" x="223"/>
        <item x="10"/>
        <item m="1" x="144"/>
        <item m="1" x="191"/>
        <item m="1" x="268"/>
        <item m="1" x="240"/>
        <item m="1" x="198"/>
        <item m="1" x="271"/>
        <item m="1" x="104"/>
        <item m="1" x="204"/>
        <item m="1" x="96"/>
        <item m="1" x="192"/>
        <item m="1" x="253"/>
        <item m="1" x="57"/>
        <item m="1" x="159"/>
        <item m="1" x="25"/>
        <item m="1" x="89"/>
        <item m="1" x="63"/>
        <item m="1" x="75"/>
        <item m="1" x="140"/>
        <item m="1" x="154"/>
        <item m="1" x="167"/>
        <item m="1" x="235"/>
        <item m="1" x="36"/>
        <item m="1" x="269"/>
        <item m="1" x="173"/>
        <item m="1" x="46"/>
        <item m="1" x="260"/>
        <item m="1" x="76"/>
        <item m="1" x="224"/>
        <item m="1" x="236"/>
        <item m="1" x="228"/>
        <item m="1" x="151"/>
        <item m="1" x="205"/>
        <item x="8"/>
        <item m="1" x="66"/>
        <item m="1" x="122"/>
        <item m="1" x="97"/>
        <item x="3"/>
        <item m="1" x="85"/>
        <item m="1" x="254"/>
        <item m="1" x="73"/>
        <item m="1" x="105"/>
        <item m="1" x="261"/>
        <item m="1" x="210"/>
        <item m="1" x="180"/>
        <item m="1" x="145"/>
        <item m="1" x="99"/>
        <item m="1" x="77"/>
        <item m="1" x="33"/>
        <item m="1" x="141"/>
        <item x="6"/>
        <item m="1" x="146"/>
        <item m="1" x="156"/>
        <item m="1" x="199"/>
        <item m="1" x="255"/>
        <item x="11"/>
        <item m="1" x="26"/>
        <item m="1" x="262"/>
        <item m="1" x="78"/>
        <item m="1" x="111"/>
        <item m="1" x="41"/>
        <item m="1" x="161"/>
        <item m="1" x="14"/>
        <item m="1" x="185"/>
        <item m="1" x="168"/>
        <item m="1" x="147"/>
        <item m="1" x="241"/>
        <item m="1" x="220"/>
        <item m="1" x="15"/>
        <item m="1" x="233"/>
        <item m="1" x="37"/>
        <item m="1" x="133"/>
        <item m="1" x="100"/>
        <item m="1" x="200"/>
        <item m="1" x="115"/>
        <item m="1" x="79"/>
        <item m="1" x="18"/>
        <item m="1" x="101"/>
        <item m="1" x="116"/>
        <item m="1" x="160"/>
        <item x="5"/>
        <item m="1" x="226"/>
        <item x="7"/>
        <item m="1" x="137"/>
        <item m="1" x="193"/>
        <item m="1" x="157"/>
        <item m="1" x="19"/>
        <item m="1" x="149"/>
        <item m="1" x="201"/>
        <item m="1" x="58"/>
        <item m="1" x="265"/>
        <item m="1" x="206"/>
        <item t="default"/>
      </items>
    </pivotField>
    <pivotField showAll="0">
      <items count="59">
        <item m="1" x="1"/>
        <item m="1" x="15"/>
        <item m="1" x="21"/>
        <item m="1" x="5"/>
        <item m="1" x="26"/>
        <item m="1" x="31"/>
        <item m="1" x="10"/>
        <item m="1" x="4"/>
        <item m="1" x="55"/>
        <item m="1" x="27"/>
        <item m="1" x="51"/>
        <item m="1" x="48"/>
        <item m="1" x="36"/>
        <item m="1" x="44"/>
        <item m="1" x="24"/>
        <item m="1" x="32"/>
        <item x="0"/>
        <item m="1" x="33"/>
        <item m="1" x="20"/>
        <item m="1" x="46"/>
        <item m="1" x="13"/>
        <item m="1" x="41"/>
        <item m="1" x="11"/>
        <item m="1" x="49"/>
        <item m="1" x="22"/>
        <item m="1" x="19"/>
        <item m="1" x="57"/>
        <item m="1" x="2"/>
        <item m="1" x="45"/>
        <item m="1" x="23"/>
        <item m="1" x="52"/>
        <item m="1" x="28"/>
        <item m="1" x="17"/>
        <item m="1" x="8"/>
        <item m="1" x="3"/>
        <item m="1" x="29"/>
        <item m="1" x="12"/>
        <item m="1" x="37"/>
        <item m="1" x="39"/>
        <item m="1" x="47"/>
        <item m="1" x="16"/>
        <item m="1" x="7"/>
        <item m="1" x="42"/>
        <item m="1" x="54"/>
        <item m="1" x="40"/>
        <item m="1" x="53"/>
        <item m="1" x="6"/>
        <item m="1" x="14"/>
        <item m="1" x="43"/>
        <item m="1" x="38"/>
        <item m="1" x="34"/>
        <item m="1" x="56"/>
        <item m="1" x="25"/>
        <item m="1" x="35"/>
        <item m="1" x="9"/>
        <item m="1" x="18"/>
        <item m="1" x="50"/>
        <item m="1" x="30"/>
        <item t="default"/>
      </items>
    </pivotField>
    <pivotField showAll="0"/>
    <pivotField showAll="0" defaultSubtotal="0">
      <items count="6">
        <item x="0"/>
        <item x="1"/>
        <item x="2"/>
        <item x="3"/>
        <item x="4"/>
        <item x="5"/>
      </items>
    </pivotField>
    <pivotField showAll="0" defaultSubtotal="0">
      <items count="2">
        <item h="1" x="0"/>
        <item x="1"/>
      </items>
    </pivotField>
    <pivotField showAll="0">
      <items count="269">
        <item m="1" x="191"/>
        <item m="1" x="198"/>
        <item m="1" x="135"/>
        <item m="1" x="167"/>
        <item m="1" x="181"/>
        <item m="1" x="77"/>
        <item m="1" x="150"/>
        <item m="1" x="124"/>
        <item m="1" x="176"/>
        <item m="1" x="177"/>
        <item m="1" x="246"/>
        <item m="1" x="95"/>
        <item m="1" x="182"/>
        <item m="1" x="96"/>
        <item m="1" x="162"/>
        <item m="1" x="12"/>
        <item m="1" x="75"/>
        <item m="1" x="257"/>
        <item m="1" x="151"/>
        <item m="1" x="41"/>
        <item m="1" x="109"/>
        <item m="1" x="132"/>
        <item m="1" x="65"/>
        <item m="1" x="29"/>
        <item m="1" x="224"/>
        <item m="1" x="110"/>
        <item m="1" x="107"/>
        <item m="1" x="27"/>
        <item m="1" x="157"/>
        <item m="1" x="66"/>
        <item m="1" x="199"/>
        <item m="1" x="183"/>
        <item m="1" x="87"/>
        <item m="1" x="168"/>
        <item m="1" x="263"/>
        <item m="1" x="97"/>
        <item m="1" x="30"/>
        <item m="1" x="133"/>
        <item m="1" x="227"/>
        <item m="1" x="108"/>
        <item m="1" x="172"/>
        <item m="1" x="111"/>
        <item m="1" x="234"/>
        <item m="1" x="247"/>
        <item m="1" x="42"/>
        <item m="1" x="163"/>
        <item m="1" x="145"/>
        <item m="1" x="237"/>
        <item m="1" x="228"/>
        <item m="1" x="112"/>
        <item m="1" x="160"/>
        <item m="1" x="19"/>
        <item m="1" x="169"/>
        <item m="1" x="218"/>
        <item m="1" x="158"/>
        <item m="1" x="136"/>
        <item m="1" x="206"/>
        <item m="1" x="31"/>
        <item m="1" x="69"/>
        <item m="1" x="142"/>
        <item m="1" x="239"/>
        <item m="1" x="251"/>
        <item m="1" x="55"/>
        <item m="1" x="98"/>
        <item m="1" x="139"/>
        <item m="1" x="195"/>
        <item m="1" x="258"/>
        <item m="1" x="146"/>
        <item m="1" x="99"/>
        <item m="1" x="52"/>
        <item m="1" x="100"/>
        <item m="1" x="152"/>
        <item m="1" x="173"/>
        <item m="1" x="36"/>
        <item m="1" x="147"/>
        <item m="1" x="22"/>
        <item m="1" x="161"/>
        <item m="1" x="89"/>
        <item m="1" x="44"/>
        <item m="1" x="125"/>
        <item m="1" x="265"/>
        <item m="1" x="200"/>
        <item m="1" x="15"/>
        <item m="1" x="178"/>
        <item m="1" x="67"/>
        <item m="1" x="13"/>
        <item m="1" x="219"/>
        <item m="1" x="140"/>
        <item m="1" x="84"/>
        <item m="1" x="101"/>
        <item m="1" x="196"/>
        <item m="1" x="184"/>
        <item m="1" x="56"/>
        <item m="1" x="164"/>
        <item m="1" x="59"/>
        <item m="1" x="88"/>
        <item m="1" x="113"/>
        <item m="1" x="126"/>
        <item m="1" x="229"/>
        <item m="1" x="225"/>
        <item m="1" x="188"/>
        <item m="1" x="211"/>
        <item m="1" x="174"/>
        <item m="1" x="230"/>
        <item m="1" x="45"/>
        <item m="1" x="192"/>
        <item m="1" x="240"/>
        <item m="1" x="212"/>
        <item m="1" x="16"/>
        <item m="1" x="165"/>
        <item m="1" x="90"/>
        <item m="1" x="148"/>
        <item m="1" x="102"/>
        <item m="1" x="37"/>
        <item m="1" x="68"/>
        <item m="1" x="220"/>
        <item m="1" x="70"/>
        <item m="1" x="127"/>
        <item m="1" x="243"/>
        <item m="1" x="248"/>
        <item m="1" x="91"/>
        <item m="1" x="14"/>
        <item m="1" x="231"/>
        <item m="1" x="249"/>
        <item m="1" x="233"/>
        <item m="1" x="38"/>
        <item m="1" x="115"/>
        <item m="1" x="46"/>
        <item m="1" x="120"/>
        <item m="1" x="213"/>
        <item m="1" x="266"/>
        <item m="1" x="128"/>
        <item m="1" x="121"/>
        <item m="1" x="71"/>
        <item m="1" x="170"/>
        <item m="1" x="103"/>
        <item m="1" x="118"/>
        <item m="1" x="221"/>
        <item m="1" x="208"/>
        <item m="1" x="49"/>
        <item m="1" x="85"/>
        <item m="1" x="17"/>
        <item m="1" x="185"/>
        <item x="10"/>
        <item m="1" x="47"/>
        <item m="1" x="78"/>
        <item m="1" x="189"/>
        <item m="1" x="179"/>
        <item m="1" x="193"/>
        <item m="1" x="50"/>
        <item m="1" x="267"/>
        <item m="1" x="76"/>
        <item m="1" x="134"/>
        <item m="1" x="39"/>
        <item m="1" x="214"/>
        <item m="1" x="143"/>
        <item m="1" x="241"/>
        <item m="1" x="252"/>
        <item m="1" x="144"/>
        <item m="1" x="215"/>
        <item m="1" x="86"/>
        <item m="1" x="57"/>
        <item m="1" x="222"/>
        <item m="1" x="149"/>
        <item m="1" x="207"/>
        <item m="1" x="79"/>
        <item x="8"/>
        <item m="1" x="23"/>
        <item m="1" x="253"/>
        <item m="1" x="72"/>
        <item m="1" x="32"/>
        <item x="0"/>
        <item m="1" x="159"/>
        <item m="1" x="223"/>
        <item m="1" x="209"/>
        <item m="1" x="201"/>
        <item m="1" x="43"/>
        <item m="1" x="254"/>
        <item m="1" x="80"/>
        <item m="1" x="81"/>
        <item m="1" x="203"/>
        <item m="1" x="244"/>
        <item m="1" x="20"/>
        <item x="11"/>
        <item m="1" x="153"/>
        <item m="1" x="48"/>
        <item m="1" x="238"/>
        <item m="1" x="60"/>
        <item m="1" x="40"/>
        <item m="1" x="255"/>
        <item m="1" x="18"/>
        <item m="1" x="92"/>
        <item m="1" x="61"/>
        <item m="1" x="104"/>
        <item m="1" x="166"/>
        <item m="1" x="154"/>
        <item m="1" x="226"/>
        <item m="1" x="202"/>
        <item x="1"/>
        <item m="1" x="194"/>
        <item m="1" x="216"/>
        <item m="1" x="210"/>
        <item m="1" x="105"/>
        <item x="3"/>
        <item m="1" x="250"/>
        <item m="1" x="129"/>
        <item m="1" x="186"/>
        <item m="1" x="245"/>
        <item m="1" x="62"/>
        <item m="1" x="33"/>
        <item m="1" x="123"/>
        <item m="1" x="73"/>
        <item m="1" x="24"/>
        <item m="1" x="82"/>
        <item x="9"/>
        <item m="1" x="28"/>
        <item m="1" x="187"/>
        <item m="1" x="155"/>
        <item m="1" x="63"/>
        <item x="6"/>
        <item m="1" x="83"/>
        <item m="1" x="197"/>
        <item m="1" x="242"/>
        <item m="1" x="114"/>
        <item m="1" x="21"/>
        <item m="1" x="156"/>
        <item m="1" x="53"/>
        <item m="1" x="64"/>
        <item m="1" x="25"/>
        <item m="1" x="259"/>
        <item m="1" x="34"/>
        <item m="1" x="119"/>
        <item m="1" x="130"/>
        <item m="1" x="106"/>
        <item x="4"/>
        <item m="1" x="235"/>
        <item m="1" x="190"/>
        <item m="1" x="260"/>
        <item m="1" x="58"/>
        <item m="1" x="171"/>
        <item m="1" x="141"/>
        <item m="1" x="54"/>
        <item m="1" x="261"/>
        <item x="5"/>
        <item m="1" x="180"/>
        <item m="1" x="137"/>
        <item m="1" x="35"/>
        <item m="1" x="256"/>
        <item m="1" x="26"/>
        <item m="1" x="262"/>
        <item m="1" x="93"/>
        <item m="1" x="138"/>
        <item x="7"/>
        <item m="1" x="116"/>
        <item m="1" x="122"/>
        <item m="1" x="175"/>
        <item x="2"/>
        <item m="1" x="94"/>
        <item m="1" x="74"/>
        <item m="1" x="217"/>
        <item m="1" x="204"/>
        <item m="1" x="131"/>
        <item m="1" x="264"/>
        <item m="1" x="236"/>
        <item m="1" x="205"/>
        <item m="1" x="232"/>
        <item m="1" x="51"/>
        <item m="1" x="117"/>
        <item t="default"/>
      </items>
    </pivotField>
    <pivotField axis="axisRow" showAll="0" sortType="ascending">
      <items count="8001">
        <item x="532"/>
        <item x="533"/>
        <item x="534"/>
        <item x="535"/>
        <item x="536"/>
        <item x="537"/>
        <item x="538"/>
        <item x="590"/>
        <item x="591"/>
        <item x="592"/>
        <item x="593"/>
        <item x="594"/>
        <item x="595"/>
        <item x="596"/>
        <item x="648"/>
        <item x="649"/>
        <item x="650"/>
        <item x="651"/>
        <item x="652"/>
        <item x="653"/>
        <item x="654"/>
        <item x="706"/>
        <item x="707"/>
        <item x="708"/>
        <item x="709"/>
        <item x="710"/>
        <item x="711"/>
        <item x="770"/>
        <item x="771"/>
        <item x="772"/>
        <item x="773"/>
        <item x="774"/>
        <item x="775"/>
        <item x="828"/>
        <item x="829"/>
        <item x="830"/>
        <item x="831"/>
        <item x="832"/>
        <item x="833"/>
        <item x="50"/>
        <item x="51"/>
        <item x="52"/>
        <item x="53"/>
        <item x="54"/>
        <item x="55"/>
        <item x="56"/>
        <item x="117"/>
        <item x="118"/>
        <item x="119"/>
        <item x="120"/>
        <item x="3"/>
        <item x="4"/>
        <item x="121"/>
        <item x="179"/>
        <item x="180"/>
        <item x="181"/>
        <item x="182"/>
        <item x="183"/>
        <item x="184"/>
        <item x="229"/>
        <item x="230"/>
        <item x="231"/>
        <item x="232"/>
        <item x="233"/>
        <item x="234"/>
        <item x="235"/>
        <item x="268"/>
        <item x="269"/>
        <item x="270"/>
        <item x="271"/>
        <item x="272"/>
        <item x="273"/>
        <item x="307"/>
        <item x="308"/>
        <item x="309"/>
        <item x="310"/>
        <item x="311"/>
        <item x="312"/>
        <item x="313"/>
        <item x="351"/>
        <item x="352"/>
        <item x="353"/>
        <item x="354"/>
        <item x="355"/>
        <item x="356"/>
        <item x="396"/>
        <item x="397"/>
        <item x="398"/>
        <item x="399"/>
        <item x="400"/>
        <item x="401"/>
        <item x="402"/>
        <item x="441"/>
        <item x="442"/>
        <item x="443"/>
        <item x="444"/>
        <item x="445"/>
        <item x="446"/>
        <item x="485"/>
        <item x="486"/>
        <item x="487"/>
        <item x="488"/>
        <item x="489"/>
        <item x="490"/>
        <item x="491"/>
        <item x="539"/>
        <item x="540"/>
        <item x="541"/>
        <item x="542"/>
        <item x="543"/>
        <item x="544"/>
        <item x="597"/>
        <item x="598"/>
        <item x="599"/>
        <item x="600"/>
        <item x="601"/>
        <item x="602"/>
        <item x="603"/>
        <item x="655"/>
        <item x="656"/>
        <item x="657"/>
        <item x="658"/>
        <item x="659"/>
        <item x="660"/>
        <item x="712"/>
        <item x="713"/>
        <item x="714"/>
        <item x="715"/>
        <item x="716"/>
        <item x="717"/>
        <item x="776"/>
        <item x="777"/>
        <item x="778"/>
        <item x="779"/>
        <item x="780"/>
        <item x="781"/>
        <item x="782"/>
        <item x="834"/>
        <item x="835"/>
        <item x="836"/>
        <item x="837"/>
        <item x="838"/>
        <item x="57"/>
        <item x="58"/>
        <item x="59"/>
        <item x="60"/>
        <item x="61"/>
        <item x="62"/>
        <item x="63"/>
        <item x="64"/>
        <item x="122"/>
        <item x="123"/>
        <item x="124"/>
        <item x="125"/>
        <item x="126"/>
        <item x="127"/>
        <item x="185"/>
        <item x="186"/>
        <item x="187"/>
        <item x="188"/>
        <item x="189"/>
        <item x="190"/>
        <item x="545"/>
        <item x="546"/>
        <item x="547"/>
        <item x="548"/>
        <item x="549"/>
        <item x="550"/>
        <item x="551"/>
        <item x="604"/>
        <item x="605"/>
        <item x="606"/>
        <item x="607"/>
        <item x="608"/>
        <item x="609"/>
        <item x="661"/>
        <item x="662"/>
        <item x="663"/>
        <item x="664"/>
        <item x="665"/>
        <item x="666"/>
        <item x="667"/>
        <item x="718"/>
        <item x="719"/>
        <item x="720"/>
        <item x="721"/>
        <item x="722"/>
        <item x="723"/>
        <item x="783"/>
        <item x="784"/>
        <item x="785"/>
        <item x="786"/>
        <item x="787"/>
        <item x="788"/>
        <item x="839"/>
        <item x="840"/>
        <item x="841"/>
        <item x="842"/>
        <item x="843"/>
        <item x="844"/>
        <item x="65"/>
        <item x="66"/>
        <item x="67"/>
        <item x="68"/>
        <item x="69"/>
        <item x="70"/>
        <item x="71"/>
        <item x="128"/>
        <item x="129"/>
        <item x="130"/>
        <item x="131"/>
        <item x="132"/>
        <item x="133"/>
        <item x="134"/>
        <item x="191"/>
        <item x="192"/>
        <item x="193"/>
        <item x="194"/>
        <item x="195"/>
        <item x="196"/>
        <item x="236"/>
        <item x="237"/>
        <item x="238"/>
        <item x="239"/>
        <item x="240"/>
        <item x="241"/>
        <item x="274"/>
        <item x="275"/>
        <item x="276"/>
        <item x="277"/>
        <item x="278"/>
        <item x="279"/>
        <item x="280"/>
        <item x="314"/>
        <item x="315"/>
        <item x="316"/>
        <item x="317"/>
        <item x="318"/>
        <item x="319"/>
        <item x="357"/>
        <item x="358"/>
        <item x="359"/>
        <item x="360"/>
        <item x="361"/>
        <item x="362"/>
        <item x="363"/>
        <item x="403"/>
        <item x="404"/>
        <item x="405"/>
        <item x="406"/>
        <item x="407"/>
        <item x="408"/>
        <item x="447"/>
        <item x="448"/>
        <item x="449"/>
        <item x="450"/>
        <item x="451"/>
        <item x="452"/>
        <item x="492"/>
        <item x="493"/>
        <item x="494"/>
        <item x="495"/>
        <item x="496"/>
        <item x="497"/>
        <item x="498"/>
        <item x="552"/>
        <item x="553"/>
        <item x="554"/>
        <item x="555"/>
        <item x="556"/>
        <item x="557"/>
        <item x="610"/>
        <item x="611"/>
        <item x="612"/>
        <item x="613"/>
        <item x="614"/>
        <item x="615"/>
        <item x="616"/>
        <item x="668"/>
        <item x="669"/>
        <item x="670"/>
        <item x="671"/>
        <item x="672"/>
        <item x="673"/>
        <item x="724"/>
        <item x="725"/>
        <item x="726"/>
        <item x="727"/>
        <item x="728"/>
        <item x="729"/>
        <item x="730"/>
        <item x="789"/>
        <item x="790"/>
        <item x="791"/>
        <item x="792"/>
        <item x="793"/>
        <item x="794"/>
        <item x="845"/>
        <item x="846"/>
        <item x="847"/>
        <item x="848"/>
        <item x="849"/>
        <item x="72"/>
        <item x="73"/>
        <item x="74"/>
        <item x="75"/>
        <item x="76"/>
        <item x="77"/>
        <item x="78"/>
        <item x="79"/>
        <item x="135"/>
        <item x="136"/>
        <item x="137"/>
        <item x="138"/>
        <item x="139"/>
        <item x="140"/>
        <item x="197"/>
        <item x="198"/>
        <item x="199"/>
        <item x="200"/>
        <item x="201"/>
        <item x="202"/>
        <item x="203"/>
        <item x="320"/>
        <item x="321"/>
        <item x="322"/>
        <item x="323"/>
        <item x="324"/>
        <item x="325"/>
        <item x="364"/>
        <item x="365"/>
        <item x="366"/>
        <item x="367"/>
        <item x="368"/>
        <item x="369"/>
        <item x="409"/>
        <item x="410"/>
        <item x="411"/>
        <item x="412"/>
        <item x="413"/>
        <item x="414"/>
        <item x="415"/>
        <item x="453"/>
        <item x="454"/>
        <item x="455"/>
        <item x="456"/>
        <item x="457"/>
        <item x="458"/>
        <item x="499"/>
        <item x="500"/>
        <item x="501"/>
        <item x="502"/>
        <item x="503"/>
        <item x="504"/>
        <item x="505"/>
        <item x="558"/>
        <item x="559"/>
        <item x="560"/>
        <item x="561"/>
        <item x="562"/>
        <item x="563"/>
        <item x="617"/>
        <item x="618"/>
        <item x="619"/>
        <item x="620"/>
        <item x="621"/>
        <item x="622"/>
        <item x="674"/>
        <item x="675"/>
        <item x="676"/>
        <item x="677"/>
        <item x="678"/>
        <item x="679"/>
        <item x="680"/>
        <item x="731"/>
        <item x="732"/>
        <item x="733"/>
        <item x="734"/>
        <item x="735"/>
        <item x="736"/>
        <item x="795"/>
        <item x="796"/>
        <item x="797"/>
        <item x="798"/>
        <item x="799"/>
        <item x="800"/>
        <item x="5"/>
        <item x="6"/>
        <item x="7"/>
        <item x="8"/>
        <item x="9"/>
        <item x="10"/>
        <item x="11"/>
        <item x="80"/>
        <item x="81"/>
        <item x="82"/>
        <item x="83"/>
        <item x="84"/>
        <item x="85"/>
        <item x="141"/>
        <item x="142"/>
        <item x="143"/>
        <item x="144"/>
        <item x="145"/>
        <item x="146"/>
        <item x="147"/>
        <item x="204"/>
        <item x="205"/>
        <item x="206"/>
        <item x="207"/>
        <item x="208"/>
        <item x="209"/>
        <item x="242"/>
        <item x="243"/>
        <item x="244"/>
        <item x="245"/>
        <item x="246"/>
        <item x="247"/>
        <item x="248"/>
        <item x="281"/>
        <item x="282"/>
        <item x="283"/>
        <item x="284"/>
        <item x="285"/>
        <item x="286"/>
        <item x="326"/>
        <item x="327"/>
        <item x="328"/>
        <item x="329"/>
        <item x="330"/>
        <item x="331"/>
        <item x="370"/>
        <item x="371"/>
        <item x="372"/>
        <item x="373"/>
        <item x="374"/>
        <item x="375"/>
        <item x="376"/>
        <item x="416"/>
        <item x="417"/>
        <item x="418"/>
        <item x="419"/>
        <item x="420"/>
        <item x="421"/>
        <item x="459"/>
        <item x="460"/>
        <item x="461"/>
        <item x="462"/>
        <item x="463"/>
        <item x="464"/>
        <item x="465"/>
        <item x="506"/>
        <item x="507"/>
        <item x="508"/>
        <item x="509"/>
        <item x="510"/>
        <item x="511"/>
        <item x="564"/>
        <item x="565"/>
        <item x="566"/>
        <item x="567"/>
        <item x="568"/>
        <item x="569"/>
        <item x="570"/>
        <item x="623"/>
        <item x="624"/>
        <item x="625"/>
        <item x="626"/>
        <item x="627"/>
        <item x="628"/>
        <item x="681"/>
        <item x="682"/>
        <item x="683"/>
        <item x="684"/>
        <item x="685"/>
        <item x="686"/>
        <item x="737"/>
        <item x="738"/>
        <item x="739"/>
        <item x="740"/>
        <item x="741"/>
        <item x="742"/>
        <item x="743"/>
        <item x="801"/>
        <item x="802"/>
        <item x="803"/>
        <item x="804"/>
        <item x="805"/>
        <item x="12"/>
        <item x="13"/>
        <item x="14"/>
        <item x="15"/>
        <item x="16"/>
        <item x="17"/>
        <item x="18"/>
        <item x="19"/>
        <item x="86"/>
        <item x="87"/>
        <item x="88"/>
        <item x="89"/>
        <item x="90"/>
        <item x="91"/>
        <item x="148"/>
        <item x="149"/>
        <item x="150"/>
        <item x="151"/>
        <item x="152"/>
        <item x="153"/>
        <item x="210"/>
        <item x="211"/>
        <item x="212"/>
        <item x="213"/>
        <item x="214"/>
        <item x="215"/>
        <item x="216"/>
        <item x="249"/>
        <item x="250"/>
        <item x="251"/>
        <item x="252"/>
        <item x="253"/>
        <item x="254"/>
        <item x="287"/>
        <item x="288"/>
        <item x="289"/>
        <item x="290"/>
        <item x="291"/>
        <item x="292"/>
        <item x="293"/>
        <item x="332"/>
        <item x="333"/>
        <item x="334"/>
        <item x="335"/>
        <item x="336"/>
        <item x="337"/>
        <item x="377"/>
        <item x="378"/>
        <item x="379"/>
        <item x="380"/>
        <item x="381"/>
        <item x="382"/>
        <item x="422"/>
        <item x="423"/>
        <item x="424"/>
        <item x="425"/>
        <item x="426"/>
        <item x="427"/>
        <item x="428"/>
        <item x="466"/>
        <item x="467"/>
        <item x="468"/>
        <item x="469"/>
        <item x="470"/>
        <item x="471"/>
        <item x="512"/>
        <item x="513"/>
        <item x="514"/>
        <item x="515"/>
        <item x="516"/>
        <item x="517"/>
        <item x="518"/>
        <item x="571"/>
        <item x="572"/>
        <item x="573"/>
        <item x="574"/>
        <item x="575"/>
        <item x="576"/>
        <item x="629"/>
        <item x="630"/>
        <item x="631"/>
        <item x="632"/>
        <item x="633"/>
        <item x="634"/>
        <item x="687"/>
        <item x="688"/>
        <item x="689"/>
        <item x="690"/>
        <item x="691"/>
        <item x="692"/>
        <item x="693"/>
        <item x="744"/>
        <item x="745"/>
        <item x="746"/>
        <item x="747"/>
        <item x="748"/>
        <item x="749"/>
        <item x="806"/>
        <item x="807"/>
        <item x="808"/>
        <item x="809"/>
        <item x="810"/>
        <item x="811"/>
        <item x="20"/>
        <item x="21"/>
        <item x="22"/>
        <item x="23"/>
        <item x="24"/>
        <item x="25"/>
        <item x="26"/>
        <item x="92"/>
        <item x="93"/>
        <item x="94"/>
        <item x="95"/>
        <item x="96"/>
        <item x="97"/>
        <item x="154"/>
        <item x="155"/>
        <item x="156"/>
        <item x="157"/>
        <item x="158"/>
        <item x="159"/>
        <item x="160"/>
        <item x="217"/>
        <item x="218"/>
        <item x="219"/>
        <item x="220"/>
        <item x="221"/>
        <item x="222"/>
        <item x="255"/>
        <item x="256"/>
        <item x="257"/>
        <item x="258"/>
        <item x="259"/>
        <item x="260"/>
        <item x="294"/>
        <item x="295"/>
        <item x="296"/>
        <item x="297"/>
        <item x="298"/>
        <item x="299"/>
        <item x="300"/>
        <item x="338"/>
        <item x="339"/>
        <item x="340"/>
        <item x="341"/>
        <item x="342"/>
        <item x="343"/>
        <item x="383"/>
        <item x="384"/>
        <item x="385"/>
        <item x="386"/>
        <item x="387"/>
        <item x="388"/>
        <item x="389"/>
        <item x="429"/>
        <item x="430"/>
        <item x="431"/>
        <item x="432"/>
        <item x="433"/>
        <item x="434"/>
        <item x="472"/>
        <item x="473"/>
        <item x="474"/>
        <item x="475"/>
        <item x="476"/>
        <item x="477"/>
        <item x="519"/>
        <item x="520"/>
        <item x="521"/>
        <item x="522"/>
        <item x="523"/>
        <item x="524"/>
        <item x="525"/>
        <item x="577"/>
        <item x="578"/>
        <item x="579"/>
        <item x="580"/>
        <item x="581"/>
        <item x="582"/>
        <item x="635"/>
        <item x="636"/>
        <item x="637"/>
        <item x="638"/>
        <item x="639"/>
        <item x="640"/>
        <item x="641"/>
        <item x="694"/>
        <item x="695"/>
        <item x="696"/>
        <item x="697"/>
        <item x="698"/>
        <item x="699"/>
        <item x="750"/>
        <item x="751"/>
        <item x="752"/>
        <item x="753"/>
        <item x="754"/>
        <item x="755"/>
        <item x="812"/>
        <item x="813"/>
        <item x="814"/>
        <item x="815"/>
        <item x="816"/>
        <item x="817"/>
        <item x="27"/>
        <item x="28"/>
        <item x="29"/>
        <item x="30"/>
        <item x="31"/>
        <item x="32"/>
        <item x="33"/>
        <item x="98"/>
        <item x="99"/>
        <item x="100"/>
        <item x="101"/>
        <item x="102"/>
        <item x="103"/>
        <item x="104"/>
        <item x="161"/>
        <item x="162"/>
        <item x="163"/>
        <item x="164"/>
        <item x="165"/>
        <item x="166"/>
        <item x="223"/>
        <item x="224"/>
        <item x="225"/>
        <item x="226"/>
        <item x="227"/>
        <item x="228"/>
        <item x="261"/>
        <item x="262"/>
        <item x="263"/>
        <item x="264"/>
        <item x="265"/>
        <item x="266"/>
        <item x="267"/>
        <item x="301"/>
        <item x="302"/>
        <item x="303"/>
        <item x="304"/>
        <item x="305"/>
        <item x="306"/>
        <item x="344"/>
        <item x="345"/>
        <item x="346"/>
        <item x="347"/>
        <item x="348"/>
        <item x="349"/>
        <item x="350"/>
        <item x="390"/>
        <item x="391"/>
        <item x="392"/>
        <item x="393"/>
        <item x="394"/>
        <item x="395"/>
        <item x="435"/>
        <item x="436"/>
        <item x="437"/>
        <item x="438"/>
        <item x="439"/>
        <item x="440"/>
        <item x="478"/>
        <item x="479"/>
        <item x="480"/>
        <item x="481"/>
        <item x="482"/>
        <item x="483"/>
        <item x="484"/>
        <item x="526"/>
        <item x="527"/>
        <item x="528"/>
        <item x="529"/>
        <item x="530"/>
        <item x="531"/>
        <item x="583"/>
        <item x="584"/>
        <item x="585"/>
        <item x="586"/>
        <item x="587"/>
        <item x="588"/>
        <item x="589"/>
        <item x="642"/>
        <item x="643"/>
        <item x="644"/>
        <item x="645"/>
        <item x="646"/>
        <item x="647"/>
        <item x="700"/>
        <item x="701"/>
        <item x="702"/>
        <item x="703"/>
        <item x="704"/>
        <item x="705"/>
        <item x="756"/>
        <item x="757"/>
        <item x="758"/>
        <item x="759"/>
        <item x="760"/>
        <item x="761"/>
        <item x="762"/>
        <item x="818"/>
        <item x="819"/>
        <item x="820"/>
        <item x="821"/>
        <item x="822"/>
        <item x="34"/>
        <item x="35"/>
        <item x="36"/>
        <item x="37"/>
        <item x="38"/>
        <item x="39"/>
        <item x="40"/>
        <item x="41"/>
        <item x="105"/>
        <item x="106"/>
        <item x="107"/>
        <item x="108"/>
        <item x="109"/>
        <item x="110"/>
        <item x="167"/>
        <item x="168"/>
        <item x="169"/>
        <item x="170"/>
        <item x="171"/>
        <item x="172"/>
        <item x="763"/>
        <item x="764"/>
        <item x="765"/>
        <item x="766"/>
        <item x="767"/>
        <item x="768"/>
        <item x="769"/>
        <item x="823"/>
        <item x="824"/>
        <item x="825"/>
        <item x="826"/>
        <item x="827"/>
        <item x="42"/>
        <item x="43"/>
        <item x="44"/>
        <item x="45"/>
        <item x="46"/>
        <item x="47"/>
        <item x="48"/>
        <item x="49"/>
        <item x="111"/>
        <item x="112"/>
        <item x="113"/>
        <item x="114"/>
        <item x="115"/>
        <item x="116"/>
        <item x="173"/>
        <item x="174"/>
        <item x="175"/>
        <item x="176"/>
        <item x="177"/>
        <item x="178"/>
        <item x="991"/>
        <item x="992"/>
        <item x="993"/>
        <item x="994"/>
        <item x="995"/>
        <item x="996"/>
        <item x="850"/>
        <item x="851"/>
        <item x="852"/>
        <item x="853"/>
        <item x="854"/>
        <item x="855"/>
        <item x="856"/>
        <item x="864"/>
        <item x="865"/>
        <item x="866"/>
        <item x="867"/>
        <item x="868"/>
        <item x="869"/>
        <item x="877"/>
        <item x="878"/>
        <item x="879"/>
        <item x="880"/>
        <item x="881"/>
        <item x="882"/>
        <item x="883"/>
        <item x="916"/>
        <item x="917"/>
        <item x="918"/>
        <item x="919"/>
        <item x="920"/>
        <item x="921"/>
        <item x="928"/>
        <item x="929"/>
        <item x="930"/>
        <item x="931"/>
        <item x="932"/>
        <item x="933"/>
        <item x="934"/>
        <item x="942"/>
        <item x="943"/>
        <item x="944"/>
        <item x="945"/>
        <item x="946"/>
        <item x="947"/>
        <item x="954"/>
        <item x="955"/>
        <item x="956"/>
        <item x="957"/>
        <item x="958"/>
        <item x="959"/>
        <item x="965"/>
        <item x="966"/>
        <item x="967"/>
        <item x="968"/>
        <item x="969"/>
        <item x="970"/>
        <item x="971"/>
        <item x="972"/>
        <item x="973"/>
        <item x="974"/>
        <item x="975"/>
        <item x="976"/>
        <item x="977"/>
        <item x="978"/>
        <item x="979"/>
        <item x="980"/>
        <item x="981"/>
        <item x="982"/>
        <item x="983"/>
        <item x="984"/>
        <item x="985"/>
        <item x="986"/>
        <item x="987"/>
        <item x="988"/>
        <item x="989"/>
        <item x="990"/>
        <item x="997"/>
        <item x="998"/>
        <item x="999"/>
        <item x="1000"/>
        <item x="1001"/>
        <item x="857"/>
        <item x="858"/>
        <item x="859"/>
        <item x="860"/>
        <item x="861"/>
        <item x="862"/>
        <item x="863"/>
        <item x="870"/>
        <item x="871"/>
        <item x="872"/>
        <item x="873"/>
        <item x="874"/>
        <item x="875"/>
        <item x="876"/>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22"/>
        <item x="923"/>
        <item x="924"/>
        <item x="925"/>
        <item x="926"/>
        <item x="927"/>
        <item x="935"/>
        <item x="936"/>
        <item x="937"/>
        <item x="938"/>
        <item x="939"/>
        <item x="940"/>
        <item x="941"/>
        <item x="948"/>
        <item x="949"/>
        <item x="950"/>
        <item x="951"/>
        <item x="952"/>
        <item x="953"/>
        <item x="960"/>
        <item x="961"/>
        <item x="962"/>
        <item x="963"/>
        <item x="964"/>
        <item x="0"/>
        <item x="1"/>
        <item x="2"/>
        <item m="1" x="4285"/>
        <item m="1" x="4401"/>
        <item m="1" x="4509"/>
        <item m="1" x="4614"/>
        <item m="1" x="4940"/>
        <item m="1" x="5054"/>
        <item m="1" x="5155"/>
        <item m="1" x="5261"/>
        <item m="1" x="5478"/>
        <item m="1" x="5593"/>
        <item m="1" x="5698"/>
        <item m="1" x="5804"/>
        <item m="1" x="6016"/>
        <item m="1" x="6131"/>
        <item m="1" x="6242"/>
        <item m="1" x="6342"/>
        <item m="1" x="3101"/>
        <item m="1" x="6664"/>
        <item m="1" x="3215"/>
        <item m="1" x="6777"/>
        <item m="1" x="3321"/>
        <item m="1" x="6878"/>
        <item m="1" x="3424"/>
        <item m="1" x="6982"/>
        <item m="1" x="7197"/>
        <item m="1" x="3746"/>
        <item m="1" x="7312"/>
        <item m="1" x="3860"/>
        <item m="1" x="7418"/>
        <item m="1" x="3961"/>
        <item m="1" x="7518"/>
        <item m="1" x="4065"/>
        <item m="1" x="7735"/>
        <item m="1" x="4282"/>
        <item m="1" x="7847"/>
        <item m="1" x="4398"/>
        <item m="1" x="7960"/>
        <item m="1" x="4504"/>
        <item m="1" x="1065"/>
        <item m="1" x="4609"/>
        <item m="1" x="1169"/>
        <item m="1" x="4825"/>
        <item m="1" x="1386"/>
        <item m="1" x="4938"/>
        <item m="1" x="1502"/>
        <item m="1" x="5050"/>
        <item m="1" x="1604"/>
        <item m="1" x="5150"/>
        <item m="1" x="1706"/>
        <item m="1" x="1922"/>
        <item m="1" x="5475"/>
        <item m="1" x="2035"/>
        <item m="1" x="5590"/>
        <item m="1" x="2142"/>
        <item m="1" x="5693"/>
        <item m="1" x="2243"/>
        <item m="1" x="5799"/>
        <item m="1" x="6013"/>
        <item m="1" x="2566"/>
        <item m="1" x="6129"/>
        <item m="1" x="2681"/>
        <item m="1" x="6237"/>
        <item m="1" x="2782"/>
        <item m="1" x="6337"/>
        <item m="1" x="2884"/>
        <item m="1" x="6552"/>
        <item m="1" x="3098"/>
        <item m="1" x="6661"/>
        <item m="1" x="3212"/>
        <item m="1" x="6773"/>
        <item m="1" x="3316"/>
        <item m="1" x="6873"/>
        <item m="1" x="3419"/>
        <item m="1" x="6977"/>
        <item m="1" x="3633"/>
        <item m="1" x="7194"/>
        <item m="1" x="3744"/>
        <item m="1" x="7309"/>
        <item m="1" x="3856"/>
        <item m="1" x="7413"/>
        <item m="1" x="3956"/>
        <item m="1" x="7513"/>
        <item m="1" x="7732"/>
        <item m="1" x="4279"/>
        <item m="1" x="7845"/>
        <item m="1" x="4395"/>
        <item m="1" x="7955"/>
        <item m="1" x="4499"/>
        <item m="1" x="1060"/>
        <item m="1" x="4604"/>
        <item m="1" x="4822"/>
        <item m="1" x="1383"/>
        <item m="1" x="4936"/>
        <item m="1" x="1498"/>
        <item m="1" x="5045"/>
        <item m="1" x="1599"/>
        <item m="1" x="5145"/>
        <item m="1" x="1701"/>
        <item m="1" x="5363"/>
        <item m="1" x="1919"/>
        <item m="1" x="5472"/>
        <item m="1" x="2032"/>
        <item m="1" x="5586"/>
        <item m="1" x="2137"/>
        <item m="1" x="5688"/>
        <item m="1" x="2238"/>
        <item m="1" x="5794"/>
        <item m="1" x="2453"/>
        <item m="1" x="6011"/>
        <item m="1" x="2564"/>
        <item m="1" x="6126"/>
        <item m="1" x="2677"/>
        <item m="1" x="6232"/>
        <item m="1" x="2777"/>
        <item m="1" x="6332"/>
        <item m="1" x="6549"/>
        <item m="1" x="3095"/>
        <item m="1" x="6659"/>
        <item m="1" x="3209"/>
        <item m="1" x="6768"/>
        <item m="1" x="3311"/>
        <item m="1" x="6868"/>
        <item m="1" x="3414"/>
        <item m="1" x="3630"/>
        <item m="1" x="7191"/>
        <item m="1" x="3742"/>
        <item m="1" x="7305"/>
        <item m="1" x="3851"/>
        <item m="1" x="7408"/>
        <item m="1" x="3951"/>
        <item m="1" x="7508"/>
        <item m="1" x="4168"/>
        <item m="1" x="7729"/>
        <item m="1" x="4277"/>
        <item m="1" x="7842"/>
        <item m="1" x="4391"/>
        <item m="1" x="7950"/>
        <item m="1" x="4494"/>
        <item m="1" x="1055"/>
        <item m="1" x="4599"/>
        <item m="1" x="1271"/>
        <item m="1" x="4820"/>
        <item m="1" x="1381"/>
        <item m="1" x="4933"/>
        <item m="1" x="1494"/>
        <item m="1" x="5040"/>
        <item m="1" x="1594"/>
        <item m="1" x="5140"/>
        <item m="1" x="5360"/>
        <item m="1" x="1916"/>
        <item m="1" x="5470"/>
        <item m="1" x="2029"/>
        <item m="1" x="5581"/>
        <item m="1" x="2132"/>
        <item m="1" x="5683"/>
        <item m="1" x="2233"/>
        <item m="1" x="5901"/>
        <item m="1" x="2450"/>
        <item m="1" x="6008"/>
        <item m="1" x="2562"/>
        <item m="1" x="6122"/>
        <item m="1" x="2672"/>
        <item m="1" x="6227"/>
        <item m="1" x="2772"/>
        <item m="1" x="6327"/>
        <item m="1" x="2985"/>
        <item m="1" x="6546"/>
        <item m="1" x="3093"/>
        <item m="1" x="6656"/>
        <item m="1" x="3205"/>
        <item m="1" x="6763"/>
        <item m="1" x="3306"/>
        <item m="1" x="6863"/>
        <item m="1" x="3409"/>
        <item m="1" x="7080"/>
        <item m="1" x="3628"/>
        <item m="1" x="7189"/>
        <item m="1" x="3739"/>
        <item m="1" x="7301"/>
        <item m="1" x="3846"/>
        <item m="1" x="7403"/>
        <item m="1" x="3946"/>
        <item m="1" x="4165"/>
        <item m="1" x="7726"/>
        <item m="1" x="4275"/>
        <item m="1" x="7839"/>
        <item m="1" x="4386"/>
        <item m="1" x="7945"/>
        <item m="1" x="4489"/>
        <item m="1" x="1050"/>
        <item m="1" x="4708"/>
        <item m="1" x="1268"/>
        <item m="1" x="4817"/>
        <item m="1" x="1379"/>
        <item m="1" x="4929"/>
        <item m="1" x="1489"/>
        <item m="1" x="5035"/>
        <item m="1" x="1589"/>
        <item m="1" x="5135"/>
        <item m="1" x="1804"/>
        <item m="1" x="5357"/>
        <item m="1" x="1914"/>
        <item m="1" x="5467"/>
        <item m="1" x="2025"/>
        <item m="1" x="5576"/>
        <item m="1" x="2127"/>
        <item m="1" x="5678"/>
        <item m="1" x="2228"/>
        <item m="1" x="5897"/>
        <item m="1" x="2447"/>
        <item m="1" x="6006"/>
        <item m="1" x="2559"/>
        <item m="1" x="6118"/>
        <item m="1" x="2667"/>
        <item m="1" x="6222"/>
        <item m="1" x="2767"/>
        <item m="1" x="2982"/>
        <item m="1" x="6543"/>
        <item m="1" x="3091"/>
        <item m="1" x="6653"/>
        <item m="1" x="3200"/>
        <item m="1" x="6758"/>
        <item m="1" x="3301"/>
        <item m="1" x="6858"/>
        <item m="1" x="3516"/>
        <item m="1" x="7077"/>
        <item m="1" x="3625"/>
        <item m="1" x="7187"/>
        <item m="1" x="3735"/>
        <item m="1" x="7297"/>
        <item m="1" x="3842"/>
        <item m="1" x="7399"/>
        <item m="1" x="3942"/>
        <item m="1" x="7613"/>
        <item m="1" x="4163"/>
        <item m="1" x="7724"/>
        <item m="1" x="4272"/>
        <item m="1" x="7835"/>
        <item m="1" x="4382"/>
        <item m="1" x="7941"/>
        <item m="1" x="4485"/>
        <item m="1" x="1046"/>
        <item m="1" x="4705"/>
        <item m="1" x="1266"/>
        <item m="1" x="4815"/>
        <item m="1" x="1376"/>
        <item m="1" x="4925"/>
        <item m="1" x="1485"/>
        <item m="1" x="5031"/>
        <item m="1" x="1585"/>
        <item m="1" x="1801"/>
        <item m="1" x="5354"/>
        <item m="1" x="1911"/>
        <item m="1" x="5463"/>
        <item m="1" x="2020"/>
        <item m="1" x="5571"/>
        <item m="1" x="2122"/>
        <item m="1" x="5674"/>
        <item m="1" x="2334"/>
        <item m="1" x="5894"/>
        <item m="1" x="2444"/>
        <item m="1" x="6003"/>
        <item m="1" x="2554"/>
        <item m="1" x="6113"/>
        <item m="1" x="2662"/>
        <item m="1" x="6217"/>
        <item m="1" x="2763"/>
        <item m="1" x="6430"/>
        <item m="1" x="2979"/>
        <item m="1" x="6540"/>
        <item m="1" x="3087"/>
        <item m="1" x="6648"/>
        <item m="1" x="3195"/>
        <item m="1" x="6753"/>
        <item m="1" x="3297"/>
        <item m="1" x="6854"/>
        <item m="1" x="3512"/>
        <item m="1" x="7074"/>
        <item m="1" x="3622"/>
        <item m="1" x="7183"/>
        <item m="1" x="3730"/>
        <item m="1" x="7292"/>
        <item m="1" x="3837"/>
        <item m="1" x="7395"/>
        <item m="1" x="7610"/>
        <item m="1" x="4160"/>
        <item m="1" x="7721"/>
        <item m="1" x="4268"/>
        <item m="1" x="7830"/>
        <item m="1" x="4377"/>
        <item m="1" x="7936"/>
        <item m="1" x="4481"/>
        <item m="1" x="1151"/>
        <item m="1" x="4702"/>
        <item m="1" x="1263"/>
        <item m="1" x="4811"/>
        <item m="1" x="1371"/>
        <item m="1" x="4920"/>
        <item m="1" x="1480"/>
        <item m="1" x="5026"/>
        <item m="1" x="1581"/>
        <item m="1" x="5239"/>
        <item m="1" x="1798"/>
        <item m="1" x="5351"/>
        <item m="1" x="1907"/>
        <item m="1" x="5458"/>
        <item m="1" x="2015"/>
        <item m="1" x="5566"/>
        <item m="1" x="2118"/>
        <item m="1" x="5670"/>
        <item m="1" x="2330"/>
        <item m="1" x="5891"/>
        <item m="1" x="2441"/>
        <item m="1" x="5999"/>
        <item m="1" x="2549"/>
        <item m="1" x="6108"/>
        <item m="1" x="2657"/>
        <item m="1" x="6213"/>
        <item m="1" x="6427"/>
        <item m="1" x="2976"/>
        <item m="1" x="6537"/>
        <item m="1" x="3082"/>
        <item m="1" x="6643"/>
        <item m="1" x="3190"/>
        <item m="1" x="6748"/>
        <item m="1" x="3293"/>
        <item m="1" x="6958"/>
        <item m="1" x="3509"/>
        <item m="1" x="7071"/>
        <item m="1" x="3618"/>
        <item m="1" x="7178"/>
        <item m="1" x="3725"/>
        <item m="1" x="7287"/>
        <item m="1" x="3832"/>
        <item m="1" x="7391"/>
        <item m="1" x="4044"/>
        <item m="1" x="7607"/>
        <item m="1" x="4157"/>
        <item m="1" x="7717"/>
        <item m="1" x="4263"/>
        <item m="1" x="7825"/>
        <item m="1" x="4372"/>
        <item m="1" x="7932"/>
        <item m="1" x="1147"/>
        <item m="1" x="4699"/>
        <item m="1" x="1260"/>
        <item m="1" x="4807"/>
        <item m="1" x="1366"/>
        <item m="1" x="4915"/>
        <item m="1" x="1475"/>
        <item m="1" x="5022"/>
        <item m="1" x="5236"/>
        <item m="1" x="1795"/>
        <item m="1" x="5348"/>
        <item m="1" x="1902"/>
        <item m="1" x="5453"/>
        <item m="1" x="2010"/>
        <item m="1" x="5561"/>
        <item m="1" x="2114"/>
        <item m="1" x="5775"/>
        <item m="1" x="2327"/>
        <item m="1" x="5888"/>
        <item m="1" x="2437"/>
        <item m="1" x="5994"/>
        <item m="1" x="2544"/>
        <item m="1" x="6103"/>
        <item m="1" x="2652"/>
        <item m="1" x="6209"/>
        <item m="1" x="2862"/>
        <item m="1" x="6424"/>
        <item m="1" x="2973"/>
        <item m="1" x="6533"/>
        <item m="1" x="3077"/>
        <item m="1" x="6638"/>
        <item m="1" x="3185"/>
        <item m="1" x="6744"/>
        <item m="1" x="6954"/>
        <item m="1" x="3506"/>
        <item m="1" x="7068"/>
        <item m="1" x="3614"/>
        <item m="1" x="7173"/>
        <item m="1" x="3720"/>
        <item m="1" x="7282"/>
        <item m="1" x="3828"/>
        <item m="1" x="4041"/>
        <item m="1" x="7604"/>
        <item m="1" x="4154"/>
        <item m="1" x="7712"/>
        <item m="1" x="4258"/>
        <item m="1" x="7820"/>
        <item m="1" x="4367"/>
        <item m="1" x="7928"/>
        <item m="1" x="4581"/>
        <item m="1" x="1144"/>
        <item m="1" x="4696"/>
        <item m="1" x="1256"/>
        <item m="1" x="4802"/>
        <item m="1" x="1361"/>
        <item m="1" x="4910"/>
        <item m="1" x="1470"/>
        <item m="1" x="5018"/>
        <item m="1" x="1680"/>
        <item m="1" x="5233"/>
        <item m="1" x="1792"/>
        <item m="1" x="5344"/>
        <item m="1" x="1897"/>
        <item m="1" x="5448"/>
        <item m="1" x="2005"/>
        <item m="1" x="5557"/>
        <item m="1" x="5771"/>
        <item m="1" x="2324"/>
        <item m="1" x="5885"/>
        <item m="1" x="2433"/>
        <item m="1" x="5989"/>
        <item m="1" x="2539"/>
        <item m="1" x="6098"/>
        <item m="1" x="2648"/>
        <item m="1" x="2859"/>
        <item m="1" x="6421"/>
        <item m="1" x="2970"/>
        <item m="1" x="6528"/>
        <item m="1" x="3072"/>
        <item m="1" x="6633"/>
        <item m="1" x="3180"/>
        <item m="1" x="6740"/>
        <item m="1" x="3392"/>
        <item m="1" x="6952"/>
        <item m="1" x="3504"/>
        <item m="1" x="7065"/>
        <item m="1" x="3610"/>
        <item m="1" x="7169"/>
        <item m="1" x="3716"/>
        <item m="1" x="7278"/>
        <item m="1" x="3824"/>
        <item m="1" x="7489"/>
        <item m="1" x="4039"/>
        <item m="1" x="7601"/>
        <item m="1" x="4150"/>
        <item m="1" x="7707"/>
        <item m="1" x="4253"/>
        <item m="1" x="7815"/>
        <item m="1" x="4362"/>
        <item m="1" x="4578"/>
        <item m="1" x="1142"/>
        <item m="1" x="4693"/>
        <item m="1" x="1252"/>
        <item m="1" x="4797"/>
        <item m="1" x="1356"/>
        <item m="1" x="4905"/>
        <item m="1" x="1465"/>
        <item m="1" x="1678"/>
        <item m="1" x="5231"/>
        <item m="1" x="1789"/>
        <item m="1" x="5339"/>
        <item m="1" x="1892"/>
        <item m="1" x="5443"/>
        <item m="1" x="2000"/>
        <item m="1" x="5552"/>
        <item m="1" x="2212"/>
        <item m="1" x="5769"/>
        <item m="1" x="2322"/>
        <item m="1" x="5881"/>
        <item m="1" x="2428"/>
        <item m="1" x="5984"/>
        <item m="1" x="2534"/>
        <item m="1" x="6093"/>
        <item m="1" x="2643"/>
        <item m="1" x="6308"/>
        <item m="1" x="2857"/>
        <item m="1" x="6418"/>
        <item m="1" x="2966"/>
        <item m="1" x="6523"/>
        <item m="1" x="3067"/>
        <item m="1" x="6628"/>
        <item m="1" x="3175"/>
        <item m="1" x="3390"/>
        <item m="1" x="6950"/>
        <item m="1" x="3501"/>
        <item m="1" x="7061"/>
        <item m="1" x="3605"/>
        <item m="1" x="7164"/>
        <item m="1" x="3711"/>
        <item m="1" x="7273"/>
        <item m="1" x="7487"/>
        <item m="1" x="4037"/>
        <item m="1" x="7598"/>
        <item m="1" x="4145"/>
        <item m="1" x="7702"/>
        <item m="1" x="4248"/>
        <item m="1" x="7810"/>
        <item m="1" x="4357"/>
        <item m="1" x="1030"/>
        <item m="1" x="4576"/>
        <item m="1" x="1140"/>
        <item m="1" x="4689"/>
        <item m="1" x="1247"/>
        <item m="1" x="4792"/>
        <item m="1" x="1351"/>
        <item m="1" x="4900"/>
        <item m="1" x="1460"/>
        <item m="1" x="5117"/>
        <item m="1" x="1676"/>
        <item m="1" x="5228"/>
        <item m="1" x="1785"/>
        <item m="1" x="5334"/>
        <item m="1" x="1887"/>
        <item m="1" x="5438"/>
        <item m="1" x="1995"/>
        <item m="1" x="2210"/>
        <item m="1" x="5767"/>
        <item m="1" x="2319"/>
        <item m="1" x="5877"/>
        <item m="1" x="2423"/>
        <item m="1" x="5979"/>
        <item m="1" x="2529"/>
        <item m="1" x="6088"/>
        <item m="1" x="6306"/>
        <item m="1" x="2855"/>
        <item m="1" x="6415"/>
        <item m="1" x="2961"/>
        <item m="1" x="6518"/>
        <item m="1" x="3062"/>
        <item m="1" x="6623"/>
        <item m="1" x="3170"/>
        <item m="1" x="6840"/>
        <item m="1" x="3388"/>
        <item m="1" x="6948"/>
        <item m="1" x="3497"/>
        <item m="1" x="7056"/>
        <item m="1" x="3600"/>
        <item m="1" x="7159"/>
        <item m="1" x="3706"/>
        <item m="1" x="7268"/>
        <item m="1" x="3924"/>
        <item m="1" x="7486"/>
        <item m="1" x="4034"/>
        <item m="1" x="7594"/>
        <item m="1" x="4140"/>
        <item m="1" x="7697"/>
        <item m="1" x="4243"/>
        <item m="1" x="7805"/>
        <item m="1" x="1028"/>
        <item m="1" x="4574"/>
        <item m="1" x="1137"/>
        <item m="1" x="4685"/>
        <item m="1" x="1242"/>
        <item m="1" x="4787"/>
        <item m="1" x="1346"/>
        <item m="1" x="4895"/>
        <item m="1" x="5115"/>
        <item m="1" x="1674"/>
        <item m="1" x="5225"/>
        <item m="1" x="1780"/>
        <item m="1" x="5329"/>
        <item m="1" x="1882"/>
        <item m="1" x="5433"/>
        <item m="1" x="1990"/>
        <item m="1" x="5655"/>
        <item m="1" x="2208"/>
        <item m="1" x="5765"/>
        <item m="1" x="2315"/>
        <item m="1" x="5872"/>
        <item m="1" x="2418"/>
        <item m="1" x="5974"/>
        <item m="1" x="2524"/>
        <item m="1" x="6083"/>
        <item m="1" x="2745"/>
        <item m="1" x="6305"/>
        <item m="1" x="2852"/>
        <item m="1" x="6411"/>
        <item m="1" x="2956"/>
        <item m="1" x="6513"/>
        <item m="1" x="3057"/>
        <item m="1" x="6618"/>
        <item m="1" x="6838"/>
        <item m="1" x="3386"/>
        <item m="1" x="6945"/>
        <item m="1" x="3493"/>
        <item m="1" x="7051"/>
        <item m="1" x="3595"/>
        <item m="1" x="7154"/>
        <item m="1" x="3701"/>
        <item m="1" x="7374"/>
        <item m="1" x="3922"/>
        <item m="1" x="7484"/>
        <item m="1" x="4031"/>
        <item m="1" x="7589"/>
        <item m="1" x="4135"/>
        <item m="1" x="7692"/>
        <item m="1" x="4238"/>
        <item m="1" x="7800"/>
        <item m="1" x="4462"/>
        <item m="1" x="1026"/>
        <item m="1" x="4572"/>
        <item m="1" x="1133"/>
        <item m="1" x="4680"/>
        <item m="1" x="1237"/>
        <item m="1" x="4782"/>
        <item m="1" x="1341"/>
        <item m="1" x="4890"/>
        <item m="1" x="1563"/>
        <item m="1" x="5114"/>
        <item m="1" x="1671"/>
        <item m="1" x="5221"/>
        <item m="1" x="1775"/>
        <item m="1" x="5324"/>
        <item m="1" x="1877"/>
        <item m="1" x="5428"/>
        <item m="1" x="5653"/>
        <item m="1" x="2206"/>
        <item m="1" x="5762"/>
        <item m="1" x="2311"/>
        <item m="1" x="5867"/>
        <item m="1" x="2413"/>
        <item m="1" x="5969"/>
        <item m="1" x="2519"/>
        <item m="1" x="6192"/>
        <item m="1" x="2743"/>
        <item m="1" x="6303"/>
        <item m="1" x="2849"/>
        <item m="1" x="6407"/>
        <item m="1" x="2952"/>
        <item m="1" x="6509"/>
        <item m="1" x="3053"/>
        <item m="1" x="6614"/>
        <item m="1" x="3275"/>
        <item m="1" x="6837"/>
        <item m="1" x="3384"/>
        <item m="1" x="6941"/>
        <item m="1" x="3489"/>
        <item m="1" x="7047"/>
        <item m="1" x="3591"/>
        <item m="1" x="7150"/>
        <item m="1" x="3697"/>
        <item m="1" x="7372"/>
        <item m="1" x="3920"/>
        <item m="1" x="7481"/>
        <item m="1" x="4027"/>
        <item m="1" x="7585"/>
        <item m="1" x="4131"/>
        <item m="1" x="7688"/>
        <item m="1" x="4234"/>
        <item m="1" x="4460"/>
        <item m="1" x="1023"/>
        <item m="1" x="4568"/>
        <item m="1" x="1128"/>
        <item m="1" x="4675"/>
        <item m="1" x="1232"/>
        <item m="1" x="4778"/>
        <item m="1" x="1337"/>
        <item m="1" x="5000"/>
        <item m="1" x="1561"/>
        <item m="1" x="5111"/>
        <item m="1" x="1667"/>
        <item m="1" x="5216"/>
        <item m="1" x="1770"/>
        <item m="1" x="5319"/>
        <item m="1" x="1873"/>
        <item m="1" x="5424"/>
        <item m="1" x="2094"/>
        <item m="1" x="5651"/>
        <item m="1" x="2203"/>
        <item m="1" x="5757"/>
        <item m="1" x="2306"/>
        <item m="1" x="5862"/>
        <item m="1" x="2408"/>
        <item m="1" x="5965"/>
        <item m="1" x="2515"/>
        <item m="1" x="6189"/>
        <item m="1" x="2740"/>
        <item m="1" x="6299"/>
        <item m="1" x="2844"/>
        <item m="1" x="6402"/>
        <item m="1" x="2947"/>
        <item m="1" x="6505"/>
        <item m="1" x="3049"/>
        <item m="1" x="3273"/>
        <item m="1" x="6834"/>
        <item m="1" x="3380"/>
        <item m="1" x="6936"/>
        <item m="1" x="3484"/>
        <item m="1" x="7042"/>
        <item m="1" x="3587"/>
        <item m="1" x="7146"/>
        <item m="1" x="3807"/>
        <item m="1" x="7370"/>
        <item m="1" x="3917"/>
        <item m="1" x="7477"/>
        <item m="1" x="4022"/>
        <item m="1" x="7580"/>
        <item m="1" x="4126"/>
        <item m="1" x="7684"/>
        <item m="1" x="4230"/>
        <item m="1" x="7907"/>
        <item m="1" x="4458"/>
        <item m="1" x="1019"/>
        <item m="1" x="4563"/>
        <item m="1" x="1123"/>
        <item m="1" x="4670"/>
        <item m="1" x="1227"/>
        <item m="1" x="4774"/>
        <item m="1" x="1333"/>
        <item m="1" x="4997"/>
        <item m="1" x="1558"/>
        <item m="1" x="5107"/>
        <item m="1" x="1662"/>
        <item m="1" x="5211"/>
        <item m="1" x="1765"/>
        <item m="1" x="5315"/>
        <item m="1" x="1869"/>
        <item m="1" x="2092"/>
        <item m="1" x="5648"/>
        <item m="1" x="2199"/>
        <item m="1" x="5752"/>
        <item m="1" x="2301"/>
        <item m="1" x="5857"/>
        <item m="1" x="2404"/>
        <item m="1" x="5961"/>
        <item m="1" x="2625"/>
        <item m="1" x="6187"/>
        <item m="1" x="2737"/>
        <item m="1" x="6294"/>
        <item m="1" x="2839"/>
        <item m="1" x="6397"/>
        <item m="1" x="2942"/>
        <item m="1" x="6501"/>
        <item m="1" x="3045"/>
        <item m="1" x="6720"/>
        <item m="1" x="3271"/>
        <item m="1" x="6830"/>
        <item m="1" x="3375"/>
        <item m="1" x="6931"/>
        <item m="1" x="3479"/>
        <item m="1" x="7037"/>
        <item m="1" x="3583"/>
        <item m="1" x="7142"/>
        <item m="1" x="3804"/>
        <item m="1" x="7367"/>
        <item m="1" x="3913"/>
        <item m="1" x="7472"/>
        <item m="1" x="4017"/>
        <item m="1" x="7575"/>
        <item m="1" x="4122"/>
        <item m="1" x="7680"/>
        <item m="1" x="7905"/>
        <item m="1" x="4455"/>
        <item m="1" x="1015"/>
        <item m="1" x="4558"/>
        <item m="1" x="1118"/>
        <item m="1" x="4665"/>
        <item m="1" x="1223"/>
        <item m="1" x="4770"/>
        <item m="1" x="1442"/>
        <item m="1" x="4995"/>
        <item m="1" x="1555"/>
        <item m="1" x="5102"/>
        <item m="1" x="1657"/>
        <item m="1" x="5206"/>
        <item m="1" x="1760"/>
        <item m="1" x="5311"/>
        <item m="1" x="1865"/>
        <item m="1" x="5531"/>
        <item m="1" x="2090"/>
        <item m="1" x="5644"/>
        <item m="1" x="2194"/>
        <item m="1" x="5747"/>
        <item m="1" x="2296"/>
        <item m="1" x="5852"/>
        <item m="1" x="2400"/>
        <item m="1" x="2622"/>
        <item m="1" x="6184"/>
        <item m="1" x="2733"/>
        <item m="1" x="6289"/>
        <item m="1" x="2834"/>
        <item m="1" x="6392"/>
        <item m="1" x="2938"/>
        <item m="1" x="6497"/>
        <item m="1" x="6718"/>
        <item m="1" x="3268"/>
        <item m="1" x="6826"/>
        <item m="1" x="3370"/>
        <item m="1" x="6926"/>
        <item m="1" x="3474"/>
        <item m="1" x="7033"/>
        <item m="1" x="3579"/>
        <item m="1" x="7251"/>
        <item m="1" x="3802"/>
        <item m="1" x="7364"/>
        <item m="1" x="3908"/>
        <item m="1" x="7467"/>
        <item m="1" x="4012"/>
        <item m="1" x="7570"/>
        <item m="1" x="4118"/>
        <item m="1" x="7676"/>
        <item m="1" x="4336"/>
        <item m="1" x="7903"/>
        <item m="1" x="4451"/>
        <item m="1" x="1010"/>
        <item m="1" x="4553"/>
        <item m="1" x="1113"/>
        <item m="1" x="4660"/>
        <item m="1" x="1219"/>
        <item m="1" x="1439"/>
        <item m="1" x="4992"/>
        <item m="1" x="1551"/>
        <item m="1" x="5097"/>
        <item m="1" x="1652"/>
        <item m="1" x="5201"/>
        <item m="1" x="1756"/>
        <item m="1" x="5307"/>
        <item m="1" x="5529"/>
        <item m="1" x="2087"/>
        <item m="1" x="5640"/>
        <item m="1" x="7419"/>
        <item m="1" x="2189"/>
        <item m="1" x="3962"/>
        <item m="1" x="5742"/>
        <item m="1" x="7519"/>
        <item m="1" x="2291"/>
        <item m="1" x="4066"/>
        <item m="1" x="5848"/>
        <item m="1" x="7626"/>
        <item m="1" x="2396"/>
        <item m="1" x="6066"/>
        <item m="1" x="7848"/>
        <item m="1" x="2621"/>
        <item m="1" x="4399"/>
        <item m="1" x="6182"/>
        <item m="1" x="7961"/>
        <item m="1" x="2729"/>
        <item m="1" x="4505"/>
        <item m="1" x="6285"/>
        <item m="1" x="1066"/>
        <item m="1" x="2830"/>
        <item m="1" x="4610"/>
        <item m="1" x="6388"/>
        <item m="1" x="1170"/>
        <item m="1" x="2934"/>
        <item m="1" x="4719"/>
        <item m="1" x="6493"/>
        <item m="1" x="3151"/>
        <item m="1" x="4939"/>
        <item m="1" x="6717"/>
        <item m="1" x="1503"/>
        <item m="1" x="3265"/>
        <item m="1" x="5051"/>
        <item m="1" x="6822"/>
        <item m="1" x="1605"/>
        <item m="1" x="3366"/>
        <item m="1" x="5151"/>
        <item m="1" x="6922"/>
        <item m="1" x="1707"/>
        <item m="1" x="3470"/>
        <item m="1" x="5257"/>
        <item m="1" x="7029"/>
        <item m="1" x="1814"/>
        <item m="1" x="5476"/>
        <item m="1" x="7249"/>
        <item m="1" x="2036"/>
        <item m="1" x="3800"/>
        <item m="1" x="5591"/>
        <item m="1" x="7361"/>
        <item m="1" x="2143"/>
        <item m="1" x="3904"/>
        <item m="1" x="5694"/>
        <item m="1" x="7463"/>
        <item m="1" x="2244"/>
        <item m="1" x="4008"/>
        <item m="1" x="5800"/>
        <item m="1" x="7566"/>
        <item m="1" x="2349"/>
        <item m="1" x="4114"/>
        <item m="1" x="5908"/>
        <item m="1" x="2567"/>
        <item m="1" x="4335"/>
        <item m="1" x="6130"/>
        <item m="1" x="7901"/>
        <item m="1" x="2682"/>
        <item m="1" x="4448"/>
        <item m="1" x="6238"/>
        <item m="1" x="1006"/>
        <item m="1" x="2783"/>
        <item m="1" x="4549"/>
        <item m="1" x="6338"/>
        <item m="1" x="1109"/>
        <item m="1" x="2885"/>
        <item m="1" x="4656"/>
        <item m="1" x="6444"/>
        <item m="1" x="1215"/>
        <item m="1" x="4874"/>
        <item m="1" x="6662"/>
        <item m="1" x="1438"/>
        <item m="1" x="3213"/>
        <item m="1" x="4990"/>
        <item m="1" x="6774"/>
        <item m="1" x="1547"/>
        <item m="1" x="3317"/>
        <item m="1" x="5093"/>
        <item m="1" x="6874"/>
        <item m="1" x="1648"/>
        <item m="1" x="3420"/>
        <item m="1" x="5197"/>
        <item m="1" x="6978"/>
        <item m="1" x="1752"/>
        <item m="1" x="3527"/>
        <item m="1" x="5303"/>
        <item m="1" x="1970"/>
        <item m="1" x="3745"/>
        <item m="1" x="5528"/>
        <item m="1" x="7310"/>
        <item m="1" x="2084"/>
        <item m="1" x="3857"/>
        <item m="1" x="5636"/>
        <item m="1" x="7414"/>
        <item m="1" x="2185"/>
        <item m="1" x="3957"/>
        <item m="1" x="5738"/>
        <item m="1" x="7514"/>
        <item m="1" x="2287"/>
        <item m="1" x="4061"/>
        <item m="1" x="5844"/>
        <item m="1" x="7622"/>
        <item m="1" x="4280"/>
        <item m="1" x="6064"/>
        <item m="1" x="7846"/>
        <item m="1" x="2619"/>
        <item m="1" x="4396"/>
        <item m="1" x="6179"/>
        <item m="1" x="7956"/>
        <item m="1" x="2725"/>
        <item m="1" x="4500"/>
        <item m="1" x="6281"/>
        <item m="1" x="1061"/>
        <item m="1" x="2826"/>
        <item m="1" x="4605"/>
        <item m="1" x="6384"/>
        <item m="1" x="1165"/>
        <item m="1" x="2930"/>
        <item m="1" x="4715"/>
        <item m="1" x="1384"/>
        <item m="1" x="3150"/>
        <item m="1" x="4937"/>
        <item m="1" x="6715"/>
        <item m="1" x="1499"/>
        <item m="1" x="3262"/>
        <item m="1" x="5046"/>
        <item m="1" x="6818"/>
        <item m="1" x="1600"/>
        <item m="1" x="3362"/>
        <item m="1" x="5146"/>
        <item m="1" x="6918"/>
        <item m="1" x="1702"/>
        <item m="1" x="3466"/>
        <item m="1" x="5253"/>
        <item m="1" x="7025"/>
        <item m="1" x="3682"/>
        <item m="1" x="5473"/>
        <item m="1" x="7248"/>
        <item m="1" x="2033"/>
        <item m="1" x="3798"/>
        <item m="1" x="5587"/>
        <item m="1" x="7357"/>
        <item m="1" x="2138"/>
        <item m="1" x="3900"/>
        <item m="1" x="5689"/>
        <item m="1" x="7459"/>
        <item m="1" x="2239"/>
        <item m="1" x="4004"/>
        <item m="1" x="5795"/>
        <item m="1" x="7562"/>
        <item m="1" x="2345"/>
        <item m="1" x="4110"/>
        <item m="1" x="7782"/>
        <item m="1" x="2565"/>
        <item m="1" x="4334"/>
        <item m="1" x="6127"/>
        <item m="1" x="7898"/>
        <item m="1" x="2678"/>
        <item m="1" x="4444"/>
        <item m="1" x="6233"/>
        <item m="1" x="1002"/>
        <item m="1" x="2778"/>
        <item m="1" x="4545"/>
        <item m="1" x="6333"/>
        <item m="1" x="1105"/>
        <item m="1" x="2880"/>
        <item m="1" x="4652"/>
        <item m="1" x="6440"/>
        <item m="1" x="3096"/>
        <item m="1" x="4872"/>
        <item m="1" x="6660"/>
        <item m="1" x="1436"/>
        <item m="1" x="3210"/>
        <item m="1" x="4987"/>
        <item m="1" x="6769"/>
        <item m="1" x="1543"/>
        <item m="1" x="3312"/>
        <item m="1" x="5089"/>
        <item m="1" x="6869"/>
        <item m="1" x="1644"/>
        <item m="1" x="3415"/>
        <item m="1" x="5193"/>
        <item m="1" x="6973"/>
        <item m="1" x="1748"/>
        <item m="1" x="3523"/>
        <item m="1" x="7192"/>
        <item m="1" x="1969"/>
        <item m="1" x="3743"/>
        <item m="1" x="5526"/>
        <item m="1" x="7306"/>
        <item m="1" x="2081"/>
        <item m="1" x="3852"/>
        <item m="1" x="5632"/>
        <item m="1" x="7409"/>
        <item m="1" x="2181"/>
        <item m="1" x="3952"/>
        <item m="1" x="5734"/>
        <item m="1" x="7509"/>
        <item m="1" x="2283"/>
        <item m="1" x="4057"/>
        <item m="1" x="5840"/>
        <item m="1" x="2501"/>
        <item m="1" x="4278"/>
        <item m="1" x="6063"/>
        <item m="1" x="7843"/>
        <item m="1" x="2617"/>
        <item m="1" x="4392"/>
        <item m="1" x="6175"/>
        <item m="1" x="7951"/>
        <item m="1" x="2721"/>
        <item m="1" x="4495"/>
        <item m="1" x="6277"/>
        <item m="1" x="1056"/>
        <item m="1" x="2822"/>
        <item m="1" x="4600"/>
        <item m="1" x="6380"/>
        <item m="1" x="1161"/>
        <item m="1" x="2926"/>
        <item m="1" x="6598"/>
        <item m="1" x="1382"/>
        <item m="1" x="3149"/>
        <item m="1" x="4934"/>
        <item m="1" x="6712"/>
        <item m="1" x="1495"/>
        <item m="1" x="3258"/>
        <item m="1" x="5041"/>
        <item m="1" x="6814"/>
        <item m="1" x="1595"/>
        <item m="1" x="3358"/>
        <item m="1" x="5141"/>
        <item m="1" x="6914"/>
        <item m="1" x="1697"/>
        <item m="1" x="3462"/>
        <item m="1" x="5249"/>
        <item m="1" x="1917"/>
        <item m="1" x="3681"/>
        <item m="1" x="5471"/>
        <item m="1" x="7246"/>
        <item m="1" x="2030"/>
        <item m="1" x="3795"/>
        <item m="1" x="5582"/>
        <item m="1" x="7353"/>
        <item m="1" x="2133"/>
        <item m="1" x="3896"/>
        <item m="1" x="5684"/>
        <item m="1" x="7455"/>
        <item m="1" x="2234"/>
        <item m="1" x="4000"/>
        <item m="1" x="5790"/>
        <item m="1" x="7558"/>
        <item m="1" x="2341"/>
        <item m="1" x="6009"/>
        <item m="1" x="7781"/>
        <item m="1" x="2563"/>
        <item m="1" x="4332"/>
        <item m="1" x="6123"/>
        <item m="1" x="7895"/>
        <item m="1" x="2673"/>
        <item m="1" x="4440"/>
        <item m="1" x="6228"/>
        <item m="1" x="7996"/>
        <item m="1" x="2773"/>
        <item m="1" x="4541"/>
        <item m="1" x="6328"/>
        <item m="1" x="1101"/>
        <item m="1" x="2876"/>
        <item m="1" x="4648"/>
        <item m="1" x="1319"/>
        <item m="1" x="3094"/>
        <item m="1" x="4871"/>
        <item m="1" x="6657"/>
        <item m="1" x="1434"/>
        <item m="1" x="3206"/>
        <item m="1" x="4983"/>
        <item m="1" x="6764"/>
        <item m="1" x="1539"/>
        <item m="1" x="3307"/>
        <item m="1" x="5085"/>
        <item m="1" x="6864"/>
        <item m="1" x="1640"/>
        <item m="1" x="3410"/>
        <item m="1" x="5189"/>
        <item m="1" x="6969"/>
        <item m="1" x="1744"/>
        <item m="1" x="5408"/>
        <item m="1" x="7190"/>
        <item m="1" x="1968"/>
        <item m="1" x="3740"/>
        <item m="1" x="5523"/>
        <item m="1" x="7302"/>
        <item m="1" x="2077"/>
        <item m="1" x="3847"/>
        <item m="1" x="5628"/>
        <item m="1" x="7404"/>
        <item m="1" x="2177"/>
        <item m="1" x="3947"/>
        <item m="1" x="5730"/>
        <item m="1" x="7504"/>
        <item m="1" x="2279"/>
        <item m="1" x="4053"/>
        <item m="1" x="7727"/>
        <item m="1" x="2500"/>
        <item m="1" x="4276"/>
        <item m="1" x="6061"/>
        <item m="1" x="7840"/>
        <item m="1" x="2614"/>
        <item m="1" x="4387"/>
        <item m="1" x="6171"/>
        <item m="1" x="7946"/>
        <item m="1" x="2717"/>
        <item m="1" x="4490"/>
        <item m="1" x="6273"/>
        <item m="1" x="1051"/>
        <item m="1" x="2818"/>
        <item m="1" x="4595"/>
        <item m="1" x="6376"/>
        <item m="1" x="1157"/>
        <item m="1" x="4818"/>
        <item m="1" x="6597"/>
        <item m="1" x="1380"/>
        <item m="1" x="3147"/>
        <item m="1" x="4930"/>
        <item m="1" x="6709"/>
        <item m="1" x="1490"/>
        <item m="1" x="3254"/>
        <item m="1" x="5036"/>
        <item m="1" x="6810"/>
        <item m="1" x="1590"/>
        <item m="1" x="3354"/>
        <item m="1" x="5136"/>
        <item m="1" x="6910"/>
        <item m="1" x="1693"/>
        <item m="1" x="3458"/>
        <item m="1" x="7129"/>
        <item m="1" x="1915"/>
        <item m="1" x="3680"/>
        <item m="1" x="5468"/>
        <item m="1" x="7244"/>
        <item m="1" x="2026"/>
        <item m="1" x="3791"/>
        <item m="1" x="5577"/>
        <item m="1" x="7349"/>
        <item m="1" x="2128"/>
        <item m="1" x="3892"/>
        <item m="1" x="5679"/>
        <item m="1" x="7451"/>
        <item m="1" x="2229"/>
        <item m="1" x="3996"/>
        <item m="1" x="5786"/>
        <item m="1" x="7554"/>
        <item m="1" x="2448"/>
        <item m="1" x="4215"/>
        <item m="1" x="6007"/>
        <item m="1" x="7780"/>
        <item m="1" x="2560"/>
        <item m="1" x="4329"/>
        <item m="1" x="6119"/>
        <item m="1" x="7891"/>
        <item m="1" x="2668"/>
        <item m="1" x="4436"/>
        <item m="1" x="6223"/>
        <item m="1" x="7992"/>
        <item m="1" x="2768"/>
        <item m="1" x="4537"/>
        <item m="1" x="6323"/>
        <item m="1" x="1097"/>
        <item m="1" x="2872"/>
        <item m="1" x="6544"/>
        <item m="1" x="1318"/>
        <item m="1" x="3092"/>
        <item m="1" x="4869"/>
        <item m="1" x="6654"/>
        <item m="1" x="1431"/>
        <item m="1" x="3201"/>
        <item m="1" x="4979"/>
        <item m="1" x="6759"/>
        <item m="1" x="1535"/>
        <item m="1" x="3302"/>
        <item m="1" x="5081"/>
        <item m="1" x="6859"/>
        <item m="1" x="1636"/>
        <item m="1" x="3405"/>
        <item m="1" x="5185"/>
        <item m="1" x="6965"/>
        <item m="1" x="1852"/>
        <item m="1" x="3626"/>
        <item m="1" x="5407"/>
        <item m="1" x="7188"/>
        <item m="1" x="1966"/>
        <item m="1" x="3736"/>
        <item m="1" x="5520"/>
        <item m="1" x="7298"/>
        <item m="1" x="2074"/>
        <item m="1" x="3843"/>
        <item m="1" x="5625"/>
        <item m="1" x="7400"/>
        <item m="1" x="2174"/>
        <item m="1" x="3943"/>
        <item m="1" x="5727"/>
        <item m="1" x="7501"/>
        <item m="1" x="2276"/>
        <item m="1" x="5947"/>
        <item m="1" x="7725"/>
        <item m="1" x="2499"/>
        <item m="1" x="4273"/>
        <item m="1" x="6059"/>
        <item m="1" x="7836"/>
        <item m="1" x="2611"/>
        <item m="1" x="4383"/>
        <item m="1" x="6168"/>
        <item m="1" x="7942"/>
        <item m="1" x="2714"/>
        <item m="1" x="4486"/>
        <item m="1" x="6270"/>
        <item m="1" x="1047"/>
        <item m="1" x="2815"/>
        <item m="1" x="4592"/>
        <item m="1" x="6373"/>
        <item m="1" x="1267"/>
        <item m="1" x="3032"/>
        <item m="1" x="4816"/>
        <item m="1" x="6596"/>
        <item m="1" x="1377"/>
        <item m="1" x="3144"/>
        <item m="1" x="4926"/>
        <item m="1" x="6706"/>
        <item m="1" x="1486"/>
        <item m="1" x="3251"/>
        <item m="1" x="5032"/>
        <item m="1" x="6807"/>
        <item m="1" x="1586"/>
        <item m="1" x="3351"/>
        <item m="1" x="5132"/>
        <item m="1" x="6907"/>
        <item m="1" x="1690"/>
        <item m="1" x="5355"/>
        <item m="1" x="7127"/>
        <item m="1" x="1912"/>
        <item m="1" x="3677"/>
        <item m="1" x="5464"/>
        <item m="1" x="7240"/>
        <item m="1" x="2021"/>
        <item m="1" x="3787"/>
        <item m="1" x="5572"/>
        <item m="1" x="7345"/>
        <item m="1" x="2123"/>
        <item m="1" x="3889"/>
        <item m="1" x="5675"/>
        <item m="1" x="7448"/>
        <item m="1" x="2225"/>
        <item m="1" x="3993"/>
        <item m="1" x="5782"/>
        <item m="1" x="7663"/>
        <item m="1" x="2445"/>
        <item m="1" x="4213"/>
        <item m="1" x="6004"/>
        <item m="1" x="7777"/>
        <item m="1" x="2555"/>
        <item m="1" x="4325"/>
        <item m="1" x="6114"/>
        <item m="1" x="7887"/>
        <item m="1" x="2663"/>
        <item m="1" x="4432"/>
        <item m="1" x="6218"/>
        <item m="1" x="7989"/>
        <item m="1" x="2764"/>
        <item m="1" x="4534"/>
        <item m="1" x="6320"/>
        <item m="1" x="1094"/>
        <item m="1" x="4755"/>
        <item m="1" x="6541"/>
        <item m="1" x="1316"/>
        <item m="1" x="3088"/>
        <item m="1" x="4866"/>
        <item m="1" x="6649"/>
        <item m="1" x="1427"/>
        <item m="1" x="3196"/>
        <item m="1" x="4975"/>
        <item m="1" x="6754"/>
        <item m="1" x="1531"/>
        <item m="1" x="3298"/>
        <item m="1" x="5078"/>
        <item m="1" x="6855"/>
        <item m="1" x="1633"/>
        <item m="1" x="3402"/>
        <item m="1" x="5181"/>
        <item m="1" x="7075"/>
        <item m="1" x="1850"/>
        <item m="1" x="3623"/>
        <item m="1" x="5404"/>
        <item m="1" x="7184"/>
        <item m="1" x="1962"/>
        <item m="1" x="3731"/>
        <item m="1" x="5516"/>
        <item m="1" x="7293"/>
        <item m="1" x="2070"/>
        <item m="1" x="3838"/>
        <item m="1" x="5621"/>
        <item m="1" x="7396"/>
        <item m="1" x="2171"/>
        <item m="1" x="3939"/>
        <item m="1" x="5724"/>
        <item m="1" x="7498"/>
        <item m="1" x="4161"/>
        <item m="1" x="5945"/>
        <item m="1" x="7722"/>
        <item m="1" x="2496"/>
        <item m="1" x="4269"/>
        <item m="1" x="6055"/>
        <item m="1" x="7831"/>
        <item m="1" x="2607"/>
        <item m="1" x="4378"/>
        <item m="1" x="6164"/>
        <item m="1" x="7937"/>
        <item m="1" x="2711"/>
        <item m="1" x="4482"/>
        <item m="1" x="6267"/>
        <item m="1" x="1043"/>
        <item m="1" x="2812"/>
        <item m="1" x="4588"/>
        <item m="1" x="6481"/>
        <item m="1" x="1264"/>
        <item m="1" x="3030"/>
        <item m="1" x="4812"/>
        <item m="1" x="6593"/>
        <item m="1" x="1372"/>
        <item m="1" x="3140"/>
        <item m="1" x="4921"/>
        <item m="1" x="6702"/>
        <item m="1" x="1481"/>
        <item m="1" x="3247"/>
        <item m="1" x="5027"/>
        <item m="1" x="6804"/>
        <item m="1" x="1582"/>
        <item m="1" x="3348"/>
        <item m="1" x="5129"/>
        <item m="1" x="6904"/>
        <item m="1" x="3564"/>
        <item m="1" x="5352"/>
        <item m="1" x="7125"/>
        <item m="1" x="1908"/>
        <item m="1" x="3674"/>
        <item m="1" x="5459"/>
        <item m="1" x="7236"/>
        <item m="1" x="2016"/>
        <item m="1" x="3783"/>
        <item m="1" x="5567"/>
        <item m="1" x="7341"/>
        <item m="1" x="2119"/>
        <item m="1" x="3886"/>
        <item m="1" x="5671"/>
        <item m="1" x="7445"/>
        <item m="1" x="2222"/>
        <item m="1" x="3989"/>
        <item m="1" x="5892"/>
        <item m="1" x="7661"/>
        <item m="1" x="2442"/>
        <item m="1" x="4210"/>
        <item m="1" x="6000"/>
        <item m="1" x="7773"/>
        <item m="1" x="2550"/>
        <item m="1" x="4321"/>
        <item m="1" x="6109"/>
        <item m="1" x="7883"/>
        <item m="1" x="2658"/>
        <item m="1" x="4428"/>
        <item m="1" x="6214"/>
        <item m="1" x="7986"/>
        <item m="1" x="2760"/>
        <item m="1" x="4531"/>
        <item m="1" x="6317"/>
        <item m="1" x="2977"/>
        <item m="1" x="4753"/>
        <item m="1" x="6538"/>
        <item m="1" x="1313"/>
        <item m="1" x="3083"/>
        <item m="1" x="4862"/>
        <item m="1" x="6644"/>
        <item m="1" x="1423"/>
        <item m="1" x="3191"/>
        <item m="1" x="4971"/>
        <item m="1" x="6749"/>
        <item m="1" x="1528"/>
        <item m="1" x="3294"/>
        <item m="1" x="5075"/>
        <item m="1" x="6851"/>
        <item m="1" x="1630"/>
        <item m="1" x="3398"/>
        <item m="1" x="5290"/>
        <item m="1" x="7072"/>
        <item m="1" x="1848"/>
        <item m="1" x="3619"/>
        <item m="1" x="5401"/>
        <item m="1" x="7179"/>
        <item m="1" x="1958"/>
        <item m="1" x="3726"/>
        <item m="1" x="5512"/>
        <item m="1" x="7288"/>
        <item m="1" x="2066"/>
        <item m="1" x="3833"/>
        <item m="1" x="5618"/>
        <item m="1" x="7392"/>
        <item m="1" x="2168"/>
        <item m="1" x="3936"/>
        <item m="1" x="5720"/>
        <item m="1" x="2382"/>
        <item m="1" x="4158"/>
        <item m="1" x="5943"/>
        <item m="1" x="7718"/>
        <item m="1" x="2492"/>
        <item m="1" x="4264"/>
        <item m="1" x="6051"/>
        <item m="1" x="7826"/>
        <item m="1" x="2603"/>
        <item m="1" x="4373"/>
        <item m="1" x="6160"/>
        <item m="1" x="7933"/>
        <item m="1" x="2708"/>
        <item m="1" x="4478"/>
        <item m="1" x="6264"/>
        <item m="1" x="1040"/>
        <item m="1" x="2808"/>
        <item m="1" x="4700"/>
        <item m="1" x="6479"/>
        <item m="1" x="1261"/>
        <item m="1" x="3027"/>
        <item m="1" x="4808"/>
        <item m="1" x="6589"/>
        <item m="1" x="1367"/>
        <item m="1" x="3136"/>
        <item m="1" x="4916"/>
        <item m="1" x="6698"/>
        <item m="1" x="1476"/>
        <item m="1" x="3243"/>
        <item m="1" x="5023"/>
        <item m="1" x="6801"/>
        <item m="1" x="1578"/>
        <item m="1" x="3345"/>
        <item m="1" x="5125"/>
        <item m="1" x="1796"/>
        <item m="1" x="3562"/>
        <item m="1" x="5349"/>
        <item m="1" x="7122"/>
        <item m="1" x="1903"/>
        <item m="1" x="3670"/>
        <item m="1" x="5454"/>
        <item m="1" x="7232"/>
        <item m="1" x="2011"/>
        <item m="1" x="3779"/>
        <item m="1" x="5562"/>
        <item m="1" x="7338"/>
        <item m="1" x="2115"/>
        <item m="1" x="3883"/>
        <item m="1" x="5667"/>
        <item m="1" x="7442"/>
        <item m="1" x="2218"/>
        <item m="1" x="4097"/>
        <item m="1" x="5889"/>
        <item m="1" x="7659"/>
        <item m="1" x="2438"/>
        <item m="1" x="4207"/>
        <item m="1" x="5995"/>
        <item m="1" x="7769"/>
        <item m="1" x="2545"/>
        <item m="1" x="4317"/>
        <item m="1" x="6104"/>
        <item m="1" x="7879"/>
        <item m="1" x="2653"/>
        <item m="1" x="4425"/>
        <item m="1" x="6210"/>
        <item m="1" x="7983"/>
        <item m="1" x="2757"/>
        <item m="1" x="4527"/>
        <item m="1" x="1200"/>
        <item m="1" x="2974"/>
        <item m="1" x="4751"/>
        <item m="1" x="6534"/>
        <item m="1" x="1309"/>
        <item m="1" x="3078"/>
        <item m="1" x="4858"/>
        <item m="1" x="6639"/>
        <item m="1" x="1419"/>
        <item m="1" x="3186"/>
        <item m="1" x="4967"/>
        <item m="1" x="6745"/>
        <item m="1" x="1525"/>
        <item m="1" x="3290"/>
        <item m="1" x="5072"/>
        <item m="1" x="6848"/>
        <item m="1" x="1626"/>
        <item m="1" x="3507"/>
        <item m="1" x="5288"/>
        <item m="1" x="7069"/>
        <item m="1" x="1845"/>
        <item m="1" x="3615"/>
        <item m="1" x="5397"/>
        <item m="1" x="7174"/>
        <item m="1" x="1954"/>
        <item m="1" x="3721"/>
        <item m="1" x="5508"/>
        <item m="1" x="7283"/>
        <item m="1" x="2062"/>
        <item m="1" x="3829"/>
        <item m="1" x="5615"/>
        <item m="1" x="7388"/>
        <item m="1" x="2165"/>
        <item m="1" x="3932"/>
        <item m="1" x="7605"/>
        <item m="1" x="2380"/>
        <item m="1" x="4155"/>
        <item m="1" x="5940"/>
        <item m="1" x="7713"/>
        <item m="1" x="2488"/>
        <item m="1" x="4259"/>
        <item m="1" x="6047"/>
        <item m="1" x="7821"/>
        <item m="1" x="2599"/>
        <item m="1" x="4368"/>
        <item m="1" x="6157"/>
        <item m="1" x="7929"/>
        <item m="1" x="2705"/>
        <item m="1" x="4475"/>
        <item m="1" x="6261"/>
        <item m="1" x="1036"/>
        <item m="1" x="2914"/>
        <item m="1" x="4697"/>
        <item m="1" x="6477"/>
        <item m="1" x="1257"/>
        <item m="1" x="3024"/>
        <item m="1" x="4803"/>
        <item m="1" x="6585"/>
        <item m="1" x="1362"/>
        <item m="1" x="3132"/>
        <item m="1" x="4911"/>
        <item m="1" x="6694"/>
        <item m="1" x="1471"/>
        <item m="1" x="3240"/>
        <item m="1" x="5019"/>
        <item m="1" x="6798"/>
        <item m="1" x="1575"/>
        <item m="1" x="3341"/>
        <item m="1" x="7010"/>
        <item m="1" x="1793"/>
        <item m="1" x="3560"/>
        <item m="1" x="5345"/>
        <item m="1" x="7118"/>
        <item m="1" x="1898"/>
        <item m="1" x="3666"/>
        <item m="1" x="5449"/>
        <item m="1" x="7228"/>
        <item m="1" x="2006"/>
        <item m="1" x="3775"/>
        <item m="1" x="5558"/>
        <item m="1" x="7335"/>
        <item m="1" x="2111"/>
        <item m="1" x="3880"/>
        <item m="1" x="5664"/>
        <item m="1" x="2325"/>
        <item m="1" x="4095"/>
        <item m="1" x="5886"/>
        <item m="1" x="7656"/>
        <item m="1" x="2434"/>
        <item m="1" x="4203"/>
        <item m="1" x="5990"/>
        <item m="1" x="7765"/>
        <item m="1" x="2540"/>
        <item m="1" x="4313"/>
        <item m="1" x="6099"/>
        <item m="1" x="7875"/>
        <item m="1" x="2649"/>
        <item m="1" x="4422"/>
        <item m="1" x="6206"/>
        <item m="1" x="7980"/>
        <item m="1" x="2753"/>
        <item m="1" x="6422"/>
        <item m="1" x="1198"/>
        <item m="1" x="2971"/>
        <item m="1" x="4748"/>
        <item m="1" x="6529"/>
        <item m="1" x="1305"/>
        <item m="1" x="3073"/>
        <item m="1" x="4854"/>
        <item m="1" x="6634"/>
        <item m="1" x="1415"/>
        <item m="1" x="3181"/>
        <item m="1" x="4964"/>
        <item m="1" x="6741"/>
        <item m="1" x="1522"/>
        <item m="1" x="3287"/>
        <item m="1" x="5069"/>
        <item m="1" x="1732"/>
        <item m="1" x="3505"/>
        <item m="1" x="5287"/>
        <item m="1" x="7066"/>
        <item m="1" x="1843"/>
        <item m="1" x="3611"/>
        <item m="1" x="5394"/>
        <item m="1" x="7170"/>
        <item m="1" x="1951"/>
        <item m="1" x="3717"/>
        <item m="1" x="5505"/>
        <item m="1" x="7279"/>
        <item m="1" x="2059"/>
        <item m="1" x="3825"/>
        <item m="1" x="5611"/>
        <item m="1" x="7384"/>
        <item m="1" x="2161"/>
        <item m="1" x="5827"/>
        <item m="1" x="7602"/>
        <item m="1" x="2378"/>
        <item m="1" x="4151"/>
        <item m="1" x="5936"/>
        <item m="1" x="7708"/>
        <item m="1" x="2484"/>
        <item m="1" x="4254"/>
        <item m="1" x="6043"/>
        <item m="1" x="7816"/>
        <item m="1" x="2595"/>
        <item m="1" x="4363"/>
        <item m="1" x="6153"/>
        <item m="1" x="7924"/>
        <item m="1" x="2701"/>
        <item m="1" x="4471"/>
        <item m="1" x="1143"/>
        <item m="1" x="2913"/>
        <item m="1" x="4694"/>
        <item m="1" x="6474"/>
        <item m="1" x="1253"/>
        <item m="1" x="3020"/>
        <item m="1" x="4798"/>
        <item m="1" x="6581"/>
        <item m="1" x="1357"/>
        <item m="1" x="3128"/>
        <item m="1" x="4906"/>
        <item m="1" x="6690"/>
        <item m="1" x="1466"/>
        <item m="1" x="3236"/>
        <item m="1" x="5014"/>
        <item m="1" x="6794"/>
        <item m="1" x="1571"/>
        <item m="1" x="5232"/>
        <item m="1" x="7008"/>
        <item m="1" x="1790"/>
        <item m="1" x="3557"/>
        <item m="1" x="5340"/>
        <item m="1" x="7114"/>
        <item m="1" x="1893"/>
        <item m="1" x="3662"/>
        <item m="1" x="5444"/>
        <item m="1" x="7224"/>
        <item m="1" x="2001"/>
        <item m="1" x="3771"/>
        <item m="1" x="5553"/>
        <item m="1" x="7331"/>
        <item m="1" x="2107"/>
        <item m="1" x="3876"/>
        <item m="1" x="7542"/>
        <item m="1" x="2323"/>
        <item m="1" x="4093"/>
        <item m="1" x="5882"/>
        <item m="1" x="7653"/>
        <item m="1" x="2429"/>
        <item m="1" x="4199"/>
        <item m="1" x="5985"/>
        <item m="1" x="7761"/>
        <item m="1" x="2535"/>
        <item m="1" x="4309"/>
        <item m="1" x="6094"/>
        <item m="1" x="7871"/>
        <item m="1" x="2644"/>
        <item m="1" x="4418"/>
        <item m="1" x="6202"/>
        <item m="1" x="7976"/>
        <item m="1" x="4634"/>
        <item m="1" x="6419"/>
        <item m="1" x="1196"/>
        <item m="1" x="2967"/>
        <item m="1" x="4744"/>
        <item m="1" x="6524"/>
        <item m="1" x="1301"/>
        <item m="1" x="3068"/>
        <item m="1" x="4850"/>
        <item m="1" x="6629"/>
        <item m="1" x="1411"/>
        <item m="1" x="3176"/>
        <item m="1" x="4960"/>
        <item m="1" x="6736"/>
        <item m="1" x="1518"/>
        <item m="1" x="3283"/>
        <item m="1" x="6951"/>
        <item m="1" x="1731"/>
        <item m="1" x="3502"/>
        <item m="1" x="5284"/>
        <item m="1" x="7062"/>
        <item m="1" x="1839"/>
        <item m="1" x="3606"/>
        <item m="1" x="5390"/>
        <item m="1" x="7165"/>
        <item m="1" x="1947"/>
        <item m="1" x="3712"/>
        <item m="1" x="5501"/>
        <item m="1" x="7274"/>
        <item m="1" x="2055"/>
        <item m="1" x="3820"/>
        <item m="1" x="5607"/>
        <item m="1" x="7380"/>
        <item m="1" x="4038"/>
        <item m="1" x="5825"/>
        <item m="1" x="7599"/>
        <item m="1" x="2375"/>
        <item m="1" x="4146"/>
        <item m="1" x="5932"/>
        <item m="1" x="7703"/>
        <item m="1" x="2480"/>
        <item m="1" x="4249"/>
        <item m="1" x="6039"/>
        <item m="1" x="7811"/>
        <item m="1" x="2591"/>
        <item m="1" x="4358"/>
        <item m="1" x="6149"/>
        <item m="1" x="7920"/>
        <item m="1" x="2697"/>
        <item m="1" x="6362"/>
        <item m="1" x="1141"/>
        <item m="1" x="2911"/>
        <item m="1" x="4690"/>
        <item m="1" x="6471"/>
        <item m="1" x="1248"/>
        <item m="1" x="3016"/>
        <item m="1" x="4793"/>
        <item m="1" x="6577"/>
        <item m="1" x="1352"/>
        <item m="1" x="3124"/>
        <item m="1" x="4901"/>
        <item m="1" x="6686"/>
        <item m="1" x="1461"/>
        <item m="1" x="3232"/>
        <item m="1" x="5010"/>
        <item m="1" x="6790"/>
        <item m="1" x="3445"/>
        <item m="1" x="5229"/>
        <item m="1" x="7006"/>
        <item m="1" x="1786"/>
        <item m="1" x="3553"/>
        <item m="1" x="5335"/>
        <item m="1" x="7110"/>
        <item m="1" x="1888"/>
        <item m="1" x="3658"/>
        <item m="1" x="5439"/>
        <item m="1" x="7220"/>
        <item m="1" x="1996"/>
        <item m="1" x="3767"/>
        <item m="1" x="5548"/>
        <item m="1" x="7327"/>
        <item m="1" x="2103"/>
        <item m="1" x="5768"/>
        <item m="1" x="7541"/>
        <item m="1" x="2320"/>
        <item m="1" x="4090"/>
        <item m="1" x="5878"/>
        <item m="1" x="7649"/>
        <item m="1" x="2424"/>
        <item m="1" x="4195"/>
        <item m="1" x="5980"/>
        <item m="1" x="7757"/>
        <item m="1" x="2530"/>
        <item m="1" x="4305"/>
        <item m="1" x="6089"/>
        <item m="1" x="7867"/>
        <item m="1" x="2639"/>
        <item m="1" x="4414"/>
        <item m="1" x="6198"/>
        <item m="1" x="2856"/>
        <item m="1" x="4632"/>
        <item m="1" x="6416"/>
        <item m="1" x="1193"/>
        <item m="1" x="2962"/>
        <item m="1" x="4740"/>
        <item m="1" x="6519"/>
        <item m="1" x="1297"/>
        <item m="1" x="3063"/>
        <item m="1" x="4846"/>
        <item m="1" x="6624"/>
        <item m="1" x="1407"/>
        <item m="1" x="3171"/>
        <item m="1" x="4956"/>
        <item m="1" x="6732"/>
        <item m="1" x="1514"/>
        <item m="1" x="5171"/>
        <item m="1" x="6949"/>
        <item m="1" x="1729"/>
        <item m="1" x="3498"/>
        <item m="1" x="5281"/>
        <item m="1" x="7057"/>
        <item m="1" x="1835"/>
        <item m="1" x="3601"/>
        <item m="1" x="5386"/>
        <item m="1" x="7160"/>
        <item m="1" x="1943"/>
        <item m="1" x="3707"/>
        <item m="1" x="5497"/>
        <item m="1" x="7269"/>
        <item m="1" x="2051"/>
        <item m="1" x="3816"/>
        <item m="1" x="5603"/>
        <item m="1" x="2264"/>
        <item m="1" x="4035"/>
        <item m="1" x="5823"/>
        <item m="1" x="7595"/>
        <item m="1" x="2371"/>
        <item m="1" x="4141"/>
        <item m="1" x="5928"/>
        <item m="1" x="7698"/>
        <item m="1" x="2476"/>
        <item m="1" x="4244"/>
        <item m="1" x="6035"/>
        <item m="1" x="7806"/>
        <item m="1" x="2587"/>
        <item m="1" x="4353"/>
        <item m="1" x="6145"/>
        <item m="1" x="7916"/>
        <item m="1" x="4575"/>
        <item m="1" x="6361"/>
        <item m="1" x="1138"/>
        <item m="1" x="2908"/>
        <item m="1" x="4686"/>
        <item m="1" x="6467"/>
        <item m="1" x="1243"/>
        <item m="1" x="3012"/>
        <item m="1" x="4788"/>
        <item m="1" x="6573"/>
        <item m="1" x="1347"/>
        <item m="1" x="3120"/>
        <item m="1" x="4896"/>
        <item m="1" x="6682"/>
        <item m="1" x="1456"/>
        <item m="1" x="3228"/>
        <item m="1" x="5006"/>
        <item m="1" x="1675"/>
        <item m="1" x="3443"/>
        <item m="1" x="5226"/>
        <item m="1" x="7003"/>
        <item m="1" x="1781"/>
        <item m="1" x="3549"/>
        <item m="1" x="5330"/>
        <item m="1" x="7106"/>
        <item m="1" x="1883"/>
        <item m="1" x="3654"/>
        <item m="1" x="5434"/>
        <item m="1" x="7216"/>
        <item m="1" x="1991"/>
        <item m="1" x="3763"/>
        <item m="1" x="5544"/>
        <item m="1" x="7323"/>
        <item m="1" x="3979"/>
        <item m="1" x="5766"/>
        <item m="1" x="7539"/>
        <item m="1" x="2316"/>
        <item m="1" x="4087"/>
        <item m="1" x="5873"/>
        <item m="1" x="7645"/>
        <item m="1" x="2419"/>
        <item m="1" x="4191"/>
        <item m="1" x="5975"/>
        <item m="1" x="7753"/>
        <item m="1" x="2525"/>
        <item m="1" x="4301"/>
        <item m="1" x="6084"/>
        <item m="1" x="7863"/>
        <item m="1" x="2635"/>
        <item m="1" x="4410"/>
        <item m="1" x="1083"/>
        <item m="1" x="2853"/>
        <item m="1" x="4630"/>
        <item m="1" x="6412"/>
        <item m="1" x="1189"/>
        <item m="1" x="2957"/>
        <item m="1" x="4736"/>
        <item m="1" x="6514"/>
        <item m="1" x="1293"/>
        <item m="1" x="3058"/>
        <item m="1" x="4842"/>
        <item m="1" x="6619"/>
        <item m="1" x="1403"/>
        <item m="1" x="3166"/>
        <item m="1" x="4952"/>
        <item m="1" x="6728"/>
        <item m="1" x="3387"/>
        <item m="1" x="5170"/>
        <item m="1" x="6946"/>
        <item m="1" x="1726"/>
        <item m="1" x="3494"/>
        <item m="1" x="5277"/>
        <item m="1" x="7052"/>
        <item m="1" x="1831"/>
        <item m="1" x="3596"/>
        <item m="1" x="5382"/>
        <item m="1" x="7155"/>
        <item m="1" x="1939"/>
        <item m="1" x="3702"/>
        <item m="1" x="5493"/>
        <item m="1" x="7264"/>
        <item m="1" x="2047"/>
        <item m="1" x="3812"/>
        <item m="1" x="7485"/>
        <item m="1" x="2262"/>
        <item m="1" x="4032"/>
        <item m="1" x="5820"/>
        <item m="1" x="7590"/>
        <item m="1" x="2367"/>
        <item m="1" x="4136"/>
        <item m="1" x="5924"/>
        <item m="1" x="7693"/>
        <item m="1" x="2472"/>
        <item m="1" x="4239"/>
        <item m="1" x="6031"/>
        <item m="1" x="7801"/>
        <item m="1" x="2583"/>
        <item m="1" x="4349"/>
        <item m="1" x="6141"/>
        <item m="1" x="2800"/>
        <item m="1" x="4573"/>
        <item m="1" x="6359"/>
        <item m="1" x="1134"/>
        <item m="1" x="2905"/>
        <item m="1" x="4681"/>
        <item m="1" x="6463"/>
        <item m="1" x="1238"/>
        <item m="1" x="3008"/>
        <item m="1" x="4783"/>
        <item m="1" x="6569"/>
        <item m="1" x="1342"/>
        <item m="1" x="3116"/>
        <item m="1" x="4891"/>
        <item m="1" x="6678"/>
        <item m="1" x="1452"/>
        <item m="1" x="3224"/>
        <item m="1" x="6894"/>
        <item m="1" x="1672"/>
        <item m="1" x="3441"/>
        <item m="1" x="5222"/>
        <item m="1" x="6999"/>
        <item m="1" x="1776"/>
        <item m="1" x="3545"/>
        <item m="1" x="5325"/>
        <item m="1" x="7102"/>
        <item m="1" x="1878"/>
        <item m="1" x="3650"/>
        <item m="1" x="5429"/>
        <item m="1" x="7212"/>
        <item m="1" x="1986"/>
        <item m="1" x="3759"/>
        <item m="1" x="5540"/>
        <item m="1" x="2207"/>
        <item m="1" x="3978"/>
        <item m="1" x="5763"/>
        <item m="1" x="7536"/>
        <item m="1" x="2312"/>
        <item m="1" x="4083"/>
        <item m="1" x="5868"/>
        <item m="1" x="7641"/>
        <item m="1" x="2414"/>
        <item m="1" x="4187"/>
        <item m="1" x="5970"/>
        <item m="1" x="7749"/>
        <item m="1" x="2520"/>
        <item m="1" x="4297"/>
        <item m="1" x="6079"/>
        <item m="1" x="7859"/>
        <item m="1" x="2631"/>
        <item m="1" x="6304"/>
        <item m="1" x="1081"/>
        <item m="1" x="2850"/>
        <item m="1" x="4627"/>
        <item m="1" x="6408"/>
        <item m="1" x="1186"/>
        <item m="1" x="2953"/>
        <item m="1" x="4733"/>
        <item m="1" x="6510"/>
        <item m="1" x="1290"/>
        <item m="1" x="3054"/>
        <item m="1" x="4839"/>
        <item m="1" x="6615"/>
        <item m="1" x="1400"/>
        <item m="1" x="3163"/>
        <item m="1" x="4949"/>
        <item m="1" x="1619"/>
        <item m="1" x="3385"/>
        <item m="1" x="5168"/>
        <item m="1" x="6942"/>
        <item m="1" x="1723"/>
        <item m="1" x="3490"/>
        <item m="1" x="5274"/>
        <item m="1" x="7048"/>
        <item m="1" x="1828"/>
        <item m="1" x="3592"/>
        <item m="1" x="5379"/>
        <item m="1" x="7151"/>
        <item m="1" x="1936"/>
        <item m="1" x="3698"/>
        <item m="1" x="5490"/>
        <item m="1" x="7261"/>
        <item m="1" x="2044"/>
        <item m="1" x="3921"/>
        <item m="1" x="5710"/>
        <item m="1" x="7482"/>
        <item m="1" x="2260"/>
        <item m="1" x="4028"/>
        <item m="1" x="5817"/>
        <item m="1" x="7586"/>
        <item m="1" x="2364"/>
        <item m="1" x="4132"/>
        <item m="1" x="5921"/>
        <item m="1" x="7689"/>
        <item m="1" x="2469"/>
        <item m="1" x="4235"/>
        <item m="1" x="6028"/>
        <item m="1" x="7797"/>
        <item m="1" x="2579"/>
        <item m="1" x="4345"/>
        <item m="1" x="1024"/>
        <item m="1" x="2798"/>
        <item m="1" x="4569"/>
        <item m="1" x="6355"/>
        <item m="1" x="1129"/>
        <item m="1" x="2901"/>
        <item m="1" x="4676"/>
        <item m="1" x="6459"/>
        <item m="1" x="1233"/>
        <item m="1" x="3004"/>
        <item m="1" x="4779"/>
        <item m="1" x="6566"/>
        <item m="1" x="1338"/>
        <item m="1" x="3113"/>
        <item m="1" x="4887"/>
        <item m="1" x="6674"/>
        <item m="1" x="1448"/>
        <item m="1" x="3331"/>
        <item m="1" x="5112"/>
        <item m="1" x="6891"/>
        <item m="1" x="1668"/>
        <item m="1" x="3437"/>
        <item m="1" x="5217"/>
        <item m="1" x="6995"/>
        <item m="1" x="1771"/>
        <item m="1" x="3541"/>
        <item m="1" x="5320"/>
        <item m="1" x="7099"/>
        <item m="1" x="1874"/>
        <item m="1" x="3647"/>
        <item m="1" x="5425"/>
        <item m="1" x="7209"/>
        <item m="1" x="1982"/>
        <item m="1" x="3755"/>
        <item m="1" x="7430"/>
        <item m="1" x="2204"/>
        <item m="1" x="3975"/>
        <item m="1" x="5758"/>
        <item m="1" x="7532"/>
        <item m="1" x="2307"/>
        <item m="1" x="4079"/>
        <item m="1" x="5863"/>
        <item m="1" x="7637"/>
        <item m="1" x="2409"/>
        <item m="1" x="4184"/>
        <item m="1" x="5966"/>
        <item m="1" x="7746"/>
        <item m="1" x="2516"/>
        <item m="1" x="4294"/>
        <item m="1" x="6075"/>
        <item m="1" x="7855"/>
        <item m="1" x="2741"/>
        <item m="1" x="4517"/>
        <item m="1" x="6300"/>
        <item m="1" x="1078"/>
        <item m="1" x="2845"/>
        <item m="1" x="4623"/>
        <item m="1" x="6403"/>
        <item m="1" x="1182"/>
        <item m="1" x="2948"/>
        <item m="1" x="4729"/>
        <item m="1" x="6506"/>
        <item m="1" x="1287"/>
        <item m="1" x="3050"/>
        <item m="1" x="4836"/>
        <item m="1" x="6611"/>
        <item m="1" x="1396"/>
        <item m="1" x="3159"/>
        <item m="1" x="6835"/>
        <item m="1" x="1616"/>
        <item m="1" x="3381"/>
        <item m="1" x="5164"/>
        <item m="1" x="6937"/>
        <item m="1" x="1719"/>
        <item m="1" x="3485"/>
        <item m="1" x="5270"/>
        <item m="1" x="7043"/>
        <item m="1" x="1824"/>
        <item m="1" x="3588"/>
        <item m="1" x="5376"/>
        <item m="1" x="7147"/>
        <item m="1" x="1933"/>
        <item m="1" x="3694"/>
        <item m="1" x="5486"/>
        <item m="1" x="7257"/>
        <item m="1" x="2152"/>
        <item m="1" x="3918"/>
        <item m="1" x="5707"/>
        <item m="1" x="7478"/>
        <item m="1" x="2256"/>
        <item m="1" x="4023"/>
        <item m="1" x="5813"/>
        <item m="1" x="7581"/>
        <item m="1" x="2360"/>
        <item m="1" x="4127"/>
        <item m="1" x="5918"/>
        <item m="1" x="7685"/>
        <item m="1" x="2466"/>
        <item m="1" x="4231"/>
        <item m="1" x="6025"/>
        <item m="1" x="7793"/>
        <item m="1" x="2575"/>
        <item m="1" x="6249"/>
        <item m="1" x="1020"/>
        <item m="1" x="2795"/>
        <item m="1" x="4564"/>
        <item m="1" x="6351"/>
        <item m="1" x="1124"/>
        <item m="1" x="2897"/>
        <item m="1" x="4671"/>
        <item m="1" x="6455"/>
        <item m="1" x="1228"/>
        <item m="1" x="3001"/>
        <item m="1" x="4775"/>
        <item m="1" x="6563"/>
        <item m="1" x="1334"/>
        <item m="1" x="3110"/>
        <item m="1" x="4883"/>
        <item m="1" x="6670"/>
        <item m="1" x="1559"/>
        <item m="1" x="3329"/>
        <item m="1" x="5108"/>
        <item m="1" x="6887"/>
        <item m="1" x="1663"/>
        <item m="1" x="3433"/>
        <item m="1" x="5212"/>
        <item m="1" x="6991"/>
        <item m="1" x="1766"/>
        <item m="1" x="3537"/>
        <item m="1" x="5316"/>
        <item m="1" x="7096"/>
        <item m="1" x="1870"/>
        <item m="1" x="3644"/>
        <item m="1" x="5421"/>
        <item m="1" x="7205"/>
        <item m="1" x="1978"/>
        <item m="1" x="5649"/>
        <item m="1" x="7427"/>
        <item m="1" x="2200"/>
        <item m="1" x="3971"/>
        <item m="1" x="5753"/>
        <item m="1" x="7528"/>
        <item m="1" x="2302"/>
        <item m="1" x="4075"/>
        <item m="1" x="5858"/>
        <item m="1" x="7633"/>
        <item m="1" x="2405"/>
        <item m="1" x="4181"/>
        <item m="1" x="5962"/>
        <item m="1" x="7743"/>
        <item m="1" x="2512"/>
        <item m="1" x="4290"/>
        <item m="1" x="6071"/>
        <item m="1" x="7966"/>
        <item m="1" x="2738"/>
        <item m="1" x="4514"/>
        <item m="1" x="6295"/>
        <item m="1" x="1074"/>
        <item m="1" x="2840"/>
        <item m="1" x="4619"/>
        <item m="1" x="6398"/>
        <item m="1" x="1178"/>
        <item m="1" x="2943"/>
        <item m="1" x="4726"/>
        <item m="1" x="6502"/>
        <item m="1" x="1284"/>
        <item m="1" x="3046"/>
        <item m="1" x="4833"/>
        <item m="1" x="6607"/>
        <item m="1" x="1392"/>
        <item m="1" x="5058"/>
        <item m="1" x="6831"/>
        <item m="1" x="1613"/>
        <item m="1" x="3376"/>
        <item m="1" x="5160"/>
        <item m="1" x="6932"/>
        <item m="1" x="1715"/>
        <item m="1" x="3480"/>
        <item m="1" x="5266"/>
        <item m="1" x="7038"/>
        <item m="1" x="1821"/>
        <item m="1" x="3584"/>
        <item m="1" x="5373"/>
        <item m="1" x="7143"/>
        <item m="1" x="1929"/>
        <item m="1" x="3690"/>
        <item m="1" x="5482"/>
        <item m="1" x="7368"/>
        <item m="1" x="2150"/>
        <item m="1" x="3914"/>
        <item m="1" x="5703"/>
        <item m="1" x="7473"/>
        <item m="1" x="2252"/>
        <item m="1" x="4018"/>
        <item m="1" x="5809"/>
        <item m="1" x="7576"/>
        <item m="1" x="2356"/>
        <item m="1" x="4123"/>
        <item m="1" x="5915"/>
        <item m="1" x="7681"/>
        <item m="1" x="2463"/>
        <item m="1" x="4227"/>
        <item m="1" x="6021"/>
        <item m="1" x="7789"/>
        <item m="1" x="4456"/>
        <item m="1" x="6246"/>
        <item m="1" x="1016"/>
        <item m="1" x="2791"/>
        <item m="1" x="4559"/>
        <item m="1" x="6347"/>
        <item m="1" x="1119"/>
        <item m="1" x="2893"/>
        <item m="1" x="4666"/>
        <item m="1" x="6451"/>
        <item m="1" x="1224"/>
        <item m="1" x="2998"/>
        <item m="1" x="4771"/>
        <item m="1" x="6560"/>
        <item m="1" x="1329"/>
        <item m="1" x="3106"/>
        <item m="1" x="4879"/>
        <item m="1" x="6780"/>
        <item m="1" x="1556"/>
        <item m="1" x="3326"/>
        <item m="1" x="5103"/>
        <item m="1" x="6883"/>
        <item m="1" x="1658"/>
        <item m="1" x="3429"/>
        <item m="1" x="5207"/>
        <item m="1" x="6987"/>
        <item m="1" x="1761"/>
        <item m="1" x="3534"/>
        <item m="1" x="5312"/>
        <item m="1" x="7093"/>
        <item m="1" x="1866"/>
        <item m="1" x="3641"/>
        <item m="1" x="5417"/>
        <item m="1" x="7201"/>
        <item m="1" x="3864"/>
        <item m="1" x="5645"/>
        <item m="1" x="7424"/>
        <item m="1" x="2195"/>
        <item m="1" x="3967"/>
        <item m="1" x="5748"/>
        <item m="1" x="7524"/>
        <item m="1" x="2297"/>
        <item m="1" x="4071"/>
        <item m="1" x="5853"/>
        <item m="1" x="7630"/>
        <item m="1" x="2401"/>
        <item m="1" x="4178"/>
        <item m="1" x="5958"/>
        <item m="1" x="7739"/>
        <item m="1" x="2508"/>
        <item m="1" x="4286"/>
        <item m="1" x="6185"/>
        <item m="1" x="7964"/>
        <item m="1" x="2734"/>
        <item m="1" x="4510"/>
        <item m="1" x="6290"/>
        <item m="1" x="1070"/>
        <item m="1" x="2835"/>
        <item m="1" x="4615"/>
        <item m="1" x="6393"/>
        <item m="1" x="1174"/>
        <item m="1" x="2939"/>
        <item m="1" x="4723"/>
        <item m="1" x="6498"/>
        <item m="1" x="1281"/>
        <item m="1" x="3042"/>
        <item m="1" x="4829"/>
        <item m="1" x="6603"/>
        <item m="1" x="3269"/>
        <item m="1" x="5055"/>
        <item m="1" x="6827"/>
        <item m="1" x="1609"/>
        <item m="1" x="3371"/>
        <item m="1" x="5156"/>
        <item m="1" x="6927"/>
        <item m="1" x="1711"/>
        <item m="1" x="3475"/>
        <item m="1" x="5262"/>
        <item m="1" x="7034"/>
        <item m="1" x="1818"/>
        <item m="1" x="3580"/>
        <item m="1" x="5370"/>
        <item m="1" x="7138"/>
        <item m="1" x="1925"/>
        <item m="1" x="3686"/>
        <item m="1" x="5594"/>
        <item m="1" x="7365"/>
        <item m="1" x="2147"/>
        <item m="1" x="3909"/>
        <item m="1" x="5699"/>
        <item m="1" x="7468"/>
        <item m="1" x="2248"/>
        <item m="1" x="4013"/>
        <item m="1" x="5805"/>
        <item m="1" x="7571"/>
        <item m="1" x="2353"/>
        <item m="1" x="4119"/>
        <item m="1" x="5912"/>
        <item m="1" x="7677"/>
        <item m="1" x="2460"/>
        <item m="1" x="4223"/>
        <item m="1" x="6017"/>
        <item m="1" x="2685"/>
        <item m="1" x="4452"/>
        <item m="1" x="6243"/>
        <item m="1" x="1011"/>
        <item m="1" x="2787"/>
        <item m="1" x="4554"/>
        <item m="1" x="6343"/>
        <item m="1" x="1114"/>
        <item m="1" x="2889"/>
        <item m="1" x="4661"/>
        <item m="1" x="6448"/>
        <item m="1" x="1220"/>
        <item m="1" x="2995"/>
        <item m="1" x="4767"/>
        <item m="1" x="6556"/>
        <item m="1" x="1325"/>
        <item m="1" x="3102"/>
        <item m="1" x="4993"/>
        <item m="1" x="6778"/>
        <item m="1" x="1552"/>
        <item m="1" x="3322"/>
        <item m="1" x="5098"/>
        <item m="1" x="6879"/>
        <item m="1" x="1653"/>
        <item m="1" x="3425"/>
        <item m="1" x="5202"/>
        <item m="1" x="6983"/>
        <item m="1" x="1757"/>
        <item m="1" x="3531"/>
        <item m="1" x="5308"/>
        <item m="1" x="7090"/>
        <item m="1" x="1862"/>
        <item m="1" x="3637"/>
        <item m="1" x="5413"/>
        <item m="1" x="2088"/>
        <item m="1" x="3861"/>
        <item m="1" x="5641"/>
        <item m="1" x="7420"/>
        <item m="1" x="2190"/>
        <item m="1" x="3963"/>
        <item m="1" x="5743"/>
        <item m="1" x="7520"/>
        <item m="1" x="2292"/>
        <item m="1" x="4067"/>
        <item m="1" x="5849"/>
        <item m="1" x="7627"/>
        <item m="1" x="2397"/>
        <item m="1" x="4175"/>
        <item m="1" x="5955"/>
        <item m="1" x="7736"/>
        <item m="1" x="2505"/>
        <item m="1" x="4400"/>
        <item m="1" x="6183"/>
        <item m="1" x="7962"/>
        <item m="1" x="2730"/>
        <item m="1" x="4506"/>
        <item m="1" x="6286"/>
        <item m="1" x="1067"/>
        <item m="1" x="2831"/>
        <item m="1" x="4611"/>
        <item m="1" x="6389"/>
        <item m="1" x="1171"/>
        <item m="1" x="2935"/>
        <item m="1" x="4720"/>
        <item m="1" x="5612"/>
        <item m="1" x="6494"/>
        <item m="1" x="7385"/>
        <item m="1" x="1278"/>
        <item m="1" x="2162"/>
        <item m="1" x="3039"/>
        <item m="1" x="3929"/>
        <item m="1" x="4826"/>
        <item m="1" x="5714"/>
        <item m="1" x="7603"/>
        <item m="1" x="1504"/>
        <item m="1" x="2379"/>
        <item m="1" x="3266"/>
        <item m="1" x="4152"/>
        <item m="1" x="5052"/>
        <item m="1" x="5937"/>
        <item m="1" x="6823"/>
        <item m="1" x="7709"/>
        <item m="1" x="1606"/>
        <item m="1" x="2485"/>
        <item m="1" x="3367"/>
        <item m="1" x="4255"/>
        <item m="1" x="5152"/>
        <item m="1" x="6044"/>
        <item m="1" x="6923"/>
        <item m="1" x="7817"/>
        <item m="1" x="1708"/>
        <item m="1" x="2596"/>
        <item m="1" x="3471"/>
        <item m="1" x="4364"/>
        <item m="1" x="5258"/>
        <item m="1" x="6154"/>
        <item m="1" x="7030"/>
        <item m="1" x="7925"/>
        <item m="1" x="1815"/>
        <item m="1" x="2702"/>
        <item m="1" x="3576"/>
        <item m="1" x="4472"/>
        <item m="1" x="5367"/>
        <item m="1" x="6258"/>
        <item m="1" x="7135"/>
        <item m="1" x="1033"/>
        <item m="1" x="3801"/>
        <item m="1" x="4695"/>
        <item m="1" x="5592"/>
        <item m="1" x="6475"/>
        <item m="1" x="7362"/>
        <item m="1" x="1254"/>
        <item m="1" x="2144"/>
        <item m="1" x="3021"/>
        <item m="1" x="3905"/>
        <item m="1" x="4799"/>
        <item m="1" x="5695"/>
        <item m="1" x="6582"/>
        <item m="1" x="7464"/>
        <item m="1" x="1358"/>
        <item m="1" x="2245"/>
        <item m="1" x="3129"/>
        <item m="1" x="4009"/>
        <item m="1" x="4907"/>
        <item m="1" x="5801"/>
        <item m="1" x="6691"/>
        <item m="1" x="7567"/>
        <item m="1" x="1467"/>
        <item m="1" x="2350"/>
        <item m="1" x="3237"/>
        <item m="1" x="4115"/>
        <item m="1" x="5015"/>
        <item m="1" x="5909"/>
        <item m="1" x="6795"/>
        <item m="1" x="7673"/>
        <item m="1" x="1572"/>
        <item m="1" x="2457"/>
        <item m="1" x="3338"/>
        <item m="1" x="4220"/>
        <item m="1" x="7009"/>
        <item m="1" x="7902"/>
        <item m="1" x="1791"/>
        <item m="1" x="2683"/>
        <item m="1" x="3558"/>
        <item m="1" x="4449"/>
        <item m="1" x="5341"/>
        <item m="1" x="6239"/>
        <item m="1" x="7115"/>
        <item m="1" x="1007"/>
        <item m="1" x="1894"/>
        <item m="1" x="2784"/>
        <item m="1" x="3663"/>
        <item m="1" x="4550"/>
        <item m="1" x="5445"/>
        <item m="1" x="6339"/>
        <item m="1" x="7225"/>
        <item m="1" x="1110"/>
        <item m="1" x="2002"/>
        <item m="1" x="2886"/>
        <item m="1" x="3772"/>
        <item m="1" x="4657"/>
        <item m="1" x="5554"/>
        <item m="1" x="6445"/>
        <item m="1" x="7332"/>
        <item m="1" x="1216"/>
        <item m="1" x="2108"/>
        <item m="1" x="2992"/>
        <item m="1" x="3877"/>
        <item m="1" x="4764"/>
        <item m="1" x="5661"/>
        <item m="1" x="6553"/>
        <item m="1" x="7436"/>
        <item m="1" x="3214"/>
        <item m="1" x="4094"/>
        <item m="1" x="4991"/>
        <item m="1" x="5883"/>
        <item m="1" x="6775"/>
        <item m="1" x="7654"/>
        <item m="1" x="1548"/>
        <item m="1" x="2430"/>
        <item m="1" x="3318"/>
        <item m="1" x="4200"/>
        <item m="1" x="5094"/>
        <item m="1" x="5986"/>
        <item m="1" x="6875"/>
        <item m="1" x="7762"/>
        <item m="1" x="1649"/>
        <item m="1" x="2536"/>
        <item m="1" x="3421"/>
        <item m="1" x="4310"/>
        <item m="1" x="5198"/>
        <item m="1" x="6095"/>
        <item m="1" x="6979"/>
        <item m="1" x="7872"/>
        <item m="1" x="1753"/>
        <item m="1" x="2645"/>
        <item m="1" x="3528"/>
        <item m="1" x="4419"/>
        <item m="1" x="5304"/>
        <item m="1" x="6203"/>
        <item m="1" x="7087"/>
        <item m="1" x="7977"/>
        <item m="1" x="1859"/>
        <item m="1" x="2750"/>
        <item m="1" x="3634"/>
        <item m="1" x="6420"/>
        <item m="1" x="7311"/>
        <item m="1" x="1197"/>
        <item m="1" x="2085"/>
        <item m="1" x="2968"/>
        <item m="1" x="3858"/>
        <item m="1" x="4745"/>
        <item m="1" x="5637"/>
        <item m="1" x="6525"/>
        <item m="1" x="7415"/>
        <item m="1" x="1302"/>
        <item m="1" x="2186"/>
        <item m="1" x="3069"/>
        <item m="1" x="3958"/>
        <item m="1" x="4851"/>
        <item m="1" x="5739"/>
        <item m="1" x="6630"/>
        <item m="1" x="7515"/>
        <item m="1" x="1412"/>
        <item m="1" x="2288"/>
        <item m="1" x="3177"/>
        <item m="1" x="4062"/>
        <item m="1" x="4961"/>
        <item m="1" x="5845"/>
        <item m="1" x="6737"/>
        <item m="1" x="7623"/>
        <item m="1" x="1519"/>
        <item m="1" x="2393"/>
        <item m="1" x="3284"/>
        <item m="1" x="4172"/>
        <item m="1" x="5066"/>
        <item m="1" x="5952"/>
        <item m="1" x="6843"/>
        <item m="1" x="2620"/>
        <item m="1" x="3503"/>
        <item m="1" x="4397"/>
        <item m="1" x="5285"/>
        <item m="1" x="6180"/>
        <item m="1" x="7063"/>
        <item m="1" x="7957"/>
        <item m="1" x="1840"/>
        <item m="1" x="2726"/>
        <item m="1" x="3607"/>
        <item m="1" x="4501"/>
        <item m="1" x="5391"/>
        <item m="1" x="6282"/>
        <item m="1" x="7166"/>
        <item m="1" x="1062"/>
        <item m="1" x="1948"/>
        <item m="1" x="2827"/>
        <item m="1" x="3713"/>
        <item m="1" x="4606"/>
        <item m="1" x="5502"/>
        <item m="1" x="6385"/>
        <item m="1" x="7275"/>
        <item m="1" x="1166"/>
        <item m="1" x="2056"/>
        <item m="1" x="2931"/>
        <item m="1" x="3821"/>
        <item m="1" x="4716"/>
        <item m="1" x="5608"/>
        <item m="1" x="6490"/>
        <item m="1" x="7381"/>
        <item m="1" x="1275"/>
        <item m="1" x="2158"/>
        <item m="1" x="3036"/>
        <item m="1" x="5826"/>
        <item m="1" x="6716"/>
        <item m="1" x="7600"/>
        <item m="1" x="1500"/>
        <item m="1" x="2376"/>
        <item m="1" x="3263"/>
        <item m="1" x="4147"/>
        <item m="1" x="5047"/>
        <item m="1" x="5933"/>
        <item m="1" x="6819"/>
        <item m="1" x="7704"/>
        <item m="1" x="1601"/>
        <item m="1" x="2481"/>
        <item m="1" x="3363"/>
        <item m="1" x="4250"/>
        <item m="1" x="5147"/>
        <item m="1" x="6040"/>
        <item m="1" x="6919"/>
        <item m="1" x="7812"/>
        <item m="1" x="1703"/>
        <item m="1" x="2592"/>
        <item m="1" x="3467"/>
        <item m="1" x="4359"/>
        <item m="1" x="5254"/>
        <item m="1" x="6150"/>
        <item m="1" x="7026"/>
        <item m="1" x="7921"/>
        <item m="1" x="1811"/>
        <item m="1" x="2698"/>
        <item m="1" x="3573"/>
        <item m="1" x="4468"/>
        <item m="1" x="5364"/>
        <item m="1" x="6255"/>
        <item m="1" x="2034"/>
        <item m="1" x="2912"/>
        <item m="1" x="3799"/>
        <item m="1" x="4691"/>
        <item m="1" x="5588"/>
        <item m="1" x="6472"/>
        <item m="1" x="7358"/>
        <item m="1" x="1249"/>
        <item m="1" x="2139"/>
        <item m="1" x="3017"/>
        <item m="1" x="3901"/>
        <item m="1" x="4794"/>
        <item m="1" x="5690"/>
        <item m="1" x="6578"/>
        <item m="1" x="7460"/>
        <item m="1" x="1353"/>
        <item m="1" x="2240"/>
        <item m="1" x="3125"/>
        <item m="1" x="4005"/>
        <item m="1" x="4902"/>
        <item m="1" x="5796"/>
        <item m="1" x="6687"/>
        <item m="1" x="7563"/>
        <item m="1" x="1462"/>
        <item m="1" x="2346"/>
        <item m="1" x="3233"/>
        <item m="1" x="4111"/>
        <item m="1" x="5011"/>
        <item m="1" x="5905"/>
        <item m="1" x="6791"/>
        <item m="1" x="7670"/>
        <item m="1" x="1568"/>
        <item m="1" x="2454"/>
        <item m="1" x="5230"/>
        <item m="1" x="6128"/>
        <item m="1" x="7007"/>
        <item m="1" x="7899"/>
        <item m="1" x="1787"/>
        <item m="1" x="2679"/>
        <item m="1" x="3554"/>
        <item m="1" x="4445"/>
        <item m="1" x="5336"/>
        <item m="1" x="6234"/>
        <item m="1" x="7111"/>
        <item m="1" x="1003"/>
        <item m="1" x="1889"/>
        <item m="1" x="2779"/>
        <item m="1" x="3659"/>
        <item m="1" x="4546"/>
        <item m="1" x="5440"/>
        <item m="1" x="6334"/>
        <item m="1" x="7221"/>
        <item m="1" x="1106"/>
        <item m="1" x="1997"/>
        <item m="1" x="2881"/>
        <item m="1" x="3768"/>
        <item m="1" x="4653"/>
        <item m="1" x="5549"/>
        <item m="1" x="6441"/>
        <item m="1" x="7328"/>
        <item m="1" x="1212"/>
        <item m="1" x="2104"/>
        <item m="1" x="2989"/>
        <item m="1" x="3873"/>
        <item m="1" x="4761"/>
        <item m="1" x="5658"/>
        <item m="1" x="1437"/>
        <item m="1" x="2321"/>
        <item m="1" x="3211"/>
        <item m="1" x="4091"/>
        <item m="1" x="4988"/>
        <item m="1" x="5879"/>
        <item m="1" x="6770"/>
        <item m="1" x="7650"/>
        <item m="1" x="1544"/>
        <item m="1" x="2425"/>
        <item m="1" x="3313"/>
        <item m="1" x="4196"/>
        <item m="1" x="5090"/>
        <item m="1" x="5981"/>
        <item m="1" x="6870"/>
        <item m="1" x="7758"/>
        <item m="1" x="1645"/>
        <item m="1" x="2531"/>
        <item m="1" x="3416"/>
        <item m="1" x="4306"/>
        <item m="1" x="5194"/>
        <item m="1" x="6090"/>
        <item m="1" x="6974"/>
        <item m="1" x="7868"/>
        <item m="1" x="1749"/>
        <item m="1" x="2640"/>
        <item m="1" x="3524"/>
        <item m="1" x="4415"/>
        <item m="1" x="5300"/>
        <item m="1" x="6199"/>
        <item m="1" x="7084"/>
        <item m="1" x="7973"/>
        <item m="1" x="1856"/>
        <item m="1" x="4633"/>
        <item m="1" x="5527"/>
        <item m="1" x="6417"/>
        <item m="1" x="7307"/>
        <item m="1" x="1194"/>
        <item m="1" x="2082"/>
        <item m="1" x="2963"/>
        <item m="1" x="3853"/>
        <item m="1" x="4741"/>
        <item m="1" x="5633"/>
        <item m="1" x="6520"/>
        <item m="1" x="7410"/>
        <item m="1" x="1298"/>
        <item m="1" x="2182"/>
        <item m="1" x="3064"/>
        <item m="1" x="3953"/>
        <item m="1" x="4847"/>
        <item m="1" x="5735"/>
        <item m="1" x="6625"/>
        <item m="1" x="7510"/>
        <item m="1" x="1408"/>
        <item m="1" x="2284"/>
        <item m="1" x="3172"/>
        <item m="1" x="4058"/>
        <item m="1" x="4957"/>
        <item m="1" x="5841"/>
        <item m="1" x="6733"/>
        <item m="1" x="7619"/>
        <item m="1" x="1515"/>
        <item m="1" x="2390"/>
        <item m="1" x="3280"/>
        <item m="1" x="4169"/>
        <item m="1" x="5063"/>
        <item m="1" x="7844"/>
        <item m="1" x="1730"/>
        <item m="1" x="2618"/>
        <item m="1" x="3499"/>
        <item m="1" x="4393"/>
        <item m="1" x="5282"/>
        <item m="1" x="6176"/>
        <item m="1" x="7058"/>
        <item m="1" x="7952"/>
        <item m="1" x="1836"/>
        <item m="1" x="2722"/>
        <item m="1" x="3602"/>
        <item m="1" x="4496"/>
        <item m="1" x="5387"/>
        <item m="1" x="6278"/>
        <item m="1" x="7161"/>
        <item m="1" x="1057"/>
        <item m="1" x="1944"/>
        <item m="1" x="2823"/>
        <item m="1" x="3708"/>
        <item m="1" x="4601"/>
        <item m="1" x="5498"/>
        <item m="1" x="6381"/>
        <item m="1" x="7270"/>
        <item m="1" x="1162"/>
        <item m="1" x="2052"/>
        <item m="1" x="2927"/>
        <item m="1" x="3817"/>
        <item m="1" x="4712"/>
        <item m="1" x="5604"/>
        <item m="1" x="6487"/>
        <item m="1" x="7377"/>
        <item m="1" x="1272"/>
        <item m="1" x="4036"/>
        <item m="1" x="4935"/>
        <item m="1" x="5824"/>
        <item m="1" x="6713"/>
        <item m="1" x="7596"/>
        <item m="1" x="1496"/>
        <item m="1" x="2372"/>
        <item m="1" x="3259"/>
        <item m="1" x="4142"/>
        <item m="1" x="5042"/>
        <item m="1" x="5929"/>
        <item m="1" x="6815"/>
        <item m="1" x="7699"/>
        <item m="1" x="1596"/>
        <item m="1" x="2477"/>
        <item m="1" x="3359"/>
        <item m="1" x="4245"/>
        <item m="1" x="5142"/>
        <item m="1" x="6036"/>
        <item m="1" x="6915"/>
        <item m="1" x="7807"/>
        <item m="1" x="1698"/>
        <item m="1" x="2588"/>
        <item m="1" x="3463"/>
        <item m="1" x="4354"/>
        <item m="1" x="5250"/>
        <item m="1" x="6146"/>
        <item m="1" x="7022"/>
        <item m="1" x="7917"/>
        <item m="1" x="1808"/>
        <item m="1" x="2694"/>
        <item m="1" x="3570"/>
        <item m="1" x="4465"/>
        <item m="1" x="7247"/>
        <item m="1" x="1139"/>
        <item m="1" x="2031"/>
        <item m="1" x="2909"/>
        <item m="1" x="3796"/>
        <item m="1" x="4687"/>
        <item m="1" x="5583"/>
        <item m="1" x="6468"/>
        <item m="1" x="7354"/>
        <item m="1" x="1244"/>
        <item m="1" x="2134"/>
        <item m="1" x="3013"/>
        <item m="1" x="3897"/>
        <item m="1" x="4789"/>
        <item m="1" x="5685"/>
        <item m="1" x="6574"/>
        <item m="1" x="7456"/>
        <item m="1" x="1348"/>
        <item m="1" x="2235"/>
        <item m="1" x="3121"/>
        <item m="1" x="4001"/>
        <item m="1" x="4897"/>
        <item m="1" x="5791"/>
        <item m="1" x="6683"/>
        <item m="1" x="7559"/>
        <item m="1" x="1457"/>
        <item m="1" x="2342"/>
        <item m="1" x="3229"/>
        <item m="1" x="4107"/>
        <item m="1" x="5007"/>
        <item m="1" x="5902"/>
        <item m="1" x="6787"/>
        <item m="1" x="7667"/>
        <item m="1" x="3444"/>
        <item m="1" x="4333"/>
        <item m="1" x="5227"/>
        <item m="1" x="6124"/>
        <item m="1" x="7004"/>
        <item m="1" x="7896"/>
        <item m="1" x="1782"/>
        <item m="1" x="2674"/>
        <item m="1" x="3550"/>
        <item m="1" x="4441"/>
        <item m="1" x="5331"/>
        <item m="1" x="6229"/>
        <item m="1" x="7107"/>
        <item m="1" x="7997"/>
        <item m="1" x="1884"/>
        <item m="1" x="2774"/>
        <item m="1" x="3655"/>
        <item m="1" x="4542"/>
        <item m="1" x="5435"/>
        <item m="1" x="6329"/>
        <item m="1" x="7217"/>
        <item m="1" x="1102"/>
        <item m="1" x="1992"/>
        <item m="1" x="2877"/>
        <item m="1" x="3764"/>
        <item m="1" x="4649"/>
        <item m="1" x="5545"/>
        <item m="1" x="6437"/>
        <item m="1" x="7324"/>
        <item m="1" x="1209"/>
        <item m="1" x="2100"/>
        <item m="1" x="2986"/>
        <item m="1" x="3870"/>
        <item m="1" x="6658"/>
        <item m="1" x="7540"/>
        <item m="1" x="1435"/>
        <item m="1" x="2317"/>
        <item m="1" x="3207"/>
        <item m="1" x="4088"/>
        <item m="1" x="4984"/>
        <item m="1" x="5874"/>
        <item m="1" x="6765"/>
        <item m="1" x="7646"/>
        <item m="1" x="1540"/>
        <item m="1" x="2420"/>
        <item m="1" x="3308"/>
        <item m="1" x="4192"/>
        <item m="1" x="5086"/>
        <item m="1" x="5976"/>
        <item m="1" x="6865"/>
        <item m="1" x="7754"/>
        <item m="1" x="1641"/>
        <item m="1" x="2526"/>
        <item m="1" x="3411"/>
        <item m="1" x="4302"/>
        <item m="1" x="5190"/>
        <item m="1" x="6085"/>
        <item m="1" x="6970"/>
        <item m="1" x="7864"/>
        <item m="1" x="1745"/>
        <item m="1" x="2636"/>
        <item m="1" x="3520"/>
        <item m="1" x="4411"/>
        <item m="1" x="5297"/>
        <item m="1" x="6195"/>
        <item m="1" x="7081"/>
        <item m="1" x="2854"/>
        <item m="1" x="3741"/>
        <item m="1" x="4631"/>
        <item m="1" x="5524"/>
        <item m="1" x="6413"/>
        <item m="1" x="7303"/>
        <item m="1" x="1190"/>
        <item m="1" x="2078"/>
        <item m="1" x="2958"/>
        <item m="1" x="3848"/>
        <item m="1" x="4737"/>
        <item m="1" x="5629"/>
        <item m="1" x="6515"/>
        <item m="1" x="7405"/>
        <item m="1" x="1294"/>
        <item m="1" x="2178"/>
        <item m="1" x="3059"/>
        <item m="1" x="3948"/>
        <item m="1" x="4843"/>
        <item m="1" x="5731"/>
        <item m="1" x="6620"/>
        <item m="1" x="7505"/>
        <item m="1" x="1404"/>
        <item m="1" x="2280"/>
        <item m="1" x="3167"/>
        <item m="1" x="4054"/>
        <item m="1" x="4953"/>
        <item m="1" x="5837"/>
        <item m="1" x="6729"/>
        <item m="1" x="7616"/>
        <item m="1" x="1511"/>
        <item m="1" x="2387"/>
        <item m="1" x="3277"/>
        <item m="1" x="6062"/>
        <item m="1" x="6947"/>
        <item m="1" x="7841"/>
        <item m="1" x="1727"/>
        <item m="1" x="2615"/>
        <item m="1" x="3495"/>
        <item m="1" x="4388"/>
        <item m="1" x="5278"/>
        <item m="1" x="6172"/>
        <item m="1" x="7053"/>
        <item m="1" x="7947"/>
        <item m="1" x="1832"/>
        <item m="1" x="2718"/>
        <item m="1" x="3597"/>
        <item m="1" x="4491"/>
        <item m="1" x="5383"/>
        <item m="1" x="6274"/>
        <item m="1" x="7156"/>
        <item m="1" x="1052"/>
        <item m="1" x="1940"/>
        <item m="1" x="2819"/>
        <item m="1" x="3703"/>
        <item m="1" x="4596"/>
        <item m="1" x="5494"/>
        <item m="1" x="6377"/>
        <item m="1" x="7265"/>
        <item m="1" x="1158"/>
        <item m="1" x="2048"/>
        <item m="1" x="2923"/>
        <item m="1" x="3813"/>
        <item m="1" x="4709"/>
        <item m="1" x="5600"/>
        <item m="1" x="6484"/>
        <item m="1" x="2263"/>
        <item m="1" x="3148"/>
        <item m="1" x="4033"/>
        <item m="1" x="4931"/>
        <item m="1" x="5821"/>
        <item m="1" x="6710"/>
        <item m="1" x="7591"/>
        <item m="1" x="1491"/>
        <item m="1" x="2368"/>
        <item m="1" x="3255"/>
        <item m="1" x="4137"/>
        <item m="1" x="5037"/>
        <item m="1" x="5925"/>
        <item m="1" x="6811"/>
        <item m="1" x="7694"/>
        <item m="1" x="1591"/>
        <item m="1" x="2473"/>
        <item m="1" x="3355"/>
        <item m="1" x="4240"/>
        <item m="1" x="5137"/>
        <item m="1" x="6032"/>
        <item m="1" x="6911"/>
        <item m="1" x="7802"/>
        <item m="1" x="1694"/>
        <item m="1" x="2584"/>
        <item m="1" x="3459"/>
        <item m="1" x="4350"/>
        <item m="1" x="5246"/>
        <item m="1" x="6142"/>
        <item m="1" x="7019"/>
        <item m="1" x="7913"/>
        <item m="1" x="1805"/>
        <item m="1" x="2691"/>
        <item m="1" x="5469"/>
        <item m="1" x="6360"/>
        <item m="1" x="7245"/>
        <item m="1" x="1135"/>
        <item m="1" x="2027"/>
        <item m="1" x="2906"/>
        <item m="1" x="3792"/>
        <item m="1" x="4682"/>
        <item m="1" x="5578"/>
        <item m="1" x="6464"/>
        <item m="1" x="7350"/>
        <item m="1" x="1239"/>
        <item m="1" x="2129"/>
        <item m="1" x="3009"/>
        <item m="1" x="3893"/>
        <item m="1" x="4784"/>
        <item m="1" x="5680"/>
        <item m="1" x="6570"/>
        <item m="1" x="7452"/>
        <item m="1" x="1343"/>
        <item m="1" x="2230"/>
        <item m="1" x="3117"/>
        <item m="1" x="3997"/>
        <item m="1" x="4892"/>
        <item m="1" x="5787"/>
        <item m="1" x="6679"/>
        <item m="1" x="7555"/>
        <item m="1" x="1453"/>
        <item m="1" x="2338"/>
        <item m="1" x="3225"/>
        <item m="1" x="4104"/>
        <item m="1" x="5003"/>
        <item m="1" x="5898"/>
        <item m="1" x="1673"/>
        <item m="1" x="2561"/>
        <item m="1" x="3442"/>
        <item m="1" x="4330"/>
        <item m="1" x="5223"/>
        <item m="1" x="6120"/>
        <item m="1" x="7000"/>
        <item m="1" x="7892"/>
        <item m="1" x="1777"/>
        <item m="1" x="2669"/>
        <item m="1" x="3546"/>
        <item m="1" x="4437"/>
        <item m="1" x="5326"/>
        <item m="1" x="6224"/>
        <item m="1" x="7103"/>
        <item m="1" x="7993"/>
        <item m="1" x="1879"/>
        <item m="1" x="2769"/>
        <item m="1" x="3651"/>
        <item m="1" x="4538"/>
        <item m="1" x="5430"/>
        <item m="1" x="6324"/>
        <item m="1" x="7213"/>
        <item m="1" x="1098"/>
        <item m="1" x="1987"/>
        <item m="1" x="2873"/>
        <item m="1" x="3760"/>
        <item m="1" x="4645"/>
        <item m="1" x="5541"/>
        <item m="1" x="6434"/>
        <item m="1" x="7320"/>
        <item m="1" x="1206"/>
        <item m="1" x="2097"/>
        <item m="1" x="4870"/>
        <item m="1" x="5764"/>
        <item m="1" x="6655"/>
        <item m="1" x="7537"/>
        <item m="1" x="1432"/>
        <item m="1" x="2313"/>
        <item m="1" x="3202"/>
        <item m="1" x="4084"/>
        <item m="1" x="4980"/>
        <item m="1" x="5869"/>
        <item m="1" x="6760"/>
        <item m="1" x="7642"/>
        <item m="1" x="1536"/>
        <item m="1" x="2415"/>
        <item m="1" x="3303"/>
        <item m="1" x="4188"/>
        <item m="1" x="5082"/>
        <item m="1" x="5971"/>
        <item m="1" x="6860"/>
        <item m="1" x="7750"/>
        <item m="1" x="1637"/>
        <item m="1" x="2521"/>
        <item m="1" x="3406"/>
        <item m="1" x="4298"/>
        <item m="1" x="5186"/>
        <item m="1" x="6080"/>
        <item m="1" x="6966"/>
        <item m="1" x="7860"/>
        <item m="1" x="1741"/>
        <item m="1" x="2632"/>
        <item m="1" x="3517"/>
        <item m="1" x="4407"/>
        <item m="1" x="5294"/>
        <item m="1" x="1082"/>
        <item m="1" x="1967"/>
        <item m="1" x="2851"/>
        <item m="1" x="3737"/>
        <item m="1" x="4628"/>
        <item m="1" x="5521"/>
        <item m="1" x="6409"/>
        <item m="1" x="7299"/>
        <item m="1" x="1187"/>
        <item m="1" x="2075"/>
        <item m="1" x="2954"/>
        <item m="1" x="3844"/>
        <item m="1" x="4734"/>
        <item m="1" x="5626"/>
        <item m="1" x="6511"/>
        <item m="1" x="7401"/>
        <item m="1" x="1291"/>
        <item m="1" x="2175"/>
        <item m="1" x="3055"/>
        <item m="1" x="3944"/>
        <item m="1" x="4840"/>
        <item m="1" x="5728"/>
        <item m="1" x="6616"/>
        <item m="1" x="7502"/>
        <item m="1" x="1401"/>
        <item m="1" x="2277"/>
        <item m="1" x="3164"/>
        <item m="1" x="4051"/>
        <item m="1" x="4950"/>
        <item m="1" x="5835"/>
        <item m="1" x="6726"/>
        <item m="1" x="7614"/>
        <item m="1" x="1509"/>
        <item m="1" x="4274"/>
        <item m="1" x="5169"/>
        <item m="1" x="6060"/>
        <item m="1" x="6943"/>
        <item m="1" x="7837"/>
        <item m="1" x="1724"/>
        <item m="1" x="2612"/>
        <item m="1" x="3491"/>
        <item m="1" x="4384"/>
        <item m="1" x="5275"/>
        <item m="1" x="6169"/>
        <item m="1" x="7049"/>
        <item m="1" x="7943"/>
        <item m="1" x="1829"/>
        <item m="1" x="2715"/>
        <item m="1" x="3593"/>
        <item m="1" x="4487"/>
        <item m="1" x="5380"/>
        <item m="1" x="6271"/>
        <item m="1" x="7152"/>
        <item m="1" x="1048"/>
        <item m="1" x="1937"/>
        <item m="1" x="2816"/>
        <item m="1" x="3699"/>
        <item m="1" x="4593"/>
        <item m="1" x="5491"/>
        <item m="1" x="6374"/>
        <item m="1" x="7262"/>
        <item m="1" x="1155"/>
        <item m="1" x="2045"/>
        <item m="1" x="2921"/>
        <item m="1" x="3810"/>
        <item m="1" x="4706"/>
        <item m="1" x="7483"/>
        <item m="1" x="1378"/>
        <item m="1" x="2261"/>
        <item m="1" x="3145"/>
        <item m="1" x="4029"/>
        <item m="1" x="4927"/>
        <item m="1" x="5818"/>
        <item m="1" x="6707"/>
        <item m="1" x="7587"/>
        <item m="1" x="1487"/>
        <item m="1" x="2365"/>
        <item m="1" x="3252"/>
        <item m="1" x="4133"/>
        <item m="1" x="5033"/>
        <item m="1" x="5922"/>
        <item m="1" x="6808"/>
        <item m="1" x="7690"/>
        <item m="1" x="1587"/>
        <item m="1" x="2470"/>
        <item m="1" x="3352"/>
        <item m="1" x="4236"/>
        <item m="1" x="5133"/>
        <item m="1" x="6029"/>
        <item m="1" x="6908"/>
        <item m="1" x="7798"/>
        <item m="1" x="1691"/>
        <item m="1" x="2580"/>
        <item m="1" x="3455"/>
        <item m="1" x="4346"/>
        <item m="1" x="5243"/>
        <item m="1" x="6138"/>
        <item m="1" x="7016"/>
        <item m="1" x="7910"/>
        <item m="1" x="3678"/>
        <item m="1" x="4570"/>
        <item m="1" x="5465"/>
        <item m="1" x="6356"/>
        <item m="1" x="7241"/>
        <item m="1" x="1130"/>
        <item m="1" x="2022"/>
        <item m="1" x="2902"/>
        <item m="1" x="3788"/>
        <item m="1" x="4677"/>
        <item m="1" x="5573"/>
        <item m="1" x="6460"/>
        <item m="1" x="7346"/>
        <item m="1" x="1234"/>
        <item m="1" x="2124"/>
        <item m="1" x="3005"/>
        <item m="1" x="3890"/>
        <item m="1" x="4780"/>
        <item m="1" x="5676"/>
        <item m="1" x="6567"/>
        <item m="1" x="7449"/>
        <item m="1" x="1339"/>
        <item m="1" x="2226"/>
        <item m="1" x="3114"/>
        <item m="1" x="3994"/>
        <item m="1" x="4888"/>
        <item m="1" x="5783"/>
        <item m="1" x="6675"/>
        <item m="1" x="7551"/>
        <item m="1" x="1449"/>
        <item m="1" x="2335"/>
        <item m="1" x="3221"/>
        <item m="1" x="4101"/>
        <item m="1" x="6892"/>
        <item m="1" x="7778"/>
        <item m="1" x="1669"/>
        <item m="1" x="2556"/>
        <item m="1" x="3438"/>
        <item m="1" x="4326"/>
        <item m="1" x="5218"/>
        <item m="1" x="6115"/>
        <item m="1" x="6996"/>
        <item m="1" x="7888"/>
        <item m="1" x="1772"/>
        <item m="1" x="2664"/>
        <item m="1" x="3542"/>
        <item m="1" x="4433"/>
        <item m="1" x="5321"/>
        <item m="1" x="6219"/>
        <item m="1" x="7100"/>
        <item m="1" x="7990"/>
        <item m="1" x="1875"/>
        <item m="1" x="2765"/>
        <item m="1" x="3648"/>
        <item m="1" x="4535"/>
        <item m="1" x="5426"/>
        <item m="1" x="6321"/>
        <item m="1" x="7210"/>
        <item m="1" x="1095"/>
        <item m="1" x="1983"/>
        <item m="1" x="2869"/>
        <item m="1" x="3756"/>
        <item m="1" x="4642"/>
        <item m="1" x="5537"/>
        <item m="1" x="6431"/>
        <item m="1" x="7317"/>
        <item m="1" x="3089"/>
        <item m="1" x="3976"/>
        <item m="1" x="4867"/>
        <item m="1" x="5759"/>
        <item m="1" x="6650"/>
        <item m="1" x="7533"/>
        <item m="1" x="1428"/>
        <item m="1" x="2308"/>
        <item m="1" x="3197"/>
        <item m="1" x="4080"/>
        <item m="1" x="4976"/>
        <item m="1" x="5864"/>
        <item m="1" x="6755"/>
        <item m="1" x="7638"/>
        <item m="1" x="1532"/>
        <item m="1" x="2410"/>
        <item m="1" x="3299"/>
        <item m="1" x="4185"/>
        <item m="1" x="5079"/>
        <item m="1" x="5967"/>
        <item m="1" x="6856"/>
        <item m="1" x="7747"/>
        <item m="1" x="1634"/>
        <item m="1" x="2517"/>
        <item m="1" x="3403"/>
        <item m="1" x="4295"/>
        <item m="1" x="5182"/>
        <item m="1" x="6076"/>
        <item m="1" x="6962"/>
        <item m="1" x="7856"/>
        <item m="1" x="1738"/>
        <item m="1" x="2628"/>
        <item m="1" x="3513"/>
        <item m="1" x="5405"/>
        <item m="1" x="6301"/>
        <item m="1" x="7185"/>
        <item m="1" x="1079"/>
        <item m="1" x="1963"/>
        <item m="1" x="2846"/>
        <item m="1" x="3732"/>
        <item m="1" x="4624"/>
        <item m="1" x="5517"/>
        <item m="1" x="6404"/>
        <item m="1" x="7294"/>
        <item m="1" x="1183"/>
        <item m="1" x="2071"/>
        <item m="1" x="2949"/>
        <item m="1" x="3839"/>
        <item m="1" x="4730"/>
        <item m="1" x="5622"/>
        <item m="1" x="6507"/>
        <item m="1" x="7397"/>
        <item m="1" x="1288"/>
        <item m="1" x="2172"/>
        <item m="1" x="3051"/>
        <item m="1" x="3940"/>
        <item m="1" x="4837"/>
        <item m="1" x="5725"/>
        <item m="1" x="6612"/>
        <item m="1" x="7499"/>
        <item m="1" x="1397"/>
        <item m="1" x="2273"/>
        <item m="1" x="3160"/>
        <item m="1" x="4048"/>
        <item m="1" x="4946"/>
        <item m="1" x="5832"/>
        <item m="1" x="6723"/>
        <item m="1" x="1617"/>
        <item m="1" x="2497"/>
        <item m="1" x="3382"/>
        <item m="1" x="4270"/>
        <item m="1" x="5165"/>
        <item m="1" x="6056"/>
        <item m="1" x="6938"/>
        <item m="1" x="7832"/>
        <item m="1" x="1720"/>
        <item m="1" x="2608"/>
        <item m="1" x="3486"/>
        <item m="1" x="4379"/>
        <item m="1" x="5271"/>
        <item m="1" x="6165"/>
        <item m="1" x="7044"/>
        <item m="1" x="7938"/>
        <item m="1" x="1825"/>
        <item m="1" x="2712"/>
        <item m="1" x="3589"/>
        <item m="1" x="4483"/>
        <item m="1" x="5377"/>
        <item m="1" x="6268"/>
        <item m="1" x="7148"/>
        <item m="1" x="1044"/>
        <item m="1" x="1934"/>
        <item m="1" x="2813"/>
        <item m="1" x="3695"/>
        <item m="1" x="4589"/>
        <item m="1" x="5487"/>
        <item m="1" x="6370"/>
        <item m="1" x="7258"/>
        <item m="1" x="1152"/>
        <item m="1" x="2041"/>
        <item m="1" x="2918"/>
        <item m="1" x="4813"/>
        <item m="1" x="5708"/>
        <item m="1" x="6594"/>
        <item m="1" x="7479"/>
        <item m="1" x="1373"/>
        <item m="1" x="2257"/>
        <item m="1" x="3141"/>
        <item m="1" x="4024"/>
        <item m="1" x="4922"/>
        <item m="1" x="5814"/>
        <item m="1" x="6703"/>
        <item m="1" x="7582"/>
        <item m="1" x="1482"/>
        <item m="1" x="2361"/>
        <item m="1" x="3248"/>
        <item m="1" x="4128"/>
        <item m="1" x="5028"/>
        <item m="1" x="5919"/>
        <item m="1" x="6805"/>
        <item m="1" x="7686"/>
        <item m="1" x="1583"/>
        <item m="1" x="2467"/>
        <item m="1" x="3349"/>
        <item m="1" x="4232"/>
        <item m="1" x="5130"/>
        <item m="1" x="6026"/>
        <item m="1" x="6905"/>
        <item m="1" x="7794"/>
        <item m="1" x="1687"/>
        <item m="1" x="2576"/>
        <item m="1" x="3452"/>
        <item m="1" x="4342"/>
        <item m="1" x="5240"/>
        <item m="1" x="6135"/>
        <item m="1" x="1021"/>
        <item m="1" x="1909"/>
        <item m="1" x="2796"/>
        <item m="1" x="3675"/>
        <item m="1" x="4565"/>
        <item m="1" x="5460"/>
        <item m="1" x="6352"/>
        <item m="1" x="7237"/>
        <item m="1" x="1125"/>
        <item m="1" x="2017"/>
        <item m="1" x="2898"/>
        <item m="1" x="3784"/>
        <item m="1" x="4672"/>
        <item m="1" x="5568"/>
        <item m="1" x="6456"/>
        <item m="1" x="7342"/>
        <item m="1" x="1229"/>
        <item m="1" x="2120"/>
        <item m="1" x="3002"/>
        <item m="1" x="3887"/>
        <item m="1" x="4776"/>
        <item m="1" x="5672"/>
        <item m="1" x="6564"/>
        <item m="1" x="7446"/>
        <item m="1" x="1335"/>
        <item m="1" x="2223"/>
        <item m="1" x="3111"/>
        <item m="1" x="3990"/>
        <item m="1" x="4884"/>
        <item m="1" x="5779"/>
        <item m="1" x="6671"/>
        <item m="1" x="7548"/>
        <item m="1" x="1445"/>
        <item m="1" x="2331"/>
        <item m="1" x="4211"/>
        <item m="1" x="5109"/>
        <item m="1" x="6001"/>
        <item m="1" x="6888"/>
        <item m="1" x="7774"/>
        <item m="1" x="1664"/>
        <item m="1" x="2551"/>
        <item m="1" x="3434"/>
        <item m="1" x="4322"/>
        <item m="1" x="5213"/>
        <item m="1" x="6110"/>
        <item m="1" x="6992"/>
        <item m="1" x="7884"/>
        <item m="1" x="1767"/>
        <item m="1" x="2659"/>
        <item m="1" x="3538"/>
        <item m="1" x="4429"/>
        <item m="1" x="5317"/>
        <item m="1" x="6215"/>
        <item m="1" x="7097"/>
        <item m="1" x="7987"/>
        <item m="1" x="1871"/>
        <item m="1" x="2761"/>
        <item m="1" x="3645"/>
        <item m="1" x="4532"/>
        <item m="1" x="5422"/>
        <item m="1" x="6318"/>
        <item m="1" x="7206"/>
        <item m="1" x="1091"/>
        <item m="1" x="1979"/>
        <item m="1" x="2866"/>
        <item m="1" x="3752"/>
        <item m="1" x="4639"/>
        <item m="1" x="5534"/>
        <item m="1" x="7428"/>
        <item m="1" x="1314"/>
        <item m="1" x="2201"/>
        <item m="1" x="3084"/>
        <item m="1" x="3972"/>
        <item m="1" x="4863"/>
        <item m="1" x="5754"/>
        <item m="1" x="6645"/>
        <item m="1" x="7529"/>
        <item m="1" x="1424"/>
        <item m="1" x="2303"/>
        <item m="1" x="3192"/>
        <item m="1" x="4076"/>
        <item m="1" x="4972"/>
        <item m="1" x="5859"/>
        <item m="1" x="6750"/>
        <item m="1" x="7634"/>
        <item m="1" x="1529"/>
        <item m="1" x="2406"/>
        <item m="1" x="3295"/>
        <item m="1" x="4182"/>
        <item m="1" x="5076"/>
        <item m="1" x="5963"/>
        <item m="1" x="6852"/>
        <item m="1" x="7744"/>
        <item m="1" x="1631"/>
        <item m="1" x="2513"/>
        <item m="1" x="3399"/>
        <item m="1" x="4291"/>
        <item m="1" x="5178"/>
        <item m="1" x="6072"/>
        <item m="1" x="6959"/>
        <item m="1" x="7852"/>
        <item m="1" x="1735"/>
        <item m="1" x="3620"/>
        <item m="1" x="4515"/>
        <item m="1" x="5402"/>
        <item m="1" x="6296"/>
        <item m="1" x="7180"/>
        <item m="1" x="1075"/>
        <item m="1" x="1959"/>
        <item m="1" x="2841"/>
        <item m="1" x="3727"/>
        <item m="1" x="4620"/>
        <item m="1" x="5513"/>
        <item m="1" x="6399"/>
        <item m="1" x="7289"/>
        <item m="1" x="1179"/>
        <item m="1" x="2067"/>
        <item m="1" x="2944"/>
        <item m="1" x="3834"/>
        <item m="1" x="4727"/>
        <item m="1" x="5619"/>
        <item m="1" x="6503"/>
        <item m="1" x="7393"/>
        <item m="1" x="1285"/>
        <item m="1" x="2169"/>
        <item m="1" x="3047"/>
        <item m="1" x="3937"/>
        <item m="1" x="4834"/>
        <item m="1" x="5721"/>
        <item m="1" x="6608"/>
        <item m="1" x="7495"/>
        <item m="1" x="1393"/>
        <item m="1" x="2270"/>
        <item m="1" x="3156"/>
        <item m="1" x="4045"/>
        <item m="1" x="4943"/>
        <item m="1" x="6832"/>
        <item m="1" x="7719"/>
        <item m="1" x="1614"/>
        <item m="1" x="2493"/>
        <item m="1" x="3377"/>
        <item m="1" x="4265"/>
        <item m="1" x="5161"/>
        <item m="1" x="6052"/>
        <item m="1" x="6933"/>
        <item m="1" x="7827"/>
        <item m="1" x="1716"/>
        <item m="1" x="2604"/>
        <item m="1" x="3481"/>
        <item m="1" x="4374"/>
        <item m="1" x="5267"/>
        <item m="1" x="6161"/>
        <item m="1" x="7039"/>
        <item m="1" x="7934"/>
        <item m="1" x="1822"/>
        <item m="1" x="2709"/>
        <item m="1" x="3585"/>
        <item m="1" x="4479"/>
        <item m="1" x="5374"/>
        <item m="1" x="6265"/>
        <item m="1" x="7144"/>
        <item m="1" x="1041"/>
        <item m="1" x="1930"/>
        <item m="1" x="2809"/>
        <item m="1" x="3691"/>
        <item m="1" x="4585"/>
        <item m="1" x="5483"/>
        <item m="1" x="6367"/>
        <item m="1" x="7254"/>
        <item m="1" x="1148"/>
        <item m="1" x="3028"/>
        <item m="1" x="3915"/>
        <item m="1" x="4809"/>
        <item m="1" x="5704"/>
        <item m="1" x="6590"/>
        <item m="1" x="7474"/>
        <item m="1" x="1368"/>
        <item m="1" x="2253"/>
        <item m="1" x="3137"/>
        <item m="1" x="4019"/>
        <item m="1" x="4917"/>
        <item m="1" x="5810"/>
        <item m="1" x="6699"/>
        <item m="1" x="7577"/>
        <item m="1" x="1477"/>
        <item m="1" x="2357"/>
        <item m="1" x="3244"/>
        <item m="1" x="4124"/>
        <item m="1" x="5024"/>
        <item m="1" x="5916"/>
        <item m="1" x="6802"/>
        <item m="1" x="7682"/>
        <item m="1" x="1579"/>
        <item m="1" x="2464"/>
        <item m="1" x="3346"/>
        <item m="1" x="4228"/>
        <item m="1" x="5126"/>
        <item m="1" x="6022"/>
        <item m="1" x="6901"/>
        <item m="1" x="7790"/>
        <item m="1" x="1684"/>
        <item m="1" x="2572"/>
        <item m="1" x="3449"/>
        <item m="1" x="4339"/>
        <item m="1" x="6247"/>
        <item m="1" x="7123"/>
        <item m="1" x="1017"/>
        <item m="1" x="1904"/>
        <item m="1" x="2792"/>
        <item m="1" x="3671"/>
        <item m="1" x="4560"/>
        <item m="1" x="5455"/>
        <item m="1" x="6348"/>
        <item m="1" x="7233"/>
        <item m="1" x="1120"/>
        <item m="1" x="2012"/>
        <item m="1" x="2894"/>
        <item m="1" x="3780"/>
        <item m="1" x="4667"/>
        <item m="1" x="5563"/>
        <item m="1" x="6452"/>
        <item m="1" x="7339"/>
        <item m="1" x="1225"/>
        <item m="1" x="2116"/>
        <item m="1" x="2999"/>
        <item m="1" x="3884"/>
        <item m="1" x="4772"/>
        <item m="1" x="5668"/>
        <item m="1" x="6561"/>
        <item m="1" x="7443"/>
        <item m="1" x="1330"/>
        <item m="1" x="2219"/>
        <item m="1" x="3107"/>
        <item m="1" x="3986"/>
        <item m="1" x="4880"/>
        <item m="1" x="5776"/>
        <item m="1" x="6667"/>
        <item m="1" x="7545"/>
        <item m="1" x="2439"/>
        <item m="1" x="3327"/>
        <item m="1" x="4208"/>
        <item m="1" x="5104"/>
        <item m="1" x="5996"/>
        <item m="1" x="6884"/>
        <item m="1" x="7770"/>
        <item m="1" x="1659"/>
        <item m="1" x="2546"/>
        <item m="1" x="3430"/>
        <item m="1" x="4318"/>
        <item m="1" x="5208"/>
        <item m="1" x="6105"/>
        <item m="1" x="6988"/>
        <item m="1" x="7880"/>
        <item m="1" x="1762"/>
        <item m="1" x="2654"/>
        <item m="1" x="3535"/>
        <item m="1" x="4426"/>
        <item m="1" x="5313"/>
        <item m="1" x="6211"/>
        <item m="1" x="7094"/>
        <item m="1" x="7984"/>
        <item m="1" x="1867"/>
        <item m="1" x="2758"/>
        <item m="1" x="3642"/>
        <item m="1" x="4528"/>
        <item m="1" x="5418"/>
        <item m="1" x="6314"/>
        <item m="1" x="7202"/>
        <item m="1" x="1088"/>
        <item m="1" x="1975"/>
        <item m="1" x="2863"/>
        <item m="1" x="3749"/>
        <item m="1" x="5646"/>
        <item m="1" x="6535"/>
        <item m="1" x="7425"/>
        <item m="1" x="1310"/>
        <item m="1" x="2196"/>
        <item m="1" x="3079"/>
        <item m="1" x="3968"/>
        <item m="1" x="4859"/>
        <item m="1" x="5749"/>
        <item m="1" x="6640"/>
        <item m="1" x="7525"/>
        <item m="1" x="1420"/>
        <item m="1" x="2298"/>
        <item m="1" x="3187"/>
        <item m="1" x="4072"/>
        <item m="1" x="4968"/>
        <item m="1" x="5854"/>
        <item m="1" x="6746"/>
        <item m="1" x="7631"/>
        <item m="1" x="1526"/>
        <item m="1" x="2402"/>
        <item m="1" x="3291"/>
        <item m="1" x="4179"/>
        <item m="1" x="5073"/>
        <item m="1" x="5959"/>
        <item m="1" x="6849"/>
        <item m="1" x="7740"/>
        <item m="1" x="1627"/>
        <item m="1" x="2509"/>
        <item m="1" x="3395"/>
        <item m="1" x="4287"/>
        <item m="1" x="5175"/>
        <item m="1" x="6068"/>
        <item m="1" x="6955"/>
        <item m="1" x="1846"/>
        <item m="1" x="2735"/>
        <item m="1" x="3616"/>
        <item m="1" x="4511"/>
        <item m="1" x="5398"/>
        <item m="1" x="6291"/>
        <item m="1" x="7175"/>
        <item m="1" x="1071"/>
        <item m="1" x="1955"/>
        <item m="1" x="2836"/>
        <item m="1" x="3722"/>
        <item m="1" x="4616"/>
        <item m="1" x="5509"/>
        <item m="1" x="6394"/>
        <item m="1" x="7284"/>
        <item m="1" x="1175"/>
        <item m="1" x="2063"/>
        <item m="1" x="2940"/>
        <item m="1" x="3830"/>
        <item m="1" x="4724"/>
        <item m="1" x="5616"/>
        <item m="1" x="6499"/>
        <item m="1" x="7389"/>
        <item m="1" x="1282"/>
        <item m="1" x="2166"/>
        <item m="1" x="3043"/>
        <item m="1" x="3933"/>
        <item m="1" x="4830"/>
        <item m="1" x="5717"/>
        <item m="1" x="6604"/>
        <item m="1" x="7492"/>
        <item m="1" x="1389"/>
        <item m="1" x="2267"/>
        <item m="1" x="3153"/>
        <item m="1" x="5056"/>
        <item m="1" x="5941"/>
        <item m="1" x="6828"/>
        <item m="1" x="7714"/>
        <item m="1" x="1610"/>
        <item m="1" x="2489"/>
        <item m="1" x="3372"/>
        <item m="1" x="4260"/>
        <item m="1" x="5157"/>
        <item m="1" x="6048"/>
        <item m="1" x="6928"/>
        <item m="1" x="7822"/>
        <item m="1" x="1712"/>
        <item m="1" x="2600"/>
        <item m="1" x="3476"/>
        <item m="1" x="4369"/>
        <item m="1" x="5263"/>
        <item m="1" x="6158"/>
        <item m="1" x="7035"/>
        <item m="1" x="7930"/>
        <item m="1" x="1819"/>
        <item m="1" x="2706"/>
        <item m="1" x="3581"/>
        <item m="1" x="4476"/>
        <item m="1" x="5371"/>
        <item m="1" x="6262"/>
        <item m="1" x="7139"/>
        <item m="1" x="1037"/>
        <item m="1" x="1926"/>
        <item m="1" x="2805"/>
        <item m="1" x="3687"/>
        <item m="1" x="4582"/>
        <item m="1" x="5479"/>
        <item m="1" x="6364"/>
        <item m="1" x="1258"/>
        <item m="1" x="2148"/>
        <item m="1" x="3025"/>
        <item m="1" x="3910"/>
        <item m="1" x="4804"/>
        <item m="1" x="5700"/>
        <item m="1" x="6586"/>
        <item m="1" x="7469"/>
        <item m="1" x="1363"/>
        <item m="1" x="2249"/>
        <item m="1" x="3133"/>
        <item m="1" x="4014"/>
        <item m="1" x="4912"/>
        <item m="1" x="5806"/>
        <item m="1" x="6695"/>
        <item m="1" x="7572"/>
        <item m="1" x="1472"/>
        <item m="1" x="2354"/>
        <item m="1" x="3241"/>
        <item m="1" x="4120"/>
        <item m="1" x="5020"/>
        <item m="1" x="5913"/>
        <item m="1" x="6799"/>
        <item m="1" x="7678"/>
        <item m="1" x="1576"/>
        <item m="1" x="2461"/>
        <item m="1" x="3342"/>
        <item m="1" x="4224"/>
        <item m="1" x="5122"/>
        <item m="1" x="6018"/>
        <item m="1" x="6898"/>
        <item m="1" x="7786"/>
        <item m="1" x="1681"/>
        <item m="1" x="2569"/>
        <item m="1" x="4453"/>
        <item m="1" x="5346"/>
        <item m="1" x="6244"/>
        <item m="1" x="7119"/>
        <item m="1" x="1012"/>
        <item m="1" x="1899"/>
        <item m="1" x="2788"/>
        <item m="1" x="3667"/>
        <item m="1" x="4555"/>
        <item m="1" x="5450"/>
        <item m="1" x="6344"/>
        <item m="1" x="7229"/>
        <item m="1" x="1115"/>
        <item m="1" x="2007"/>
        <item m="1" x="2890"/>
        <item m="1" x="3776"/>
        <item m="1" x="4662"/>
        <item m="1" x="5559"/>
        <item m="1" x="6449"/>
        <item m="1" x="7336"/>
        <item m="1" x="1221"/>
        <item m="1" x="2112"/>
        <item m="1" x="2996"/>
        <item m="1" x="3881"/>
        <item m="1" x="4768"/>
        <item m="1" x="5665"/>
        <item m="1" x="6557"/>
        <item m="1" x="7439"/>
        <item m="1" x="1326"/>
        <item m="1" x="2215"/>
        <item m="1" x="3103"/>
        <item m="1" x="3983"/>
        <item m="1" x="4876"/>
        <item m="1" x="5772"/>
        <item m="1" x="7657"/>
        <item m="1" x="1553"/>
        <item m="1" x="2435"/>
        <item m="1" x="3323"/>
        <item m="1" x="4204"/>
        <item m="1" x="5099"/>
        <item m="1" x="5991"/>
        <item m="1" x="6880"/>
        <item m="1" x="7766"/>
        <item m="1" x="1654"/>
        <item m="1" x="2541"/>
        <item m="1" x="3426"/>
        <item m="1" x="4314"/>
        <item m="1" x="5203"/>
        <item m="1" x="6100"/>
        <item m="1" x="6984"/>
        <item m="1" x="7876"/>
        <item m="1" x="1758"/>
        <item m="1" x="2650"/>
        <item m="1" x="3532"/>
        <item m="1" x="4423"/>
        <item m="1" x="5309"/>
        <item m="1" x="6207"/>
        <item m="1" x="7091"/>
        <item m="1" x="7981"/>
        <item m="1" x="1863"/>
        <item m="1" x="2754"/>
        <item m="1" x="3638"/>
        <item m="1" x="4524"/>
        <item m="1" x="5414"/>
        <item m="1" x="6311"/>
        <item m="1" x="7198"/>
        <item m="1" x="1085"/>
        <item m="1" x="1972"/>
        <item m="1" x="3862"/>
        <item m="1" x="4749"/>
        <item m="1" x="5642"/>
        <item m="1" x="6530"/>
        <item m="1" x="7421"/>
        <item m="1" x="1306"/>
        <item m="1" x="2191"/>
        <item m="1" x="3074"/>
        <item m="1" x="3964"/>
        <item m="1" x="4855"/>
        <item m="1" x="5744"/>
        <item m="1" x="6635"/>
        <item m="1" x="7521"/>
        <item m="1" x="1416"/>
        <item m="1" x="2293"/>
        <item m="1" x="3182"/>
        <item m="1" x="4068"/>
        <item m="1" x="4965"/>
        <item m="1" x="5850"/>
        <item m="1" x="6742"/>
        <item m="1" x="7628"/>
        <item m="1" x="1523"/>
        <item m="1" x="2398"/>
        <item m="1" x="3288"/>
        <item m="1" x="4176"/>
        <item m="1" x="5070"/>
        <item m="1" x="5956"/>
        <item m="1" x="6846"/>
        <item m="1" x="7737"/>
        <item m="1" x="1624"/>
        <item m="1" x="2506"/>
        <item m="1" x="3393"/>
        <item m="1" x="4283"/>
        <item m="1" x="5173"/>
        <item m="1" x="7067"/>
        <item m="1" x="7963"/>
        <item m="1" x="1844"/>
        <item m="1" x="2731"/>
        <item m="1" x="3612"/>
        <item m="1" x="4507"/>
        <item m="1" x="5395"/>
        <item m="1" x="6287"/>
        <item m="1" x="7171"/>
        <item m="1" x="1068"/>
        <item m="1" x="1952"/>
        <item m="1" x="2832"/>
        <item m="1" x="3718"/>
        <item m="1" x="4612"/>
        <item m="1" x="5506"/>
        <item m="1" x="6390"/>
        <item m="1" x="7280"/>
        <item m="1" x="1172"/>
        <item m="1" x="2060"/>
        <item m="1" x="2936"/>
        <item m="1" x="3826"/>
        <item m="1" x="4721"/>
        <item m="1" x="5613"/>
        <item m="1" x="6495"/>
        <item m="1" x="7386"/>
        <item m="1" x="1279"/>
        <item m="1" x="2163"/>
        <item m="1" x="3040"/>
        <item m="1" x="3930"/>
        <item m="1" x="4827"/>
        <item m="1" x="5715"/>
        <item m="1" x="6601"/>
        <item m="1" x="7490"/>
        <item m="1" x="1387"/>
        <item m="1" x="3267"/>
        <item m="1" x="4153"/>
        <item m="1" x="5053"/>
        <item m="1" x="5938"/>
        <item m="1" x="6824"/>
        <item m="1" x="7710"/>
        <item m="1" x="1607"/>
        <item m="1" x="2486"/>
        <item m="1" x="3368"/>
        <item m="1" x="4256"/>
        <item m="1" x="5153"/>
        <item m="1" x="6045"/>
        <item m="1" x="6924"/>
        <item m="1" x="7818"/>
        <item m="1" x="1709"/>
        <item m="1" x="2597"/>
        <item m="1" x="3472"/>
        <item m="1" x="4365"/>
        <item m="1" x="5259"/>
        <item m="1" x="6155"/>
        <item m="1" x="7031"/>
        <item m="1" x="7926"/>
        <item m="1" x="1816"/>
        <item m="1" x="2703"/>
        <item m="1" x="3577"/>
        <item m="1" x="4473"/>
        <item m="1" x="5368"/>
        <item m="1" x="6259"/>
        <item m="1" x="7136"/>
        <item m="1" x="1034"/>
        <item m="1" x="1923"/>
        <item m="1" x="2803"/>
        <item m="1" x="3684"/>
        <item m="1" x="4579"/>
        <item m="1" x="6476"/>
        <item m="1" x="7363"/>
        <item m="1" x="1255"/>
        <item m="1" x="2145"/>
        <item m="1" x="3022"/>
        <item m="1" x="3906"/>
        <item m="1" x="4800"/>
        <item m="1" x="5696"/>
        <item m="1" x="6583"/>
        <item m="1" x="7465"/>
        <item m="1" x="1359"/>
        <item m="1" x="2246"/>
        <item m="1" x="3130"/>
        <item m="1" x="4010"/>
        <item m="1" x="4908"/>
        <item m="1" x="5802"/>
        <item m="1" x="6692"/>
        <item m="1" x="7568"/>
        <item m="1" x="1468"/>
        <item m="1" x="2351"/>
        <item m="1" x="3238"/>
        <item m="1" x="4116"/>
        <item m="1" x="5016"/>
        <item m="1" x="5910"/>
        <item m="1" x="6796"/>
        <item m="1" x="7674"/>
        <item m="1" x="1573"/>
        <item m="1" x="2458"/>
        <item m="1" x="3339"/>
        <item m="1" x="4221"/>
        <item m="1" x="5120"/>
        <item m="1" x="6014"/>
        <item m="1" x="6896"/>
        <item m="1" x="7784"/>
        <item m="1" x="2684"/>
        <item m="1" x="3559"/>
        <item m="1" x="4450"/>
        <item m="1" x="5342"/>
        <item m="1" x="6240"/>
        <item m="1" x="7116"/>
        <item m="1" x="1008"/>
        <item m="1" x="1895"/>
        <item m="1" x="2785"/>
        <item m="1" x="3664"/>
        <item m="1" x="4551"/>
        <item m="1" x="5446"/>
        <item m="1" x="6340"/>
        <item m="1" x="7226"/>
        <item m="1" x="1111"/>
        <item m="1" x="2003"/>
        <item m="1" x="2887"/>
        <item m="1" x="3773"/>
        <item m="1" x="4658"/>
        <item m="1" x="5555"/>
        <item m="1" x="6446"/>
        <item m="1" x="7333"/>
        <item m="1" x="1217"/>
        <item m="1" x="2109"/>
        <item m="1" x="2993"/>
        <item m="1" x="3878"/>
        <item m="1" x="4765"/>
        <item m="1" x="5662"/>
        <item m="1" x="6554"/>
        <item m="1" x="7437"/>
        <item m="1" x="1323"/>
        <item m="1" x="2213"/>
        <item m="1" x="3099"/>
        <item m="1" x="3981"/>
        <item m="1" x="5884"/>
        <item m="1" x="6776"/>
        <item m="1" x="7655"/>
        <item m="1" x="1549"/>
        <item m="1" x="2431"/>
        <item m="1" x="3319"/>
        <item m="1" x="4201"/>
        <item m="1" x="5095"/>
        <item m="1" x="5987"/>
        <item m="1" x="6876"/>
        <item m="1" x="7763"/>
        <item m="1" x="1650"/>
        <item m="1" x="2537"/>
        <item m="1" x="3422"/>
        <item m="1" x="4311"/>
        <item m="1" x="5199"/>
        <item m="1" x="6096"/>
        <item m="1" x="6980"/>
        <item m="1" x="7873"/>
        <item m="1" x="1754"/>
        <item m="1" x="2646"/>
        <item m="1" x="3529"/>
        <item m="1" x="4420"/>
        <item m="1" x="5305"/>
        <item m="1" x="6204"/>
        <item m="1" x="7088"/>
        <item m="1" x="7978"/>
        <item m="1" x="1860"/>
        <item m="1" x="2751"/>
        <item m="1" x="3635"/>
        <item m="1" x="4522"/>
        <item m="1" x="5411"/>
        <item m="1" x="6309"/>
        <item m="1" x="7195"/>
        <item m="1" x="2086"/>
        <item m="1" x="2969"/>
        <item m="1" x="3859"/>
        <item m="1" x="4746"/>
        <item m="1" x="5638"/>
        <item m="1" x="6526"/>
        <item m="1" x="7416"/>
        <item m="1" x="1303"/>
        <item m="1" x="2187"/>
        <item m="1" x="3070"/>
        <item m="1" x="3959"/>
        <item m="1" x="4852"/>
        <item m="1" x="5740"/>
        <item m="1" x="6631"/>
        <item m="1" x="7516"/>
        <item m="1" x="1413"/>
        <item m="1" x="2289"/>
        <item m="1" x="3178"/>
        <item m="1" x="4063"/>
        <item m="1" x="4962"/>
        <item m="1" x="5846"/>
        <item m="1" x="6738"/>
        <item m="1" x="7624"/>
        <item m="1" x="1520"/>
        <item m="1" x="2394"/>
        <item m="1" x="3285"/>
        <item m="1" x="4173"/>
        <item m="1" x="5067"/>
        <item m="1" x="5953"/>
        <item m="1" x="6844"/>
        <item m="1" x="7733"/>
        <item m="1" x="1622"/>
        <item m="1" x="2503"/>
        <item m="1" x="5286"/>
        <item m="1" x="6181"/>
        <item m="1" x="7064"/>
        <item m="1" x="7958"/>
        <item m="1" x="1841"/>
        <item m="1" x="2727"/>
        <item m="1" x="3608"/>
        <item m="1" x="4502"/>
        <item m="1" x="5392"/>
        <item m="1" x="6283"/>
        <item m="1" x="7167"/>
        <item m="1" x="1063"/>
        <item m="1" x="1949"/>
        <item m="1" x="2828"/>
        <item m="1" x="3714"/>
        <item m="1" x="4607"/>
        <item m="1" x="5503"/>
        <item m="1" x="6386"/>
        <item m="1" x="7276"/>
        <item m="1" x="1167"/>
        <item m="1" x="2057"/>
        <item m="1" x="2932"/>
        <item m="1" x="3822"/>
        <item m="1" x="4717"/>
        <item m="1" x="5609"/>
        <item m="1" x="6491"/>
        <item m="1" x="7382"/>
        <item m="1" x="1276"/>
        <item m="1" x="2159"/>
        <item m="1" x="3037"/>
        <item m="1" x="3927"/>
        <item m="1" x="4823"/>
        <item m="1" x="5712"/>
        <item m="1" x="1501"/>
        <item m="1" x="2377"/>
        <item m="1" x="3264"/>
        <item m="1" x="4148"/>
        <item m="1" x="5048"/>
        <item m="1" x="5934"/>
        <item m="1" x="6820"/>
        <item m="1" x="7705"/>
        <item m="1" x="1602"/>
        <item m="1" x="2482"/>
        <item m="1" x="3364"/>
        <item m="1" x="4251"/>
        <item m="1" x="5148"/>
        <item m="1" x="6041"/>
        <item m="1" x="6920"/>
        <item m="1" x="7813"/>
        <item m="1" x="1704"/>
        <item m="1" x="2593"/>
        <item m="1" x="3468"/>
        <item m="1" x="4360"/>
        <item m="1" x="5255"/>
        <item m="1" x="6151"/>
        <item m="1" x="7027"/>
        <item m="1" x="7922"/>
        <item m="1" x="1812"/>
        <item m="1" x="2699"/>
        <item m="1" x="3574"/>
        <item m="1" x="4469"/>
        <item m="1" x="5365"/>
        <item m="1" x="6256"/>
        <item m="1" x="7133"/>
        <item m="1" x="1031"/>
        <item m="1" x="1920"/>
        <item m="1" x="4692"/>
        <item m="1" x="5589"/>
        <item m="1" x="6473"/>
        <item m="1" x="7359"/>
        <item m="1" x="1250"/>
        <item m="1" x="2140"/>
        <item m="1" x="3018"/>
        <item m="1" x="3902"/>
        <item m="1" x="4795"/>
        <item m="1" x="5691"/>
        <item m="1" x="6579"/>
        <item m="1" x="7461"/>
        <item m="1" x="1354"/>
        <item m="1" x="2241"/>
        <item m="1" x="3126"/>
        <item m="1" x="4006"/>
        <item m="1" x="4903"/>
        <item m="1" x="5797"/>
        <item m="1" x="6688"/>
        <item m="1" x="7564"/>
        <item m="1" x="1463"/>
        <item m="1" x="2347"/>
        <item m="1" x="3234"/>
        <item m="1" x="4112"/>
        <item m="1" x="5012"/>
        <item m="1" x="5906"/>
        <item m="1" x="6792"/>
        <item m="1" x="7671"/>
        <item m="1" x="1569"/>
        <item m="1" x="2455"/>
        <item m="1" x="3336"/>
        <item m="1" x="4218"/>
        <item m="1" x="5118"/>
        <item m="1" x="7900"/>
        <item m="1" x="1788"/>
        <item m="1" x="2680"/>
        <item m="1" x="3555"/>
        <item m="1" x="4446"/>
        <item m="1" x="5337"/>
        <item m="1" x="6235"/>
        <item m="1" x="7112"/>
        <item m="1" x="1004"/>
        <item m="1" x="1890"/>
        <item m="1" x="2780"/>
        <item m="1" x="3660"/>
        <item m="1" x="4547"/>
        <item m="1" x="5441"/>
        <item m="1" x="6335"/>
        <item m="1" x="7222"/>
        <item m="1" x="1107"/>
        <item m="1" x="1998"/>
        <item m="1" x="2882"/>
        <item m="1" x="3769"/>
        <item m="1" x="4654"/>
        <item m="1" x="5550"/>
        <item m="1" x="6442"/>
        <item m="1" x="7329"/>
        <item m="1" x="1213"/>
        <item m="1" x="2105"/>
        <item m="1" x="2990"/>
        <item m="1" x="3874"/>
        <item m="1" x="4762"/>
        <item m="1" x="5659"/>
        <item m="1" x="6550"/>
        <item m="1" x="7434"/>
        <item m="1" x="1321"/>
        <item m="1" x="4092"/>
        <item m="1" x="4989"/>
        <item m="1" x="5880"/>
        <item m="1" x="6771"/>
        <item m="1" x="7651"/>
        <item m="1" x="1545"/>
        <item m="1" x="2426"/>
        <item m="1" x="3314"/>
        <item m="1" x="4197"/>
        <item m="1" x="5091"/>
        <item m="1" x="5982"/>
        <item m="1" x="6871"/>
        <item m="1" x="7759"/>
        <item m="1" x="1646"/>
        <item m="1" x="2532"/>
        <item m="1" x="3417"/>
        <item m="1" x="4307"/>
        <item m="1" x="5195"/>
        <item m="1" x="6091"/>
        <item m="1" x="6975"/>
        <item m="1" x="7869"/>
        <item m="1" x="1750"/>
        <item m="1" x="2641"/>
        <item m="1" x="3525"/>
        <item m="1" x="4416"/>
        <item m="1" x="5301"/>
        <item m="1" x="6200"/>
        <item m="1" x="7085"/>
        <item m="1" x="7974"/>
        <item m="1" x="1857"/>
        <item m="1" x="2748"/>
        <item m="1" x="3631"/>
        <item m="1" x="4520"/>
        <item m="1" x="7308"/>
        <item m="1" x="1195"/>
        <item m="1" x="2083"/>
        <item m="1" x="2964"/>
        <item m="1" x="3854"/>
        <item m="1" x="4742"/>
        <item m="1" x="5634"/>
        <item m="1" x="6521"/>
        <item m="1" x="7411"/>
        <item m="1" x="1299"/>
        <item m="1" x="2183"/>
        <item m="1" x="3065"/>
        <item m="1" x="3954"/>
        <item m="1" x="4848"/>
        <item m="1" x="5736"/>
        <item m="1" x="6626"/>
        <item m="1" x="7511"/>
        <item m="1" x="1409"/>
        <item m="1" x="2285"/>
        <item m="1" x="3173"/>
        <item m="1" x="4059"/>
        <item m="1" x="4958"/>
        <item m="1" x="5842"/>
        <item m="1" x="6734"/>
        <item m="1" x="7620"/>
        <item m="1" x="1516"/>
        <item m="1" x="2391"/>
        <item m="1" x="3281"/>
        <item m="1" x="4170"/>
        <item m="1" x="5064"/>
        <item m="1" x="5950"/>
        <item m="1" x="6841"/>
        <item m="1" x="7730"/>
        <item m="1" x="3500"/>
        <item m="1" x="4394"/>
        <item m="1" x="5283"/>
        <item m="1" x="6177"/>
        <item m="1" x="7059"/>
        <item m="1" x="7953"/>
        <item m="1" x="1837"/>
        <item m="1" x="2723"/>
        <item m="1" x="3603"/>
        <item m="1" x="4497"/>
        <item m="1" x="5388"/>
        <item m="1" x="6279"/>
        <item m="1" x="7162"/>
        <item m="1" x="1058"/>
        <item m="1" x="1945"/>
        <item m="1" x="2824"/>
        <item m="1" x="3709"/>
        <item m="1" x="4602"/>
        <item m="1" x="5499"/>
        <item m="1" x="6382"/>
        <item m="1" x="7271"/>
        <item m="1" x="1163"/>
        <item m="1" x="2053"/>
        <item m="1" x="2928"/>
        <item m="1" x="3818"/>
        <item m="1" x="4713"/>
        <item m="1" x="5605"/>
        <item m="1" x="6488"/>
        <item m="1" x="7378"/>
        <item m="1" x="1273"/>
        <item m="1" x="2156"/>
        <item m="1" x="3034"/>
        <item m="1" x="3925"/>
        <item m="1" x="6714"/>
        <item m="1" x="7597"/>
        <item m="1" x="1497"/>
        <item m="1" x="2373"/>
        <item m="1" x="3260"/>
        <item m="1" x="4143"/>
        <item m="1" x="5043"/>
        <item m="1" x="5930"/>
        <item m="1" x="6816"/>
        <item m="1" x="7700"/>
        <item m="1" x="1597"/>
        <item m="1" x="2478"/>
        <item m="1" x="3360"/>
        <item m="1" x="4246"/>
        <item m="1" x="5143"/>
        <item m="1" x="6037"/>
        <item m="1" x="6916"/>
        <item m="1" x="7808"/>
        <item m="1" x="1699"/>
        <item m="1" x="2589"/>
        <item m="1" x="3464"/>
        <item m="1" x="4355"/>
        <item m="1" x="5251"/>
        <item m="1" x="6147"/>
        <item m="1" x="7023"/>
        <item m="1" x="7918"/>
        <item m="1" x="1809"/>
        <item m="1" x="2695"/>
        <item m="1" x="3571"/>
        <item m="1" x="4466"/>
        <item m="1" x="5361"/>
        <item m="1" x="6253"/>
        <item m="1" x="7131"/>
        <item m="1" x="2910"/>
        <item m="1" x="3797"/>
        <item m="1" x="4688"/>
        <item m="1" x="5584"/>
        <item m="1" x="6469"/>
        <item m="1" x="7355"/>
        <item m="1" x="1245"/>
        <item m="1" x="2135"/>
        <item m="1" x="3014"/>
        <item m="1" x="3898"/>
        <item m="1" x="4790"/>
        <item m="1" x="5686"/>
        <item m="1" x="6575"/>
        <item m="1" x="7457"/>
        <item m="1" x="1349"/>
        <item m="1" x="2236"/>
        <item m="1" x="3122"/>
        <item m="1" x="4002"/>
        <item m="1" x="4898"/>
        <item m="1" x="5792"/>
        <item m="1" x="6684"/>
        <item m="1" x="7560"/>
        <item m="1" x="1458"/>
        <item m="1" x="2343"/>
        <item m="1" x="3230"/>
        <item m="1" x="4108"/>
        <item m="1" x="5008"/>
        <item m="1" x="5903"/>
        <item m="1" x="6788"/>
        <item m="1" x="7668"/>
        <item m="1" x="1566"/>
        <item m="1" x="2451"/>
        <item m="1" x="3334"/>
        <item m="1" x="6125"/>
        <item m="1" x="7005"/>
        <item m="1" x="7897"/>
        <item m="1" x="1783"/>
        <item m="1" x="2675"/>
        <item m="1" x="3551"/>
        <item m="1" x="4442"/>
        <item m="1" x="5332"/>
        <item m="1" x="6230"/>
        <item m="1" x="7108"/>
        <item m="1" x="7998"/>
        <item m="1" x="1885"/>
        <item m="1" x="2775"/>
        <item m="1" x="3656"/>
        <item m="1" x="4543"/>
        <item m="1" x="5436"/>
        <item m="1" x="6330"/>
        <item m="1" x="7218"/>
        <item m="1" x="1103"/>
        <item m="1" x="1993"/>
        <item m="1" x="2878"/>
        <item m="1" x="3765"/>
        <item m="1" x="4650"/>
        <item m="1" x="5546"/>
        <item m="1" x="6438"/>
        <item m="1" x="7325"/>
        <item m="1" x="1210"/>
        <item m="1" x="2101"/>
        <item m="1" x="2987"/>
        <item m="1" x="3871"/>
        <item m="1" x="4759"/>
        <item m="1" x="5656"/>
        <item m="1" x="6547"/>
        <item m="1" x="2318"/>
        <item m="1" x="3208"/>
        <item m="1" x="4089"/>
        <item m="1" x="4985"/>
        <item m="1" x="5875"/>
        <item m="1" x="6766"/>
        <item m="1" x="7647"/>
        <item m="1" x="1541"/>
        <item m="1" x="2421"/>
        <item m="1" x="3309"/>
        <item m="1" x="4193"/>
        <item m="1" x="5087"/>
        <item m="1" x="5977"/>
        <item m="1" x="6866"/>
        <item m="1" x="7755"/>
        <item m="1" x="1642"/>
        <item m="1" x="2527"/>
        <item m="1" x="3412"/>
        <item m="1" x="4303"/>
        <item m="1" x="5191"/>
        <item m="1" x="6086"/>
        <item m="1" x="6971"/>
        <item m="1" x="7865"/>
        <item m="1" x="1746"/>
        <item m="1" x="2637"/>
        <item m="1" x="3521"/>
        <item m="1" x="4412"/>
        <item m="1" x="5298"/>
        <item m="1" x="6196"/>
        <item m="1" x="7082"/>
        <item m="1" x="7971"/>
        <item m="1" x="1854"/>
        <item m="1" x="2746"/>
        <item m="1" x="5525"/>
        <item m="1" x="6414"/>
        <item m="1" x="7304"/>
        <item m="1" x="1191"/>
        <item m="1" x="2079"/>
        <item m="1" x="2959"/>
        <item m="1" x="3849"/>
        <item m="1" x="4738"/>
        <item m="1" x="5630"/>
        <item m="1" x="6516"/>
        <item m="1" x="7406"/>
        <item m="1" x="1295"/>
        <item m="1" x="2179"/>
        <item m="1" x="3060"/>
        <item m="1" x="3949"/>
        <item m="1" x="4844"/>
        <item m="1" x="5732"/>
        <item m="1" x="6621"/>
        <item m="1" x="7506"/>
        <item m="1" x="1405"/>
        <item m="1" x="2281"/>
        <item m="1" x="3168"/>
        <item m="1" x="4055"/>
        <item m="1" x="4954"/>
        <item m="1" x="5838"/>
        <item m="1" x="6730"/>
        <item m="1" x="7617"/>
        <item m="1" x="1512"/>
        <item m="1" x="2388"/>
        <item m="1" x="3278"/>
        <item m="1" x="4166"/>
        <item m="1" x="5061"/>
        <item m="1" x="5948"/>
        <item m="1" x="1728"/>
        <item m="1" x="2616"/>
        <item m="1" x="3496"/>
        <item m="1" x="4389"/>
        <item m="1" x="5279"/>
        <item m="1" x="6173"/>
        <item m="1" x="7054"/>
        <item m="1" x="7948"/>
        <item m="1" x="1833"/>
        <item m="1" x="2719"/>
        <item m="1" x="3598"/>
        <item m="1" x="4492"/>
        <item m="1" x="5384"/>
        <item m="1" x="6275"/>
        <item m="1" x="7157"/>
        <item m="1" x="1053"/>
        <item m="1" x="1941"/>
        <item m="1" x="2820"/>
        <item m="1" x="3704"/>
        <item m="1" x="4597"/>
        <item m="1" x="5495"/>
        <item m="1" x="6378"/>
        <item m="1" x="7266"/>
        <item m="1" x="1159"/>
        <item m="1" x="2049"/>
        <item m="1" x="2924"/>
        <item m="1" x="3814"/>
        <item m="1" x="4710"/>
        <item m="1" x="5601"/>
        <item m="1" x="6485"/>
        <item m="1" x="7375"/>
        <item m="1" x="1269"/>
        <item m="1" x="2154"/>
        <item m="1" x="4932"/>
        <item m="1" x="5822"/>
        <item m="1" x="6711"/>
        <item m="1" x="7592"/>
        <item m="1" x="1492"/>
        <item m="1" x="2369"/>
        <item m="1" x="3256"/>
        <item m="1" x="4138"/>
        <item m="1" x="5038"/>
        <item m="1" x="5926"/>
        <item m="1" x="6812"/>
        <item m="1" x="7695"/>
        <item m="1" x="1592"/>
        <item m="1" x="2474"/>
        <item m="1" x="3356"/>
        <item m="1" x="4241"/>
        <item m="1" x="5138"/>
        <item m="1" x="6033"/>
        <item m="1" x="6912"/>
        <item m="1" x="7803"/>
        <item m="1" x="1695"/>
        <item m="1" x="2585"/>
        <item m="1" x="3460"/>
        <item m="1" x="4351"/>
        <item m="1" x="5247"/>
        <item m="1" x="6143"/>
        <item m="1" x="7020"/>
        <item m="1" x="7914"/>
        <item m="1" x="1806"/>
        <item m="1" x="2692"/>
        <item m="1" x="3568"/>
        <item m="1" x="4463"/>
        <item m="1" x="5358"/>
        <item m="1" x="1136"/>
        <item m="1" x="2028"/>
        <item m="1" x="2907"/>
        <item m="1" x="3793"/>
        <item m="1" x="4683"/>
        <item m="1" x="5579"/>
        <item m="1" x="6465"/>
        <item m="1" x="7351"/>
        <item m="1" x="1240"/>
        <item m="1" x="2130"/>
        <item m="1" x="3010"/>
        <item m="1" x="3894"/>
        <item m="1" x="4785"/>
        <item m="1" x="5681"/>
        <item m="1" x="6571"/>
        <item m="1" x="7453"/>
        <item m="1" x="1344"/>
        <item m="1" x="2231"/>
        <item m="1" x="3118"/>
        <item m="1" x="3998"/>
        <item m="1" x="4893"/>
        <item m="1" x="5788"/>
        <item m="1" x="6680"/>
        <item m="1" x="7556"/>
        <item m="1" x="1454"/>
        <item m="1" x="2339"/>
        <item m="1" x="3226"/>
        <item m="1" x="4105"/>
        <item m="1" x="5004"/>
        <item m="1" x="5899"/>
        <item m="1" x="6785"/>
        <item m="1" x="7665"/>
        <item m="1" x="1564"/>
        <item m="1" x="4331"/>
        <item m="1" x="5224"/>
        <item m="1" x="6121"/>
        <item m="1" x="7001"/>
        <item m="1" x="7893"/>
        <item m="1" x="1778"/>
        <item m="1" x="2670"/>
        <item m="1" x="3547"/>
        <item m="1" x="4438"/>
        <item m="1" x="5327"/>
        <item m="1" x="6225"/>
        <item m="1" x="7104"/>
        <item m="1" x="7994"/>
        <item m="1" x="1880"/>
        <item m="1" x="2770"/>
        <item m="1" x="3652"/>
        <item m="1" x="4539"/>
        <item m="1" x="5431"/>
        <item m="1" x="6325"/>
        <item m="1" x="7214"/>
        <item m="1" x="1099"/>
        <item m="1" x="1988"/>
        <item m="1" x="2874"/>
        <item m="1" x="3761"/>
        <item m="1" x="4646"/>
        <item m="1" x="5542"/>
        <item m="1" x="6435"/>
        <item m="1" x="7321"/>
        <item m="1" x="1207"/>
        <item m="1" x="2098"/>
        <item m="1" x="2983"/>
        <item m="1" x="3868"/>
        <item m="1" x="4757"/>
        <item m="1" x="7538"/>
        <item m="1" x="1433"/>
        <item m="1" x="2314"/>
        <item m="1" x="3203"/>
        <item m="1" x="4085"/>
        <item m="1" x="4981"/>
        <item m="1" x="5870"/>
        <item m="1" x="6761"/>
        <item m="1" x="7643"/>
        <item m="1" x="1537"/>
        <item m="1" x="2416"/>
        <item m="1" x="3304"/>
        <item m="1" x="4189"/>
        <item m="1" x="5083"/>
        <item m="1" x="5972"/>
        <item m="1" x="6861"/>
        <item m="1" x="7751"/>
        <item m="1" x="1638"/>
        <item m="1" x="2522"/>
        <item m="1" x="3407"/>
        <item m="1" x="4299"/>
        <item m="1" x="5187"/>
        <item m="1" x="6081"/>
        <item m="1" x="6967"/>
        <item m="1" x="7861"/>
        <item m="1" x="1742"/>
        <item m="1" x="2633"/>
        <item m="1" x="3518"/>
        <item m="1" x="4408"/>
        <item m="1" x="5295"/>
        <item m="1" x="6193"/>
        <item m="1" x="7078"/>
        <item m="1" x="7969"/>
        <item m="1" x="3738"/>
        <item m="1" x="4629"/>
        <item m="1" x="5522"/>
        <item m="1" x="6410"/>
        <item m="1" x="7300"/>
        <item m="1" x="1188"/>
        <item m="1" x="2076"/>
        <item m="1" x="2955"/>
        <item m="1" x="3845"/>
        <item m="1" x="4735"/>
        <item m="1" x="5627"/>
        <item m="1" x="6512"/>
        <item m="1" x="7402"/>
        <item m="1" x="1292"/>
        <item m="1" x="2176"/>
        <item m="1" x="3056"/>
        <item m="1" x="3945"/>
        <item m="1" x="4841"/>
        <item m="1" x="5729"/>
        <item m="1" x="6617"/>
        <item m="1" x="7503"/>
        <item m="1" x="1402"/>
        <item m="1" x="2278"/>
        <item m="1" x="3165"/>
        <item m="1" x="4052"/>
        <item m="1" x="4951"/>
        <item m="1" x="5836"/>
        <item m="1" x="6727"/>
        <item m="1" x="7615"/>
        <item m="1" x="1510"/>
        <item m="1" x="2386"/>
        <item m="1" x="3276"/>
        <item m="1" x="4164"/>
        <item m="1" x="6944"/>
        <item m="1" x="7838"/>
        <item m="1" x="1725"/>
        <item m="1" x="2613"/>
        <item m="1" x="3492"/>
        <item m="1" x="4385"/>
        <item m="1" x="5276"/>
        <item m="1" x="6170"/>
        <item m="1" x="7050"/>
        <item m="1" x="7944"/>
        <item m="1" x="1830"/>
        <item m="1" x="2716"/>
        <item m="1" x="3594"/>
        <item m="1" x="4488"/>
        <item m="1" x="5381"/>
        <item m="1" x="6272"/>
        <item m="1" x="7153"/>
        <item m="1" x="1049"/>
        <item m="1" x="1938"/>
        <item m="1" x="2817"/>
        <item m="1" x="3700"/>
        <item m="1" x="4594"/>
        <item m="1" x="5492"/>
        <item m="1" x="6375"/>
        <item m="1" x="7263"/>
        <item m="1" x="1156"/>
        <item m="1" x="2046"/>
        <item m="1" x="2922"/>
        <item m="1" x="3811"/>
        <item m="1" x="4707"/>
        <item m="1" x="5599"/>
        <item m="1" x="6483"/>
        <item m="1" x="7373"/>
        <item m="1" x="3146"/>
        <item m="1" x="4030"/>
        <item m="1" x="4928"/>
        <item m="1" x="5819"/>
        <item m="1" x="6708"/>
        <item m="1" x="7588"/>
        <item m="1" x="1488"/>
        <item m="1" x="2366"/>
        <item m="1" x="3253"/>
        <item m="1" x="4134"/>
        <item m="1" x="5034"/>
        <item m="1" x="5923"/>
        <item m="1" x="6809"/>
        <item m="1" x="7691"/>
        <item m="1" x="1588"/>
        <item m="1" x="2471"/>
        <item m="1" x="3353"/>
        <item m="1" x="4237"/>
        <item m="1" x="5134"/>
        <item m="1" x="6030"/>
        <item m="1" x="6909"/>
        <item m="1" x="7799"/>
        <item m="1" x="1692"/>
        <item m="1" x="2581"/>
        <item m="1" x="3456"/>
        <item m="1" x="4347"/>
        <item m="1" x="5244"/>
        <item m="1" x="6139"/>
        <item m="1" x="7017"/>
        <item m="1" x="7911"/>
        <item m="1" x="1802"/>
        <item m="1" x="2689"/>
        <item m="1" x="3566"/>
        <item m="1" x="6357"/>
        <item m="1" x="7242"/>
        <item m="1" x="1131"/>
        <item m="1" x="2023"/>
        <item m="1" x="2903"/>
        <item m="1" x="3789"/>
        <item m="1" x="4678"/>
        <item m="1" x="5574"/>
        <item m="1" x="6461"/>
        <item m="1" x="7347"/>
        <item m="1" x="1235"/>
        <item m="1" x="2125"/>
        <item m="1" x="3006"/>
        <item m="1" x="3891"/>
        <item m="1" x="4781"/>
        <item m="1" x="5677"/>
        <item m="1" x="6568"/>
        <item m="1" x="7450"/>
        <item m="1" x="1340"/>
        <item m="1" x="2227"/>
        <item m="1" x="3115"/>
        <item m="1" x="3995"/>
        <item m="1" x="4889"/>
        <item m="1" x="5784"/>
        <item m="1" x="6676"/>
        <item m="1" x="7552"/>
        <item m="1" x="1450"/>
        <item m="1" x="2336"/>
        <item m="1" x="3222"/>
        <item m="1" x="4102"/>
        <item m="1" x="5001"/>
        <item m="1" x="5895"/>
        <item m="1" x="6783"/>
        <item m="1" x="2557"/>
        <item m="1" x="3439"/>
        <item m="1" x="4327"/>
        <item m="1" x="5219"/>
        <item m="1" x="6116"/>
        <item m="1" x="6997"/>
        <item m="1" x="7889"/>
        <item m="1" x="1773"/>
        <item m="1" x="2665"/>
        <item m="1" x="3543"/>
        <item m="1" x="4434"/>
        <item m="1" x="5322"/>
        <item m="1" x="6220"/>
        <item m="1" x="7101"/>
        <item m="1" x="7991"/>
        <item m="1" x="1876"/>
        <item m="1" x="2766"/>
        <item m="1" x="3649"/>
        <item m="1" x="4536"/>
        <item m="1" x="5427"/>
        <item m="1" x="6322"/>
        <item m="1" x="7211"/>
        <item m="1" x="1096"/>
        <item m="1" x="1984"/>
        <item m="1" x="2870"/>
        <item m="1" x="3757"/>
        <item m="1" x="4643"/>
        <item m="1" x="5538"/>
        <item m="1" x="6432"/>
        <item m="1" x="7318"/>
        <item m="1" x="1204"/>
        <item m="1" x="2095"/>
        <item m="1" x="2980"/>
        <item m="1" x="5760"/>
        <item m="1" x="6651"/>
        <item m="1" x="7534"/>
        <item m="1" x="1429"/>
        <item m="1" x="2309"/>
        <item m="1" x="3198"/>
        <item m="1" x="4081"/>
        <item m="1" x="4977"/>
        <item m="1" x="5865"/>
        <item m="1" x="6756"/>
        <item m="1" x="7639"/>
        <item m="1" x="1533"/>
        <item m="1" x="2411"/>
        <item m="1" x="3300"/>
        <item m="1" x="4186"/>
        <item m="1" x="5080"/>
        <item m="1" x="5968"/>
        <item m="1" x="6857"/>
        <item m="1" x="7748"/>
        <item m="1" x="1635"/>
        <item m="1" x="2518"/>
        <item m="1" x="3404"/>
        <item m="1" x="4296"/>
        <item m="1" x="5183"/>
        <item m="1" x="6077"/>
        <item m="1" x="6963"/>
        <item m="1" x="7857"/>
        <item m="1" x="1739"/>
        <item m="1" x="2629"/>
        <item m="1" x="3514"/>
        <item m="1" x="4405"/>
        <item m="1" x="5292"/>
        <item m="1" x="6190"/>
        <item m="1" x="1964"/>
        <item m="1" x="2847"/>
        <item m="1" x="3733"/>
        <item m="1" x="4625"/>
        <item m="1" x="5518"/>
        <item m="1" x="6405"/>
        <item m="1" x="7295"/>
        <item m="1" x="1184"/>
        <item m="1" x="2072"/>
        <item m="1" x="2950"/>
        <item m="1" x="3840"/>
        <item m="1" x="4731"/>
        <item m="1" x="5623"/>
        <item m="1" x="6508"/>
        <item m="1" x="7398"/>
        <item m="1" x="1289"/>
        <item m="1" x="2173"/>
        <item m="1" x="3052"/>
        <item m="1" x="3941"/>
        <item m="1" x="4838"/>
        <item m="1" x="5726"/>
        <item m="1" x="6613"/>
        <item m="1" x="7500"/>
        <item m="1" x="1398"/>
        <item m="1" x="2274"/>
        <item m="1" x="3161"/>
        <item m="1" x="4049"/>
        <item m="1" x="4947"/>
        <item m="1" x="5833"/>
        <item m="1" x="6724"/>
        <item m="1" x="7611"/>
        <item m="1" x="1507"/>
        <item m="1" x="2384"/>
        <item m="1" x="5166"/>
        <item m="1" x="6057"/>
        <item m="1" x="6939"/>
        <item m="1" x="7833"/>
        <item m="1" x="1721"/>
        <item m="1" x="2609"/>
        <item m="1" x="3487"/>
        <item m="1" x="4380"/>
        <item m="1" x="5272"/>
        <item m="1" x="6166"/>
        <item m="1" x="7045"/>
        <item m="1" x="7939"/>
        <item m="1" x="1826"/>
        <item m="1" x="2713"/>
        <item m="1" x="3590"/>
        <item m="1" x="4484"/>
        <item m="1" x="5378"/>
        <item m="1" x="6269"/>
        <item m="1" x="7149"/>
        <item m="1" x="1045"/>
        <item m="1" x="1935"/>
        <item m="1" x="2814"/>
        <item m="1" x="3696"/>
        <item m="1" x="4590"/>
        <item m="1" x="5488"/>
        <item m="1" x="6371"/>
        <item m="1" x="7259"/>
        <item m="1" x="1153"/>
        <item m="1" x="2042"/>
        <item m="1" x="2919"/>
        <item m="1" x="3808"/>
        <item m="1" x="4703"/>
        <item m="1" x="5597"/>
        <item m="1" x="1374"/>
        <item m="1" x="2258"/>
        <item m="1" x="3142"/>
        <item m="1" x="4025"/>
        <item m="1" x="4923"/>
        <item m="1" x="5815"/>
        <item m="1" x="6704"/>
        <item m="1" x="7583"/>
        <item m="1" x="1483"/>
        <item m="1" x="2362"/>
        <item m="1" x="3249"/>
        <item m="1" x="4129"/>
        <item m="1" x="5029"/>
        <item m="1" x="5920"/>
        <item m="1" x="6806"/>
        <item m="1" x="7687"/>
        <item m="1" x="1584"/>
        <item m="1" x="2468"/>
        <item m="1" x="3350"/>
        <item m="1" x="4233"/>
        <item m="1" x="5131"/>
        <item m="1" x="6027"/>
        <item m="1" x="6906"/>
        <item m="1" x="7795"/>
        <item m="1" x="1688"/>
        <item m="1" x="2577"/>
        <item m="1" x="3453"/>
        <item m="1" x="4343"/>
        <item m="1" x="5241"/>
        <item m="1" x="6136"/>
        <item m="1" x="7014"/>
        <item m="1" x="7908"/>
        <item m="1" x="1799"/>
        <item m="1" x="4566"/>
        <item m="1" x="5461"/>
        <item m="1" x="6353"/>
        <item m="1" x="7238"/>
        <item m="1" x="1126"/>
        <item m="1" x="2018"/>
        <item m="1" x="2899"/>
        <item m="1" x="3785"/>
        <item m="1" x="4673"/>
        <item m="1" x="5569"/>
        <item m="1" x="6457"/>
        <item m="1" x="7343"/>
        <item m="1" x="1230"/>
        <item m="1" x="2121"/>
        <item m="1" x="3003"/>
        <item m="1" x="3888"/>
        <item m="1" x="4777"/>
        <item m="1" x="5673"/>
        <item m="1" x="6565"/>
        <item m="1" x="7447"/>
        <item m="1" x="1336"/>
        <item m="1" x="2224"/>
        <item m="1" x="3112"/>
        <item m="1" x="3991"/>
        <item m="1" x="4885"/>
        <item m="1" x="5780"/>
        <item m="1" x="6672"/>
        <item m="1" x="7549"/>
        <item m="1" x="1446"/>
        <item m="1" x="2332"/>
        <item m="1" x="3219"/>
        <item m="1" x="4099"/>
        <item m="1" x="4998"/>
        <item m="1" x="6889"/>
        <item m="1" x="7775"/>
        <item m="1" x="1665"/>
        <item m="1" x="2552"/>
        <item m="1" x="3435"/>
        <item m="1" x="4323"/>
        <item m="1" x="5214"/>
        <item m="1" x="6111"/>
        <item m="1" x="6993"/>
        <item m="1" x="7885"/>
        <item m="1" x="1768"/>
        <item m="1" x="2660"/>
        <item m="1" x="3539"/>
        <item m="1" x="4430"/>
        <item m="1" x="5318"/>
        <item m="1" x="6216"/>
        <item m="1" x="7098"/>
        <item m="1" x="7988"/>
        <item m="1" x="1872"/>
        <item m="1" x="2762"/>
        <item m="1" x="3646"/>
        <item m="1" x="4533"/>
        <item m="1" x="5423"/>
        <item m="1" x="6319"/>
        <item m="1" x="7207"/>
        <item m="1" x="1092"/>
        <item m="1" x="1980"/>
        <item m="1" x="2867"/>
        <item m="1" x="3753"/>
        <item m="1" x="4640"/>
        <item m="1" x="5535"/>
        <item m="1" x="6428"/>
        <item m="1" x="7315"/>
        <item m="1" x="1202"/>
        <item m="1" x="3085"/>
        <item m="1" x="3973"/>
        <item m="1" x="4864"/>
        <item m="1" x="5755"/>
        <item m="1" x="6646"/>
        <item m="1" x="7530"/>
        <item m="1" x="1425"/>
        <item m="1" x="2304"/>
        <item m="1" x="3193"/>
        <item m="1" x="4077"/>
        <item m="1" x="4973"/>
        <item m="1" x="5860"/>
        <item m="1" x="6751"/>
        <item m="1" x="7635"/>
        <item m="1" x="1530"/>
        <item m="1" x="2407"/>
        <item m="1" x="3296"/>
        <item m="1" x="4183"/>
        <item m="1" x="5077"/>
        <item m="1" x="5964"/>
        <item m="1" x="6853"/>
        <item m="1" x="7745"/>
        <item m="1" x="1632"/>
        <item m="1" x="2514"/>
        <item m="1" x="3400"/>
        <item m="1" x="4292"/>
        <item m="1" x="5179"/>
        <item m="1" x="6073"/>
        <item m="1" x="6960"/>
        <item m="1" x="7853"/>
        <item m="1" x="1736"/>
        <item m="1" x="2626"/>
        <item m="1" x="3510"/>
        <item m="1" x="4403"/>
        <item m="1" x="6297"/>
        <item m="1" x="7181"/>
        <item m="1" x="1076"/>
        <item m="1" x="1960"/>
        <item m="1" x="2842"/>
        <item m="1" x="3728"/>
        <item m="1" x="4621"/>
        <item m="1" x="5514"/>
        <item m="1" x="6400"/>
        <item m="1" x="7290"/>
        <item m="1" x="1180"/>
        <item m="1" x="2068"/>
        <item m="1" x="2945"/>
        <item m="1" x="3835"/>
        <item m="1" x="4728"/>
        <item m="1" x="5620"/>
        <item m="1" x="6504"/>
        <item m="1" x="7394"/>
        <item m="1" x="1286"/>
        <item m="1" x="2170"/>
        <item m="1" x="3048"/>
        <item m="1" x="3938"/>
        <item m="1" x="4835"/>
        <item m="1" x="5722"/>
        <item m="1" x="6609"/>
        <item m="1" x="7496"/>
        <item m="1" x="1394"/>
        <item m="1" x="2271"/>
        <item m="1" x="3157"/>
        <item m="1" x="4046"/>
        <item m="1" x="4944"/>
        <item m="1" x="5830"/>
        <item m="1" x="6721"/>
        <item m="1" x="7608"/>
        <item m="1" x="2494"/>
        <item m="1" x="3378"/>
        <item m="1" x="4266"/>
        <item m="1" x="5162"/>
        <item m="1" x="6053"/>
        <item m="1" x="6934"/>
        <item m="1" x="7828"/>
        <item m="1" x="1717"/>
        <item m="1" x="2605"/>
        <item m="1" x="3482"/>
        <item m="1" x="4375"/>
        <item m="1" x="5268"/>
        <item m="1" x="6162"/>
        <item m="1" x="7040"/>
        <item m="1" x="7935"/>
        <item m="1" x="1823"/>
        <item m="1" x="2710"/>
        <item m="1" x="3586"/>
        <item m="1" x="4480"/>
        <item m="1" x="5375"/>
        <item m="1" x="6266"/>
        <item m="1" x="7145"/>
        <item m="1" x="1042"/>
        <item m="1" x="1931"/>
        <item m="1" x="2810"/>
        <item m="1" x="3692"/>
        <item m="1" x="4586"/>
        <item m="1" x="5484"/>
        <item m="1" x="6368"/>
        <item m="1" x="7255"/>
        <item m="1" x="1149"/>
        <item m="1" x="2039"/>
        <item m="1" x="2916"/>
        <item m="1" x="3805"/>
        <item m="1" x="5705"/>
        <item m="1" x="6591"/>
        <item m="1" x="7475"/>
        <item m="1" x="1369"/>
        <item m="1" x="2254"/>
        <item m="1" x="3138"/>
        <item m="1" x="4020"/>
        <item m="1" x="4918"/>
        <item m="1" x="5811"/>
        <item m="1" x="6700"/>
        <item m="1" x="7578"/>
        <item m="1" x="1478"/>
        <item m="1" x="2358"/>
        <item m="1" x="3245"/>
        <item m="1" x="4125"/>
        <item m="1" x="5025"/>
        <item m="1" x="5917"/>
        <item m="1" x="6803"/>
        <item m="1" x="7683"/>
        <item m="1" x="1580"/>
        <item m="1" x="2465"/>
        <item m="1" x="3347"/>
        <item m="1" x="4229"/>
        <item m="1" x="5127"/>
        <item m="1" x="6023"/>
        <item m="1" x="6902"/>
        <item m="1" x="7791"/>
        <item m="1" x="1685"/>
        <item m="1" x="2573"/>
        <item m="1" x="3450"/>
        <item m="1" x="4340"/>
        <item m="1" x="5237"/>
        <item m="1" x="6133"/>
        <item m="1" x="7012"/>
        <item m="1" x="1905"/>
        <item m="1" x="2793"/>
        <item m="1" x="3672"/>
        <item m="1" x="4561"/>
        <item m="1" x="5456"/>
        <item m="1" x="6349"/>
        <item m="1" x="7234"/>
        <item m="1" x="1121"/>
        <item m="1" x="2013"/>
        <item m="1" x="2895"/>
        <item m="1" x="3781"/>
        <item m="1" x="4668"/>
        <item m="1" x="5564"/>
        <item m="1" x="6453"/>
        <item m="1" x="7340"/>
        <item m="1" x="1226"/>
        <item m="1" x="2117"/>
        <item m="1" x="3000"/>
        <item m="1" x="3885"/>
        <item m="1" x="4773"/>
        <item m="1" x="5669"/>
        <item m="1" x="6562"/>
        <item m="1" x="7444"/>
        <item m="1" x="1331"/>
        <item m="1" x="2220"/>
        <item m="1" x="3108"/>
        <item m="1" x="3987"/>
        <item m="1" x="4881"/>
        <item m="1" x="5777"/>
        <item m="1" x="6668"/>
        <item m="1" x="7546"/>
        <item m="1" x="1443"/>
        <item m="1" x="2328"/>
        <item m="1" x="3217"/>
        <item m="1" x="5105"/>
        <item m="1" x="5997"/>
        <item m="1" x="6885"/>
        <item m="1" x="7771"/>
        <item m="1" x="1660"/>
        <item m="1" x="2547"/>
        <item m="1" x="3431"/>
        <item m="1" x="4319"/>
        <item m="1" x="5209"/>
        <item m="1" x="6106"/>
        <item m="1" x="6989"/>
        <item m="1" x="7881"/>
        <item m="1" x="1763"/>
        <item m="1" x="2655"/>
        <item m="1" x="3536"/>
        <item m="1" x="4427"/>
        <item m="1" x="5314"/>
        <item m="1" x="6212"/>
        <item m="1" x="7095"/>
        <item m="1" x="7985"/>
        <item m="1" x="1868"/>
        <item m="1" x="2759"/>
        <item m="1" x="3643"/>
        <item m="1" x="4529"/>
        <item m="1" x="5419"/>
        <item m="1" x="6315"/>
        <item m="1" x="7203"/>
        <item m="1" x="1089"/>
        <item m="1" x="1976"/>
        <item m="1" x="2864"/>
        <item m="1" x="3750"/>
        <item m="1" x="4637"/>
        <item m="1" x="5532"/>
        <item m="1" x="6425"/>
        <item m="1" x="1311"/>
        <item m="1" x="2197"/>
        <item m="1" x="3080"/>
        <item m="1" x="3969"/>
        <item m="1" x="4860"/>
        <item m="1" x="5750"/>
        <item m="1" x="6641"/>
        <item m="1" x="7526"/>
        <item m="1" x="1421"/>
        <item m="1" x="2299"/>
        <item m="1" x="3188"/>
        <item m="1" x="4073"/>
        <item m="1" x="4969"/>
        <item m="1" x="5855"/>
        <item m="1" x="6747"/>
        <item m="1" x="7632"/>
        <item m="1" x="1527"/>
        <item m="1" x="2403"/>
        <item m="1" x="3292"/>
        <item m="1" x="4180"/>
        <item m="1" x="5074"/>
        <item m="1" x="5960"/>
        <item m="1" x="6850"/>
        <item m="1" x="7741"/>
        <item m="1" x="1628"/>
        <item m="1" x="2510"/>
        <item m="1" x="3396"/>
        <item m="1" x="4288"/>
        <item m="1" x="5176"/>
        <item m="1" x="6069"/>
        <item m="1" x="6956"/>
        <item m="1" x="7850"/>
        <item m="1" x="1733"/>
        <item m="1" x="2623"/>
        <item m="1" x="4512"/>
        <item m="1" x="5399"/>
        <item m="1" x="6292"/>
        <item m="1" x="7176"/>
        <item m="1" x="1072"/>
        <item m="1" x="1956"/>
        <item m="1" x="2837"/>
        <item m="1" x="3723"/>
        <item m="1" x="4617"/>
        <item m="1" x="5510"/>
        <item m="1" x="6395"/>
        <item m="1" x="7285"/>
        <item m="1" x="1176"/>
        <item m="1" x="2064"/>
        <item m="1" x="2941"/>
        <item m="1" x="3831"/>
        <item m="1" x="4725"/>
        <item m="1" x="5617"/>
        <item m="1" x="6500"/>
        <item m="1" x="7390"/>
        <item m="1" x="1283"/>
        <item m="1" x="2167"/>
        <item m="1" x="3044"/>
        <item m="1" x="3934"/>
        <item m="1" x="4831"/>
        <item m="1" x="5718"/>
        <item m="1" x="6605"/>
        <item m="1" x="7493"/>
        <item m="1" x="1390"/>
        <item m="1" x="2268"/>
        <item m="1" x="3154"/>
        <item m="1" x="4042"/>
        <item m="1" x="4941"/>
        <item m="1" x="5828"/>
        <item m="1" x="7715"/>
        <item m="1" x="1611"/>
        <item m="1" x="2490"/>
        <item m="1" x="3373"/>
        <item m="1" x="4261"/>
        <item m="1" x="5158"/>
        <item m="1" x="6049"/>
        <item m="1" x="6929"/>
        <item m="1" x="7823"/>
        <item m="1" x="1713"/>
        <item m="1" x="2601"/>
        <item m="1" x="3477"/>
        <item m="1" x="4370"/>
        <item m="1" x="5264"/>
        <item m="1" x="6159"/>
        <item m="1" x="7036"/>
        <item m="1" x="7931"/>
        <item m="1" x="1820"/>
        <item m="1" x="2707"/>
        <item m="1" x="3582"/>
        <item m="1" x="4477"/>
        <item m="1" x="5372"/>
        <item m="1" x="6263"/>
        <item m="1" x="7140"/>
        <item m="1" x="1038"/>
        <item m="1" x="1927"/>
        <item m="1" x="2806"/>
        <item m="1" x="3688"/>
        <item m="1" x="4583"/>
        <item m="1" x="5480"/>
        <item m="1" x="6365"/>
        <item m="1" x="7252"/>
        <item m="1" x="1145"/>
        <item m="1" x="2037"/>
        <item m="1" x="3911"/>
        <item m="1" x="4805"/>
        <item m="1" x="5701"/>
        <item m="1" x="6587"/>
        <item m="1" x="7470"/>
        <item m="1" x="1364"/>
        <item m="1" x="2250"/>
        <item m="1" x="3134"/>
        <item m="1" x="4015"/>
        <item m="1" x="4913"/>
        <item m="1" x="5807"/>
        <item m="1" x="6696"/>
        <item m="1" x="7573"/>
        <item m="1" x="1473"/>
        <item m="1" x="2355"/>
        <item m="1" x="3242"/>
        <item m="1" x="4121"/>
        <item m="1" x="5021"/>
        <item m="1" x="5914"/>
        <item m="1" x="6800"/>
        <item m="1" x="7679"/>
        <item m="1" x="1577"/>
        <item m="1" x="2462"/>
        <item m="1" x="3343"/>
        <item m="1" x="4225"/>
        <item m="1" x="5123"/>
        <item m="1" x="6019"/>
        <item m="1" x="6899"/>
        <item m="1" x="7787"/>
        <item m="1" x="1682"/>
        <item m="1" x="2570"/>
        <item m="1" x="3447"/>
        <item m="1" x="4337"/>
        <item m="1" x="5234"/>
        <item m="1" x="7120"/>
        <item m="1" x="1013"/>
        <item m="1" x="1900"/>
        <item m="1" x="2789"/>
        <item m="1" x="3668"/>
        <item m="1" x="4556"/>
        <item m="1" x="5451"/>
        <item m="1" x="6345"/>
        <item m="1" x="7230"/>
        <item m="1" x="1116"/>
        <item m="1" x="2008"/>
        <item m="1" x="2891"/>
        <item m="1" x="3777"/>
        <item m="1" x="4663"/>
        <item m="1" x="5560"/>
        <item m="1" x="6450"/>
        <item m="1" x="7337"/>
        <item m="1" x="1222"/>
        <item m="1" x="2113"/>
        <item m="1" x="2997"/>
        <item m="1" x="3882"/>
        <item m="1" x="4769"/>
        <item m="1" x="5666"/>
        <item m="1" x="6558"/>
        <item m="1" x="7440"/>
        <item m="1" x="1327"/>
        <item m="1" x="2216"/>
        <item m="1" x="3104"/>
        <item m="1" x="3984"/>
        <item m="1" x="4877"/>
        <item m="1" x="5773"/>
        <item m="1" x="6665"/>
        <item m="1" x="7543"/>
        <item m="1" x="1440"/>
        <item m="1" x="3324"/>
        <item m="1" x="4205"/>
        <item m="1" x="5100"/>
        <item m="1" x="5992"/>
        <item m="1" x="6881"/>
        <item m="1" x="7767"/>
        <item m="1" x="1655"/>
        <item m="1" x="2542"/>
        <item m="1" x="3427"/>
        <item m="1" x="4315"/>
        <item m="1" x="5204"/>
        <item m="1" x="6101"/>
        <item m="1" x="6985"/>
        <item m="1" x="7877"/>
        <item m="1" x="1759"/>
        <item m="1" x="2651"/>
        <item m="1" x="3533"/>
        <item m="1" x="4424"/>
        <item m="1" x="5310"/>
        <item m="1" x="6208"/>
        <item m="1" x="7092"/>
        <item m="1" x="7982"/>
        <item m="1" x="1864"/>
        <item m="1" x="2755"/>
        <item m="1" x="3639"/>
        <item m="1" x="4525"/>
        <item m="1" x="5415"/>
        <item m="1" x="6312"/>
        <item m="1" x="7199"/>
        <item m="1" x="1086"/>
        <item m="1" x="1973"/>
        <item m="1" x="2860"/>
        <item m="1" x="3747"/>
        <item m="1" x="4635"/>
        <item m="1" x="6531"/>
        <item m="1" x="7422"/>
        <item m="1" x="1307"/>
        <item m="1" x="2192"/>
        <item m="1" x="3075"/>
        <item m="1" x="3965"/>
        <item m="1" x="4856"/>
        <item m="1" x="5745"/>
        <item m="1" x="6636"/>
        <item m="1" x="7522"/>
        <item m="1" x="1417"/>
        <item m="1" x="2294"/>
        <item m="1" x="3183"/>
        <item m="1" x="4069"/>
        <item m="1" x="4966"/>
        <item m="1" x="5851"/>
        <item m="1" x="6743"/>
        <item m="1" x="7629"/>
        <item m="1" x="1524"/>
        <item m="1" x="2399"/>
        <item m="1" x="3289"/>
        <item m="1" x="4177"/>
        <item m="1" x="5071"/>
        <item m="1" x="5957"/>
        <item m="1" x="6847"/>
        <item m="1" x="7738"/>
        <item m="1" x="1625"/>
        <item m="1" x="2507"/>
        <item m="1" x="3394"/>
        <item m="1" x="4284"/>
        <item m="1" x="5174"/>
        <item m="1" x="6067"/>
        <item m="1" x="6953"/>
        <item m="1" x="7849"/>
        <item m="1" x="2732"/>
        <item m="1" x="3613"/>
        <item m="1" x="4508"/>
        <item m="1" x="5396"/>
        <item m="1" x="6288"/>
        <item m="1" x="7172"/>
        <item m="1" x="1069"/>
        <item m="1" x="1953"/>
        <item m="1" x="2833"/>
        <item m="1" x="3719"/>
        <item m="1" x="4613"/>
        <item m="1" x="5507"/>
        <item m="1" x="6391"/>
        <item m="1" x="7281"/>
        <item m="1" x="1173"/>
        <item m="1" x="2061"/>
        <item m="1" x="2937"/>
        <item m="1" x="3827"/>
        <item m="1" x="4722"/>
        <item m="1" x="5614"/>
        <item m="1" x="6496"/>
        <item m="1" x="7387"/>
        <item m="1" x="1280"/>
        <item m="1" x="2164"/>
        <item m="1" x="3041"/>
        <item m="1" x="3931"/>
        <item m="1" x="4828"/>
        <item m="1" x="5716"/>
        <item m="1" x="6602"/>
        <item m="1" x="7491"/>
        <item m="1" x="1388"/>
        <item m="1" x="2266"/>
        <item m="1" x="3152"/>
        <item m="1" x="4040"/>
        <item m="1" x="5939"/>
        <item m="1" x="6825"/>
        <item m="1" x="7711"/>
        <item m="1" x="1608"/>
        <item m="1" x="2487"/>
        <item m="1" x="3369"/>
        <item m="1" x="4257"/>
        <item m="1" x="5154"/>
        <item m="1" x="6046"/>
        <item m="1" x="6925"/>
        <item m="1" x="7819"/>
        <item m="1" x="1710"/>
        <item m="1" x="2598"/>
        <item m="1" x="3473"/>
        <item m="1" x="4366"/>
        <item m="1" x="5260"/>
        <item m="1" x="6156"/>
        <item m="1" x="7032"/>
        <item m="1" x="7927"/>
        <item m="1" x="1817"/>
        <item m="1" x="2704"/>
        <item m="1" x="3578"/>
        <item m="1" x="4474"/>
        <item m="1" x="5369"/>
        <item m="1" x="6260"/>
        <item m="1" x="7137"/>
        <item m="1" x="1035"/>
        <item m="1" x="1924"/>
        <item m="1" x="2804"/>
        <item m="1" x="3685"/>
        <item m="1" x="4580"/>
        <item m="1" x="5477"/>
        <item m="1" x="6363"/>
        <item m="1" x="7250"/>
        <item m="1" x="2146"/>
        <item m="1" x="2582"/>
        <item m="1" x="3023"/>
        <item m="1" x="3457"/>
        <item m="1" x="3907"/>
        <item m="1" x="4348"/>
        <item m="1" x="4801"/>
        <item m="1" x="5245"/>
        <item m="1" x="5697"/>
        <item m="1" x="6140"/>
        <item m="1" x="6584"/>
        <item m="1" x="7018"/>
        <item m="1" x="7466"/>
        <item m="1" x="7912"/>
        <item m="1" x="1360"/>
        <item m="1" x="1803"/>
        <item m="1" x="2247"/>
        <item m="1" x="2690"/>
        <item m="1" x="3131"/>
        <item m="1" x="3567"/>
        <item m="1" x="4011"/>
        <item m="1" x="4461"/>
        <item m="1" x="4909"/>
        <item m="1" x="5356"/>
        <item m="1" x="5803"/>
        <item m="1" x="6251"/>
        <item m="1" x="6693"/>
        <item m="1" x="7128"/>
        <item m="1" x="7569"/>
        <item m="1" x="1025"/>
        <item m="1" x="1469"/>
        <item m="1" x="1913"/>
        <item m="1" x="2352"/>
        <item m="1" x="2799"/>
        <item m="1" x="3239"/>
        <item m="1" x="3679"/>
        <item m="1" x="4117"/>
        <item m="1" x="4571"/>
        <item m="1" x="5017"/>
        <item m="1" x="5466"/>
        <item m="1" x="5911"/>
        <item m="1" x="6358"/>
        <item m="1" x="6797"/>
        <item m="1" x="7243"/>
        <item m="1" x="7675"/>
        <item m="1" x="1132"/>
        <item m="1" x="1574"/>
        <item m="1" x="2024"/>
        <item m="1" x="2459"/>
        <item m="1" x="2904"/>
        <item m="1" x="3340"/>
        <item m="1" x="3790"/>
        <item m="1" x="4222"/>
        <item m="1" x="4679"/>
        <item m="1" x="5121"/>
        <item m="1" x="5575"/>
        <item m="1" x="6015"/>
        <item m="1" x="6462"/>
        <item m="1" x="6897"/>
        <item m="1" x="7348"/>
        <item m="1" x="7785"/>
        <item m="1" x="1236"/>
        <item m="1" x="1679"/>
        <item m="1" x="2126"/>
        <item m="1" x="2568"/>
        <item m="1" x="3007"/>
        <item m="1" x="3446"/>
        <item m="1" x="5343"/>
        <item m="1" x="5785"/>
        <item m="1" x="6241"/>
        <item m="1" x="6677"/>
        <item m="1" x="7117"/>
        <item m="1" x="7553"/>
        <item m="1" x="1009"/>
        <item m="1" x="1451"/>
        <item m="1" x="1896"/>
        <item m="1" x="2337"/>
        <item m="1" x="2786"/>
        <item m="1" x="3223"/>
        <item m="1" x="3665"/>
        <item m="1" x="4103"/>
        <item m="1" x="4552"/>
        <item m="1" x="5002"/>
        <item m="1" x="5447"/>
        <item m="1" x="5896"/>
        <item m="1" x="6341"/>
        <item m="1" x="6784"/>
        <item m="1" x="7227"/>
        <item m="1" x="7664"/>
        <item m="1" x="1112"/>
        <item m="1" x="1562"/>
        <item m="1" x="2004"/>
        <item m="1" x="2446"/>
        <item m="1" x="2888"/>
        <item m="1" x="3332"/>
        <item m="1" x="3774"/>
        <item m="1" x="4214"/>
        <item m="1" x="4659"/>
        <item m="1" x="5113"/>
        <item m="1" x="5556"/>
        <item m="1" x="6005"/>
        <item m="1" x="6447"/>
        <item m="1" x="6893"/>
        <item m="1" x="7334"/>
        <item m="1" x="7779"/>
        <item m="1" x="1218"/>
        <item m="1" x="1670"/>
        <item m="1" x="2110"/>
        <item m="1" x="2558"/>
        <item m="1" x="2994"/>
        <item m="1" x="3440"/>
        <item m="1" x="3879"/>
        <item m="1" x="4328"/>
        <item m="1" x="4766"/>
        <item m="1" x="5220"/>
        <item m="1" x="5663"/>
        <item m="1" x="6117"/>
        <item m="1" x="6555"/>
        <item m="1" x="6998"/>
        <item m="1" x="7438"/>
        <item m="1" x="7890"/>
        <item m="1" x="1324"/>
        <item m="1" x="1774"/>
        <item m="1" x="2214"/>
        <item m="1" x="2666"/>
        <item m="1" x="3100"/>
        <item m="1" x="3544"/>
        <item m="1" x="3982"/>
        <item m="1" x="4435"/>
        <item m="1" x="4875"/>
        <item m="1" x="5323"/>
        <item m="1" x="5770"/>
        <item m="1" x="6221"/>
        <item m="1" x="6663"/>
        <item m="1" x="1550"/>
        <item m="1" x="1985"/>
        <item m="1" x="2432"/>
        <item m="1" x="2871"/>
        <item m="1" x="3320"/>
        <item m="1" x="3758"/>
        <item m="1" x="4202"/>
        <item m="1" x="4644"/>
        <item m="1" x="5096"/>
        <item m="1" x="5539"/>
        <item m="1" x="5988"/>
        <item m="1" x="6433"/>
        <item m="1" x="6877"/>
        <item m="1" x="7319"/>
        <item m="1" x="7764"/>
        <item m="1" x="1205"/>
        <item m="1" x="1651"/>
        <item m="1" x="2096"/>
        <item m="1" x="2538"/>
        <item m="1" x="2981"/>
        <item m="1" x="3423"/>
        <item m="1" x="3867"/>
        <item m="1" x="4312"/>
        <item m="1" x="4756"/>
        <item m="1" x="5200"/>
        <item m="1" x="5652"/>
        <item m="1" x="6097"/>
        <item m="1" x="6542"/>
        <item m="1" x="6981"/>
        <item m="1" x="7431"/>
        <item m="1" x="7874"/>
        <item m="1" x="1317"/>
        <item m="1" x="1755"/>
        <item m="1" x="2205"/>
        <item m="1" x="2647"/>
        <item m="1" x="3090"/>
        <item m="1" x="3530"/>
        <item m="1" x="3977"/>
        <item m="1" x="4421"/>
        <item m="1" x="4868"/>
        <item m="1" x="5306"/>
        <item m="1" x="5761"/>
        <item m="1" x="6205"/>
        <item m="1" x="6652"/>
        <item m="1" x="7089"/>
        <item m="1" x="7535"/>
        <item m="1" x="7979"/>
        <item m="1" x="1430"/>
        <item m="1" x="1861"/>
        <item m="1" x="2310"/>
        <item m="1" x="2752"/>
        <item m="1" x="3199"/>
        <item m="1" x="3636"/>
        <item m="1" x="4082"/>
        <item m="1" x="4523"/>
        <item m="1" x="4978"/>
        <item m="1" x="5412"/>
        <item m="1" x="5866"/>
        <item m="1" x="6310"/>
        <item m="1" x="6757"/>
        <item m="1" x="7196"/>
        <item m="1" x="7640"/>
        <item m="1" x="1084"/>
        <item m="1" x="1534"/>
        <item m="1" x="1971"/>
        <item m="1" x="2412"/>
        <item m="1" x="2858"/>
        <item m="1" x="4747"/>
        <item m="1" x="5184"/>
        <item m="1" x="5639"/>
        <item m="1" x="6078"/>
        <item m="1" x="6527"/>
        <item m="1" x="6964"/>
        <item m="1" x="7417"/>
        <item m="1" x="7858"/>
        <item m="1" x="1304"/>
        <item m="1" x="1740"/>
        <item m="1" x="2188"/>
        <item m="1" x="2630"/>
        <item m="1" x="3071"/>
        <item m="1" x="3515"/>
        <item m="1" x="3960"/>
        <item m="1" x="4406"/>
        <item m="1" x="4853"/>
        <item m="1" x="5293"/>
        <item m="1" x="5741"/>
        <item m="1" x="6191"/>
        <item m="1" x="6632"/>
        <item m="1" x="7076"/>
        <item m="1" x="7517"/>
        <item m="1" x="7968"/>
        <item m="1" x="1414"/>
        <item m="1" x="1851"/>
        <item m="1" x="2290"/>
        <item m="1" x="2742"/>
        <item m="1" x="3179"/>
        <item m="1" x="3624"/>
        <item m="1" x="4064"/>
        <item m="1" x="4518"/>
        <item m="1" x="4963"/>
        <item m="1" x="5406"/>
        <item m="1" x="5847"/>
        <item m="1" x="6302"/>
        <item m="1" x="6739"/>
        <item m="1" x="7186"/>
        <item m="1" x="7625"/>
        <item m="1" x="1080"/>
        <item m="1" x="1521"/>
        <item m="1" x="1965"/>
        <item m="1" x="2395"/>
        <item m="1" x="2848"/>
        <item m="1" x="3286"/>
        <item m="1" x="3734"/>
        <item m="1" x="4174"/>
        <item m="1" x="4626"/>
        <item m="1" x="5068"/>
        <item m="1" x="5519"/>
        <item m="1" x="5954"/>
        <item m="1" x="6406"/>
        <item m="1" x="6845"/>
        <item m="1" x="7296"/>
        <item m="1" x="7734"/>
        <item m="1" x="1185"/>
        <item m="1" x="1623"/>
        <item m="1" x="2073"/>
        <item m="1" x="2504"/>
        <item m="1" x="2951"/>
        <item m="1" x="3391"/>
        <item m="1" x="3841"/>
        <item m="1" x="4281"/>
        <item m="1" x="4732"/>
        <item m="1" x="5172"/>
        <item m="1" x="5624"/>
        <item m="1" x="6065"/>
        <item m="1" x="7959"/>
        <item m="1" x="1399"/>
        <item m="1" x="1842"/>
        <item m="1" x="2275"/>
        <item m="1" x="2728"/>
        <item m="1" x="3162"/>
        <item m="1" x="3609"/>
        <item m="1" x="4050"/>
        <item m="1" x="4503"/>
        <item m="1" x="4948"/>
        <item m="1" x="5393"/>
        <item m="1" x="5834"/>
        <item m="1" x="6284"/>
        <item m="1" x="6725"/>
        <item m="1" x="7168"/>
        <item m="1" x="7612"/>
        <item m="1" x="1064"/>
        <item m="1" x="1508"/>
        <item m="1" x="1950"/>
        <item m="1" x="2385"/>
        <item m="1" x="2829"/>
        <item m="1" x="3274"/>
        <item m="1" x="3715"/>
        <item m="1" x="4162"/>
        <item m="1" x="4608"/>
        <item m="1" x="5060"/>
        <item m="1" x="5504"/>
        <item m="1" x="5946"/>
        <item m="1" x="6387"/>
        <item m="1" x="6836"/>
        <item m="1" x="7277"/>
        <item m="1" x="7723"/>
        <item m="1" x="1168"/>
        <item m="1" x="1618"/>
        <item m="1" x="2058"/>
        <item m="1" x="2498"/>
        <item m="1" x="2933"/>
        <item m="1" x="3383"/>
        <item m="1" x="3823"/>
        <item m="1" x="4271"/>
        <item m="1" x="4718"/>
        <item m="1" x="5167"/>
        <item m="1" x="5610"/>
        <item m="1" x="6058"/>
        <item m="1" x="6492"/>
        <item m="1" x="6940"/>
        <item m="1" x="7383"/>
        <item m="1" x="7834"/>
        <item m="1" x="1277"/>
        <item m="1" x="1722"/>
        <item m="1" x="2160"/>
        <item m="1" x="2610"/>
        <item m="1" x="3038"/>
        <item m="1" x="3488"/>
        <item m="1" x="3928"/>
        <item m="1" x="4381"/>
        <item m="1" x="4824"/>
        <item m="1" x="5273"/>
        <item m="1" x="5713"/>
        <item m="1" x="6167"/>
        <item m="1" x="6600"/>
        <item m="1" x="7046"/>
        <item m="1" x="7488"/>
        <item m="1" x="7940"/>
        <item m="1" x="1385"/>
        <item m="1" x="1827"/>
        <item m="1" x="2265"/>
        <item m="1" x="4149"/>
        <item m="1" x="4591"/>
        <item m="1" x="5049"/>
        <item m="1" x="5489"/>
        <item m="1" x="5935"/>
        <item m="1" x="6372"/>
        <item m="1" x="6821"/>
        <item m="1" x="7260"/>
        <item m="1" x="7706"/>
        <item m="1" x="1154"/>
        <item m="1" x="1603"/>
        <item m="1" x="2043"/>
        <item m="1" x="2483"/>
        <item m="1" x="2920"/>
        <item m="1" x="3365"/>
        <item m="1" x="3809"/>
        <item m="1" x="4252"/>
        <item m="1" x="4704"/>
        <item m="1" x="5149"/>
        <item m="1" x="5598"/>
        <item m="1" x="6042"/>
        <item m="1" x="6482"/>
        <item m="1" x="6921"/>
        <item m="1" x="7371"/>
        <item m="1" x="7814"/>
        <item m="1" x="1265"/>
        <item m="1" x="1705"/>
        <item m="1" x="2153"/>
        <item m="1" x="2594"/>
        <item m="1" x="3031"/>
        <item m="1" x="3469"/>
        <item m="1" x="3919"/>
        <item m="1" x="4361"/>
        <item m="1" x="4814"/>
        <item m="1" x="5256"/>
        <item m="1" x="5709"/>
        <item m="1" x="6152"/>
        <item m="1" x="6595"/>
        <item m="1" x="7028"/>
        <item m="1" x="7480"/>
        <item m="1" x="7923"/>
        <item m="1" x="1375"/>
        <item m="1" x="1813"/>
        <item m="1" x="2259"/>
        <item m="1" x="2700"/>
        <item m="1" x="3143"/>
        <item m="1" x="3575"/>
        <item m="1" x="4026"/>
        <item m="1" x="4470"/>
        <item m="1" x="4924"/>
        <item m="1" x="5366"/>
        <item m="1" x="5816"/>
        <item m="1" x="6257"/>
        <item m="1" x="6705"/>
        <item m="1" x="7134"/>
        <item m="1" x="7584"/>
        <item m="1" x="1032"/>
        <item m="1" x="1484"/>
        <item m="1" x="1921"/>
        <item m="1" x="2363"/>
        <item m="1" x="2802"/>
        <item m="1" x="3250"/>
        <item m="1" x="3683"/>
        <item m="1" x="4130"/>
        <item m="1" x="4577"/>
        <item m="1" x="5030"/>
        <item m="1" x="5474"/>
        <item m="1" x="7360"/>
        <item m="1" x="7796"/>
        <item m="1" x="1251"/>
        <item m="1" x="1689"/>
        <item m="1" x="2141"/>
        <item m="1" x="2578"/>
        <item m="1" x="3019"/>
        <item m="1" x="3454"/>
        <item m="1" x="3903"/>
        <item m="1" x="4344"/>
        <item m="1" x="4796"/>
        <item m="1" x="5242"/>
        <item m="1" x="5692"/>
        <item m="1" x="6137"/>
        <item m="1" x="6580"/>
        <item m="1" x="7015"/>
        <item m="1" x="7462"/>
        <item m="1" x="7909"/>
        <item m="1" x="1355"/>
        <item m="1" x="1800"/>
        <item m="1" x="2242"/>
        <item m="1" x="2688"/>
        <item m="1" x="3127"/>
        <item m="1" x="3565"/>
        <item m="1" x="4007"/>
        <item m="1" x="4459"/>
        <item m="1" x="4904"/>
        <item m="1" x="5353"/>
        <item m="1" x="5798"/>
        <item m="1" x="6250"/>
        <item m="1" x="6689"/>
        <item m="1" x="7126"/>
        <item m="1" x="7565"/>
        <item m="1" x="1022"/>
        <item m="1" x="1464"/>
        <item m="1" x="1910"/>
        <item m="1" x="2348"/>
        <item m="1" x="2797"/>
        <item m="1" x="3235"/>
        <item m="1" x="3676"/>
        <item m="1" x="4113"/>
        <item m="1" x="4567"/>
        <item m="1" x="5013"/>
        <item m="1" x="5462"/>
        <item m="1" x="5907"/>
        <item m="1" x="6354"/>
        <item m="1" x="6793"/>
        <item m="1" x="7239"/>
        <item m="1" x="7672"/>
        <item m="1" x="1127"/>
        <item m="1" x="1570"/>
        <item m="1" x="2019"/>
        <item m="1" x="2456"/>
        <item m="1" x="2900"/>
        <item m="1" x="3337"/>
        <item m="1" x="3786"/>
        <item m="1" x="4219"/>
        <item m="1" x="4674"/>
        <item m="1" x="5119"/>
        <item m="1" x="5570"/>
        <item m="1" x="6012"/>
        <item m="1" x="6458"/>
        <item m="1" x="6895"/>
        <item m="1" x="7344"/>
        <item m="1" x="7783"/>
        <item m="1" x="1231"/>
        <item m="1" x="1677"/>
        <item m="1" x="3556"/>
        <item m="1" x="3992"/>
        <item m="1" x="4447"/>
        <item m="1" x="4886"/>
        <item m="1" x="5338"/>
        <item m="1" x="5781"/>
        <item m="1" x="6236"/>
        <item m="1" x="6673"/>
        <item m="1" x="7113"/>
        <item m="1" x="7550"/>
        <item m="1" x="1005"/>
        <item m="1" x="1447"/>
        <item m="1" x="1891"/>
        <item m="1" x="2333"/>
        <item m="1" x="2781"/>
        <item m="1" x="3220"/>
        <item m="1" x="3661"/>
        <item m="1" x="4100"/>
        <item m="1" x="4548"/>
        <item m="1" x="4999"/>
        <item m="1" x="5442"/>
        <item m="1" x="5893"/>
        <item m="1" x="6336"/>
        <item m="1" x="6782"/>
        <item m="1" x="7223"/>
        <item m="1" x="7662"/>
        <item m="1" x="1108"/>
        <item m="1" x="1560"/>
        <item m="1" x="1999"/>
        <item m="1" x="2443"/>
        <item m="1" x="2883"/>
        <item m="1" x="3330"/>
        <item m="1" x="3770"/>
        <item m="1" x="4212"/>
        <item m="1" x="4655"/>
        <item m="1" x="5110"/>
        <item m="1" x="5551"/>
        <item m="1" x="6002"/>
        <item m="1" x="6443"/>
        <item m="1" x="6890"/>
        <item m="1" x="7330"/>
        <item m="1" x="7776"/>
        <item m="1" x="1214"/>
        <item m="1" x="1666"/>
        <item m="1" x="2106"/>
        <item m="1" x="2553"/>
        <item m="1" x="2991"/>
        <item m="1" x="3436"/>
        <item m="1" x="3875"/>
        <item m="1" x="4324"/>
        <item m="1" x="4763"/>
        <item m="1" x="5215"/>
        <item m="1" x="5660"/>
        <item m="1" x="6112"/>
        <item m="1" x="6551"/>
        <item m="1" x="6994"/>
        <item m="1" x="7435"/>
        <item m="1" x="7886"/>
        <item m="1" x="1322"/>
        <item m="1" x="1769"/>
        <item m="1" x="2211"/>
        <item m="1" x="2661"/>
        <item m="1" x="3097"/>
        <item m="1" x="3540"/>
        <item m="1" x="3980"/>
        <item m="1" x="4431"/>
        <item m="1" x="4873"/>
        <item m="1" x="6772"/>
        <item m="1" x="7208"/>
        <item m="1" x="7652"/>
        <item m="1" x="1093"/>
        <item m="1" x="1546"/>
        <item m="1" x="1981"/>
        <item m="1" x="2427"/>
        <item m="1" x="2868"/>
        <item m="1" x="3315"/>
        <item m="1" x="3754"/>
        <item m="1" x="4198"/>
        <item m="1" x="4641"/>
        <item m="1" x="5092"/>
        <item m="1" x="5536"/>
        <item m="1" x="5983"/>
        <item m="1" x="6429"/>
        <item m="1" x="6872"/>
        <item m="1" x="7316"/>
        <item m="1" x="7760"/>
        <item m="1" x="1203"/>
        <item m="1" x="1647"/>
        <item m="1" x="2093"/>
        <item m="1" x="2533"/>
        <item m="1" x="2978"/>
        <item m="1" x="3418"/>
        <item m="1" x="3866"/>
        <item m="1" x="4308"/>
        <item m="1" x="4754"/>
        <item m="1" x="5196"/>
        <item m="1" x="5650"/>
        <item m="1" x="6092"/>
        <item m="1" x="6539"/>
        <item m="1" x="6976"/>
        <item m="1" x="7429"/>
        <item m="1" x="7870"/>
        <item m="1" x="1315"/>
        <item m="1" x="1751"/>
        <item m="1" x="2202"/>
        <item m="1" x="2642"/>
        <item m="1" x="3086"/>
        <item m="1" x="3526"/>
        <item m="1" x="3974"/>
        <item m="1" x="4417"/>
        <item m="1" x="4865"/>
        <item m="1" x="5302"/>
        <item m="1" x="5756"/>
        <item m="1" x="6201"/>
        <item m="1" x="6647"/>
        <item m="1" x="7086"/>
        <item m="1" x="7531"/>
        <item m="1" x="7975"/>
        <item m="1" x="1426"/>
        <item m="1" x="1858"/>
        <item m="1" x="2305"/>
        <item m="1" x="2749"/>
        <item m="1" x="3194"/>
        <item m="1" x="3632"/>
        <item m="1" x="4078"/>
        <item m="1" x="4521"/>
        <item m="1" x="4974"/>
        <item m="1" x="5410"/>
        <item m="1" x="5861"/>
        <item m="1" x="6307"/>
        <item m="1" x="6752"/>
        <item m="1" x="7193"/>
        <item m="1" x="7636"/>
        <item m="1" x="2965"/>
        <item m="1" x="3401"/>
        <item m="1" x="3855"/>
        <item m="1" x="4293"/>
        <item m="1" x="4743"/>
        <item m="1" x="5180"/>
        <item m="1" x="5635"/>
        <item m="1" x="6074"/>
        <item m="1" x="6522"/>
        <item m="1" x="6961"/>
        <item m="1" x="7412"/>
        <item m="1" x="7854"/>
        <item m="1" x="1300"/>
        <item m="1" x="1737"/>
        <item m="1" x="2184"/>
        <item m="1" x="2627"/>
        <item m="1" x="3066"/>
        <item m="1" x="3511"/>
        <item m="1" x="3955"/>
        <item m="1" x="4404"/>
        <item m="1" x="4849"/>
        <item m="1" x="5291"/>
        <item m="1" x="5737"/>
        <item m="1" x="6188"/>
        <item m="1" x="6627"/>
        <item m="1" x="7073"/>
        <item m="1" x="7512"/>
        <item m="1" x="7967"/>
        <item m="1" x="1410"/>
        <item m="1" x="1849"/>
        <item m="1" x="2286"/>
        <item m="1" x="2739"/>
        <item m="1" x="3174"/>
        <item m="1" x="3621"/>
        <item m="1" x="4060"/>
        <item m="1" x="4516"/>
        <item m="1" x="4959"/>
        <item m="1" x="5403"/>
        <item m="1" x="5843"/>
        <item m="1" x="6298"/>
        <item m="1" x="6735"/>
        <item m="1" x="7182"/>
        <item m="1" x="7621"/>
        <item m="1" x="1077"/>
        <item m="1" x="1517"/>
        <item m="1" x="1961"/>
        <item m="1" x="2392"/>
        <item m="1" x="2843"/>
        <item m="1" x="3282"/>
        <item m="1" x="3729"/>
        <item m="1" x="4171"/>
        <item m="1" x="4622"/>
        <item m="1" x="5065"/>
        <item m="1" x="5515"/>
        <item m="1" x="5951"/>
        <item m="1" x="6401"/>
        <item m="1" x="6842"/>
        <item m="1" x="7291"/>
        <item m="1" x="7731"/>
        <item m="1" x="1181"/>
        <item m="1" x="1621"/>
        <item m="1" x="2069"/>
        <item m="1" x="2502"/>
        <item m="1" x="2946"/>
        <item m="1" x="3389"/>
        <item m="1" x="3836"/>
        <item m="1" x="5723"/>
        <item m="1" x="6178"/>
        <item m="1" x="6610"/>
        <item m="1" x="7060"/>
        <item m="1" x="7497"/>
        <item m="1" x="7954"/>
        <item m="1" x="1395"/>
        <item m="1" x="1838"/>
        <item m="1" x="2272"/>
        <item m="1" x="2724"/>
        <item m="1" x="3158"/>
        <item m="1" x="3604"/>
        <item m="1" x="4047"/>
        <item m="1" x="4498"/>
        <item m="1" x="4945"/>
        <item m="1" x="5389"/>
        <item m="1" x="5831"/>
        <item m="1" x="6280"/>
        <item m="1" x="6722"/>
        <item m="1" x="7163"/>
        <item m="1" x="7609"/>
        <item m="1" x="1059"/>
        <item m="1" x="1506"/>
        <item m="1" x="1946"/>
        <item m="1" x="2383"/>
        <item m="1" x="2825"/>
        <item m="1" x="3272"/>
        <item m="1" x="3710"/>
        <item m="1" x="4159"/>
        <item m="1" x="4603"/>
        <item m="1" x="5059"/>
        <item m="1" x="5500"/>
        <item m="1" x="5944"/>
        <item m="1" x="6383"/>
        <item m="1" x="6833"/>
        <item m="1" x="7272"/>
        <item m="1" x="7720"/>
        <item m="1" x="1164"/>
        <item m="1" x="1615"/>
        <item m="1" x="2054"/>
        <item m="1" x="2495"/>
        <item m="1" x="2929"/>
        <item m="1" x="3379"/>
        <item m="1" x="3819"/>
        <item m="1" x="4267"/>
        <item m="1" x="4714"/>
        <item m="1" x="5163"/>
        <item m="1" x="5606"/>
        <item m="1" x="6054"/>
        <item m="1" x="6489"/>
        <item m="1" x="6935"/>
        <item m="1" x="7379"/>
        <item m="1" x="7829"/>
        <item m="1" x="1274"/>
        <item m="1" x="1718"/>
        <item m="1" x="2157"/>
        <item m="1" x="2606"/>
        <item m="1" x="3035"/>
        <item m="1" x="3483"/>
        <item m="1" x="3926"/>
        <item m="1" x="4376"/>
        <item m="1" x="4821"/>
        <item m="1" x="5269"/>
        <item m="1" x="5711"/>
        <item m="1" x="6163"/>
        <item m="1" x="6599"/>
        <item m="1" x="7041"/>
        <item m="1" x="1932"/>
        <item m="1" x="2374"/>
        <item m="1" x="2811"/>
        <item m="1" x="3261"/>
        <item m="1" x="3693"/>
        <item m="1" x="4144"/>
        <item m="1" x="4587"/>
        <item m="1" x="5044"/>
        <item m="1" x="5485"/>
        <item m="1" x="5931"/>
        <item m="1" x="6369"/>
        <item m="1" x="6817"/>
        <item m="1" x="7256"/>
        <item m="1" x="7701"/>
        <item m="1" x="1150"/>
        <item m="1" x="1598"/>
        <item m="1" x="2040"/>
        <item m="1" x="2479"/>
        <item m="1" x="2917"/>
        <item m="1" x="3361"/>
        <item m="1" x="3806"/>
        <item m="1" x="4247"/>
        <item m="1" x="4701"/>
        <item m="1" x="5144"/>
        <item m="1" x="5596"/>
        <item m="1" x="6038"/>
        <item m="1" x="6480"/>
        <item m="1" x="6917"/>
        <item m="1" x="7369"/>
        <item m="1" x="7809"/>
        <item m="1" x="1262"/>
        <item m="1" x="1700"/>
        <item m="1" x="2151"/>
        <item m="1" x="2590"/>
        <item m="1" x="3029"/>
        <item m="1" x="3465"/>
        <item m="1" x="3916"/>
        <item m="1" x="4356"/>
        <item m="1" x="4810"/>
        <item m="1" x="5252"/>
        <item m="1" x="5706"/>
        <item m="1" x="6148"/>
        <item m="1" x="6592"/>
        <item m="1" x="7024"/>
        <item m="1" x="7476"/>
        <item m="1" x="7919"/>
        <item m="1" x="1370"/>
        <item m="1" x="1810"/>
        <item m="1" x="2255"/>
        <item m="1" x="2696"/>
        <item m="1" x="3139"/>
        <item m="1" x="3572"/>
        <item m="1" x="4021"/>
        <item m="1" x="4467"/>
        <item m="1" x="4919"/>
        <item m="1" x="5362"/>
        <item m="1" x="5812"/>
        <item m="1" x="6254"/>
        <item m="1" x="6701"/>
        <item m="1" x="7132"/>
        <item m="1" x="7579"/>
        <item m="1" x="1029"/>
        <item m="1" x="1479"/>
        <item m="1" x="1918"/>
        <item m="1" x="2359"/>
        <item m="1" x="2801"/>
        <item m="1" x="3246"/>
        <item m="1" x="5128"/>
        <item m="1" x="5585"/>
        <item m="1" x="6024"/>
        <item m="1" x="6470"/>
        <item m="1" x="6903"/>
        <item m="1" x="7356"/>
        <item m="1" x="7792"/>
        <item m="1" x="1246"/>
        <item m="1" x="1686"/>
        <item m="1" x="2136"/>
        <item m="1" x="2574"/>
        <item m="1" x="3015"/>
        <item m="1" x="3451"/>
        <item m="1" x="3899"/>
        <item m="1" x="4341"/>
        <item m="1" x="4791"/>
        <item m="1" x="5238"/>
        <item m="1" x="5687"/>
        <item m="1" x="6134"/>
        <item m="1" x="6576"/>
        <item m="1" x="7013"/>
        <item m="1" x="7458"/>
        <item m="1" x="7906"/>
        <item m="1" x="1350"/>
        <item m="1" x="1797"/>
        <item m="1" x="2237"/>
        <item m="1" x="2687"/>
        <item m="1" x="3123"/>
        <item m="1" x="3563"/>
        <item m="1" x="4003"/>
        <item m="1" x="4457"/>
        <item m="1" x="4899"/>
        <item m="1" x="5350"/>
        <item m="1" x="5793"/>
        <item m="1" x="6248"/>
        <item m="1" x="6685"/>
        <item m="1" x="7124"/>
        <item m="1" x="7561"/>
        <item m="1" x="1018"/>
        <item m="1" x="1459"/>
        <item m="1" x="1906"/>
        <item m="1" x="2344"/>
        <item m="1" x="2794"/>
        <item m="1" x="3231"/>
        <item m="1" x="3673"/>
        <item m="1" x="4109"/>
        <item m="1" x="4562"/>
        <item m="1" x="5009"/>
        <item m="1" x="5457"/>
        <item m="1" x="5904"/>
        <item m="1" x="6350"/>
        <item m="1" x="6789"/>
        <item m="1" x="7235"/>
        <item m="1" x="7669"/>
        <item m="1" x="1122"/>
        <item m="1" x="1567"/>
        <item m="1" x="2014"/>
        <item m="1" x="2452"/>
        <item m="1" x="2896"/>
        <item m="1" x="3335"/>
        <item m="1" x="3782"/>
        <item m="1" x="4217"/>
        <item m="1" x="4669"/>
        <item m="1" x="5116"/>
        <item m="1" x="5565"/>
        <item m="1" x="6010"/>
        <item m="1" x="6454"/>
        <item m="1" x="1332"/>
        <item m="1" x="1784"/>
        <item m="1" x="2221"/>
        <item m="1" x="2676"/>
        <item m="1" x="3109"/>
        <item m="1" x="3552"/>
        <item m="1" x="3988"/>
        <item m="1" x="4443"/>
        <item m="1" x="4882"/>
        <item m="1" x="5333"/>
        <item m="1" x="5778"/>
        <item m="1" x="6231"/>
        <item m="1" x="6669"/>
        <item m="1" x="7109"/>
        <item m="1" x="7547"/>
        <item m="1" x="7999"/>
        <item m="1" x="1444"/>
        <item m="1" x="1886"/>
        <item m="1" x="2329"/>
        <item m="1" x="2776"/>
        <item m="1" x="3218"/>
        <item m="1" x="3657"/>
        <item m="1" x="4098"/>
        <item m="1" x="4544"/>
        <item m="1" x="4996"/>
        <item m="1" x="5437"/>
        <item m="1" x="5890"/>
        <item m="1" x="6331"/>
        <item m="1" x="6781"/>
        <item m="1" x="7219"/>
        <item m="1" x="7660"/>
        <item m="1" x="1104"/>
        <item m="1" x="1557"/>
        <item m="1" x="1994"/>
        <item m="1" x="2440"/>
        <item m="1" x="2879"/>
        <item m="1" x="3328"/>
        <item m="1" x="3766"/>
        <item m="1" x="4209"/>
        <item m="1" x="4651"/>
        <item m="1" x="5106"/>
        <item m="1" x="5547"/>
        <item m="1" x="5998"/>
        <item m="1" x="6439"/>
        <item m="1" x="6886"/>
        <item m="1" x="7326"/>
        <item m="1" x="7772"/>
        <item m="1" x="1211"/>
        <item m="1" x="1661"/>
        <item m="1" x="2102"/>
        <item m="1" x="2548"/>
        <item m="1" x="2988"/>
        <item m="1" x="3432"/>
        <item m="1" x="3872"/>
        <item m="1" x="4320"/>
        <item m="1" x="4760"/>
        <item m="1" x="5210"/>
        <item m="1" x="5657"/>
        <item m="1" x="6107"/>
        <item m="1" x="6548"/>
        <item m="1" x="6990"/>
        <item m="1" x="7433"/>
        <item m="1" x="7882"/>
        <item m="1" x="1320"/>
        <item m="1" x="1764"/>
        <item m="1" x="2209"/>
        <item m="1" x="2656"/>
        <item m="1" x="4530"/>
        <item m="1" x="4986"/>
        <item m="1" x="5420"/>
        <item m="1" x="5876"/>
        <item m="1" x="6316"/>
        <item m="1" x="6767"/>
        <item m="1" x="7204"/>
        <item m="1" x="7648"/>
        <item m="1" x="1090"/>
        <item m="1" x="1542"/>
        <item m="1" x="1977"/>
        <item m="1" x="2422"/>
        <item m="1" x="2865"/>
        <item m="1" x="3310"/>
        <item m="1" x="3751"/>
        <item m="1" x="4194"/>
        <item m="1" x="4638"/>
        <item m="1" x="5088"/>
        <item m="1" x="5533"/>
        <item m="1" x="5978"/>
        <item m="1" x="6426"/>
        <item m="1" x="6867"/>
        <item m="1" x="7314"/>
        <item m="1" x="7756"/>
        <item m="1" x="1201"/>
        <item m="1" x="1643"/>
        <item m="1" x="2091"/>
        <item m="1" x="2528"/>
        <item m="1" x="2975"/>
        <item m="1" x="3413"/>
        <item m="1" x="3865"/>
        <item m="1" x="4304"/>
        <item m="1" x="4752"/>
        <item m="1" x="5192"/>
        <item m="1" x="5647"/>
        <item m="1" x="6087"/>
        <item m="1" x="6536"/>
        <item m="1" x="6972"/>
        <item m="1" x="7426"/>
        <item m="1" x="7866"/>
        <item m="1" x="1312"/>
        <item m="1" x="1747"/>
        <item m="1" x="2198"/>
        <item m="1" x="2638"/>
        <item m="1" x="3081"/>
        <item m="1" x="3522"/>
        <item m="1" x="3970"/>
        <item m="1" x="4413"/>
        <item m="1" x="4861"/>
        <item m="1" x="5299"/>
        <item m="1" x="5751"/>
        <item m="1" x="6197"/>
        <item m="1" x="6642"/>
        <item m="1" x="7083"/>
        <item m="1" x="7527"/>
        <item m="1" x="7972"/>
        <item m="1" x="1422"/>
        <item m="1" x="1855"/>
        <item m="1" x="2300"/>
        <item m="1" x="2747"/>
        <item m="1" x="3189"/>
        <item m="1" x="3629"/>
        <item m="1" x="4074"/>
        <item m="1" x="4519"/>
        <item m="1" x="4970"/>
        <item m="1" x="5409"/>
        <item m="1" x="5856"/>
        <item m="1" x="7742"/>
        <item m="1" x="1192"/>
        <item m="1" x="1629"/>
        <item m="1" x="2080"/>
        <item m="1" x="2511"/>
        <item m="1" x="2960"/>
        <item m="1" x="3397"/>
        <item m="1" x="3850"/>
        <item m="1" x="4289"/>
        <item m="1" x="4739"/>
        <item m="1" x="5177"/>
        <item m="1" x="5631"/>
        <item m="1" x="6070"/>
        <item m="1" x="6517"/>
        <item m="1" x="6957"/>
        <item m="1" x="7407"/>
        <item m="1" x="7851"/>
        <item m="1" x="1296"/>
        <item m="1" x="1734"/>
        <item m="1" x="2180"/>
        <item m="1" x="2624"/>
        <item m="1" x="3061"/>
        <item m="1" x="3508"/>
        <item m="1" x="3950"/>
        <item m="1" x="4402"/>
        <item m="1" x="4845"/>
        <item m="1" x="5289"/>
        <item m="1" x="5733"/>
        <item m="1" x="6186"/>
        <item m="1" x="6622"/>
        <item m="1" x="7070"/>
        <item m="1" x="7507"/>
        <item m="1" x="7965"/>
        <item m="1" x="1406"/>
        <item m="1" x="1847"/>
        <item m="1" x="2282"/>
        <item m="1" x="2736"/>
        <item m="1" x="3169"/>
        <item m="1" x="3617"/>
        <item m="1" x="4056"/>
        <item m="1" x="4513"/>
        <item m="1" x="4955"/>
        <item m="1" x="5400"/>
        <item m="1" x="5839"/>
        <item m="1" x="6293"/>
        <item m="1" x="6731"/>
        <item m="1" x="7177"/>
        <item m="1" x="7618"/>
        <item m="1" x="1073"/>
        <item m="1" x="1513"/>
        <item m="1" x="1957"/>
        <item m="1" x="2389"/>
        <item m="1" x="2838"/>
        <item m="1" x="3279"/>
        <item m="1" x="3724"/>
        <item m="1" x="4167"/>
        <item m="1" x="4618"/>
        <item m="1" x="5062"/>
        <item m="1" x="5511"/>
        <item m="1" x="5949"/>
        <item m="1" x="6396"/>
        <item m="1" x="6839"/>
        <item m="1" x="7286"/>
        <item m="1" x="7728"/>
        <item m="1" x="1177"/>
        <item m="1" x="1620"/>
        <item m="1" x="2065"/>
        <item m="1" x="3935"/>
        <item m="1" x="4390"/>
        <item m="1" x="4832"/>
        <item m="1" x="5280"/>
        <item m="1" x="5719"/>
        <item m="1" x="6174"/>
        <item m="1" x="6606"/>
        <item m="1" x="7055"/>
        <item m="1" x="7494"/>
        <item m="1" x="7949"/>
        <item m="1" x="1391"/>
        <item m="1" x="1834"/>
        <item m="1" x="2269"/>
        <item m="1" x="2720"/>
        <item m="1" x="3155"/>
        <item m="1" x="3599"/>
        <item m="1" x="4043"/>
        <item m="1" x="4493"/>
        <item m="1" x="4942"/>
        <item m="1" x="5385"/>
        <item m="1" x="5829"/>
        <item m="1" x="6276"/>
        <item m="1" x="6719"/>
        <item m="1" x="7158"/>
        <item m="1" x="7606"/>
        <item m="1" x="1054"/>
        <item m="1" x="1505"/>
        <item m="1" x="1942"/>
        <item m="1" x="2381"/>
        <item m="1" x="2821"/>
        <item m="1" x="3270"/>
        <item m="1" x="3705"/>
        <item m="1" x="4156"/>
        <item m="1" x="4598"/>
        <item m="1" x="5057"/>
        <item m="1" x="5496"/>
        <item m="1" x="5942"/>
        <item m="1" x="6379"/>
        <item m="1" x="6829"/>
        <item m="1" x="7267"/>
        <item m="1" x="7716"/>
        <item m="1" x="1160"/>
        <item m="1" x="1612"/>
        <item m="1" x="2050"/>
        <item m="1" x="2491"/>
        <item m="1" x="2925"/>
        <item m="1" x="3374"/>
        <item m="1" x="3815"/>
        <item m="1" x="4262"/>
        <item m="1" x="4711"/>
        <item m="1" x="5159"/>
        <item m="1" x="5602"/>
        <item m="1" x="6050"/>
        <item m="1" x="6486"/>
        <item m="1" x="6930"/>
        <item m="1" x="7376"/>
        <item m="1" x="7824"/>
        <item m="1" x="1270"/>
        <item m="1" x="1714"/>
        <item m="1" x="2155"/>
        <item m="1" x="2602"/>
        <item m="1" x="3033"/>
        <item m="1" x="3478"/>
        <item m="1" x="3923"/>
        <item m="1" x="4371"/>
        <item m="1" x="4819"/>
        <item m="1" x="5265"/>
        <item m="1" x="7141"/>
        <item m="1" x="7593"/>
        <item m="1" x="1039"/>
        <item m="1" x="1493"/>
        <item m="1" x="1928"/>
        <item m="1" x="2370"/>
        <item m="1" x="2807"/>
        <item m="1" x="3257"/>
        <item m="1" x="3689"/>
        <item m="1" x="4139"/>
        <item m="1" x="4584"/>
        <item m="1" x="5039"/>
        <item m="1" x="5481"/>
        <item m="1" x="5927"/>
        <item m="1" x="6366"/>
        <item m="1" x="6813"/>
        <item m="1" x="7253"/>
        <item m="1" x="7696"/>
        <item m="1" x="1146"/>
        <item m="1" x="1593"/>
        <item m="1" x="2038"/>
        <item m="1" x="2475"/>
        <item m="1" x="2915"/>
        <item m="1" x="3357"/>
        <item m="1" x="3803"/>
        <item m="1" x="4242"/>
        <item m="1" x="4698"/>
        <item m="1" x="5139"/>
        <item m="1" x="5595"/>
        <item m="1" x="6034"/>
        <item m="1" x="6478"/>
        <item m="1" x="6913"/>
        <item m="1" x="7366"/>
        <item m="1" x="7804"/>
        <item m="1" x="1259"/>
        <item m="1" x="1696"/>
        <item m="1" x="2149"/>
        <item m="1" x="2586"/>
        <item m="1" x="3026"/>
        <item m="1" x="3461"/>
        <item m="1" x="3912"/>
        <item m="1" x="4352"/>
        <item m="1" x="4806"/>
        <item m="1" x="5248"/>
        <item m="1" x="5702"/>
        <item m="1" x="6144"/>
        <item m="1" x="6588"/>
        <item m="1" x="7021"/>
        <item m="1" x="7471"/>
        <item m="1" x="7915"/>
        <item m="1" x="1365"/>
        <item m="1" x="1807"/>
        <item m="1" x="2251"/>
        <item m="1" x="2693"/>
        <item m="1" x="3135"/>
        <item m="1" x="3569"/>
        <item m="1" x="4016"/>
        <item m="1" x="4464"/>
        <item m="1" x="4914"/>
        <item m="1" x="5359"/>
        <item m="1" x="5808"/>
        <item m="1" x="6252"/>
        <item m="1" x="6697"/>
        <item m="1" x="7130"/>
        <item m="1" x="7574"/>
        <item m="1" x="1027"/>
        <item m="1" x="1474"/>
        <item m="1" x="3344"/>
        <item m="1" x="3794"/>
        <item m="1" x="4226"/>
        <item m="1" x="4684"/>
        <item m="1" x="5124"/>
        <item m="1" x="5580"/>
        <item m="1" x="6020"/>
        <item m="1" x="6466"/>
        <item m="1" x="6900"/>
        <item m="1" x="7352"/>
        <item m="1" x="7788"/>
        <item m="1" x="1241"/>
        <item m="1" x="1683"/>
        <item m="1" x="2131"/>
        <item m="1" x="2571"/>
        <item m="1" x="3011"/>
        <item m="1" x="3448"/>
        <item m="1" x="3895"/>
        <item m="1" x="4338"/>
        <item m="1" x="4786"/>
        <item m="1" x="5235"/>
        <item m="1" x="5682"/>
        <item m="1" x="6132"/>
        <item m="1" x="6572"/>
        <item m="1" x="7011"/>
        <item m="1" x="7454"/>
        <item m="1" x="7904"/>
        <item m="1" x="1345"/>
        <item m="1" x="1794"/>
        <item m="1" x="2232"/>
        <item m="1" x="2686"/>
        <item m="1" x="3119"/>
        <item m="1" x="3561"/>
        <item m="1" x="3999"/>
        <item m="1" x="4454"/>
        <item m="1" x="4894"/>
        <item m="1" x="5347"/>
        <item m="1" x="5789"/>
        <item m="1" x="6245"/>
        <item m="1" x="6681"/>
        <item m="1" x="7121"/>
        <item m="1" x="7557"/>
        <item m="1" x="1014"/>
        <item m="1" x="1455"/>
        <item m="1" x="1901"/>
        <item m="1" x="2340"/>
        <item m="1" x="2790"/>
        <item m="1" x="3227"/>
        <item m="1" x="3669"/>
        <item m="1" x="4106"/>
        <item m="1" x="4557"/>
        <item m="1" x="5005"/>
        <item m="1" x="5452"/>
        <item m="1" x="5900"/>
        <item m="1" x="6346"/>
        <item m="1" x="6786"/>
        <item m="1" x="7231"/>
        <item m="1" x="7666"/>
        <item m="1" x="1117"/>
        <item m="1" x="1565"/>
        <item m="1" x="2009"/>
        <item m="1" x="2449"/>
        <item m="1" x="2892"/>
        <item m="1" x="3333"/>
        <item m="1" x="3778"/>
        <item m="1" x="4216"/>
        <item m="1" x="4664"/>
        <item m="1" x="6559"/>
        <item m="1" x="7002"/>
        <item m="1" x="7441"/>
        <item m="1" x="7894"/>
        <item m="1" x="1328"/>
        <item m="1" x="1779"/>
        <item m="1" x="2217"/>
        <item m="1" x="2671"/>
        <item m="1" x="3105"/>
        <item m="1" x="3548"/>
        <item m="1" x="3985"/>
        <item m="1" x="4439"/>
        <item m="1" x="4878"/>
        <item m="1" x="5328"/>
        <item m="1" x="5774"/>
        <item m="1" x="6226"/>
        <item m="1" x="6666"/>
        <item m="1" x="7105"/>
        <item m="1" x="7544"/>
        <item m="1" x="7995"/>
        <item m="1" x="1441"/>
        <item m="1" x="1881"/>
        <item m="1" x="2326"/>
        <item m="1" x="2771"/>
        <item m="1" x="3216"/>
        <item m="1" x="3653"/>
        <item m="1" x="4096"/>
        <item m="1" x="4540"/>
        <item m="1" x="4994"/>
        <item m="1" x="5432"/>
        <item m="1" x="5887"/>
        <item m="1" x="6326"/>
        <item m="1" x="6779"/>
        <item m="1" x="7215"/>
        <item m="1" x="7658"/>
        <item m="1" x="1100"/>
        <item m="1" x="1554"/>
        <item m="1" x="1989"/>
        <item m="1" x="2436"/>
        <item m="1" x="2875"/>
        <item m="1" x="3325"/>
        <item m="1" x="3762"/>
        <item m="1" x="4206"/>
        <item m="1" x="4647"/>
        <item m="1" x="5101"/>
        <item m="1" x="5543"/>
        <item m="1" x="5993"/>
        <item m="1" x="6436"/>
        <item m="1" x="6882"/>
        <item m="1" x="7322"/>
        <item m="1" x="7768"/>
        <item m="1" x="1208"/>
        <item m="1" x="1656"/>
        <item m="1" x="2099"/>
        <item m="1" x="2543"/>
        <item m="1" x="2984"/>
        <item m="1" x="3428"/>
        <item m="1" x="3869"/>
        <item m="1" x="4316"/>
        <item m="1" x="4758"/>
        <item m="1" x="5205"/>
        <item m="1" x="5654"/>
        <item m="1" x="6102"/>
        <item m="1" x="6545"/>
        <item m="1" x="6986"/>
        <item m="1" x="7432"/>
        <item m="1" x="7878"/>
        <item m="1" x="2756"/>
        <item m="1" x="3204"/>
        <item m="1" x="3640"/>
        <item m="1" x="4086"/>
        <item m="1" x="4526"/>
        <item m="1" x="4982"/>
        <item m="1" x="5416"/>
        <item m="1" x="5871"/>
        <item m="1" x="6313"/>
        <item m="1" x="6762"/>
        <item m="1" x="7200"/>
        <item m="1" x="7644"/>
        <item m="1" x="1087"/>
        <item m="1" x="1538"/>
        <item m="1" x="1974"/>
        <item m="1" x="2417"/>
        <item m="1" x="2861"/>
        <item m="1" x="3305"/>
        <item m="1" x="3748"/>
        <item m="1" x="4190"/>
        <item m="1" x="4636"/>
        <item m="1" x="5084"/>
        <item m="1" x="5530"/>
        <item m="1" x="5973"/>
        <item m="1" x="6423"/>
        <item m="1" x="6862"/>
        <item m="1" x="7313"/>
        <item m="1" x="7752"/>
        <item m="1" x="1199"/>
        <item m="1" x="1639"/>
        <item m="1" x="2089"/>
        <item m="1" x="2523"/>
        <item m="1" x="2972"/>
        <item m="1" x="3408"/>
        <item m="1" x="3863"/>
        <item m="1" x="4300"/>
        <item m="1" x="4750"/>
        <item m="1" x="5188"/>
        <item m="1" x="5643"/>
        <item m="1" x="6082"/>
        <item m="1" x="6532"/>
        <item m="1" x="6968"/>
        <item m="1" x="7423"/>
        <item m="1" x="7862"/>
        <item m="1" x="1308"/>
        <item m="1" x="1743"/>
        <item m="1" x="2193"/>
        <item m="1" x="2634"/>
        <item m="1" x="3076"/>
        <item m="1" x="3519"/>
        <item m="1" x="3966"/>
        <item m="1" x="4409"/>
        <item m="1" x="4857"/>
        <item m="1" x="5296"/>
        <item m="1" x="5746"/>
        <item m="1" x="6194"/>
        <item m="1" x="6637"/>
        <item m="1" x="7079"/>
        <item m="1" x="7523"/>
        <item m="1" x="7970"/>
        <item m="1" x="1418"/>
        <item m="1" x="1853"/>
        <item m="1" x="2295"/>
        <item m="1" x="2744"/>
        <item m="1" x="3184"/>
        <item m="1" x="3627"/>
        <item m="1" x="4070"/>
        <item t="default"/>
      </items>
    </pivotField>
    <pivotField showAll="0" sortType="ascending"/>
    <pivotField showAll="0">
      <items count="11">
        <item x="1"/>
        <item x="2"/>
        <item x="3"/>
        <item x="4"/>
        <item x="5"/>
        <item x="6"/>
        <item x="7"/>
        <item x="8"/>
        <item x="9"/>
        <item x="0"/>
        <item t="default"/>
      </items>
    </pivotField>
    <pivotField dataField="1" showAll="0"/>
    <pivotField dataField="1" showAll="0"/>
    <pivotField dataField="1" showAll="0"/>
    <pivotField showAll="0" defaultSubtotal="0"/>
    <pivotField showAll="0" defaultSubtotal="0"/>
    <pivotField showAll="0" defaultSubtotal="0"/>
    <pivotField showAll="0" defaultSubtotal="0"/>
    <pivotField showAll="0" defaultSubtotal="0"/>
    <pivotField showAll="0" defaultSubtotal="0"/>
  </pivotFields>
  <rowFields count="1">
    <field x="7"/>
  </rowFields>
  <rowItems count="1003">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x v="1001"/>
    </i>
    <i t="grand">
      <x/>
    </i>
  </rowItems>
  <colFields count="1">
    <field x="-2"/>
  </colFields>
  <colItems count="3">
    <i>
      <x/>
    </i>
    <i i="1">
      <x v="1"/>
    </i>
    <i i="2">
      <x v="2"/>
    </i>
  </colItems>
  <dataFields count="3">
    <dataField name="Average of ACTUALTRS" fld="10" subtotal="average" baseField="5" baseItem="0"/>
    <dataField name="Average of PREDICTEDTRS" fld="11" subtotal="average" baseField="5" baseItem="25"/>
    <dataField name="Average of ERRORTRS" fld="12" subtotal="average" baseField="5" baseItem="9901" numFmtId="165"/>
  </dataFields>
  <chartFormats count="3">
    <chartFormat chart="4" format="3" series="1">
      <pivotArea type="data" outline="0" fieldPosition="0">
        <references count="1">
          <reference field="4294967294" count="1" selected="0">
            <x v="0"/>
          </reference>
        </references>
      </pivotArea>
    </chartFormat>
    <chartFormat chart="4" format="4" series="1">
      <pivotArea type="data" outline="0" fieldPosition="0">
        <references count="1">
          <reference field="4294967294" count="1" selected="0">
            <x v="1"/>
          </reference>
        </references>
      </pivotArea>
    </chartFormat>
    <chartFormat chart="4" format="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1"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9" fieldListSortAscending="1">
  <location ref="A1:D1004" firstHeaderRow="0" firstDataRow="1" firstDataCol="1"/>
  <pivotFields count="19">
    <pivotField showAll="0">
      <items count="89">
        <item m="1" x="27"/>
        <item m="1" x="36"/>
        <item m="1" x="9"/>
        <item m="1" x="42"/>
        <item m="1" x="48"/>
        <item m="1" x="60"/>
        <item m="1" x="19"/>
        <item m="1" x="28"/>
        <item m="1" x="6"/>
        <item m="1" x="85"/>
        <item m="1" x="43"/>
        <item m="1" x="75"/>
        <item m="1" x="18"/>
        <item m="1" x="20"/>
        <item m="1" x="72"/>
        <item m="1" x="33"/>
        <item m="1" x="54"/>
        <item m="1" x="13"/>
        <item m="1" x="67"/>
        <item m="1" x="40"/>
        <item m="1" x="49"/>
        <item m="1" x="4"/>
        <item m="1" x="44"/>
        <item x="0"/>
        <item m="1" x="50"/>
        <item m="1" x="35"/>
        <item m="1" x="70"/>
        <item m="1" x="24"/>
        <item m="1" x="63"/>
        <item m="1" x="29"/>
        <item m="1" x="21"/>
        <item m="1" x="37"/>
        <item m="1" x="73"/>
        <item x="1"/>
        <item m="1" x="38"/>
        <item m="1" x="34"/>
        <item m="1" x="80"/>
        <item m="1" x="87"/>
        <item m="1" x="2"/>
        <item m="1" x="79"/>
        <item m="1" x="69"/>
        <item m="1" x="68"/>
        <item m="1" x="61"/>
        <item m="1" x="39"/>
        <item m="1" x="11"/>
        <item m="1" x="62"/>
        <item m="1" x="76"/>
        <item m="1" x="45"/>
        <item m="1" x="31"/>
        <item m="1" x="16"/>
        <item m="1" x="3"/>
        <item m="1" x="14"/>
        <item m="1" x="5"/>
        <item m="1" x="46"/>
        <item m="1" x="22"/>
        <item m="1" x="77"/>
        <item m="1" x="10"/>
        <item m="1" x="55"/>
        <item m="1" x="81"/>
        <item m="1" x="82"/>
        <item m="1" x="57"/>
        <item m="1" x="71"/>
        <item m="1" x="30"/>
        <item m="1" x="15"/>
        <item m="1" x="64"/>
        <item m="1" x="23"/>
        <item m="1" x="83"/>
        <item m="1" x="58"/>
        <item m="1" x="7"/>
        <item m="1" x="78"/>
        <item m="1" x="12"/>
        <item m="1" x="26"/>
        <item m="1" x="66"/>
        <item m="1" x="25"/>
        <item m="1" x="56"/>
        <item m="1" x="51"/>
        <item m="1" x="52"/>
        <item m="1" x="86"/>
        <item m="1" x="41"/>
        <item m="1" x="53"/>
        <item m="1" x="59"/>
        <item m="1" x="65"/>
        <item m="1" x="8"/>
        <item m="1" x="84"/>
        <item m="1" x="17"/>
        <item m="1" x="32"/>
        <item m="1" x="74"/>
        <item m="1" x="47"/>
        <item t="default"/>
      </items>
    </pivotField>
    <pivotField showAll="0">
      <items count="273">
        <item m="1" x="20"/>
        <item m="1" x="251"/>
        <item m="1" x="69"/>
        <item m="1" x="202"/>
        <item m="1" x="211"/>
        <item m="1" x="207"/>
        <item m="1" x="182"/>
        <item m="1" x="246"/>
        <item m="1" x="93"/>
        <item m="1" x="47"/>
        <item m="1" x="138"/>
        <item m="1" x="38"/>
        <item m="1" x="179"/>
        <item m="1" x="139"/>
        <item m="1" x="221"/>
        <item m="1" x="142"/>
        <item m="1" x="39"/>
        <item m="1" x="152"/>
        <item m="1" x="54"/>
        <item m="1" x="21"/>
        <item m="1" x="194"/>
        <item m="1" x="229"/>
        <item m="1" x="34"/>
        <item m="1" x="162"/>
        <item m="1" x="86"/>
        <item x="1"/>
        <item m="1" x="252"/>
        <item m="1" x="59"/>
        <item m="1" x="117"/>
        <item m="1" x="27"/>
        <item x="4"/>
        <item m="1" x="106"/>
        <item m="1" x="234"/>
        <item m="1" x="130"/>
        <item m="1" x="28"/>
        <item m="1" x="222"/>
        <item m="1" x="82"/>
        <item m="1" x="237"/>
        <item m="1" x="238"/>
        <item m="1" x="256"/>
        <item m="1" x="118"/>
        <item m="1" x="217"/>
        <item m="1" x="29"/>
        <item m="1" x="90"/>
        <item m="1" x="16"/>
        <item m="1" x="195"/>
        <item m="1" x="158"/>
        <item m="1" x="74"/>
        <item m="1" x="174"/>
        <item m="1" x="134"/>
        <item m="1" x="230"/>
        <item m="1" x="183"/>
        <item m="1" x="98"/>
        <item m="1" x="196"/>
        <item m="1" x="22"/>
        <item m="1" x="67"/>
        <item m="1" x="163"/>
        <item m="1" x="247"/>
        <item m="1" x="119"/>
        <item m="1" x="215"/>
        <item m="1" x="135"/>
        <item m="1" x="143"/>
        <item m="1" x="257"/>
        <item m="1" x="175"/>
        <item m="1" x="30"/>
        <item x="9"/>
        <item m="1" x="31"/>
        <item m="1" x="107"/>
        <item m="1" x="164"/>
        <item m="1" x="266"/>
        <item m="1" x="121"/>
        <item m="1" x="125"/>
        <item m="1" x="176"/>
        <item m="1" x="51"/>
        <item m="1" x="112"/>
        <item m="1" x="242"/>
        <item m="1" x="123"/>
        <item m="1" x="148"/>
        <item m="1" x="126"/>
        <item m="1" x="42"/>
        <item m="1" x="258"/>
        <item m="1" x="94"/>
        <item m="1" x="113"/>
        <item m="1" x="60"/>
        <item m="1" x="91"/>
        <item m="1" x="212"/>
        <item m="1" x="218"/>
        <item m="1" x="32"/>
        <item m="1" x="170"/>
        <item m="1" x="136"/>
        <item m="1" x="92"/>
        <item m="1" x="186"/>
        <item m="1" x="83"/>
        <item m="1" x="114"/>
        <item m="1" x="131"/>
        <item m="1" x="197"/>
        <item m="1" x="55"/>
        <item m="1" x="150"/>
        <item m="1" x="48"/>
        <item m="1" x="56"/>
        <item m="1" x="108"/>
        <item m="1" x="80"/>
        <item m="1" x="216"/>
        <item m="1" x="23"/>
        <item m="1" x="49"/>
        <item m="1" x="153"/>
        <item m="1" x="225"/>
        <item m="1" x="184"/>
        <item m="1" x="165"/>
        <item m="1" x="248"/>
        <item m="1" x="171"/>
        <item m="1" x="243"/>
        <item m="1" x="109"/>
        <item m="1" x="208"/>
        <item m="1" x="95"/>
        <item m="1" x="87"/>
        <item m="1" x="43"/>
        <item m="1" x="249"/>
        <item m="1" x="61"/>
        <item m="1" x="187"/>
        <item m="1" x="40"/>
        <item m="1" x="127"/>
        <item m="1" x="177"/>
        <item m="1" x="81"/>
        <item m="1" x="213"/>
        <item m="1" x="231"/>
        <item m="1" x="52"/>
        <item m="1" x="155"/>
        <item m="1" x="267"/>
        <item x="0"/>
        <item m="1" x="128"/>
        <item m="1" x="172"/>
        <item m="1" x="227"/>
        <item m="1" x="181"/>
        <item x="2"/>
        <item m="1" x="50"/>
        <item m="1" x="209"/>
        <item m="1" x="263"/>
        <item m="1" x="68"/>
        <item m="1" x="124"/>
        <item m="1" x="270"/>
        <item m="1" x="129"/>
        <item m="1" x="44"/>
        <item m="1" x="259"/>
        <item m="1" x="178"/>
        <item m="1" x="110"/>
        <item m="1" x="166"/>
        <item m="1" x="132"/>
        <item m="1" x="102"/>
        <item m="1" x="62"/>
        <item m="1" x="245"/>
        <item m="1" x="250"/>
        <item m="1" x="169"/>
        <item m="1" x="17"/>
        <item m="1" x="70"/>
        <item m="1" x="45"/>
        <item m="1" x="12"/>
        <item m="1" x="64"/>
        <item m="1" x="188"/>
        <item m="1" x="71"/>
        <item m="1" x="88"/>
        <item m="1" x="103"/>
        <item m="1" x="120"/>
        <item m="1" x="219"/>
        <item m="1" x="35"/>
        <item m="1" x="189"/>
        <item m="1" x="53"/>
        <item m="1" x="239"/>
        <item m="1" x="72"/>
        <item m="1" x="24"/>
        <item m="1" x="203"/>
        <item m="1" x="264"/>
        <item m="1" x="190"/>
        <item m="1" x="214"/>
        <item m="1" x="84"/>
        <item m="1" x="244"/>
        <item m="1" x="13"/>
        <item m="1" x="232"/>
        <item m="1" x="65"/>
        <item m="1" x="223"/>
        <item x="10"/>
        <item m="1" x="144"/>
        <item m="1" x="191"/>
        <item m="1" x="268"/>
        <item m="1" x="240"/>
        <item m="1" x="198"/>
        <item m="1" x="271"/>
        <item m="1" x="104"/>
        <item m="1" x="204"/>
        <item m="1" x="96"/>
        <item m="1" x="192"/>
        <item m="1" x="253"/>
        <item m="1" x="57"/>
        <item m="1" x="159"/>
        <item m="1" x="25"/>
        <item m="1" x="89"/>
        <item m="1" x="63"/>
        <item m="1" x="75"/>
        <item m="1" x="140"/>
        <item m="1" x="154"/>
        <item m="1" x="167"/>
        <item m="1" x="235"/>
        <item m="1" x="36"/>
        <item m="1" x="269"/>
        <item m="1" x="173"/>
        <item m="1" x="46"/>
        <item m="1" x="260"/>
        <item m="1" x="76"/>
        <item m="1" x="224"/>
        <item m="1" x="236"/>
        <item m="1" x="228"/>
        <item m="1" x="151"/>
        <item m="1" x="205"/>
        <item x="8"/>
        <item m="1" x="66"/>
        <item m="1" x="122"/>
        <item m="1" x="97"/>
        <item x="3"/>
        <item m="1" x="85"/>
        <item m="1" x="254"/>
        <item m="1" x="73"/>
        <item m="1" x="105"/>
        <item m="1" x="261"/>
        <item m="1" x="210"/>
        <item m="1" x="180"/>
        <item m="1" x="145"/>
        <item m="1" x="99"/>
        <item m="1" x="77"/>
        <item m="1" x="33"/>
        <item m="1" x="141"/>
        <item x="6"/>
        <item m="1" x="146"/>
        <item m="1" x="156"/>
        <item m="1" x="199"/>
        <item m="1" x="255"/>
        <item x="11"/>
        <item m="1" x="26"/>
        <item m="1" x="262"/>
        <item m="1" x="78"/>
        <item m="1" x="111"/>
        <item m="1" x="41"/>
        <item m="1" x="161"/>
        <item m="1" x="14"/>
        <item m="1" x="185"/>
        <item m="1" x="168"/>
        <item m="1" x="147"/>
        <item m="1" x="241"/>
        <item m="1" x="220"/>
        <item m="1" x="15"/>
        <item m="1" x="233"/>
        <item m="1" x="37"/>
        <item m="1" x="133"/>
        <item m="1" x="100"/>
        <item m="1" x="200"/>
        <item m="1" x="115"/>
        <item m="1" x="79"/>
        <item m="1" x="18"/>
        <item m="1" x="101"/>
        <item m="1" x="116"/>
        <item m="1" x="160"/>
        <item x="5"/>
        <item m="1" x="226"/>
        <item x="7"/>
        <item m="1" x="137"/>
        <item m="1" x="193"/>
        <item m="1" x="157"/>
        <item m="1" x="19"/>
        <item m="1" x="149"/>
        <item m="1" x="201"/>
        <item m="1" x="58"/>
        <item m="1" x="265"/>
        <item m="1" x="206"/>
        <item t="default"/>
      </items>
    </pivotField>
    <pivotField showAll="0"/>
    <pivotField showAll="0"/>
    <pivotField showAll="0" defaultSubtotal="0">
      <items count="6">
        <item x="0"/>
        <item x="1"/>
        <item x="2"/>
        <item x="3"/>
        <item x="4"/>
        <item x="5"/>
      </items>
    </pivotField>
    <pivotField showAll="0" defaultSubtotal="0">
      <items count="2">
        <item h="1" x="0"/>
        <item x="1"/>
      </items>
    </pivotField>
    <pivotField showAll="0">
      <items count="269">
        <item m="1" x="191"/>
        <item m="1" x="198"/>
        <item m="1" x="135"/>
        <item m="1" x="167"/>
        <item m="1" x="181"/>
        <item m="1" x="77"/>
        <item m="1" x="150"/>
        <item m="1" x="124"/>
        <item m="1" x="176"/>
        <item m="1" x="177"/>
        <item m="1" x="246"/>
        <item m="1" x="95"/>
        <item m="1" x="182"/>
        <item m="1" x="96"/>
        <item m="1" x="162"/>
        <item m="1" x="12"/>
        <item m="1" x="75"/>
        <item m="1" x="257"/>
        <item m="1" x="151"/>
        <item m="1" x="41"/>
        <item m="1" x="109"/>
        <item m="1" x="132"/>
        <item m="1" x="65"/>
        <item m="1" x="29"/>
        <item m="1" x="224"/>
        <item m="1" x="110"/>
        <item m="1" x="107"/>
        <item m="1" x="27"/>
        <item m="1" x="157"/>
        <item m="1" x="66"/>
        <item m="1" x="199"/>
        <item m="1" x="183"/>
        <item m="1" x="87"/>
        <item m="1" x="168"/>
        <item m="1" x="263"/>
        <item m="1" x="97"/>
        <item m="1" x="30"/>
        <item m="1" x="133"/>
        <item m="1" x="227"/>
        <item m="1" x="108"/>
        <item m="1" x="172"/>
        <item m="1" x="111"/>
        <item m="1" x="234"/>
        <item m="1" x="247"/>
        <item m="1" x="42"/>
        <item m="1" x="163"/>
        <item m="1" x="145"/>
        <item m="1" x="237"/>
        <item m="1" x="228"/>
        <item m="1" x="112"/>
        <item m="1" x="160"/>
        <item m="1" x="19"/>
        <item m="1" x="169"/>
        <item m="1" x="218"/>
        <item m="1" x="158"/>
        <item m="1" x="136"/>
        <item m="1" x="206"/>
        <item m="1" x="31"/>
        <item m="1" x="69"/>
        <item m="1" x="142"/>
        <item m="1" x="239"/>
        <item m="1" x="251"/>
        <item m="1" x="55"/>
        <item m="1" x="98"/>
        <item m="1" x="139"/>
        <item m="1" x="195"/>
        <item m="1" x="258"/>
        <item m="1" x="146"/>
        <item m="1" x="99"/>
        <item m="1" x="52"/>
        <item m="1" x="100"/>
        <item m="1" x="152"/>
        <item m="1" x="173"/>
        <item m="1" x="36"/>
        <item m="1" x="147"/>
        <item m="1" x="22"/>
        <item m="1" x="161"/>
        <item m="1" x="89"/>
        <item m="1" x="44"/>
        <item m="1" x="125"/>
        <item m="1" x="265"/>
        <item m="1" x="200"/>
        <item m="1" x="15"/>
        <item m="1" x="178"/>
        <item m="1" x="67"/>
        <item m="1" x="13"/>
        <item m="1" x="219"/>
        <item m="1" x="140"/>
        <item m="1" x="84"/>
        <item m="1" x="101"/>
        <item m="1" x="196"/>
        <item m="1" x="184"/>
        <item m="1" x="56"/>
        <item m="1" x="164"/>
        <item m="1" x="59"/>
        <item m="1" x="88"/>
        <item m="1" x="113"/>
        <item m="1" x="126"/>
        <item m="1" x="229"/>
        <item m="1" x="225"/>
        <item m="1" x="188"/>
        <item m="1" x="211"/>
        <item m="1" x="174"/>
        <item m="1" x="230"/>
        <item m="1" x="45"/>
        <item m="1" x="192"/>
        <item m="1" x="240"/>
        <item m="1" x="212"/>
        <item m="1" x="16"/>
        <item m="1" x="165"/>
        <item m="1" x="90"/>
        <item m="1" x="148"/>
        <item m="1" x="102"/>
        <item m="1" x="37"/>
        <item m="1" x="68"/>
        <item m="1" x="220"/>
        <item m="1" x="70"/>
        <item m="1" x="127"/>
        <item m="1" x="243"/>
        <item m="1" x="248"/>
        <item m="1" x="91"/>
        <item m="1" x="14"/>
        <item m="1" x="231"/>
        <item m="1" x="249"/>
        <item m="1" x="233"/>
        <item m="1" x="38"/>
        <item m="1" x="115"/>
        <item m="1" x="46"/>
        <item m="1" x="120"/>
        <item m="1" x="213"/>
        <item m="1" x="266"/>
        <item m="1" x="128"/>
        <item m="1" x="121"/>
        <item m="1" x="71"/>
        <item m="1" x="170"/>
        <item m="1" x="103"/>
        <item m="1" x="118"/>
        <item m="1" x="221"/>
        <item m="1" x="208"/>
        <item m="1" x="49"/>
        <item m="1" x="85"/>
        <item m="1" x="17"/>
        <item m="1" x="185"/>
        <item x="10"/>
        <item m="1" x="47"/>
        <item m="1" x="78"/>
        <item m="1" x="189"/>
        <item m="1" x="179"/>
        <item m="1" x="193"/>
        <item m="1" x="50"/>
        <item m="1" x="267"/>
        <item m="1" x="76"/>
        <item m="1" x="134"/>
        <item m="1" x="39"/>
        <item m="1" x="214"/>
        <item m="1" x="143"/>
        <item m="1" x="241"/>
        <item m="1" x="252"/>
        <item m="1" x="144"/>
        <item m="1" x="215"/>
        <item m="1" x="86"/>
        <item m="1" x="57"/>
        <item m="1" x="222"/>
        <item m="1" x="149"/>
        <item m="1" x="207"/>
        <item m="1" x="79"/>
        <item x="8"/>
        <item m="1" x="23"/>
        <item m="1" x="253"/>
        <item m="1" x="72"/>
        <item m="1" x="32"/>
        <item x="0"/>
        <item m="1" x="159"/>
        <item m="1" x="223"/>
        <item m="1" x="209"/>
        <item m="1" x="201"/>
        <item m="1" x="43"/>
        <item m="1" x="254"/>
        <item m="1" x="80"/>
        <item m="1" x="81"/>
        <item m="1" x="203"/>
        <item m="1" x="244"/>
        <item m="1" x="20"/>
        <item x="11"/>
        <item m="1" x="153"/>
        <item m="1" x="48"/>
        <item m="1" x="238"/>
        <item m="1" x="60"/>
        <item m="1" x="40"/>
        <item m="1" x="255"/>
        <item m="1" x="18"/>
        <item m="1" x="92"/>
        <item m="1" x="61"/>
        <item m="1" x="104"/>
        <item m="1" x="166"/>
        <item m="1" x="154"/>
        <item m="1" x="226"/>
        <item m="1" x="202"/>
        <item x="1"/>
        <item m="1" x="194"/>
        <item m="1" x="216"/>
        <item m="1" x="210"/>
        <item m="1" x="105"/>
        <item x="3"/>
        <item m="1" x="250"/>
        <item m="1" x="129"/>
        <item m="1" x="186"/>
        <item m="1" x="245"/>
        <item m="1" x="62"/>
        <item m="1" x="33"/>
        <item m="1" x="123"/>
        <item m="1" x="73"/>
        <item m="1" x="24"/>
        <item m="1" x="82"/>
        <item x="9"/>
        <item m="1" x="28"/>
        <item m="1" x="187"/>
        <item m="1" x="155"/>
        <item m="1" x="63"/>
        <item x="6"/>
        <item m="1" x="83"/>
        <item m="1" x="197"/>
        <item m="1" x="242"/>
        <item m="1" x="114"/>
        <item m="1" x="21"/>
        <item m="1" x="156"/>
        <item m="1" x="53"/>
        <item m="1" x="64"/>
        <item m="1" x="25"/>
        <item m="1" x="259"/>
        <item m="1" x="34"/>
        <item m="1" x="119"/>
        <item m="1" x="130"/>
        <item m="1" x="106"/>
        <item x="4"/>
        <item m="1" x="235"/>
        <item m="1" x="190"/>
        <item m="1" x="260"/>
        <item m="1" x="58"/>
        <item m="1" x="171"/>
        <item m="1" x="141"/>
        <item m="1" x="54"/>
        <item m="1" x="261"/>
        <item x="5"/>
        <item m="1" x="180"/>
        <item m="1" x="137"/>
        <item m="1" x="35"/>
        <item m="1" x="256"/>
        <item m="1" x="26"/>
        <item m="1" x="262"/>
        <item m="1" x="93"/>
        <item m="1" x="138"/>
        <item x="7"/>
        <item m="1" x="116"/>
        <item m="1" x="122"/>
        <item m="1" x="175"/>
        <item x="2"/>
        <item m="1" x="94"/>
        <item m="1" x="74"/>
        <item m="1" x="217"/>
        <item m="1" x="204"/>
        <item m="1" x="131"/>
        <item m="1" x="264"/>
        <item m="1" x="236"/>
        <item m="1" x="205"/>
        <item m="1" x="232"/>
        <item m="1" x="51"/>
        <item m="1" x="117"/>
        <item t="default"/>
      </items>
    </pivotField>
    <pivotField axis="axisRow" showAll="0" sortType="ascending">
      <items count="8001">
        <item x="532"/>
        <item x="533"/>
        <item x="534"/>
        <item x="535"/>
        <item x="536"/>
        <item x="537"/>
        <item x="538"/>
        <item x="590"/>
        <item x="591"/>
        <item x="592"/>
        <item x="593"/>
        <item x="594"/>
        <item x="595"/>
        <item x="596"/>
        <item x="648"/>
        <item x="649"/>
        <item x="650"/>
        <item x="651"/>
        <item x="652"/>
        <item x="653"/>
        <item x="654"/>
        <item x="706"/>
        <item x="707"/>
        <item x="708"/>
        <item x="709"/>
        <item x="710"/>
        <item x="711"/>
        <item x="770"/>
        <item x="771"/>
        <item x="772"/>
        <item x="773"/>
        <item x="774"/>
        <item x="775"/>
        <item x="828"/>
        <item x="829"/>
        <item x="830"/>
        <item x="831"/>
        <item x="832"/>
        <item x="833"/>
        <item x="50"/>
        <item x="51"/>
        <item x="52"/>
        <item x="53"/>
        <item x="54"/>
        <item x="55"/>
        <item x="56"/>
        <item x="117"/>
        <item x="118"/>
        <item x="119"/>
        <item x="120"/>
        <item x="3"/>
        <item x="4"/>
        <item x="121"/>
        <item x="179"/>
        <item x="180"/>
        <item x="181"/>
        <item x="182"/>
        <item x="183"/>
        <item x="184"/>
        <item x="229"/>
        <item x="230"/>
        <item x="231"/>
        <item x="232"/>
        <item x="233"/>
        <item x="234"/>
        <item x="235"/>
        <item x="268"/>
        <item x="269"/>
        <item x="270"/>
        <item x="271"/>
        <item x="272"/>
        <item x="273"/>
        <item x="307"/>
        <item x="308"/>
        <item x="309"/>
        <item x="310"/>
        <item x="311"/>
        <item x="312"/>
        <item x="313"/>
        <item x="351"/>
        <item x="352"/>
        <item x="353"/>
        <item x="354"/>
        <item x="355"/>
        <item x="356"/>
        <item x="396"/>
        <item x="397"/>
        <item x="398"/>
        <item x="399"/>
        <item x="400"/>
        <item x="401"/>
        <item x="402"/>
        <item x="441"/>
        <item x="442"/>
        <item x="443"/>
        <item x="444"/>
        <item x="445"/>
        <item x="446"/>
        <item x="485"/>
        <item x="486"/>
        <item x="487"/>
        <item x="488"/>
        <item x="489"/>
        <item x="490"/>
        <item x="491"/>
        <item x="539"/>
        <item x="540"/>
        <item x="541"/>
        <item x="542"/>
        <item x="543"/>
        <item x="544"/>
        <item x="597"/>
        <item x="598"/>
        <item x="599"/>
        <item x="600"/>
        <item x="601"/>
        <item x="602"/>
        <item x="603"/>
        <item x="655"/>
        <item x="656"/>
        <item x="657"/>
        <item x="658"/>
        <item x="659"/>
        <item x="660"/>
        <item x="712"/>
        <item x="713"/>
        <item x="714"/>
        <item x="715"/>
        <item x="716"/>
        <item x="717"/>
        <item x="776"/>
        <item x="777"/>
        <item x="778"/>
        <item x="779"/>
        <item x="780"/>
        <item x="781"/>
        <item x="782"/>
        <item x="834"/>
        <item x="835"/>
        <item x="836"/>
        <item x="837"/>
        <item x="838"/>
        <item x="57"/>
        <item x="58"/>
        <item x="59"/>
        <item x="60"/>
        <item x="61"/>
        <item x="62"/>
        <item x="63"/>
        <item x="64"/>
        <item x="122"/>
        <item x="123"/>
        <item x="124"/>
        <item x="125"/>
        <item x="126"/>
        <item x="127"/>
        <item x="185"/>
        <item x="186"/>
        <item x="187"/>
        <item x="188"/>
        <item x="189"/>
        <item x="190"/>
        <item x="545"/>
        <item x="546"/>
        <item x="547"/>
        <item x="548"/>
        <item x="549"/>
        <item x="550"/>
        <item x="551"/>
        <item x="604"/>
        <item x="605"/>
        <item x="606"/>
        <item x="607"/>
        <item x="608"/>
        <item x="609"/>
        <item x="661"/>
        <item x="662"/>
        <item x="663"/>
        <item x="664"/>
        <item x="665"/>
        <item x="666"/>
        <item x="667"/>
        <item x="718"/>
        <item x="719"/>
        <item x="720"/>
        <item x="721"/>
        <item x="722"/>
        <item x="723"/>
        <item x="783"/>
        <item x="784"/>
        <item x="785"/>
        <item x="786"/>
        <item x="787"/>
        <item x="788"/>
        <item x="839"/>
        <item x="840"/>
        <item x="841"/>
        <item x="842"/>
        <item x="843"/>
        <item x="844"/>
        <item x="65"/>
        <item x="66"/>
        <item x="67"/>
        <item x="68"/>
        <item x="69"/>
        <item x="70"/>
        <item x="71"/>
        <item x="128"/>
        <item x="129"/>
        <item x="130"/>
        <item x="131"/>
        <item x="132"/>
        <item x="133"/>
        <item x="134"/>
        <item x="191"/>
        <item x="192"/>
        <item x="193"/>
        <item x="194"/>
        <item x="195"/>
        <item x="196"/>
        <item x="236"/>
        <item x="237"/>
        <item x="238"/>
        <item x="239"/>
        <item x="240"/>
        <item x="241"/>
        <item x="274"/>
        <item x="275"/>
        <item x="276"/>
        <item x="277"/>
        <item x="278"/>
        <item x="279"/>
        <item x="280"/>
        <item x="314"/>
        <item x="315"/>
        <item x="316"/>
        <item x="317"/>
        <item x="318"/>
        <item x="319"/>
        <item x="357"/>
        <item x="358"/>
        <item x="359"/>
        <item x="360"/>
        <item x="361"/>
        <item x="362"/>
        <item x="363"/>
        <item x="403"/>
        <item x="404"/>
        <item x="405"/>
        <item x="406"/>
        <item x="407"/>
        <item x="408"/>
        <item x="447"/>
        <item x="448"/>
        <item x="449"/>
        <item x="450"/>
        <item x="451"/>
        <item x="452"/>
        <item x="492"/>
        <item x="493"/>
        <item x="494"/>
        <item x="495"/>
        <item x="496"/>
        <item x="497"/>
        <item x="498"/>
        <item x="552"/>
        <item x="553"/>
        <item x="554"/>
        <item x="555"/>
        <item x="556"/>
        <item x="557"/>
        <item x="610"/>
        <item x="611"/>
        <item x="612"/>
        <item x="613"/>
        <item x="614"/>
        <item x="615"/>
        <item x="616"/>
        <item x="668"/>
        <item x="669"/>
        <item x="670"/>
        <item x="671"/>
        <item x="672"/>
        <item x="673"/>
        <item x="724"/>
        <item x="725"/>
        <item x="726"/>
        <item x="727"/>
        <item x="728"/>
        <item x="729"/>
        <item x="730"/>
        <item x="789"/>
        <item x="790"/>
        <item x="791"/>
        <item x="792"/>
        <item x="793"/>
        <item x="794"/>
        <item x="845"/>
        <item x="846"/>
        <item x="847"/>
        <item x="848"/>
        <item x="849"/>
        <item x="72"/>
        <item x="73"/>
        <item x="74"/>
        <item x="75"/>
        <item x="76"/>
        <item x="77"/>
        <item x="78"/>
        <item x="79"/>
        <item x="135"/>
        <item x="136"/>
        <item x="137"/>
        <item x="138"/>
        <item x="139"/>
        <item x="140"/>
        <item x="197"/>
        <item x="198"/>
        <item x="199"/>
        <item x="200"/>
        <item x="201"/>
        <item x="202"/>
        <item x="203"/>
        <item x="320"/>
        <item x="321"/>
        <item x="322"/>
        <item x="323"/>
        <item x="324"/>
        <item x="325"/>
        <item x="364"/>
        <item x="365"/>
        <item x="366"/>
        <item x="367"/>
        <item x="368"/>
        <item x="369"/>
        <item x="409"/>
        <item x="410"/>
        <item x="411"/>
        <item x="412"/>
        <item x="413"/>
        <item x="414"/>
        <item x="415"/>
        <item x="453"/>
        <item x="454"/>
        <item x="455"/>
        <item x="456"/>
        <item x="457"/>
        <item x="458"/>
        <item x="499"/>
        <item x="500"/>
        <item x="501"/>
        <item x="502"/>
        <item x="503"/>
        <item x="504"/>
        <item x="505"/>
        <item x="558"/>
        <item x="559"/>
        <item x="560"/>
        <item x="561"/>
        <item x="562"/>
        <item x="563"/>
        <item x="617"/>
        <item x="618"/>
        <item x="619"/>
        <item x="620"/>
        <item x="621"/>
        <item x="622"/>
        <item x="674"/>
        <item x="675"/>
        <item x="676"/>
        <item x="677"/>
        <item x="678"/>
        <item x="679"/>
        <item x="680"/>
        <item x="731"/>
        <item x="732"/>
        <item x="733"/>
        <item x="734"/>
        <item x="735"/>
        <item x="736"/>
        <item x="795"/>
        <item x="796"/>
        <item x="797"/>
        <item x="798"/>
        <item x="799"/>
        <item x="800"/>
        <item x="5"/>
        <item x="6"/>
        <item x="7"/>
        <item x="8"/>
        <item x="9"/>
        <item x="10"/>
        <item x="11"/>
        <item x="80"/>
        <item x="81"/>
        <item x="82"/>
        <item x="83"/>
        <item x="84"/>
        <item x="85"/>
        <item x="141"/>
        <item x="142"/>
        <item x="143"/>
        <item x="144"/>
        <item x="145"/>
        <item x="146"/>
        <item x="147"/>
        <item x="204"/>
        <item x="205"/>
        <item x="206"/>
        <item x="207"/>
        <item x="208"/>
        <item x="209"/>
        <item x="242"/>
        <item x="243"/>
        <item x="244"/>
        <item x="245"/>
        <item x="246"/>
        <item x="247"/>
        <item x="248"/>
        <item x="281"/>
        <item x="282"/>
        <item x="283"/>
        <item x="284"/>
        <item x="285"/>
        <item x="286"/>
        <item x="326"/>
        <item x="327"/>
        <item x="328"/>
        <item x="329"/>
        <item x="330"/>
        <item x="331"/>
        <item x="370"/>
        <item x="371"/>
        <item x="372"/>
        <item x="373"/>
        <item x="374"/>
        <item x="375"/>
        <item x="376"/>
        <item x="416"/>
        <item x="417"/>
        <item x="418"/>
        <item x="419"/>
        <item x="420"/>
        <item x="421"/>
        <item x="459"/>
        <item x="460"/>
        <item x="461"/>
        <item x="462"/>
        <item x="463"/>
        <item x="464"/>
        <item x="465"/>
        <item x="506"/>
        <item x="507"/>
        <item x="508"/>
        <item x="509"/>
        <item x="510"/>
        <item x="511"/>
        <item x="564"/>
        <item x="565"/>
        <item x="566"/>
        <item x="567"/>
        <item x="568"/>
        <item x="569"/>
        <item x="570"/>
        <item x="623"/>
        <item x="624"/>
        <item x="625"/>
        <item x="626"/>
        <item x="627"/>
        <item x="628"/>
        <item x="681"/>
        <item x="682"/>
        <item x="683"/>
        <item x="684"/>
        <item x="685"/>
        <item x="686"/>
        <item x="737"/>
        <item x="738"/>
        <item x="739"/>
        <item x="740"/>
        <item x="741"/>
        <item x="742"/>
        <item x="743"/>
        <item x="801"/>
        <item x="802"/>
        <item x="803"/>
        <item x="804"/>
        <item x="805"/>
        <item x="12"/>
        <item x="13"/>
        <item x="14"/>
        <item x="15"/>
        <item x="16"/>
        <item x="17"/>
        <item x="18"/>
        <item x="19"/>
        <item x="86"/>
        <item x="87"/>
        <item x="88"/>
        <item x="89"/>
        <item x="90"/>
        <item x="91"/>
        <item x="148"/>
        <item x="149"/>
        <item x="150"/>
        <item x="151"/>
        <item x="152"/>
        <item x="153"/>
        <item x="210"/>
        <item x="211"/>
        <item x="212"/>
        <item x="213"/>
        <item x="214"/>
        <item x="215"/>
        <item x="216"/>
        <item x="249"/>
        <item x="250"/>
        <item x="251"/>
        <item x="252"/>
        <item x="253"/>
        <item x="254"/>
        <item x="287"/>
        <item x="288"/>
        <item x="289"/>
        <item x="290"/>
        <item x="291"/>
        <item x="292"/>
        <item x="293"/>
        <item x="332"/>
        <item x="333"/>
        <item x="334"/>
        <item x="335"/>
        <item x="336"/>
        <item x="337"/>
        <item x="377"/>
        <item x="378"/>
        <item x="379"/>
        <item x="380"/>
        <item x="381"/>
        <item x="382"/>
        <item x="422"/>
        <item x="423"/>
        <item x="424"/>
        <item x="425"/>
        <item x="426"/>
        <item x="427"/>
        <item x="428"/>
        <item x="466"/>
        <item x="467"/>
        <item x="468"/>
        <item x="469"/>
        <item x="470"/>
        <item x="471"/>
        <item x="512"/>
        <item x="513"/>
        <item x="514"/>
        <item x="515"/>
        <item x="516"/>
        <item x="517"/>
        <item x="518"/>
        <item x="571"/>
        <item x="572"/>
        <item x="573"/>
        <item x="574"/>
        <item x="575"/>
        <item x="576"/>
        <item x="629"/>
        <item x="630"/>
        <item x="631"/>
        <item x="632"/>
        <item x="633"/>
        <item x="634"/>
        <item x="687"/>
        <item x="688"/>
        <item x="689"/>
        <item x="690"/>
        <item x="691"/>
        <item x="692"/>
        <item x="693"/>
        <item x="744"/>
        <item x="745"/>
        <item x="746"/>
        <item x="747"/>
        <item x="748"/>
        <item x="749"/>
        <item x="806"/>
        <item x="807"/>
        <item x="808"/>
        <item x="809"/>
        <item x="810"/>
        <item x="811"/>
        <item x="20"/>
        <item x="21"/>
        <item x="22"/>
        <item x="23"/>
        <item x="24"/>
        <item x="25"/>
        <item x="26"/>
        <item x="92"/>
        <item x="93"/>
        <item x="94"/>
        <item x="95"/>
        <item x="96"/>
        <item x="97"/>
        <item x="154"/>
        <item x="155"/>
        <item x="156"/>
        <item x="157"/>
        <item x="158"/>
        <item x="159"/>
        <item x="160"/>
        <item x="217"/>
        <item x="218"/>
        <item x="219"/>
        <item x="220"/>
        <item x="221"/>
        <item x="222"/>
        <item x="255"/>
        <item x="256"/>
        <item x="257"/>
        <item x="258"/>
        <item x="259"/>
        <item x="260"/>
        <item x="294"/>
        <item x="295"/>
        <item x="296"/>
        <item x="297"/>
        <item x="298"/>
        <item x="299"/>
        <item x="300"/>
        <item x="338"/>
        <item x="339"/>
        <item x="340"/>
        <item x="341"/>
        <item x="342"/>
        <item x="343"/>
        <item x="383"/>
        <item x="384"/>
        <item x="385"/>
        <item x="386"/>
        <item x="387"/>
        <item x="388"/>
        <item x="389"/>
        <item x="429"/>
        <item x="430"/>
        <item x="431"/>
        <item x="432"/>
        <item x="433"/>
        <item x="434"/>
        <item x="472"/>
        <item x="473"/>
        <item x="474"/>
        <item x="475"/>
        <item x="476"/>
        <item x="477"/>
        <item x="519"/>
        <item x="520"/>
        <item x="521"/>
        <item x="522"/>
        <item x="523"/>
        <item x="524"/>
        <item x="525"/>
        <item x="577"/>
        <item x="578"/>
        <item x="579"/>
        <item x="580"/>
        <item x="581"/>
        <item x="582"/>
        <item x="635"/>
        <item x="636"/>
        <item x="637"/>
        <item x="638"/>
        <item x="639"/>
        <item x="640"/>
        <item x="641"/>
        <item x="694"/>
        <item x="695"/>
        <item x="696"/>
        <item x="697"/>
        <item x="698"/>
        <item x="699"/>
        <item x="750"/>
        <item x="751"/>
        <item x="752"/>
        <item x="753"/>
        <item x="754"/>
        <item x="755"/>
        <item x="812"/>
        <item x="813"/>
        <item x="814"/>
        <item x="815"/>
        <item x="816"/>
        <item x="817"/>
        <item x="27"/>
        <item x="28"/>
        <item x="29"/>
        <item x="30"/>
        <item x="31"/>
        <item x="32"/>
        <item x="33"/>
        <item x="98"/>
        <item x="99"/>
        <item x="100"/>
        <item x="101"/>
        <item x="102"/>
        <item x="103"/>
        <item x="104"/>
        <item x="161"/>
        <item x="162"/>
        <item x="163"/>
        <item x="164"/>
        <item x="165"/>
        <item x="166"/>
        <item x="223"/>
        <item x="224"/>
        <item x="225"/>
        <item x="226"/>
        <item x="227"/>
        <item x="228"/>
        <item x="261"/>
        <item x="262"/>
        <item x="263"/>
        <item x="264"/>
        <item x="265"/>
        <item x="266"/>
        <item x="267"/>
        <item x="301"/>
        <item x="302"/>
        <item x="303"/>
        <item x="304"/>
        <item x="305"/>
        <item x="306"/>
        <item x="344"/>
        <item x="345"/>
        <item x="346"/>
        <item x="347"/>
        <item x="348"/>
        <item x="349"/>
        <item x="350"/>
        <item x="390"/>
        <item x="391"/>
        <item x="392"/>
        <item x="393"/>
        <item x="394"/>
        <item x="395"/>
        <item x="435"/>
        <item x="436"/>
        <item x="437"/>
        <item x="438"/>
        <item x="439"/>
        <item x="440"/>
        <item x="478"/>
        <item x="479"/>
        <item x="480"/>
        <item x="481"/>
        <item x="482"/>
        <item x="483"/>
        <item x="484"/>
        <item x="526"/>
        <item x="527"/>
        <item x="528"/>
        <item x="529"/>
        <item x="530"/>
        <item x="531"/>
        <item x="583"/>
        <item x="584"/>
        <item x="585"/>
        <item x="586"/>
        <item x="587"/>
        <item x="588"/>
        <item x="589"/>
        <item x="642"/>
        <item x="643"/>
        <item x="644"/>
        <item x="645"/>
        <item x="646"/>
        <item x="647"/>
        <item x="700"/>
        <item x="701"/>
        <item x="702"/>
        <item x="703"/>
        <item x="704"/>
        <item x="705"/>
        <item x="756"/>
        <item x="757"/>
        <item x="758"/>
        <item x="759"/>
        <item x="760"/>
        <item x="761"/>
        <item x="762"/>
        <item x="818"/>
        <item x="819"/>
        <item x="820"/>
        <item x="821"/>
        <item x="822"/>
        <item x="34"/>
        <item x="35"/>
        <item x="36"/>
        <item x="37"/>
        <item x="38"/>
        <item x="39"/>
        <item x="40"/>
        <item x="41"/>
        <item x="105"/>
        <item x="106"/>
        <item x="107"/>
        <item x="108"/>
        <item x="109"/>
        <item x="110"/>
        <item x="167"/>
        <item x="168"/>
        <item x="169"/>
        <item x="170"/>
        <item x="171"/>
        <item x="172"/>
        <item x="763"/>
        <item x="764"/>
        <item x="765"/>
        <item x="766"/>
        <item x="767"/>
        <item x="768"/>
        <item x="769"/>
        <item x="823"/>
        <item x="824"/>
        <item x="825"/>
        <item x="826"/>
        <item x="827"/>
        <item x="42"/>
        <item x="43"/>
        <item x="44"/>
        <item x="45"/>
        <item x="46"/>
        <item x="47"/>
        <item x="48"/>
        <item x="49"/>
        <item x="111"/>
        <item x="112"/>
        <item x="113"/>
        <item x="114"/>
        <item x="115"/>
        <item x="116"/>
        <item x="173"/>
        <item x="174"/>
        <item x="175"/>
        <item x="176"/>
        <item x="177"/>
        <item x="178"/>
        <item x="991"/>
        <item x="992"/>
        <item x="993"/>
        <item x="994"/>
        <item x="995"/>
        <item x="996"/>
        <item x="850"/>
        <item x="851"/>
        <item x="852"/>
        <item x="853"/>
        <item x="854"/>
        <item x="855"/>
        <item x="856"/>
        <item x="864"/>
        <item x="865"/>
        <item x="866"/>
        <item x="867"/>
        <item x="868"/>
        <item x="869"/>
        <item x="877"/>
        <item x="878"/>
        <item x="879"/>
        <item x="880"/>
        <item x="881"/>
        <item x="882"/>
        <item x="883"/>
        <item x="916"/>
        <item x="917"/>
        <item x="918"/>
        <item x="919"/>
        <item x="920"/>
        <item x="921"/>
        <item x="928"/>
        <item x="929"/>
        <item x="930"/>
        <item x="931"/>
        <item x="932"/>
        <item x="933"/>
        <item x="934"/>
        <item x="942"/>
        <item x="943"/>
        <item x="944"/>
        <item x="945"/>
        <item x="946"/>
        <item x="947"/>
        <item x="954"/>
        <item x="955"/>
        <item x="956"/>
        <item x="957"/>
        <item x="958"/>
        <item x="959"/>
        <item x="965"/>
        <item x="966"/>
        <item x="967"/>
        <item x="968"/>
        <item x="969"/>
        <item x="970"/>
        <item x="971"/>
        <item x="972"/>
        <item x="973"/>
        <item x="974"/>
        <item x="975"/>
        <item x="976"/>
        <item x="977"/>
        <item x="978"/>
        <item x="979"/>
        <item x="980"/>
        <item x="981"/>
        <item x="982"/>
        <item x="983"/>
        <item x="984"/>
        <item x="985"/>
        <item x="986"/>
        <item x="987"/>
        <item x="988"/>
        <item x="989"/>
        <item x="990"/>
        <item x="997"/>
        <item x="998"/>
        <item x="999"/>
        <item x="1000"/>
        <item x="1001"/>
        <item x="857"/>
        <item x="858"/>
        <item x="859"/>
        <item x="860"/>
        <item x="861"/>
        <item x="862"/>
        <item x="863"/>
        <item x="870"/>
        <item x="871"/>
        <item x="872"/>
        <item x="873"/>
        <item x="874"/>
        <item x="875"/>
        <item x="876"/>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22"/>
        <item x="923"/>
        <item x="924"/>
        <item x="925"/>
        <item x="926"/>
        <item x="927"/>
        <item x="935"/>
        <item x="936"/>
        <item x="937"/>
        <item x="938"/>
        <item x="939"/>
        <item x="940"/>
        <item x="941"/>
        <item x="948"/>
        <item x="949"/>
        <item x="950"/>
        <item x="951"/>
        <item x="952"/>
        <item x="953"/>
        <item x="960"/>
        <item x="961"/>
        <item x="962"/>
        <item x="963"/>
        <item x="964"/>
        <item x="0"/>
        <item x="1"/>
        <item x="2"/>
        <item m="1" x="4285"/>
        <item m="1" x="4401"/>
        <item m="1" x="4509"/>
        <item m="1" x="4614"/>
        <item m="1" x="4940"/>
        <item m="1" x="5054"/>
        <item m="1" x="5155"/>
        <item m="1" x="5261"/>
        <item m="1" x="5478"/>
        <item m="1" x="5593"/>
        <item m="1" x="5698"/>
        <item m="1" x="5804"/>
        <item m="1" x="6016"/>
        <item m="1" x="6131"/>
        <item m="1" x="6242"/>
        <item m="1" x="6342"/>
        <item m="1" x="3101"/>
        <item m="1" x="6664"/>
        <item m="1" x="3215"/>
        <item m="1" x="6777"/>
        <item m="1" x="3321"/>
        <item m="1" x="6878"/>
        <item m="1" x="3424"/>
        <item m="1" x="6982"/>
        <item m="1" x="7197"/>
        <item m="1" x="3746"/>
        <item m="1" x="7312"/>
        <item m="1" x="3860"/>
        <item m="1" x="7418"/>
        <item m="1" x="3961"/>
        <item m="1" x="7518"/>
        <item m="1" x="4065"/>
        <item m="1" x="7735"/>
        <item m="1" x="4282"/>
        <item m="1" x="7847"/>
        <item m="1" x="4398"/>
        <item m="1" x="7960"/>
        <item m="1" x="4504"/>
        <item m="1" x="1065"/>
        <item m="1" x="4609"/>
        <item m="1" x="1169"/>
        <item m="1" x="4825"/>
        <item m="1" x="1386"/>
        <item m="1" x="4938"/>
        <item m="1" x="1502"/>
        <item m="1" x="5050"/>
        <item m="1" x="1604"/>
        <item m="1" x="5150"/>
        <item m="1" x="1706"/>
        <item m="1" x="1922"/>
        <item m="1" x="5475"/>
        <item m="1" x="2035"/>
        <item m="1" x="5590"/>
        <item m="1" x="2142"/>
        <item m="1" x="5693"/>
        <item m="1" x="2243"/>
        <item m="1" x="5799"/>
        <item m="1" x="6013"/>
        <item m="1" x="2566"/>
        <item m="1" x="6129"/>
        <item m="1" x="2681"/>
        <item m="1" x="6237"/>
        <item m="1" x="2782"/>
        <item m="1" x="6337"/>
        <item m="1" x="2884"/>
        <item m="1" x="6552"/>
        <item m="1" x="3098"/>
        <item m="1" x="6661"/>
        <item m="1" x="3212"/>
        <item m="1" x="6773"/>
        <item m="1" x="3316"/>
        <item m="1" x="6873"/>
        <item m="1" x="3419"/>
        <item m="1" x="6977"/>
        <item m="1" x="3633"/>
        <item m="1" x="7194"/>
        <item m="1" x="3744"/>
        <item m="1" x="7309"/>
        <item m="1" x="3856"/>
        <item m="1" x="7413"/>
        <item m="1" x="3956"/>
        <item m="1" x="7513"/>
        <item m="1" x="7732"/>
        <item m="1" x="4279"/>
        <item m="1" x="7845"/>
        <item m="1" x="4395"/>
        <item m="1" x="7955"/>
        <item m="1" x="4499"/>
        <item m="1" x="1060"/>
        <item m="1" x="4604"/>
        <item m="1" x="4822"/>
        <item m="1" x="1383"/>
        <item m="1" x="4936"/>
        <item m="1" x="1498"/>
        <item m="1" x="5045"/>
        <item m="1" x="1599"/>
        <item m="1" x="5145"/>
        <item m="1" x="1701"/>
        <item m="1" x="5363"/>
        <item m="1" x="1919"/>
        <item m="1" x="5472"/>
        <item m="1" x="2032"/>
        <item m="1" x="5586"/>
        <item m="1" x="2137"/>
        <item m="1" x="5688"/>
        <item m="1" x="2238"/>
        <item m="1" x="5794"/>
        <item m="1" x="2453"/>
        <item m="1" x="6011"/>
        <item m="1" x="2564"/>
        <item m="1" x="6126"/>
        <item m="1" x="2677"/>
        <item m="1" x="6232"/>
        <item m="1" x="2777"/>
        <item m="1" x="6332"/>
        <item m="1" x="6549"/>
        <item m="1" x="3095"/>
        <item m="1" x="6659"/>
        <item m="1" x="3209"/>
        <item m="1" x="6768"/>
        <item m="1" x="3311"/>
        <item m="1" x="6868"/>
        <item m="1" x="3414"/>
        <item m="1" x="3630"/>
        <item m="1" x="7191"/>
        <item m="1" x="3742"/>
        <item m="1" x="7305"/>
        <item m="1" x="3851"/>
        <item m="1" x="7408"/>
        <item m="1" x="3951"/>
        <item m="1" x="7508"/>
        <item m="1" x="4168"/>
        <item m="1" x="7729"/>
        <item m="1" x="4277"/>
        <item m="1" x="7842"/>
        <item m="1" x="4391"/>
        <item m="1" x="7950"/>
        <item m="1" x="4494"/>
        <item m="1" x="1055"/>
        <item m="1" x="4599"/>
        <item m="1" x="1271"/>
        <item m="1" x="4820"/>
        <item m="1" x="1381"/>
        <item m="1" x="4933"/>
        <item m="1" x="1494"/>
        <item m="1" x="5040"/>
        <item m="1" x="1594"/>
        <item m="1" x="5140"/>
        <item m="1" x="5360"/>
        <item m="1" x="1916"/>
        <item m="1" x="5470"/>
        <item m="1" x="2029"/>
        <item m="1" x="5581"/>
        <item m="1" x="2132"/>
        <item m="1" x="5683"/>
        <item m="1" x="2233"/>
        <item m="1" x="5901"/>
        <item m="1" x="2450"/>
        <item m="1" x="6008"/>
        <item m="1" x="2562"/>
        <item m="1" x="6122"/>
        <item m="1" x="2672"/>
        <item m="1" x="6227"/>
        <item m="1" x="2772"/>
        <item m="1" x="6327"/>
        <item m="1" x="2985"/>
        <item m="1" x="6546"/>
        <item m="1" x="3093"/>
        <item m="1" x="6656"/>
        <item m="1" x="3205"/>
        <item m="1" x="6763"/>
        <item m="1" x="3306"/>
        <item m="1" x="6863"/>
        <item m="1" x="3409"/>
        <item m="1" x="7080"/>
        <item m="1" x="3628"/>
        <item m="1" x="7189"/>
        <item m="1" x="3739"/>
        <item m="1" x="7301"/>
        <item m="1" x="3846"/>
        <item m="1" x="7403"/>
        <item m="1" x="3946"/>
        <item m="1" x="4165"/>
        <item m="1" x="7726"/>
        <item m="1" x="4275"/>
        <item m="1" x="7839"/>
        <item m="1" x="4386"/>
        <item m="1" x="7945"/>
        <item m="1" x="4489"/>
        <item m="1" x="1050"/>
        <item m="1" x="4708"/>
        <item m="1" x="1268"/>
        <item m="1" x="4817"/>
        <item m="1" x="1379"/>
        <item m="1" x="4929"/>
        <item m="1" x="1489"/>
        <item m="1" x="5035"/>
        <item m="1" x="1589"/>
        <item m="1" x="5135"/>
        <item m="1" x="1804"/>
        <item m="1" x="5357"/>
        <item m="1" x="1914"/>
        <item m="1" x="5467"/>
        <item m="1" x="2025"/>
        <item m="1" x="5576"/>
        <item m="1" x="2127"/>
        <item m="1" x="5678"/>
        <item m="1" x="2228"/>
        <item m="1" x="5897"/>
        <item m="1" x="2447"/>
        <item m="1" x="6006"/>
        <item m="1" x="2559"/>
        <item m="1" x="6118"/>
        <item m="1" x="2667"/>
        <item m="1" x="6222"/>
        <item m="1" x="2767"/>
        <item m="1" x="2982"/>
        <item m="1" x="6543"/>
        <item m="1" x="3091"/>
        <item m="1" x="6653"/>
        <item m="1" x="3200"/>
        <item m="1" x="6758"/>
        <item m="1" x="3301"/>
        <item m="1" x="6858"/>
        <item m="1" x="3516"/>
        <item m="1" x="7077"/>
        <item m="1" x="3625"/>
        <item m="1" x="7187"/>
        <item m="1" x="3735"/>
        <item m="1" x="7297"/>
        <item m="1" x="3842"/>
        <item m="1" x="7399"/>
        <item m="1" x="3942"/>
        <item m="1" x="7613"/>
        <item m="1" x="4163"/>
        <item m="1" x="7724"/>
        <item m="1" x="4272"/>
        <item m="1" x="7835"/>
        <item m="1" x="4382"/>
        <item m="1" x="7941"/>
        <item m="1" x="4485"/>
        <item m="1" x="1046"/>
        <item m="1" x="4705"/>
        <item m="1" x="1266"/>
        <item m="1" x="4815"/>
        <item m="1" x="1376"/>
        <item m="1" x="4925"/>
        <item m="1" x="1485"/>
        <item m="1" x="5031"/>
        <item m="1" x="1585"/>
        <item m="1" x="1801"/>
        <item m="1" x="5354"/>
        <item m="1" x="1911"/>
        <item m="1" x="5463"/>
        <item m="1" x="2020"/>
        <item m="1" x="5571"/>
        <item m="1" x="2122"/>
        <item m="1" x="5674"/>
        <item m="1" x="2334"/>
        <item m="1" x="5894"/>
        <item m="1" x="2444"/>
        <item m="1" x="6003"/>
        <item m="1" x="2554"/>
        <item m="1" x="6113"/>
        <item m="1" x="2662"/>
        <item m="1" x="6217"/>
        <item m="1" x="2763"/>
        <item m="1" x="6430"/>
        <item m="1" x="2979"/>
        <item m="1" x="6540"/>
        <item m="1" x="3087"/>
        <item m="1" x="6648"/>
        <item m="1" x="3195"/>
        <item m="1" x="6753"/>
        <item m="1" x="3297"/>
        <item m="1" x="6854"/>
        <item m="1" x="3512"/>
        <item m="1" x="7074"/>
        <item m="1" x="3622"/>
        <item m="1" x="7183"/>
        <item m="1" x="3730"/>
        <item m="1" x="7292"/>
        <item m="1" x="3837"/>
        <item m="1" x="7395"/>
        <item m="1" x="7610"/>
        <item m="1" x="4160"/>
        <item m="1" x="7721"/>
        <item m="1" x="4268"/>
        <item m="1" x="7830"/>
        <item m="1" x="4377"/>
        <item m="1" x="7936"/>
        <item m="1" x="4481"/>
        <item m="1" x="1151"/>
        <item m="1" x="4702"/>
        <item m="1" x="1263"/>
        <item m="1" x="4811"/>
        <item m="1" x="1371"/>
        <item m="1" x="4920"/>
        <item m="1" x="1480"/>
        <item m="1" x="5026"/>
        <item m="1" x="1581"/>
        <item m="1" x="5239"/>
        <item m="1" x="1798"/>
        <item m="1" x="5351"/>
        <item m="1" x="1907"/>
        <item m="1" x="5458"/>
        <item m="1" x="2015"/>
        <item m="1" x="5566"/>
        <item m="1" x="2118"/>
        <item m="1" x="5670"/>
        <item m="1" x="2330"/>
        <item m="1" x="5891"/>
        <item m="1" x="2441"/>
        <item m="1" x="5999"/>
        <item m="1" x="2549"/>
        <item m="1" x="6108"/>
        <item m="1" x="2657"/>
        <item m="1" x="6213"/>
        <item m="1" x="6427"/>
        <item m="1" x="2976"/>
        <item m="1" x="6537"/>
        <item m="1" x="3082"/>
        <item m="1" x="6643"/>
        <item m="1" x="3190"/>
        <item m="1" x="6748"/>
        <item m="1" x="3293"/>
        <item m="1" x="6958"/>
        <item m="1" x="3509"/>
        <item m="1" x="7071"/>
        <item m="1" x="3618"/>
        <item m="1" x="7178"/>
        <item m="1" x="3725"/>
        <item m="1" x="7287"/>
        <item m="1" x="3832"/>
        <item m="1" x="7391"/>
        <item m="1" x="4044"/>
        <item m="1" x="7607"/>
        <item m="1" x="4157"/>
        <item m="1" x="7717"/>
        <item m="1" x="4263"/>
        <item m="1" x="7825"/>
        <item m="1" x="4372"/>
        <item m="1" x="7932"/>
        <item m="1" x="1147"/>
        <item m="1" x="4699"/>
        <item m="1" x="1260"/>
        <item m="1" x="4807"/>
        <item m="1" x="1366"/>
        <item m="1" x="4915"/>
        <item m="1" x="1475"/>
        <item m="1" x="5022"/>
        <item m="1" x="5236"/>
        <item m="1" x="1795"/>
        <item m="1" x="5348"/>
        <item m="1" x="1902"/>
        <item m="1" x="5453"/>
        <item m="1" x="2010"/>
        <item m="1" x="5561"/>
        <item m="1" x="2114"/>
        <item m="1" x="5775"/>
        <item m="1" x="2327"/>
        <item m="1" x="5888"/>
        <item m="1" x="2437"/>
        <item m="1" x="5994"/>
        <item m="1" x="2544"/>
        <item m="1" x="6103"/>
        <item m="1" x="2652"/>
        <item m="1" x="6209"/>
        <item m="1" x="2862"/>
        <item m="1" x="6424"/>
        <item m="1" x="2973"/>
        <item m="1" x="6533"/>
        <item m="1" x="3077"/>
        <item m="1" x="6638"/>
        <item m="1" x="3185"/>
        <item m="1" x="6744"/>
        <item m="1" x="6954"/>
        <item m="1" x="3506"/>
        <item m="1" x="7068"/>
        <item m="1" x="3614"/>
        <item m="1" x="7173"/>
        <item m="1" x="3720"/>
        <item m="1" x="7282"/>
        <item m="1" x="3828"/>
        <item m="1" x="4041"/>
        <item m="1" x="7604"/>
        <item m="1" x="4154"/>
        <item m="1" x="7712"/>
        <item m="1" x="4258"/>
        <item m="1" x="7820"/>
        <item m="1" x="4367"/>
        <item m="1" x="7928"/>
        <item m="1" x="4581"/>
        <item m="1" x="1144"/>
        <item m="1" x="4696"/>
        <item m="1" x="1256"/>
        <item m="1" x="4802"/>
        <item m="1" x="1361"/>
        <item m="1" x="4910"/>
        <item m="1" x="1470"/>
        <item m="1" x="5018"/>
        <item m="1" x="1680"/>
        <item m="1" x="5233"/>
        <item m="1" x="1792"/>
        <item m="1" x="5344"/>
        <item m="1" x="1897"/>
        <item m="1" x="5448"/>
        <item m="1" x="2005"/>
        <item m="1" x="5557"/>
        <item m="1" x="5771"/>
        <item m="1" x="2324"/>
        <item m="1" x="5885"/>
        <item m="1" x="2433"/>
        <item m="1" x="5989"/>
        <item m="1" x="2539"/>
        <item m="1" x="6098"/>
        <item m="1" x="2648"/>
        <item m="1" x="2859"/>
        <item m="1" x="6421"/>
        <item m="1" x="2970"/>
        <item m="1" x="6528"/>
        <item m="1" x="3072"/>
        <item m="1" x="6633"/>
        <item m="1" x="3180"/>
        <item m="1" x="6740"/>
        <item m="1" x="3392"/>
        <item m="1" x="6952"/>
        <item m="1" x="3504"/>
        <item m="1" x="7065"/>
        <item m="1" x="3610"/>
        <item m="1" x="7169"/>
        <item m="1" x="3716"/>
        <item m="1" x="7278"/>
        <item m="1" x="3824"/>
        <item m="1" x="7489"/>
        <item m="1" x="4039"/>
        <item m="1" x="7601"/>
        <item m="1" x="4150"/>
        <item m="1" x="7707"/>
        <item m="1" x="4253"/>
        <item m="1" x="7815"/>
        <item m="1" x="4362"/>
        <item m="1" x="4578"/>
        <item m="1" x="1142"/>
        <item m="1" x="4693"/>
        <item m="1" x="1252"/>
        <item m="1" x="4797"/>
        <item m="1" x="1356"/>
        <item m="1" x="4905"/>
        <item m="1" x="1465"/>
        <item m="1" x="1678"/>
        <item m="1" x="5231"/>
        <item m="1" x="1789"/>
        <item m="1" x="5339"/>
        <item m="1" x="1892"/>
        <item m="1" x="5443"/>
        <item m="1" x="2000"/>
        <item m="1" x="5552"/>
        <item m="1" x="2212"/>
        <item m="1" x="5769"/>
        <item m="1" x="2322"/>
        <item m="1" x="5881"/>
        <item m="1" x="2428"/>
        <item m="1" x="5984"/>
        <item m="1" x="2534"/>
        <item m="1" x="6093"/>
        <item m="1" x="2643"/>
        <item m="1" x="6308"/>
        <item m="1" x="2857"/>
        <item m="1" x="6418"/>
        <item m="1" x="2966"/>
        <item m="1" x="6523"/>
        <item m="1" x="3067"/>
        <item m="1" x="6628"/>
        <item m="1" x="3175"/>
        <item m="1" x="3390"/>
        <item m="1" x="6950"/>
        <item m="1" x="3501"/>
        <item m="1" x="7061"/>
        <item m="1" x="3605"/>
        <item m="1" x="7164"/>
        <item m="1" x="3711"/>
        <item m="1" x="7273"/>
        <item m="1" x="7487"/>
        <item m="1" x="4037"/>
        <item m="1" x="7598"/>
        <item m="1" x="4145"/>
        <item m="1" x="7702"/>
        <item m="1" x="4248"/>
        <item m="1" x="7810"/>
        <item m="1" x="4357"/>
        <item m="1" x="1030"/>
        <item m="1" x="4576"/>
        <item m="1" x="1140"/>
        <item m="1" x="4689"/>
        <item m="1" x="1247"/>
        <item m="1" x="4792"/>
        <item m="1" x="1351"/>
        <item m="1" x="4900"/>
        <item m="1" x="1460"/>
        <item m="1" x="5117"/>
        <item m="1" x="1676"/>
        <item m="1" x="5228"/>
        <item m="1" x="1785"/>
        <item m="1" x="5334"/>
        <item m="1" x="1887"/>
        <item m="1" x="5438"/>
        <item m="1" x="1995"/>
        <item m="1" x="2210"/>
        <item m="1" x="5767"/>
        <item m="1" x="2319"/>
        <item m="1" x="5877"/>
        <item m="1" x="2423"/>
        <item m="1" x="5979"/>
        <item m="1" x="2529"/>
        <item m="1" x="6088"/>
        <item m="1" x="6306"/>
        <item m="1" x="2855"/>
        <item m="1" x="6415"/>
        <item m="1" x="2961"/>
        <item m="1" x="6518"/>
        <item m="1" x="3062"/>
        <item m="1" x="6623"/>
        <item m="1" x="3170"/>
        <item m="1" x="6840"/>
        <item m="1" x="3388"/>
        <item m="1" x="6948"/>
        <item m="1" x="3497"/>
        <item m="1" x="7056"/>
        <item m="1" x="3600"/>
        <item m="1" x="7159"/>
        <item m="1" x="3706"/>
        <item m="1" x="7268"/>
        <item m="1" x="3924"/>
        <item m="1" x="7486"/>
        <item m="1" x="4034"/>
        <item m="1" x="7594"/>
        <item m="1" x="4140"/>
        <item m="1" x="7697"/>
        <item m="1" x="4243"/>
        <item m="1" x="7805"/>
        <item m="1" x="1028"/>
        <item m="1" x="4574"/>
        <item m="1" x="1137"/>
        <item m="1" x="4685"/>
        <item m="1" x="1242"/>
        <item m="1" x="4787"/>
        <item m="1" x="1346"/>
        <item m="1" x="4895"/>
        <item m="1" x="5115"/>
        <item m="1" x="1674"/>
        <item m="1" x="5225"/>
        <item m="1" x="1780"/>
        <item m="1" x="5329"/>
        <item m="1" x="1882"/>
        <item m="1" x="5433"/>
        <item m="1" x="1990"/>
        <item m="1" x="5655"/>
        <item m="1" x="2208"/>
        <item m="1" x="5765"/>
        <item m="1" x="2315"/>
        <item m="1" x="5872"/>
        <item m="1" x="2418"/>
        <item m="1" x="5974"/>
        <item m="1" x="2524"/>
        <item m="1" x="6083"/>
        <item m="1" x="2745"/>
        <item m="1" x="6305"/>
        <item m="1" x="2852"/>
        <item m="1" x="6411"/>
        <item m="1" x="2956"/>
        <item m="1" x="6513"/>
        <item m="1" x="3057"/>
        <item m="1" x="6618"/>
        <item m="1" x="6838"/>
        <item m="1" x="3386"/>
        <item m="1" x="6945"/>
        <item m="1" x="3493"/>
        <item m="1" x="7051"/>
        <item m="1" x="3595"/>
        <item m="1" x="7154"/>
        <item m="1" x="3701"/>
        <item m="1" x="7374"/>
        <item m="1" x="3922"/>
        <item m="1" x="7484"/>
        <item m="1" x="4031"/>
        <item m="1" x="7589"/>
        <item m="1" x="4135"/>
        <item m="1" x="7692"/>
        <item m="1" x="4238"/>
        <item m="1" x="7800"/>
        <item m="1" x="4462"/>
        <item m="1" x="1026"/>
        <item m="1" x="4572"/>
        <item m="1" x="1133"/>
        <item m="1" x="4680"/>
        <item m="1" x="1237"/>
        <item m="1" x="4782"/>
        <item m="1" x="1341"/>
        <item m="1" x="4890"/>
        <item m="1" x="1563"/>
        <item m="1" x="5114"/>
        <item m="1" x="1671"/>
        <item m="1" x="5221"/>
        <item m="1" x="1775"/>
        <item m="1" x="5324"/>
        <item m="1" x="1877"/>
        <item m="1" x="5428"/>
        <item m="1" x="5653"/>
        <item m="1" x="2206"/>
        <item m="1" x="5762"/>
        <item m="1" x="2311"/>
        <item m="1" x="5867"/>
        <item m="1" x="2413"/>
        <item m="1" x="5969"/>
        <item m="1" x="2519"/>
        <item m="1" x="6192"/>
        <item m="1" x="2743"/>
        <item m="1" x="6303"/>
        <item m="1" x="2849"/>
        <item m="1" x="6407"/>
        <item m="1" x="2952"/>
        <item m="1" x="6509"/>
        <item m="1" x="3053"/>
        <item m="1" x="6614"/>
        <item m="1" x="3275"/>
        <item m="1" x="6837"/>
        <item m="1" x="3384"/>
        <item m="1" x="6941"/>
        <item m="1" x="3489"/>
        <item m="1" x="7047"/>
        <item m="1" x="3591"/>
        <item m="1" x="7150"/>
        <item m="1" x="3697"/>
        <item m="1" x="7372"/>
        <item m="1" x="3920"/>
        <item m="1" x="7481"/>
        <item m="1" x="4027"/>
        <item m="1" x="7585"/>
        <item m="1" x="4131"/>
        <item m="1" x="7688"/>
        <item m="1" x="4234"/>
        <item m="1" x="4460"/>
        <item m="1" x="1023"/>
        <item m="1" x="4568"/>
        <item m="1" x="1128"/>
        <item m="1" x="4675"/>
        <item m="1" x="1232"/>
        <item m="1" x="4778"/>
        <item m="1" x="1337"/>
        <item m="1" x="5000"/>
        <item m="1" x="1561"/>
        <item m="1" x="5111"/>
        <item m="1" x="1667"/>
        <item m="1" x="5216"/>
        <item m="1" x="1770"/>
        <item m="1" x="5319"/>
        <item m="1" x="1873"/>
        <item m="1" x="5424"/>
        <item m="1" x="2094"/>
        <item m="1" x="5651"/>
        <item m="1" x="2203"/>
        <item m="1" x="5757"/>
        <item m="1" x="2306"/>
        <item m="1" x="5862"/>
        <item m="1" x="2408"/>
        <item m="1" x="5965"/>
        <item m="1" x="2515"/>
        <item m="1" x="6189"/>
        <item m="1" x="2740"/>
        <item m="1" x="6299"/>
        <item m="1" x="2844"/>
        <item m="1" x="6402"/>
        <item m="1" x="2947"/>
        <item m="1" x="6505"/>
        <item m="1" x="3049"/>
        <item m="1" x="3273"/>
        <item m="1" x="6834"/>
        <item m="1" x="3380"/>
        <item m="1" x="6936"/>
        <item m="1" x="3484"/>
        <item m="1" x="7042"/>
        <item m="1" x="3587"/>
        <item m="1" x="7146"/>
        <item m="1" x="3807"/>
        <item m="1" x="7370"/>
        <item m="1" x="3917"/>
        <item m="1" x="7477"/>
        <item m="1" x="4022"/>
        <item m="1" x="7580"/>
        <item m="1" x="4126"/>
        <item m="1" x="7684"/>
        <item m="1" x="4230"/>
        <item m="1" x="7907"/>
        <item m="1" x="4458"/>
        <item m="1" x="1019"/>
        <item m="1" x="4563"/>
        <item m="1" x="1123"/>
        <item m="1" x="4670"/>
        <item m="1" x="1227"/>
        <item m="1" x="4774"/>
        <item m="1" x="1333"/>
        <item m="1" x="4997"/>
        <item m="1" x="1558"/>
        <item m="1" x="5107"/>
        <item m="1" x="1662"/>
        <item m="1" x="5211"/>
        <item m="1" x="1765"/>
        <item m="1" x="5315"/>
        <item m="1" x="1869"/>
        <item m="1" x="2092"/>
        <item m="1" x="5648"/>
        <item m="1" x="2199"/>
        <item m="1" x="5752"/>
        <item m="1" x="2301"/>
        <item m="1" x="5857"/>
        <item m="1" x="2404"/>
        <item m="1" x="5961"/>
        <item m="1" x="2625"/>
        <item m="1" x="6187"/>
        <item m="1" x="2737"/>
        <item m="1" x="6294"/>
        <item m="1" x="2839"/>
        <item m="1" x="6397"/>
        <item m="1" x="2942"/>
        <item m="1" x="6501"/>
        <item m="1" x="3045"/>
        <item m="1" x="6720"/>
        <item m="1" x="3271"/>
        <item m="1" x="6830"/>
        <item m="1" x="3375"/>
        <item m="1" x="6931"/>
        <item m="1" x="3479"/>
        <item m="1" x="7037"/>
        <item m="1" x="3583"/>
        <item m="1" x="7142"/>
        <item m="1" x="3804"/>
        <item m="1" x="7367"/>
        <item m="1" x="3913"/>
        <item m="1" x="7472"/>
        <item m="1" x="4017"/>
        <item m="1" x="7575"/>
        <item m="1" x="4122"/>
        <item m="1" x="7680"/>
        <item m="1" x="7905"/>
        <item m="1" x="4455"/>
        <item m="1" x="1015"/>
        <item m="1" x="4558"/>
        <item m="1" x="1118"/>
        <item m="1" x="4665"/>
        <item m="1" x="1223"/>
        <item m="1" x="4770"/>
        <item m="1" x="1442"/>
        <item m="1" x="4995"/>
        <item m="1" x="1555"/>
        <item m="1" x="5102"/>
        <item m="1" x="1657"/>
        <item m="1" x="5206"/>
        <item m="1" x="1760"/>
        <item m="1" x="5311"/>
        <item m="1" x="1865"/>
        <item m="1" x="5531"/>
        <item m="1" x="2090"/>
        <item m="1" x="5644"/>
        <item m="1" x="2194"/>
        <item m="1" x="5747"/>
        <item m="1" x="2296"/>
        <item m="1" x="5852"/>
        <item m="1" x="2400"/>
        <item m="1" x="2622"/>
        <item m="1" x="6184"/>
        <item m="1" x="2733"/>
        <item m="1" x="6289"/>
        <item m="1" x="2834"/>
        <item m="1" x="6392"/>
        <item m="1" x="2938"/>
        <item m="1" x="6497"/>
        <item m="1" x="6718"/>
        <item m="1" x="3268"/>
        <item m="1" x="6826"/>
        <item m="1" x="3370"/>
        <item m="1" x="6926"/>
        <item m="1" x="3474"/>
        <item m="1" x="7033"/>
        <item m="1" x="3579"/>
        <item m="1" x="7251"/>
        <item m="1" x="3802"/>
        <item m="1" x="7364"/>
        <item m="1" x="3908"/>
        <item m="1" x="7467"/>
        <item m="1" x="4012"/>
        <item m="1" x="7570"/>
        <item m="1" x="4118"/>
        <item m="1" x="7676"/>
        <item m="1" x="4336"/>
        <item m="1" x="7903"/>
        <item m="1" x="4451"/>
        <item m="1" x="1010"/>
        <item m="1" x="4553"/>
        <item m="1" x="1113"/>
        <item m="1" x="4660"/>
        <item m="1" x="1219"/>
        <item m="1" x="1439"/>
        <item m="1" x="4992"/>
        <item m="1" x="1551"/>
        <item m="1" x="5097"/>
        <item m="1" x="1652"/>
        <item m="1" x="5201"/>
        <item m="1" x="1756"/>
        <item m="1" x="5307"/>
        <item m="1" x="5529"/>
        <item m="1" x="2087"/>
        <item m="1" x="5640"/>
        <item m="1" x="7419"/>
        <item m="1" x="2189"/>
        <item m="1" x="3962"/>
        <item m="1" x="5742"/>
        <item m="1" x="7519"/>
        <item m="1" x="2291"/>
        <item m="1" x="4066"/>
        <item m="1" x="5848"/>
        <item m="1" x="7626"/>
        <item m="1" x="2396"/>
        <item m="1" x="6066"/>
        <item m="1" x="7848"/>
        <item m="1" x="2621"/>
        <item m="1" x="4399"/>
        <item m="1" x="6182"/>
        <item m="1" x="7961"/>
        <item m="1" x="2729"/>
        <item m="1" x="4505"/>
        <item m="1" x="6285"/>
        <item m="1" x="1066"/>
        <item m="1" x="2830"/>
        <item m="1" x="4610"/>
        <item m="1" x="6388"/>
        <item m="1" x="1170"/>
        <item m="1" x="2934"/>
        <item m="1" x="4719"/>
        <item m="1" x="6493"/>
        <item m="1" x="3151"/>
        <item m="1" x="4939"/>
        <item m="1" x="6717"/>
        <item m="1" x="1503"/>
        <item m="1" x="3265"/>
        <item m="1" x="5051"/>
        <item m="1" x="6822"/>
        <item m="1" x="1605"/>
        <item m="1" x="3366"/>
        <item m="1" x="5151"/>
        <item m="1" x="6922"/>
        <item m="1" x="1707"/>
        <item m="1" x="3470"/>
        <item m="1" x="5257"/>
        <item m="1" x="7029"/>
        <item m="1" x="1814"/>
        <item m="1" x="5476"/>
        <item m="1" x="7249"/>
        <item m="1" x="2036"/>
        <item m="1" x="3800"/>
        <item m="1" x="5591"/>
        <item m="1" x="7361"/>
        <item m="1" x="2143"/>
        <item m="1" x="3904"/>
        <item m="1" x="5694"/>
        <item m="1" x="7463"/>
        <item m="1" x="2244"/>
        <item m="1" x="4008"/>
        <item m="1" x="5800"/>
        <item m="1" x="7566"/>
        <item m="1" x="2349"/>
        <item m="1" x="4114"/>
        <item m="1" x="5908"/>
        <item m="1" x="2567"/>
        <item m="1" x="4335"/>
        <item m="1" x="6130"/>
        <item m="1" x="7901"/>
        <item m="1" x="2682"/>
        <item m="1" x="4448"/>
        <item m="1" x="6238"/>
        <item m="1" x="1006"/>
        <item m="1" x="2783"/>
        <item m="1" x="4549"/>
        <item m="1" x="6338"/>
        <item m="1" x="1109"/>
        <item m="1" x="2885"/>
        <item m="1" x="4656"/>
        <item m="1" x="6444"/>
        <item m="1" x="1215"/>
        <item m="1" x="4874"/>
        <item m="1" x="6662"/>
        <item m="1" x="1438"/>
        <item m="1" x="3213"/>
        <item m="1" x="4990"/>
        <item m="1" x="6774"/>
        <item m="1" x="1547"/>
        <item m="1" x="3317"/>
        <item m="1" x="5093"/>
        <item m="1" x="6874"/>
        <item m="1" x="1648"/>
        <item m="1" x="3420"/>
        <item m="1" x="5197"/>
        <item m="1" x="6978"/>
        <item m="1" x="1752"/>
        <item m="1" x="3527"/>
        <item m="1" x="5303"/>
        <item m="1" x="1970"/>
        <item m="1" x="3745"/>
        <item m="1" x="5528"/>
        <item m="1" x="7310"/>
        <item m="1" x="2084"/>
        <item m="1" x="3857"/>
        <item m="1" x="5636"/>
        <item m="1" x="7414"/>
        <item m="1" x="2185"/>
        <item m="1" x="3957"/>
        <item m="1" x="5738"/>
        <item m="1" x="7514"/>
        <item m="1" x="2287"/>
        <item m="1" x="4061"/>
        <item m="1" x="5844"/>
        <item m="1" x="7622"/>
        <item m="1" x="4280"/>
        <item m="1" x="6064"/>
        <item m="1" x="7846"/>
        <item m="1" x="2619"/>
        <item m="1" x="4396"/>
        <item m="1" x="6179"/>
        <item m="1" x="7956"/>
        <item m="1" x="2725"/>
        <item m="1" x="4500"/>
        <item m="1" x="6281"/>
        <item m="1" x="1061"/>
        <item m="1" x="2826"/>
        <item m="1" x="4605"/>
        <item m="1" x="6384"/>
        <item m="1" x="1165"/>
        <item m="1" x="2930"/>
        <item m="1" x="4715"/>
        <item m="1" x="1384"/>
        <item m="1" x="3150"/>
        <item m="1" x="4937"/>
        <item m="1" x="6715"/>
        <item m="1" x="1499"/>
        <item m="1" x="3262"/>
        <item m="1" x="5046"/>
        <item m="1" x="6818"/>
        <item m="1" x="1600"/>
        <item m="1" x="3362"/>
        <item m="1" x="5146"/>
        <item m="1" x="6918"/>
        <item m="1" x="1702"/>
        <item m="1" x="3466"/>
        <item m="1" x="5253"/>
        <item m="1" x="7025"/>
        <item m="1" x="3682"/>
        <item m="1" x="5473"/>
        <item m="1" x="7248"/>
        <item m="1" x="2033"/>
        <item m="1" x="3798"/>
        <item m="1" x="5587"/>
        <item m="1" x="7357"/>
        <item m="1" x="2138"/>
        <item m="1" x="3900"/>
        <item m="1" x="5689"/>
        <item m="1" x="7459"/>
        <item m="1" x="2239"/>
        <item m="1" x="4004"/>
        <item m="1" x="5795"/>
        <item m="1" x="7562"/>
        <item m="1" x="2345"/>
        <item m="1" x="4110"/>
        <item m="1" x="7782"/>
        <item m="1" x="2565"/>
        <item m="1" x="4334"/>
        <item m="1" x="6127"/>
        <item m="1" x="7898"/>
        <item m="1" x="2678"/>
        <item m="1" x="4444"/>
        <item m="1" x="6233"/>
        <item m="1" x="1002"/>
        <item m="1" x="2778"/>
        <item m="1" x="4545"/>
        <item m="1" x="6333"/>
        <item m="1" x="1105"/>
        <item m="1" x="2880"/>
        <item m="1" x="4652"/>
        <item m="1" x="6440"/>
        <item m="1" x="3096"/>
        <item m="1" x="4872"/>
        <item m="1" x="6660"/>
        <item m="1" x="1436"/>
        <item m="1" x="3210"/>
        <item m="1" x="4987"/>
        <item m="1" x="6769"/>
        <item m="1" x="1543"/>
        <item m="1" x="3312"/>
        <item m="1" x="5089"/>
        <item m="1" x="6869"/>
        <item m="1" x="1644"/>
        <item m="1" x="3415"/>
        <item m="1" x="5193"/>
        <item m="1" x="6973"/>
        <item m="1" x="1748"/>
        <item m="1" x="3523"/>
        <item m="1" x="7192"/>
        <item m="1" x="1969"/>
        <item m="1" x="3743"/>
        <item m="1" x="5526"/>
        <item m="1" x="7306"/>
        <item m="1" x="2081"/>
        <item m="1" x="3852"/>
        <item m="1" x="5632"/>
        <item m="1" x="7409"/>
        <item m="1" x="2181"/>
        <item m="1" x="3952"/>
        <item m="1" x="5734"/>
        <item m="1" x="7509"/>
        <item m="1" x="2283"/>
        <item m="1" x="4057"/>
        <item m="1" x="5840"/>
        <item m="1" x="2501"/>
        <item m="1" x="4278"/>
        <item m="1" x="6063"/>
        <item m="1" x="7843"/>
        <item m="1" x="2617"/>
        <item m="1" x="4392"/>
        <item m="1" x="6175"/>
        <item m="1" x="7951"/>
        <item m="1" x="2721"/>
        <item m="1" x="4495"/>
        <item m="1" x="6277"/>
        <item m="1" x="1056"/>
        <item m="1" x="2822"/>
        <item m="1" x="4600"/>
        <item m="1" x="6380"/>
        <item m="1" x="1161"/>
        <item m="1" x="2926"/>
        <item m="1" x="6598"/>
        <item m="1" x="1382"/>
        <item m="1" x="3149"/>
        <item m="1" x="4934"/>
        <item m="1" x="6712"/>
        <item m="1" x="1495"/>
        <item m="1" x="3258"/>
        <item m="1" x="5041"/>
        <item m="1" x="6814"/>
        <item m="1" x="1595"/>
        <item m="1" x="3358"/>
        <item m="1" x="5141"/>
        <item m="1" x="6914"/>
        <item m="1" x="1697"/>
        <item m="1" x="3462"/>
        <item m="1" x="5249"/>
        <item m="1" x="1917"/>
        <item m="1" x="3681"/>
        <item m="1" x="5471"/>
        <item m="1" x="7246"/>
        <item m="1" x="2030"/>
        <item m="1" x="3795"/>
        <item m="1" x="5582"/>
        <item m="1" x="7353"/>
        <item m="1" x="2133"/>
        <item m="1" x="3896"/>
        <item m="1" x="5684"/>
        <item m="1" x="7455"/>
        <item m="1" x="2234"/>
        <item m="1" x="4000"/>
        <item m="1" x="5790"/>
        <item m="1" x="7558"/>
        <item m="1" x="2341"/>
        <item m="1" x="6009"/>
        <item m="1" x="7781"/>
        <item m="1" x="2563"/>
        <item m="1" x="4332"/>
        <item m="1" x="6123"/>
        <item m="1" x="7895"/>
        <item m="1" x="2673"/>
        <item m="1" x="4440"/>
        <item m="1" x="6228"/>
        <item m="1" x="7996"/>
        <item m="1" x="2773"/>
        <item m="1" x="4541"/>
        <item m="1" x="6328"/>
        <item m="1" x="1101"/>
        <item m="1" x="2876"/>
        <item m="1" x="4648"/>
        <item m="1" x="1319"/>
        <item m="1" x="3094"/>
        <item m="1" x="4871"/>
        <item m="1" x="6657"/>
        <item m="1" x="1434"/>
        <item m="1" x="3206"/>
        <item m="1" x="4983"/>
        <item m="1" x="6764"/>
        <item m="1" x="1539"/>
        <item m="1" x="3307"/>
        <item m="1" x="5085"/>
        <item m="1" x="6864"/>
        <item m="1" x="1640"/>
        <item m="1" x="3410"/>
        <item m="1" x="5189"/>
        <item m="1" x="6969"/>
        <item m="1" x="1744"/>
        <item m="1" x="5408"/>
        <item m="1" x="7190"/>
        <item m="1" x="1968"/>
        <item m="1" x="3740"/>
        <item m="1" x="5523"/>
        <item m="1" x="7302"/>
        <item m="1" x="2077"/>
        <item m="1" x="3847"/>
        <item m="1" x="5628"/>
        <item m="1" x="7404"/>
        <item m="1" x="2177"/>
        <item m="1" x="3947"/>
        <item m="1" x="5730"/>
        <item m="1" x="7504"/>
        <item m="1" x="2279"/>
        <item m="1" x="4053"/>
        <item m="1" x="7727"/>
        <item m="1" x="2500"/>
        <item m="1" x="4276"/>
        <item m="1" x="6061"/>
        <item m="1" x="7840"/>
        <item m="1" x="2614"/>
        <item m="1" x="4387"/>
        <item m="1" x="6171"/>
        <item m="1" x="7946"/>
        <item m="1" x="2717"/>
        <item m="1" x="4490"/>
        <item m="1" x="6273"/>
        <item m="1" x="1051"/>
        <item m="1" x="2818"/>
        <item m="1" x="4595"/>
        <item m="1" x="6376"/>
        <item m="1" x="1157"/>
        <item m="1" x="4818"/>
        <item m="1" x="6597"/>
        <item m="1" x="1380"/>
        <item m="1" x="3147"/>
        <item m="1" x="4930"/>
        <item m="1" x="6709"/>
        <item m="1" x="1490"/>
        <item m="1" x="3254"/>
        <item m="1" x="5036"/>
        <item m="1" x="6810"/>
        <item m="1" x="1590"/>
        <item m="1" x="3354"/>
        <item m="1" x="5136"/>
        <item m="1" x="6910"/>
        <item m="1" x="1693"/>
        <item m="1" x="3458"/>
        <item m="1" x="7129"/>
        <item m="1" x="1915"/>
        <item m="1" x="3680"/>
        <item m="1" x="5468"/>
        <item m="1" x="7244"/>
        <item m="1" x="2026"/>
        <item m="1" x="3791"/>
        <item m="1" x="5577"/>
        <item m="1" x="7349"/>
        <item m="1" x="2128"/>
        <item m="1" x="3892"/>
        <item m="1" x="5679"/>
        <item m="1" x="7451"/>
        <item m="1" x="2229"/>
        <item m="1" x="3996"/>
        <item m="1" x="5786"/>
        <item m="1" x="7554"/>
        <item m="1" x="2448"/>
        <item m="1" x="4215"/>
        <item m="1" x="6007"/>
        <item m="1" x="7780"/>
        <item m="1" x="2560"/>
        <item m="1" x="4329"/>
        <item m="1" x="6119"/>
        <item m="1" x="7891"/>
        <item m="1" x="2668"/>
        <item m="1" x="4436"/>
        <item m="1" x="6223"/>
        <item m="1" x="7992"/>
        <item m="1" x="2768"/>
        <item m="1" x="4537"/>
        <item m="1" x="6323"/>
        <item m="1" x="1097"/>
        <item m="1" x="2872"/>
        <item m="1" x="6544"/>
        <item m="1" x="1318"/>
        <item m="1" x="3092"/>
        <item m="1" x="4869"/>
        <item m="1" x="6654"/>
        <item m="1" x="1431"/>
        <item m="1" x="3201"/>
        <item m="1" x="4979"/>
        <item m="1" x="6759"/>
        <item m="1" x="1535"/>
        <item m="1" x="3302"/>
        <item m="1" x="5081"/>
        <item m="1" x="6859"/>
        <item m="1" x="1636"/>
        <item m="1" x="3405"/>
        <item m="1" x="5185"/>
        <item m="1" x="6965"/>
        <item m="1" x="1852"/>
        <item m="1" x="3626"/>
        <item m="1" x="5407"/>
        <item m="1" x="7188"/>
        <item m="1" x="1966"/>
        <item m="1" x="3736"/>
        <item m="1" x="5520"/>
        <item m="1" x="7298"/>
        <item m="1" x="2074"/>
        <item m="1" x="3843"/>
        <item m="1" x="5625"/>
        <item m="1" x="7400"/>
        <item m="1" x="2174"/>
        <item m="1" x="3943"/>
        <item m="1" x="5727"/>
        <item m="1" x="7501"/>
        <item m="1" x="2276"/>
        <item m="1" x="5947"/>
        <item m="1" x="7725"/>
        <item m="1" x="2499"/>
        <item m="1" x="4273"/>
        <item m="1" x="6059"/>
        <item m="1" x="7836"/>
        <item m="1" x="2611"/>
        <item m="1" x="4383"/>
        <item m="1" x="6168"/>
        <item m="1" x="7942"/>
        <item m="1" x="2714"/>
        <item m="1" x="4486"/>
        <item m="1" x="6270"/>
        <item m="1" x="1047"/>
        <item m="1" x="2815"/>
        <item m="1" x="4592"/>
        <item m="1" x="6373"/>
        <item m="1" x="1267"/>
        <item m="1" x="3032"/>
        <item m="1" x="4816"/>
        <item m="1" x="6596"/>
        <item m="1" x="1377"/>
        <item m="1" x="3144"/>
        <item m="1" x="4926"/>
        <item m="1" x="6706"/>
        <item m="1" x="1486"/>
        <item m="1" x="3251"/>
        <item m="1" x="5032"/>
        <item m="1" x="6807"/>
        <item m="1" x="1586"/>
        <item m="1" x="3351"/>
        <item m="1" x="5132"/>
        <item m="1" x="6907"/>
        <item m="1" x="1690"/>
        <item m="1" x="5355"/>
        <item m="1" x="7127"/>
        <item m="1" x="1912"/>
        <item m="1" x="3677"/>
        <item m="1" x="5464"/>
        <item m="1" x="7240"/>
        <item m="1" x="2021"/>
        <item m="1" x="3787"/>
        <item m="1" x="5572"/>
        <item m="1" x="7345"/>
        <item m="1" x="2123"/>
        <item m="1" x="3889"/>
        <item m="1" x="5675"/>
        <item m="1" x="7448"/>
        <item m="1" x="2225"/>
        <item m="1" x="3993"/>
        <item m="1" x="5782"/>
        <item m="1" x="7663"/>
        <item m="1" x="2445"/>
        <item m="1" x="4213"/>
        <item m="1" x="6004"/>
        <item m="1" x="7777"/>
        <item m="1" x="2555"/>
        <item m="1" x="4325"/>
        <item m="1" x="6114"/>
        <item m="1" x="7887"/>
        <item m="1" x="2663"/>
        <item m="1" x="4432"/>
        <item m="1" x="6218"/>
        <item m="1" x="7989"/>
        <item m="1" x="2764"/>
        <item m="1" x="4534"/>
        <item m="1" x="6320"/>
        <item m="1" x="1094"/>
        <item m="1" x="4755"/>
        <item m="1" x="6541"/>
        <item m="1" x="1316"/>
        <item m="1" x="3088"/>
        <item m="1" x="4866"/>
        <item m="1" x="6649"/>
        <item m="1" x="1427"/>
        <item m="1" x="3196"/>
        <item m="1" x="4975"/>
        <item m="1" x="6754"/>
        <item m="1" x="1531"/>
        <item m="1" x="3298"/>
        <item m="1" x="5078"/>
        <item m="1" x="6855"/>
        <item m="1" x="1633"/>
        <item m="1" x="3402"/>
        <item m="1" x="5181"/>
        <item m="1" x="7075"/>
        <item m="1" x="1850"/>
        <item m="1" x="3623"/>
        <item m="1" x="5404"/>
        <item m="1" x="7184"/>
        <item m="1" x="1962"/>
        <item m="1" x="3731"/>
        <item m="1" x="5516"/>
        <item m="1" x="7293"/>
        <item m="1" x="2070"/>
        <item m="1" x="3838"/>
        <item m="1" x="5621"/>
        <item m="1" x="7396"/>
        <item m="1" x="2171"/>
        <item m="1" x="3939"/>
        <item m="1" x="5724"/>
        <item m="1" x="7498"/>
        <item m="1" x="4161"/>
        <item m="1" x="5945"/>
        <item m="1" x="7722"/>
        <item m="1" x="2496"/>
        <item m="1" x="4269"/>
        <item m="1" x="6055"/>
        <item m="1" x="7831"/>
        <item m="1" x="2607"/>
        <item m="1" x="4378"/>
        <item m="1" x="6164"/>
        <item m="1" x="7937"/>
        <item m="1" x="2711"/>
        <item m="1" x="4482"/>
        <item m="1" x="6267"/>
        <item m="1" x="1043"/>
        <item m="1" x="2812"/>
        <item m="1" x="4588"/>
        <item m="1" x="6481"/>
        <item m="1" x="1264"/>
        <item m="1" x="3030"/>
        <item m="1" x="4812"/>
        <item m="1" x="6593"/>
        <item m="1" x="1372"/>
        <item m="1" x="3140"/>
        <item m="1" x="4921"/>
        <item m="1" x="6702"/>
        <item m="1" x="1481"/>
        <item m="1" x="3247"/>
        <item m="1" x="5027"/>
        <item m="1" x="6804"/>
        <item m="1" x="1582"/>
        <item m="1" x="3348"/>
        <item m="1" x="5129"/>
        <item m="1" x="6904"/>
        <item m="1" x="3564"/>
        <item m="1" x="5352"/>
        <item m="1" x="7125"/>
        <item m="1" x="1908"/>
        <item m="1" x="3674"/>
        <item m="1" x="5459"/>
        <item m="1" x="7236"/>
        <item m="1" x="2016"/>
        <item m="1" x="3783"/>
        <item m="1" x="5567"/>
        <item m="1" x="7341"/>
        <item m="1" x="2119"/>
        <item m="1" x="3886"/>
        <item m="1" x="5671"/>
        <item m="1" x="7445"/>
        <item m="1" x="2222"/>
        <item m="1" x="3989"/>
        <item m="1" x="5892"/>
        <item m="1" x="7661"/>
        <item m="1" x="2442"/>
        <item m="1" x="4210"/>
        <item m="1" x="6000"/>
        <item m="1" x="7773"/>
        <item m="1" x="2550"/>
        <item m="1" x="4321"/>
        <item m="1" x="6109"/>
        <item m="1" x="7883"/>
        <item m="1" x="2658"/>
        <item m="1" x="4428"/>
        <item m="1" x="6214"/>
        <item m="1" x="7986"/>
        <item m="1" x="2760"/>
        <item m="1" x="4531"/>
        <item m="1" x="6317"/>
        <item m="1" x="2977"/>
        <item m="1" x="4753"/>
        <item m="1" x="6538"/>
        <item m="1" x="1313"/>
        <item m="1" x="3083"/>
        <item m="1" x="4862"/>
        <item m="1" x="6644"/>
        <item m="1" x="1423"/>
        <item m="1" x="3191"/>
        <item m="1" x="4971"/>
        <item m="1" x="6749"/>
        <item m="1" x="1528"/>
        <item m="1" x="3294"/>
        <item m="1" x="5075"/>
        <item m="1" x="6851"/>
        <item m="1" x="1630"/>
        <item m="1" x="3398"/>
        <item m="1" x="5290"/>
        <item m="1" x="7072"/>
        <item m="1" x="1848"/>
        <item m="1" x="3619"/>
        <item m="1" x="5401"/>
        <item m="1" x="7179"/>
        <item m="1" x="1958"/>
        <item m="1" x="3726"/>
        <item m="1" x="5512"/>
        <item m="1" x="7288"/>
        <item m="1" x="2066"/>
        <item m="1" x="3833"/>
        <item m="1" x="5618"/>
        <item m="1" x="7392"/>
        <item m="1" x="2168"/>
        <item m="1" x="3936"/>
        <item m="1" x="5720"/>
        <item m="1" x="2382"/>
        <item m="1" x="4158"/>
        <item m="1" x="5943"/>
        <item m="1" x="7718"/>
        <item m="1" x="2492"/>
        <item m="1" x="4264"/>
        <item m="1" x="6051"/>
        <item m="1" x="7826"/>
        <item m="1" x="2603"/>
        <item m="1" x="4373"/>
        <item m="1" x="6160"/>
        <item m="1" x="7933"/>
        <item m="1" x="2708"/>
        <item m="1" x="4478"/>
        <item m="1" x="6264"/>
        <item m="1" x="1040"/>
        <item m="1" x="2808"/>
        <item m="1" x="4700"/>
        <item m="1" x="6479"/>
        <item m="1" x="1261"/>
        <item m="1" x="3027"/>
        <item m="1" x="4808"/>
        <item m="1" x="6589"/>
        <item m="1" x="1367"/>
        <item m="1" x="3136"/>
        <item m="1" x="4916"/>
        <item m="1" x="6698"/>
        <item m="1" x="1476"/>
        <item m="1" x="3243"/>
        <item m="1" x="5023"/>
        <item m="1" x="6801"/>
        <item m="1" x="1578"/>
        <item m="1" x="3345"/>
        <item m="1" x="5125"/>
        <item m="1" x="1796"/>
        <item m="1" x="3562"/>
        <item m="1" x="5349"/>
        <item m="1" x="7122"/>
        <item m="1" x="1903"/>
        <item m="1" x="3670"/>
        <item m="1" x="5454"/>
        <item m="1" x="7232"/>
        <item m="1" x="2011"/>
        <item m="1" x="3779"/>
        <item m="1" x="5562"/>
        <item m="1" x="7338"/>
        <item m="1" x="2115"/>
        <item m="1" x="3883"/>
        <item m="1" x="5667"/>
        <item m="1" x="7442"/>
        <item m="1" x="2218"/>
        <item m="1" x="4097"/>
        <item m="1" x="5889"/>
        <item m="1" x="7659"/>
        <item m="1" x="2438"/>
        <item m="1" x="4207"/>
        <item m="1" x="5995"/>
        <item m="1" x="7769"/>
        <item m="1" x="2545"/>
        <item m="1" x="4317"/>
        <item m="1" x="6104"/>
        <item m="1" x="7879"/>
        <item m="1" x="2653"/>
        <item m="1" x="4425"/>
        <item m="1" x="6210"/>
        <item m="1" x="7983"/>
        <item m="1" x="2757"/>
        <item m="1" x="4527"/>
        <item m="1" x="1200"/>
        <item m="1" x="2974"/>
        <item m="1" x="4751"/>
        <item m="1" x="6534"/>
        <item m="1" x="1309"/>
        <item m="1" x="3078"/>
        <item m="1" x="4858"/>
        <item m="1" x="6639"/>
        <item m="1" x="1419"/>
        <item m="1" x="3186"/>
        <item m="1" x="4967"/>
        <item m="1" x="6745"/>
        <item m="1" x="1525"/>
        <item m="1" x="3290"/>
        <item m="1" x="5072"/>
        <item m="1" x="6848"/>
        <item m="1" x="1626"/>
        <item m="1" x="3507"/>
        <item m="1" x="5288"/>
        <item m="1" x="7069"/>
        <item m="1" x="1845"/>
        <item m="1" x="3615"/>
        <item m="1" x="5397"/>
        <item m="1" x="7174"/>
        <item m="1" x="1954"/>
        <item m="1" x="3721"/>
        <item m="1" x="5508"/>
        <item m="1" x="7283"/>
        <item m="1" x="2062"/>
        <item m="1" x="3829"/>
        <item m="1" x="5615"/>
        <item m="1" x="7388"/>
        <item m="1" x="2165"/>
        <item m="1" x="3932"/>
        <item m="1" x="7605"/>
        <item m="1" x="2380"/>
        <item m="1" x="4155"/>
        <item m="1" x="5940"/>
        <item m="1" x="7713"/>
        <item m="1" x="2488"/>
        <item m="1" x="4259"/>
        <item m="1" x="6047"/>
        <item m="1" x="7821"/>
        <item m="1" x="2599"/>
        <item m="1" x="4368"/>
        <item m="1" x="6157"/>
        <item m="1" x="7929"/>
        <item m="1" x="2705"/>
        <item m="1" x="4475"/>
        <item m="1" x="6261"/>
        <item m="1" x="1036"/>
        <item m="1" x="2914"/>
        <item m="1" x="4697"/>
        <item m="1" x="6477"/>
        <item m="1" x="1257"/>
        <item m="1" x="3024"/>
        <item m="1" x="4803"/>
        <item m="1" x="6585"/>
        <item m="1" x="1362"/>
        <item m="1" x="3132"/>
        <item m="1" x="4911"/>
        <item m="1" x="6694"/>
        <item m="1" x="1471"/>
        <item m="1" x="3240"/>
        <item m="1" x="5019"/>
        <item m="1" x="6798"/>
        <item m="1" x="1575"/>
        <item m="1" x="3341"/>
        <item m="1" x="7010"/>
        <item m="1" x="1793"/>
        <item m="1" x="3560"/>
        <item m="1" x="5345"/>
        <item m="1" x="7118"/>
        <item m="1" x="1898"/>
        <item m="1" x="3666"/>
        <item m="1" x="5449"/>
        <item m="1" x="7228"/>
        <item m="1" x="2006"/>
        <item m="1" x="3775"/>
        <item m="1" x="5558"/>
        <item m="1" x="7335"/>
        <item m="1" x="2111"/>
        <item m="1" x="3880"/>
        <item m="1" x="5664"/>
        <item m="1" x="2325"/>
        <item m="1" x="4095"/>
        <item m="1" x="5886"/>
        <item m="1" x="7656"/>
        <item m="1" x="2434"/>
        <item m="1" x="4203"/>
        <item m="1" x="5990"/>
        <item m="1" x="7765"/>
        <item m="1" x="2540"/>
        <item m="1" x="4313"/>
        <item m="1" x="6099"/>
        <item m="1" x="7875"/>
        <item m="1" x="2649"/>
        <item m="1" x="4422"/>
        <item m="1" x="6206"/>
        <item m="1" x="7980"/>
        <item m="1" x="2753"/>
        <item m="1" x="6422"/>
        <item m="1" x="1198"/>
        <item m="1" x="2971"/>
        <item m="1" x="4748"/>
        <item m="1" x="6529"/>
        <item m="1" x="1305"/>
        <item m="1" x="3073"/>
        <item m="1" x="4854"/>
        <item m="1" x="6634"/>
        <item m="1" x="1415"/>
        <item m="1" x="3181"/>
        <item m="1" x="4964"/>
        <item m="1" x="6741"/>
        <item m="1" x="1522"/>
        <item m="1" x="3287"/>
        <item m="1" x="5069"/>
        <item m="1" x="1732"/>
        <item m="1" x="3505"/>
        <item m="1" x="5287"/>
        <item m="1" x="7066"/>
        <item m="1" x="1843"/>
        <item m="1" x="3611"/>
        <item m="1" x="5394"/>
        <item m="1" x="7170"/>
        <item m="1" x="1951"/>
        <item m="1" x="3717"/>
        <item m="1" x="5505"/>
        <item m="1" x="7279"/>
        <item m="1" x="2059"/>
        <item m="1" x="3825"/>
        <item m="1" x="5611"/>
        <item m="1" x="7384"/>
        <item m="1" x="2161"/>
        <item m="1" x="5827"/>
        <item m="1" x="7602"/>
        <item m="1" x="2378"/>
        <item m="1" x="4151"/>
        <item m="1" x="5936"/>
        <item m="1" x="7708"/>
        <item m="1" x="2484"/>
        <item m="1" x="4254"/>
        <item m="1" x="6043"/>
        <item m="1" x="7816"/>
        <item m="1" x="2595"/>
        <item m="1" x="4363"/>
        <item m="1" x="6153"/>
        <item m="1" x="7924"/>
        <item m="1" x="2701"/>
        <item m="1" x="4471"/>
        <item m="1" x="1143"/>
        <item m="1" x="2913"/>
        <item m="1" x="4694"/>
        <item m="1" x="6474"/>
        <item m="1" x="1253"/>
        <item m="1" x="3020"/>
        <item m="1" x="4798"/>
        <item m="1" x="6581"/>
        <item m="1" x="1357"/>
        <item m="1" x="3128"/>
        <item m="1" x="4906"/>
        <item m="1" x="6690"/>
        <item m="1" x="1466"/>
        <item m="1" x="3236"/>
        <item m="1" x="5014"/>
        <item m="1" x="6794"/>
        <item m="1" x="1571"/>
        <item m="1" x="5232"/>
        <item m="1" x="7008"/>
        <item m="1" x="1790"/>
        <item m="1" x="3557"/>
        <item m="1" x="5340"/>
        <item m="1" x="7114"/>
        <item m="1" x="1893"/>
        <item m="1" x="3662"/>
        <item m="1" x="5444"/>
        <item m="1" x="7224"/>
        <item m="1" x="2001"/>
        <item m="1" x="3771"/>
        <item m="1" x="5553"/>
        <item m="1" x="7331"/>
        <item m="1" x="2107"/>
        <item m="1" x="3876"/>
        <item m="1" x="7542"/>
        <item m="1" x="2323"/>
        <item m="1" x="4093"/>
        <item m="1" x="5882"/>
        <item m="1" x="7653"/>
        <item m="1" x="2429"/>
        <item m="1" x="4199"/>
        <item m="1" x="5985"/>
        <item m="1" x="7761"/>
        <item m="1" x="2535"/>
        <item m="1" x="4309"/>
        <item m="1" x="6094"/>
        <item m="1" x="7871"/>
        <item m="1" x="2644"/>
        <item m="1" x="4418"/>
        <item m="1" x="6202"/>
        <item m="1" x="7976"/>
        <item m="1" x="4634"/>
        <item m="1" x="6419"/>
        <item m="1" x="1196"/>
        <item m="1" x="2967"/>
        <item m="1" x="4744"/>
        <item m="1" x="6524"/>
        <item m="1" x="1301"/>
        <item m="1" x="3068"/>
        <item m="1" x="4850"/>
        <item m="1" x="6629"/>
        <item m="1" x="1411"/>
        <item m="1" x="3176"/>
        <item m="1" x="4960"/>
        <item m="1" x="6736"/>
        <item m="1" x="1518"/>
        <item m="1" x="3283"/>
        <item m="1" x="6951"/>
        <item m="1" x="1731"/>
        <item m="1" x="3502"/>
        <item m="1" x="5284"/>
        <item m="1" x="7062"/>
        <item m="1" x="1839"/>
        <item m="1" x="3606"/>
        <item m="1" x="5390"/>
        <item m="1" x="7165"/>
        <item m="1" x="1947"/>
        <item m="1" x="3712"/>
        <item m="1" x="5501"/>
        <item m="1" x="7274"/>
        <item m="1" x="2055"/>
        <item m="1" x="3820"/>
        <item m="1" x="5607"/>
        <item m="1" x="7380"/>
        <item m="1" x="4038"/>
        <item m="1" x="5825"/>
        <item m="1" x="7599"/>
        <item m="1" x="2375"/>
        <item m="1" x="4146"/>
        <item m="1" x="5932"/>
        <item m="1" x="7703"/>
        <item m="1" x="2480"/>
        <item m="1" x="4249"/>
        <item m="1" x="6039"/>
        <item m="1" x="7811"/>
        <item m="1" x="2591"/>
        <item m="1" x="4358"/>
        <item m="1" x="6149"/>
        <item m="1" x="7920"/>
        <item m="1" x="2697"/>
        <item m="1" x="6362"/>
        <item m="1" x="1141"/>
        <item m="1" x="2911"/>
        <item m="1" x="4690"/>
        <item m="1" x="6471"/>
        <item m="1" x="1248"/>
        <item m="1" x="3016"/>
        <item m="1" x="4793"/>
        <item m="1" x="6577"/>
        <item m="1" x="1352"/>
        <item m="1" x="3124"/>
        <item m="1" x="4901"/>
        <item m="1" x="6686"/>
        <item m="1" x="1461"/>
        <item m="1" x="3232"/>
        <item m="1" x="5010"/>
        <item m="1" x="6790"/>
        <item m="1" x="3445"/>
        <item m="1" x="5229"/>
        <item m="1" x="7006"/>
        <item m="1" x="1786"/>
        <item m="1" x="3553"/>
        <item m="1" x="5335"/>
        <item m="1" x="7110"/>
        <item m="1" x="1888"/>
        <item m="1" x="3658"/>
        <item m="1" x="5439"/>
        <item m="1" x="7220"/>
        <item m="1" x="1996"/>
        <item m="1" x="3767"/>
        <item m="1" x="5548"/>
        <item m="1" x="7327"/>
        <item m="1" x="2103"/>
        <item m="1" x="5768"/>
        <item m="1" x="7541"/>
        <item m="1" x="2320"/>
        <item m="1" x="4090"/>
        <item m="1" x="5878"/>
        <item m="1" x="7649"/>
        <item m="1" x="2424"/>
        <item m="1" x="4195"/>
        <item m="1" x="5980"/>
        <item m="1" x="7757"/>
        <item m="1" x="2530"/>
        <item m="1" x="4305"/>
        <item m="1" x="6089"/>
        <item m="1" x="7867"/>
        <item m="1" x="2639"/>
        <item m="1" x="4414"/>
        <item m="1" x="6198"/>
        <item m="1" x="2856"/>
        <item m="1" x="4632"/>
        <item m="1" x="6416"/>
        <item m="1" x="1193"/>
        <item m="1" x="2962"/>
        <item m="1" x="4740"/>
        <item m="1" x="6519"/>
        <item m="1" x="1297"/>
        <item m="1" x="3063"/>
        <item m="1" x="4846"/>
        <item m="1" x="6624"/>
        <item m="1" x="1407"/>
        <item m="1" x="3171"/>
        <item m="1" x="4956"/>
        <item m="1" x="6732"/>
        <item m="1" x="1514"/>
        <item m="1" x="5171"/>
        <item m="1" x="6949"/>
        <item m="1" x="1729"/>
        <item m="1" x="3498"/>
        <item m="1" x="5281"/>
        <item m="1" x="7057"/>
        <item m="1" x="1835"/>
        <item m="1" x="3601"/>
        <item m="1" x="5386"/>
        <item m="1" x="7160"/>
        <item m="1" x="1943"/>
        <item m="1" x="3707"/>
        <item m="1" x="5497"/>
        <item m="1" x="7269"/>
        <item m="1" x="2051"/>
        <item m="1" x="3816"/>
        <item m="1" x="5603"/>
        <item m="1" x="2264"/>
        <item m="1" x="4035"/>
        <item m="1" x="5823"/>
        <item m="1" x="7595"/>
        <item m="1" x="2371"/>
        <item m="1" x="4141"/>
        <item m="1" x="5928"/>
        <item m="1" x="7698"/>
        <item m="1" x="2476"/>
        <item m="1" x="4244"/>
        <item m="1" x="6035"/>
        <item m="1" x="7806"/>
        <item m="1" x="2587"/>
        <item m="1" x="4353"/>
        <item m="1" x="6145"/>
        <item m="1" x="7916"/>
        <item m="1" x="4575"/>
        <item m="1" x="6361"/>
        <item m="1" x="1138"/>
        <item m="1" x="2908"/>
        <item m="1" x="4686"/>
        <item m="1" x="6467"/>
        <item m="1" x="1243"/>
        <item m="1" x="3012"/>
        <item m="1" x="4788"/>
        <item m="1" x="6573"/>
        <item m="1" x="1347"/>
        <item m="1" x="3120"/>
        <item m="1" x="4896"/>
        <item m="1" x="6682"/>
        <item m="1" x="1456"/>
        <item m="1" x="3228"/>
        <item m="1" x="5006"/>
        <item m="1" x="1675"/>
        <item m="1" x="3443"/>
        <item m="1" x="5226"/>
        <item m="1" x="7003"/>
        <item m="1" x="1781"/>
        <item m="1" x="3549"/>
        <item m="1" x="5330"/>
        <item m="1" x="7106"/>
        <item m="1" x="1883"/>
        <item m="1" x="3654"/>
        <item m="1" x="5434"/>
        <item m="1" x="7216"/>
        <item m="1" x="1991"/>
        <item m="1" x="3763"/>
        <item m="1" x="5544"/>
        <item m="1" x="7323"/>
        <item m="1" x="3979"/>
        <item m="1" x="5766"/>
        <item m="1" x="7539"/>
        <item m="1" x="2316"/>
        <item m="1" x="4087"/>
        <item m="1" x="5873"/>
        <item m="1" x="7645"/>
        <item m="1" x="2419"/>
        <item m="1" x="4191"/>
        <item m="1" x="5975"/>
        <item m="1" x="7753"/>
        <item m="1" x="2525"/>
        <item m="1" x="4301"/>
        <item m="1" x="6084"/>
        <item m="1" x="7863"/>
        <item m="1" x="2635"/>
        <item m="1" x="4410"/>
        <item m="1" x="1083"/>
        <item m="1" x="2853"/>
        <item m="1" x="4630"/>
        <item m="1" x="6412"/>
        <item m="1" x="1189"/>
        <item m="1" x="2957"/>
        <item m="1" x="4736"/>
        <item m="1" x="6514"/>
        <item m="1" x="1293"/>
        <item m="1" x="3058"/>
        <item m="1" x="4842"/>
        <item m="1" x="6619"/>
        <item m="1" x="1403"/>
        <item m="1" x="3166"/>
        <item m="1" x="4952"/>
        <item m="1" x="6728"/>
        <item m="1" x="3387"/>
        <item m="1" x="5170"/>
        <item m="1" x="6946"/>
        <item m="1" x="1726"/>
        <item m="1" x="3494"/>
        <item m="1" x="5277"/>
        <item m="1" x="7052"/>
        <item m="1" x="1831"/>
        <item m="1" x="3596"/>
        <item m="1" x="5382"/>
        <item m="1" x="7155"/>
        <item m="1" x="1939"/>
        <item m="1" x="3702"/>
        <item m="1" x="5493"/>
        <item m="1" x="7264"/>
        <item m="1" x="2047"/>
        <item m="1" x="3812"/>
        <item m="1" x="7485"/>
        <item m="1" x="2262"/>
        <item m="1" x="4032"/>
        <item m="1" x="5820"/>
        <item m="1" x="7590"/>
        <item m="1" x="2367"/>
        <item m="1" x="4136"/>
        <item m="1" x="5924"/>
        <item m="1" x="7693"/>
        <item m="1" x="2472"/>
        <item m="1" x="4239"/>
        <item m="1" x="6031"/>
        <item m="1" x="7801"/>
        <item m="1" x="2583"/>
        <item m="1" x="4349"/>
        <item m="1" x="6141"/>
        <item m="1" x="2800"/>
        <item m="1" x="4573"/>
        <item m="1" x="6359"/>
        <item m="1" x="1134"/>
        <item m="1" x="2905"/>
        <item m="1" x="4681"/>
        <item m="1" x="6463"/>
        <item m="1" x="1238"/>
        <item m="1" x="3008"/>
        <item m="1" x="4783"/>
        <item m="1" x="6569"/>
        <item m="1" x="1342"/>
        <item m="1" x="3116"/>
        <item m="1" x="4891"/>
        <item m="1" x="6678"/>
        <item m="1" x="1452"/>
        <item m="1" x="3224"/>
        <item m="1" x="6894"/>
        <item m="1" x="1672"/>
        <item m="1" x="3441"/>
        <item m="1" x="5222"/>
        <item m="1" x="6999"/>
        <item m="1" x="1776"/>
        <item m="1" x="3545"/>
        <item m="1" x="5325"/>
        <item m="1" x="7102"/>
        <item m="1" x="1878"/>
        <item m="1" x="3650"/>
        <item m="1" x="5429"/>
        <item m="1" x="7212"/>
        <item m="1" x="1986"/>
        <item m="1" x="3759"/>
        <item m="1" x="5540"/>
        <item m="1" x="2207"/>
        <item m="1" x="3978"/>
        <item m="1" x="5763"/>
        <item m="1" x="7536"/>
        <item m="1" x="2312"/>
        <item m="1" x="4083"/>
        <item m="1" x="5868"/>
        <item m="1" x="7641"/>
        <item m="1" x="2414"/>
        <item m="1" x="4187"/>
        <item m="1" x="5970"/>
        <item m="1" x="7749"/>
        <item m="1" x="2520"/>
        <item m="1" x="4297"/>
        <item m="1" x="6079"/>
        <item m="1" x="7859"/>
        <item m="1" x="2631"/>
        <item m="1" x="6304"/>
        <item m="1" x="1081"/>
        <item m="1" x="2850"/>
        <item m="1" x="4627"/>
        <item m="1" x="6408"/>
        <item m="1" x="1186"/>
        <item m="1" x="2953"/>
        <item m="1" x="4733"/>
        <item m="1" x="6510"/>
        <item m="1" x="1290"/>
        <item m="1" x="3054"/>
        <item m="1" x="4839"/>
        <item m="1" x="6615"/>
        <item m="1" x="1400"/>
        <item m="1" x="3163"/>
        <item m="1" x="4949"/>
        <item m="1" x="1619"/>
        <item m="1" x="3385"/>
        <item m="1" x="5168"/>
        <item m="1" x="6942"/>
        <item m="1" x="1723"/>
        <item m="1" x="3490"/>
        <item m="1" x="5274"/>
        <item m="1" x="7048"/>
        <item m="1" x="1828"/>
        <item m="1" x="3592"/>
        <item m="1" x="5379"/>
        <item m="1" x="7151"/>
        <item m="1" x="1936"/>
        <item m="1" x="3698"/>
        <item m="1" x="5490"/>
        <item m="1" x="7261"/>
        <item m="1" x="2044"/>
        <item m="1" x="3921"/>
        <item m="1" x="5710"/>
        <item m="1" x="7482"/>
        <item m="1" x="2260"/>
        <item m="1" x="4028"/>
        <item m="1" x="5817"/>
        <item m="1" x="7586"/>
        <item m="1" x="2364"/>
        <item m="1" x="4132"/>
        <item m="1" x="5921"/>
        <item m="1" x="7689"/>
        <item m="1" x="2469"/>
        <item m="1" x="4235"/>
        <item m="1" x="6028"/>
        <item m="1" x="7797"/>
        <item m="1" x="2579"/>
        <item m="1" x="4345"/>
        <item m="1" x="1024"/>
        <item m="1" x="2798"/>
        <item m="1" x="4569"/>
        <item m="1" x="6355"/>
        <item m="1" x="1129"/>
        <item m="1" x="2901"/>
        <item m="1" x="4676"/>
        <item m="1" x="6459"/>
        <item m="1" x="1233"/>
        <item m="1" x="3004"/>
        <item m="1" x="4779"/>
        <item m="1" x="6566"/>
        <item m="1" x="1338"/>
        <item m="1" x="3113"/>
        <item m="1" x="4887"/>
        <item m="1" x="6674"/>
        <item m="1" x="1448"/>
        <item m="1" x="3331"/>
        <item m="1" x="5112"/>
        <item m="1" x="6891"/>
        <item m="1" x="1668"/>
        <item m="1" x="3437"/>
        <item m="1" x="5217"/>
        <item m="1" x="6995"/>
        <item m="1" x="1771"/>
        <item m="1" x="3541"/>
        <item m="1" x="5320"/>
        <item m="1" x="7099"/>
        <item m="1" x="1874"/>
        <item m="1" x="3647"/>
        <item m="1" x="5425"/>
        <item m="1" x="7209"/>
        <item m="1" x="1982"/>
        <item m="1" x="3755"/>
        <item m="1" x="7430"/>
        <item m="1" x="2204"/>
        <item m="1" x="3975"/>
        <item m="1" x="5758"/>
        <item m="1" x="7532"/>
        <item m="1" x="2307"/>
        <item m="1" x="4079"/>
        <item m="1" x="5863"/>
        <item m="1" x="7637"/>
        <item m="1" x="2409"/>
        <item m="1" x="4184"/>
        <item m="1" x="5966"/>
        <item m="1" x="7746"/>
        <item m="1" x="2516"/>
        <item m="1" x="4294"/>
        <item m="1" x="6075"/>
        <item m="1" x="7855"/>
        <item m="1" x="2741"/>
        <item m="1" x="4517"/>
        <item m="1" x="6300"/>
        <item m="1" x="1078"/>
        <item m="1" x="2845"/>
        <item m="1" x="4623"/>
        <item m="1" x="6403"/>
        <item m="1" x="1182"/>
        <item m="1" x="2948"/>
        <item m="1" x="4729"/>
        <item m="1" x="6506"/>
        <item m="1" x="1287"/>
        <item m="1" x="3050"/>
        <item m="1" x="4836"/>
        <item m="1" x="6611"/>
        <item m="1" x="1396"/>
        <item m="1" x="3159"/>
        <item m="1" x="6835"/>
        <item m="1" x="1616"/>
        <item m="1" x="3381"/>
        <item m="1" x="5164"/>
        <item m="1" x="6937"/>
        <item m="1" x="1719"/>
        <item m="1" x="3485"/>
        <item m="1" x="5270"/>
        <item m="1" x="7043"/>
        <item m="1" x="1824"/>
        <item m="1" x="3588"/>
        <item m="1" x="5376"/>
        <item m="1" x="7147"/>
        <item m="1" x="1933"/>
        <item m="1" x="3694"/>
        <item m="1" x="5486"/>
        <item m="1" x="7257"/>
        <item m="1" x="2152"/>
        <item m="1" x="3918"/>
        <item m="1" x="5707"/>
        <item m="1" x="7478"/>
        <item m="1" x="2256"/>
        <item m="1" x="4023"/>
        <item m="1" x="5813"/>
        <item m="1" x="7581"/>
        <item m="1" x="2360"/>
        <item m="1" x="4127"/>
        <item m="1" x="5918"/>
        <item m="1" x="7685"/>
        <item m="1" x="2466"/>
        <item m="1" x="4231"/>
        <item m="1" x="6025"/>
        <item m="1" x="7793"/>
        <item m="1" x="2575"/>
        <item m="1" x="6249"/>
        <item m="1" x="1020"/>
        <item m="1" x="2795"/>
        <item m="1" x="4564"/>
        <item m="1" x="6351"/>
        <item m="1" x="1124"/>
        <item m="1" x="2897"/>
        <item m="1" x="4671"/>
        <item m="1" x="6455"/>
        <item m="1" x="1228"/>
        <item m="1" x="3001"/>
        <item m="1" x="4775"/>
        <item m="1" x="6563"/>
        <item m="1" x="1334"/>
        <item m="1" x="3110"/>
        <item m="1" x="4883"/>
        <item m="1" x="6670"/>
        <item m="1" x="1559"/>
        <item m="1" x="3329"/>
        <item m="1" x="5108"/>
        <item m="1" x="6887"/>
        <item m="1" x="1663"/>
        <item m="1" x="3433"/>
        <item m="1" x="5212"/>
        <item m="1" x="6991"/>
        <item m="1" x="1766"/>
        <item m="1" x="3537"/>
        <item m="1" x="5316"/>
        <item m="1" x="7096"/>
        <item m="1" x="1870"/>
        <item m="1" x="3644"/>
        <item m="1" x="5421"/>
        <item m="1" x="7205"/>
        <item m="1" x="1978"/>
        <item m="1" x="5649"/>
        <item m="1" x="7427"/>
        <item m="1" x="2200"/>
        <item m="1" x="3971"/>
        <item m="1" x="5753"/>
        <item m="1" x="7528"/>
        <item m="1" x="2302"/>
        <item m="1" x="4075"/>
        <item m="1" x="5858"/>
        <item m="1" x="7633"/>
        <item m="1" x="2405"/>
        <item m="1" x="4181"/>
        <item m="1" x="5962"/>
        <item m="1" x="7743"/>
        <item m="1" x="2512"/>
        <item m="1" x="4290"/>
        <item m="1" x="6071"/>
        <item m="1" x="7966"/>
        <item m="1" x="2738"/>
        <item m="1" x="4514"/>
        <item m="1" x="6295"/>
        <item m="1" x="1074"/>
        <item m="1" x="2840"/>
        <item m="1" x="4619"/>
        <item m="1" x="6398"/>
        <item m="1" x="1178"/>
        <item m="1" x="2943"/>
        <item m="1" x="4726"/>
        <item m="1" x="6502"/>
        <item m="1" x="1284"/>
        <item m="1" x="3046"/>
        <item m="1" x="4833"/>
        <item m="1" x="6607"/>
        <item m="1" x="1392"/>
        <item m="1" x="5058"/>
        <item m="1" x="6831"/>
        <item m="1" x="1613"/>
        <item m="1" x="3376"/>
        <item m="1" x="5160"/>
        <item m="1" x="6932"/>
        <item m="1" x="1715"/>
        <item m="1" x="3480"/>
        <item m="1" x="5266"/>
        <item m="1" x="7038"/>
        <item m="1" x="1821"/>
        <item m="1" x="3584"/>
        <item m="1" x="5373"/>
        <item m="1" x="7143"/>
        <item m="1" x="1929"/>
        <item m="1" x="3690"/>
        <item m="1" x="5482"/>
        <item m="1" x="7368"/>
        <item m="1" x="2150"/>
        <item m="1" x="3914"/>
        <item m="1" x="5703"/>
        <item m="1" x="7473"/>
        <item m="1" x="2252"/>
        <item m="1" x="4018"/>
        <item m="1" x="5809"/>
        <item m="1" x="7576"/>
        <item m="1" x="2356"/>
        <item m="1" x="4123"/>
        <item m="1" x="5915"/>
        <item m="1" x="7681"/>
        <item m="1" x="2463"/>
        <item m="1" x="4227"/>
        <item m="1" x="6021"/>
        <item m="1" x="7789"/>
        <item m="1" x="4456"/>
        <item m="1" x="6246"/>
        <item m="1" x="1016"/>
        <item m="1" x="2791"/>
        <item m="1" x="4559"/>
        <item m="1" x="6347"/>
        <item m="1" x="1119"/>
        <item m="1" x="2893"/>
        <item m="1" x="4666"/>
        <item m="1" x="6451"/>
        <item m="1" x="1224"/>
        <item m="1" x="2998"/>
        <item m="1" x="4771"/>
        <item m="1" x="6560"/>
        <item m="1" x="1329"/>
        <item m="1" x="3106"/>
        <item m="1" x="4879"/>
        <item m="1" x="6780"/>
        <item m="1" x="1556"/>
        <item m="1" x="3326"/>
        <item m="1" x="5103"/>
        <item m="1" x="6883"/>
        <item m="1" x="1658"/>
        <item m="1" x="3429"/>
        <item m="1" x="5207"/>
        <item m="1" x="6987"/>
        <item m="1" x="1761"/>
        <item m="1" x="3534"/>
        <item m="1" x="5312"/>
        <item m="1" x="7093"/>
        <item m="1" x="1866"/>
        <item m="1" x="3641"/>
        <item m="1" x="5417"/>
        <item m="1" x="7201"/>
        <item m="1" x="3864"/>
        <item m="1" x="5645"/>
        <item m="1" x="7424"/>
        <item m="1" x="2195"/>
        <item m="1" x="3967"/>
        <item m="1" x="5748"/>
        <item m="1" x="7524"/>
        <item m="1" x="2297"/>
        <item m="1" x="4071"/>
        <item m="1" x="5853"/>
        <item m="1" x="7630"/>
        <item m="1" x="2401"/>
        <item m="1" x="4178"/>
        <item m="1" x="5958"/>
        <item m="1" x="7739"/>
        <item m="1" x="2508"/>
        <item m="1" x="4286"/>
        <item m="1" x="6185"/>
        <item m="1" x="7964"/>
        <item m="1" x="2734"/>
        <item m="1" x="4510"/>
        <item m="1" x="6290"/>
        <item m="1" x="1070"/>
        <item m="1" x="2835"/>
        <item m="1" x="4615"/>
        <item m="1" x="6393"/>
        <item m="1" x="1174"/>
        <item m="1" x="2939"/>
        <item m="1" x="4723"/>
        <item m="1" x="6498"/>
        <item m="1" x="1281"/>
        <item m="1" x="3042"/>
        <item m="1" x="4829"/>
        <item m="1" x="6603"/>
        <item m="1" x="3269"/>
        <item m="1" x="5055"/>
        <item m="1" x="6827"/>
        <item m="1" x="1609"/>
        <item m="1" x="3371"/>
        <item m="1" x="5156"/>
        <item m="1" x="6927"/>
        <item m="1" x="1711"/>
        <item m="1" x="3475"/>
        <item m="1" x="5262"/>
        <item m="1" x="7034"/>
        <item m="1" x="1818"/>
        <item m="1" x="3580"/>
        <item m="1" x="5370"/>
        <item m="1" x="7138"/>
        <item m="1" x="1925"/>
        <item m="1" x="3686"/>
        <item m="1" x="5594"/>
        <item m="1" x="7365"/>
        <item m="1" x="2147"/>
        <item m="1" x="3909"/>
        <item m="1" x="5699"/>
        <item m="1" x="7468"/>
        <item m="1" x="2248"/>
        <item m="1" x="4013"/>
        <item m="1" x="5805"/>
        <item m="1" x="7571"/>
        <item m="1" x="2353"/>
        <item m="1" x="4119"/>
        <item m="1" x="5912"/>
        <item m="1" x="7677"/>
        <item m="1" x="2460"/>
        <item m="1" x="4223"/>
        <item m="1" x="6017"/>
        <item m="1" x="2685"/>
        <item m="1" x="4452"/>
        <item m="1" x="6243"/>
        <item m="1" x="1011"/>
        <item m="1" x="2787"/>
        <item m="1" x="4554"/>
        <item m="1" x="6343"/>
        <item m="1" x="1114"/>
        <item m="1" x="2889"/>
        <item m="1" x="4661"/>
        <item m="1" x="6448"/>
        <item m="1" x="1220"/>
        <item m="1" x="2995"/>
        <item m="1" x="4767"/>
        <item m="1" x="6556"/>
        <item m="1" x="1325"/>
        <item m="1" x="3102"/>
        <item m="1" x="4993"/>
        <item m="1" x="6778"/>
        <item m="1" x="1552"/>
        <item m="1" x="3322"/>
        <item m="1" x="5098"/>
        <item m="1" x="6879"/>
        <item m="1" x="1653"/>
        <item m="1" x="3425"/>
        <item m="1" x="5202"/>
        <item m="1" x="6983"/>
        <item m="1" x="1757"/>
        <item m="1" x="3531"/>
        <item m="1" x="5308"/>
        <item m="1" x="7090"/>
        <item m="1" x="1862"/>
        <item m="1" x="3637"/>
        <item m="1" x="5413"/>
        <item m="1" x="2088"/>
        <item m="1" x="3861"/>
        <item m="1" x="5641"/>
        <item m="1" x="7420"/>
        <item m="1" x="2190"/>
        <item m="1" x="3963"/>
        <item m="1" x="5743"/>
        <item m="1" x="7520"/>
        <item m="1" x="2292"/>
        <item m="1" x="4067"/>
        <item m="1" x="5849"/>
        <item m="1" x="7627"/>
        <item m="1" x="2397"/>
        <item m="1" x="4175"/>
        <item m="1" x="5955"/>
        <item m="1" x="7736"/>
        <item m="1" x="2505"/>
        <item m="1" x="4400"/>
        <item m="1" x="6183"/>
        <item m="1" x="7962"/>
        <item m="1" x="2730"/>
        <item m="1" x="4506"/>
        <item m="1" x="6286"/>
        <item m="1" x="1067"/>
        <item m="1" x="2831"/>
        <item m="1" x="4611"/>
        <item m="1" x="6389"/>
        <item m="1" x="1171"/>
        <item m="1" x="2935"/>
        <item m="1" x="4720"/>
        <item m="1" x="5612"/>
        <item m="1" x="6494"/>
        <item m="1" x="7385"/>
        <item m="1" x="1278"/>
        <item m="1" x="2162"/>
        <item m="1" x="3039"/>
        <item m="1" x="3929"/>
        <item m="1" x="4826"/>
        <item m="1" x="5714"/>
        <item m="1" x="7603"/>
        <item m="1" x="1504"/>
        <item m="1" x="2379"/>
        <item m="1" x="3266"/>
        <item m="1" x="4152"/>
        <item m="1" x="5052"/>
        <item m="1" x="5937"/>
        <item m="1" x="6823"/>
        <item m="1" x="7709"/>
        <item m="1" x="1606"/>
        <item m="1" x="2485"/>
        <item m="1" x="3367"/>
        <item m="1" x="4255"/>
        <item m="1" x="5152"/>
        <item m="1" x="6044"/>
        <item m="1" x="6923"/>
        <item m="1" x="7817"/>
        <item m="1" x="1708"/>
        <item m="1" x="2596"/>
        <item m="1" x="3471"/>
        <item m="1" x="4364"/>
        <item m="1" x="5258"/>
        <item m="1" x="6154"/>
        <item m="1" x="7030"/>
        <item m="1" x="7925"/>
        <item m="1" x="1815"/>
        <item m="1" x="2702"/>
        <item m="1" x="3576"/>
        <item m="1" x="4472"/>
        <item m="1" x="5367"/>
        <item m="1" x="6258"/>
        <item m="1" x="7135"/>
        <item m="1" x="1033"/>
        <item m="1" x="3801"/>
        <item m="1" x="4695"/>
        <item m="1" x="5592"/>
        <item m="1" x="6475"/>
        <item m="1" x="7362"/>
        <item m="1" x="1254"/>
        <item m="1" x="2144"/>
        <item m="1" x="3021"/>
        <item m="1" x="3905"/>
        <item m="1" x="4799"/>
        <item m="1" x="5695"/>
        <item m="1" x="6582"/>
        <item m="1" x="7464"/>
        <item m="1" x="1358"/>
        <item m="1" x="2245"/>
        <item m="1" x="3129"/>
        <item m="1" x="4009"/>
        <item m="1" x="4907"/>
        <item m="1" x="5801"/>
        <item m="1" x="6691"/>
        <item m="1" x="7567"/>
        <item m="1" x="1467"/>
        <item m="1" x="2350"/>
        <item m="1" x="3237"/>
        <item m="1" x="4115"/>
        <item m="1" x="5015"/>
        <item m="1" x="5909"/>
        <item m="1" x="6795"/>
        <item m="1" x="7673"/>
        <item m="1" x="1572"/>
        <item m="1" x="2457"/>
        <item m="1" x="3338"/>
        <item m="1" x="4220"/>
        <item m="1" x="7009"/>
        <item m="1" x="7902"/>
        <item m="1" x="1791"/>
        <item m="1" x="2683"/>
        <item m="1" x="3558"/>
        <item m="1" x="4449"/>
        <item m="1" x="5341"/>
        <item m="1" x="6239"/>
        <item m="1" x="7115"/>
        <item m="1" x="1007"/>
        <item m="1" x="1894"/>
        <item m="1" x="2784"/>
        <item m="1" x="3663"/>
        <item m="1" x="4550"/>
        <item m="1" x="5445"/>
        <item m="1" x="6339"/>
        <item m="1" x="7225"/>
        <item m="1" x="1110"/>
        <item m="1" x="2002"/>
        <item m="1" x="2886"/>
        <item m="1" x="3772"/>
        <item m="1" x="4657"/>
        <item m="1" x="5554"/>
        <item m="1" x="6445"/>
        <item m="1" x="7332"/>
        <item m="1" x="1216"/>
        <item m="1" x="2108"/>
        <item m="1" x="2992"/>
        <item m="1" x="3877"/>
        <item m="1" x="4764"/>
        <item m="1" x="5661"/>
        <item m="1" x="6553"/>
        <item m="1" x="7436"/>
        <item m="1" x="3214"/>
        <item m="1" x="4094"/>
        <item m="1" x="4991"/>
        <item m="1" x="5883"/>
        <item m="1" x="6775"/>
        <item m="1" x="7654"/>
        <item m="1" x="1548"/>
        <item m="1" x="2430"/>
        <item m="1" x="3318"/>
        <item m="1" x="4200"/>
        <item m="1" x="5094"/>
        <item m="1" x="5986"/>
        <item m="1" x="6875"/>
        <item m="1" x="7762"/>
        <item m="1" x="1649"/>
        <item m="1" x="2536"/>
        <item m="1" x="3421"/>
        <item m="1" x="4310"/>
        <item m="1" x="5198"/>
        <item m="1" x="6095"/>
        <item m="1" x="6979"/>
        <item m="1" x="7872"/>
        <item m="1" x="1753"/>
        <item m="1" x="2645"/>
        <item m="1" x="3528"/>
        <item m="1" x="4419"/>
        <item m="1" x="5304"/>
        <item m="1" x="6203"/>
        <item m="1" x="7087"/>
        <item m="1" x="7977"/>
        <item m="1" x="1859"/>
        <item m="1" x="2750"/>
        <item m="1" x="3634"/>
        <item m="1" x="6420"/>
        <item m="1" x="7311"/>
        <item m="1" x="1197"/>
        <item m="1" x="2085"/>
        <item m="1" x="2968"/>
        <item m="1" x="3858"/>
        <item m="1" x="4745"/>
        <item m="1" x="5637"/>
        <item m="1" x="6525"/>
        <item m="1" x="7415"/>
        <item m="1" x="1302"/>
        <item m="1" x="2186"/>
        <item m="1" x="3069"/>
        <item m="1" x="3958"/>
        <item m="1" x="4851"/>
        <item m="1" x="5739"/>
        <item m="1" x="6630"/>
        <item m="1" x="7515"/>
        <item m="1" x="1412"/>
        <item m="1" x="2288"/>
        <item m="1" x="3177"/>
        <item m="1" x="4062"/>
        <item m="1" x="4961"/>
        <item m="1" x="5845"/>
        <item m="1" x="6737"/>
        <item m="1" x="7623"/>
        <item m="1" x="1519"/>
        <item m="1" x="2393"/>
        <item m="1" x="3284"/>
        <item m="1" x="4172"/>
        <item m="1" x="5066"/>
        <item m="1" x="5952"/>
        <item m="1" x="6843"/>
        <item m="1" x="2620"/>
        <item m="1" x="3503"/>
        <item m="1" x="4397"/>
        <item m="1" x="5285"/>
        <item m="1" x="6180"/>
        <item m="1" x="7063"/>
        <item m="1" x="7957"/>
        <item m="1" x="1840"/>
        <item m="1" x="2726"/>
        <item m="1" x="3607"/>
        <item m="1" x="4501"/>
        <item m="1" x="5391"/>
        <item m="1" x="6282"/>
        <item m="1" x="7166"/>
        <item m="1" x="1062"/>
        <item m="1" x="1948"/>
        <item m="1" x="2827"/>
        <item m="1" x="3713"/>
        <item m="1" x="4606"/>
        <item m="1" x="5502"/>
        <item m="1" x="6385"/>
        <item m="1" x="7275"/>
        <item m="1" x="1166"/>
        <item m="1" x="2056"/>
        <item m="1" x="2931"/>
        <item m="1" x="3821"/>
        <item m="1" x="4716"/>
        <item m="1" x="5608"/>
        <item m="1" x="6490"/>
        <item m="1" x="7381"/>
        <item m="1" x="1275"/>
        <item m="1" x="2158"/>
        <item m="1" x="3036"/>
        <item m="1" x="5826"/>
        <item m="1" x="6716"/>
        <item m="1" x="7600"/>
        <item m="1" x="1500"/>
        <item m="1" x="2376"/>
        <item m="1" x="3263"/>
        <item m="1" x="4147"/>
        <item m="1" x="5047"/>
        <item m="1" x="5933"/>
        <item m="1" x="6819"/>
        <item m="1" x="7704"/>
        <item m="1" x="1601"/>
        <item m="1" x="2481"/>
        <item m="1" x="3363"/>
        <item m="1" x="4250"/>
        <item m="1" x="5147"/>
        <item m="1" x="6040"/>
        <item m="1" x="6919"/>
        <item m="1" x="7812"/>
        <item m="1" x="1703"/>
        <item m="1" x="2592"/>
        <item m="1" x="3467"/>
        <item m="1" x="4359"/>
        <item m="1" x="5254"/>
        <item m="1" x="6150"/>
        <item m="1" x="7026"/>
        <item m="1" x="7921"/>
        <item m="1" x="1811"/>
        <item m="1" x="2698"/>
        <item m="1" x="3573"/>
        <item m="1" x="4468"/>
        <item m="1" x="5364"/>
        <item m="1" x="6255"/>
        <item m="1" x="2034"/>
        <item m="1" x="2912"/>
        <item m="1" x="3799"/>
        <item m="1" x="4691"/>
        <item m="1" x="5588"/>
        <item m="1" x="6472"/>
        <item m="1" x="7358"/>
        <item m="1" x="1249"/>
        <item m="1" x="2139"/>
        <item m="1" x="3017"/>
        <item m="1" x="3901"/>
        <item m="1" x="4794"/>
        <item m="1" x="5690"/>
        <item m="1" x="6578"/>
        <item m="1" x="7460"/>
        <item m="1" x="1353"/>
        <item m="1" x="2240"/>
        <item m="1" x="3125"/>
        <item m="1" x="4005"/>
        <item m="1" x="4902"/>
        <item m="1" x="5796"/>
        <item m="1" x="6687"/>
        <item m="1" x="7563"/>
        <item m="1" x="1462"/>
        <item m="1" x="2346"/>
        <item m="1" x="3233"/>
        <item m="1" x="4111"/>
        <item m="1" x="5011"/>
        <item m="1" x="5905"/>
        <item m="1" x="6791"/>
        <item m="1" x="7670"/>
        <item m="1" x="1568"/>
        <item m="1" x="2454"/>
        <item m="1" x="5230"/>
        <item m="1" x="6128"/>
        <item m="1" x="7007"/>
        <item m="1" x="7899"/>
        <item m="1" x="1787"/>
        <item m="1" x="2679"/>
        <item m="1" x="3554"/>
        <item m="1" x="4445"/>
        <item m="1" x="5336"/>
        <item m="1" x="6234"/>
        <item m="1" x="7111"/>
        <item m="1" x="1003"/>
        <item m="1" x="1889"/>
        <item m="1" x="2779"/>
        <item m="1" x="3659"/>
        <item m="1" x="4546"/>
        <item m="1" x="5440"/>
        <item m="1" x="6334"/>
        <item m="1" x="7221"/>
        <item m="1" x="1106"/>
        <item m="1" x="1997"/>
        <item m="1" x="2881"/>
        <item m="1" x="3768"/>
        <item m="1" x="4653"/>
        <item m="1" x="5549"/>
        <item m="1" x="6441"/>
        <item m="1" x="7328"/>
        <item m="1" x="1212"/>
        <item m="1" x="2104"/>
        <item m="1" x="2989"/>
        <item m="1" x="3873"/>
        <item m="1" x="4761"/>
        <item m="1" x="5658"/>
        <item m="1" x="1437"/>
        <item m="1" x="2321"/>
        <item m="1" x="3211"/>
        <item m="1" x="4091"/>
        <item m="1" x="4988"/>
        <item m="1" x="5879"/>
        <item m="1" x="6770"/>
        <item m="1" x="7650"/>
        <item m="1" x="1544"/>
        <item m="1" x="2425"/>
        <item m="1" x="3313"/>
        <item m="1" x="4196"/>
        <item m="1" x="5090"/>
        <item m="1" x="5981"/>
        <item m="1" x="6870"/>
        <item m="1" x="7758"/>
        <item m="1" x="1645"/>
        <item m="1" x="2531"/>
        <item m="1" x="3416"/>
        <item m="1" x="4306"/>
        <item m="1" x="5194"/>
        <item m="1" x="6090"/>
        <item m="1" x="6974"/>
        <item m="1" x="7868"/>
        <item m="1" x="1749"/>
        <item m="1" x="2640"/>
        <item m="1" x="3524"/>
        <item m="1" x="4415"/>
        <item m="1" x="5300"/>
        <item m="1" x="6199"/>
        <item m="1" x="7084"/>
        <item m="1" x="7973"/>
        <item m="1" x="1856"/>
        <item m="1" x="4633"/>
        <item m="1" x="5527"/>
        <item m="1" x="6417"/>
        <item m="1" x="7307"/>
        <item m="1" x="1194"/>
        <item m="1" x="2082"/>
        <item m="1" x="2963"/>
        <item m="1" x="3853"/>
        <item m="1" x="4741"/>
        <item m="1" x="5633"/>
        <item m="1" x="6520"/>
        <item m="1" x="7410"/>
        <item m="1" x="1298"/>
        <item m="1" x="2182"/>
        <item m="1" x="3064"/>
        <item m="1" x="3953"/>
        <item m="1" x="4847"/>
        <item m="1" x="5735"/>
        <item m="1" x="6625"/>
        <item m="1" x="7510"/>
        <item m="1" x="1408"/>
        <item m="1" x="2284"/>
        <item m="1" x="3172"/>
        <item m="1" x="4058"/>
        <item m="1" x="4957"/>
        <item m="1" x="5841"/>
        <item m="1" x="6733"/>
        <item m="1" x="7619"/>
        <item m="1" x="1515"/>
        <item m="1" x="2390"/>
        <item m="1" x="3280"/>
        <item m="1" x="4169"/>
        <item m="1" x="5063"/>
        <item m="1" x="7844"/>
        <item m="1" x="1730"/>
        <item m="1" x="2618"/>
        <item m="1" x="3499"/>
        <item m="1" x="4393"/>
        <item m="1" x="5282"/>
        <item m="1" x="6176"/>
        <item m="1" x="7058"/>
        <item m="1" x="7952"/>
        <item m="1" x="1836"/>
        <item m="1" x="2722"/>
        <item m="1" x="3602"/>
        <item m="1" x="4496"/>
        <item m="1" x="5387"/>
        <item m="1" x="6278"/>
        <item m="1" x="7161"/>
        <item m="1" x="1057"/>
        <item m="1" x="1944"/>
        <item m="1" x="2823"/>
        <item m="1" x="3708"/>
        <item m="1" x="4601"/>
        <item m="1" x="5498"/>
        <item m="1" x="6381"/>
        <item m="1" x="7270"/>
        <item m="1" x="1162"/>
        <item m="1" x="2052"/>
        <item m="1" x="2927"/>
        <item m="1" x="3817"/>
        <item m="1" x="4712"/>
        <item m="1" x="5604"/>
        <item m="1" x="6487"/>
        <item m="1" x="7377"/>
        <item m="1" x="1272"/>
        <item m="1" x="4036"/>
        <item m="1" x="4935"/>
        <item m="1" x="5824"/>
        <item m="1" x="6713"/>
        <item m="1" x="7596"/>
        <item m="1" x="1496"/>
        <item m="1" x="2372"/>
        <item m="1" x="3259"/>
        <item m="1" x="4142"/>
        <item m="1" x="5042"/>
        <item m="1" x="5929"/>
        <item m="1" x="6815"/>
        <item m="1" x="7699"/>
        <item m="1" x="1596"/>
        <item m="1" x="2477"/>
        <item m="1" x="3359"/>
        <item m="1" x="4245"/>
        <item m="1" x="5142"/>
        <item m="1" x="6036"/>
        <item m="1" x="6915"/>
        <item m="1" x="7807"/>
        <item m="1" x="1698"/>
        <item m="1" x="2588"/>
        <item m="1" x="3463"/>
        <item m="1" x="4354"/>
        <item m="1" x="5250"/>
        <item m="1" x="6146"/>
        <item m="1" x="7022"/>
        <item m="1" x="7917"/>
        <item m="1" x="1808"/>
        <item m="1" x="2694"/>
        <item m="1" x="3570"/>
        <item m="1" x="4465"/>
        <item m="1" x="7247"/>
        <item m="1" x="1139"/>
        <item m="1" x="2031"/>
        <item m="1" x="2909"/>
        <item m="1" x="3796"/>
        <item m="1" x="4687"/>
        <item m="1" x="5583"/>
        <item m="1" x="6468"/>
        <item m="1" x="7354"/>
        <item m="1" x="1244"/>
        <item m="1" x="2134"/>
        <item m="1" x="3013"/>
        <item m="1" x="3897"/>
        <item m="1" x="4789"/>
        <item m="1" x="5685"/>
        <item m="1" x="6574"/>
        <item m="1" x="7456"/>
        <item m="1" x="1348"/>
        <item m="1" x="2235"/>
        <item m="1" x="3121"/>
        <item m="1" x="4001"/>
        <item m="1" x="4897"/>
        <item m="1" x="5791"/>
        <item m="1" x="6683"/>
        <item m="1" x="7559"/>
        <item m="1" x="1457"/>
        <item m="1" x="2342"/>
        <item m="1" x="3229"/>
        <item m="1" x="4107"/>
        <item m="1" x="5007"/>
        <item m="1" x="5902"/>
        <item m="1" x="6787"/>
        <item m="1" x="7667"/>
        <item m="1" x="3444"/>
        <item m="1" x="4333"/>
        <item m="1" x="5227"/>
        <item m="1" x="6124"/>
        <item m="1" x="7004"/>
        <item m="1" x="7896"/>
        <item m="1" x="1782"/>
        <item m="1" x="2674"/>
        <item m="1" x="3550"/>
        <item m="1" x="4441"/>
        <item m="1" x="5331"/>
        <item m="1" x="6229"/>
        <item m="1" x="7107"/>
        <item m="1" x="7997"/>
        <item m="1" x="1884"/>
        <item m="1" x="2774"/>
        <item m="1" x="3655"/>
        <item m="1" x="4542"/>
        <item m="1" x="5435"/>
        <item m="1" x="6329"/>
        <item m="1" x="7217"/>
        <item m="1" x="1102"/>
        <item m="1" x="1992"/>
        <item m="1" x="2877"/>
        <item m="1" x="3764"/>
        <item m="1" x="4649"/>
        <item m="1" x="5545"/>
        <item m="1" x="6437"/>
        <item m="1" x="7324"/>
        <item m="1" x="1209"/>
        <item m="1" x="2100"/>
        <item m="1" x="2986"/>
        <item m="1" x="3870"/>
        <item m="1" x="6658"/>
        <item m="1" x="7540"/>
        <item m="1" x="1435"/>
        <item m="1" x="2317"/>
        <item m="1" x="3207"/>
        <item m="1" x="4088"/>
        <item m="1" x="4984"/>
        <item m="1" x="5874"/>
        <item m="1" x="6765"/>
        <item m="1" x="7646"/>
        <item m="1" x="1540"/>
        <item m="1" x="2420"/>
        <item m="1" x="3308"/>
        <item m="1" x="4192"/>
        <item m="1" x="5086"/>
        <item m="1" x="5976"/>
        <item m="1" x="6865"/>
        <item m="1" x="7754"/>
        <item m="1" x="1641"/>
        <item m="1" x="2526"/>
        <item m="1" x="3411"/>
        <item m="1" x="4302"/>
        <item m="1" x="5190"/>
        <item m="1" x="6085"/>
        <item m="1" x="6970"/>
        <item m="1" x="7864"/>
        <item m="1" x="1745"/>
        <item m="1" x="2636"/>
        <item m="1" x="3520"/>
        <item m="1" x="4411"/>
        <item m="1" x="5297"/>
        <item m="1" x="6195"/>
        <item m="1" x="7081"/>
        <item m="1" x="2854"/>
        <item m="1" x="3741"/>
        <item m="1" x="4631"/>
        <item m="1" x="5524"/>
        <item m="1" x="6413"/>
        <item m="1" x="7303"/>
        <item m="1" x="1190"/>
        <item m="1" x="2078"/>
        <item m="1" x="2958"/>
        <item m="1" x="3848"/>
        <item m="1" x="4737"/>
        <item m="1" x="5629"/>
        <item m="1" x="6515"/>
        <item m="1" x="7405"/>
        <item m="1" x="1294"/>
        <item m="1" x="2178"/>
        <item m="1" x="3059"/>
        <item m="1" x="3948"/>
        <item m="1" x="4843"/>
        <item m="1" x="5731"/>
        <item m="1" x="6620"/>
        <item m="1" x="7505"/>
        <item m="1" x="1404"/>
        <item m="1" x="2280"/>
        <item m="1" x="3167"/>
        <item m="1" x="4054"/>
        <item m="1" x="4953"/>
        <item m="1" x="5837"/>
        <item m="1" x="6729"/>
        <item m="1" x="7616"/>
        <item m="1" x="1511"/>
        <item m="1" x="2387"/>
        <item m="1" x="3277"/>
        <item m="1" x="6062"/>
        <item m="1" x="6947"/>
        <item m="1" x="7841"/>
        <item m="1" x="1727"/>
        <item m="1" x="2615"/>
        <item m="1" x="3495"/>
        <item m="1" x="4388"/>
        <item m="1" x="5278"/>
        <item m="1" x="6172"/>
        <item m="1" x="7053"/>
        <item m="1" x="7947"/>
        <item m="1" x="1832"/>
        <item m="1" x="2718"/>
        <item m="1" x="3597"/>
        <item m="1" x="4491"/>
        <item m="1" x="5383"/>
        <item m="1" x="6274"/>
        <item m="1" x="7156"/>
        <item m="1" x="1052"/>
        <item m="1" x="1940"/>
        <item m="1" x="2819"/>
        <item m="1" x="3703"/>
        <item m="1" x="4596"/>
        <item m="1" x="5494"/>
        <item m="1" x="6377"/>
        <item m="1" x="7265"/>
        <item m="1" x="1158"/>
        <item m="1" x="2048"/>
        <item m="1" x="2923"/>
        <item m="1" x="3813"/>
        <item m="1" x="4709"/>
        <item m="1" x="5600"/>
        <item m="1" x="6484"/>
        <item m="1" x="2263"/>
        <item m="1" x="3148"/>
        <item m="1" x="4033"/>
        <item m="1" x="4931"/>
        <item m="1" x="5821"/>
        <item m="1" x="6710"/>
        <item m="1" x="7591"/>
        <item m="1" x="1491"/>
        <item m="1" x="2368"/>
        <item m="1" x="3255"/>
        <item m="1" x="4137"/>
        <item m="1" x="5037"/>
        <item m="1" x="5925"/>
        <item m="1" x="6811"/>
        <item m="1" x="7694"/>
        <item m="1" x="1591"/>
        <item m="1" x="2473"/>
        <item m="1" x="3355"/>
        <item m="1" x="4240"/>
        <item m="1" x="5137"/>
        <item m="1" x="6032"/>
        <item m="1" x="6911"/>
        <item m="1" x="7802"/>
        <item m="1" x="1694"/>
        <item m="1" x="2584"/>
        <item m="1" x="3459"/>
        <item m="1" x="4350"/>
        <item m="1" x="5246"/>
        <item m="1" x="6142"/>
        <item m="1" x="7019"/>
        <item m="1" x="7913"/>
        <item m="1" x="1805"/>
        <item m="1" x="2691"/>
        <item m="1" x="5469"/>
        <item m="1" x="6360"/>
        <item m="1" x="7245"/>
        <item m="1" x="1135"/>
        <item m="1" x="2027"/>
        <item m="1" x="2906"/>
        <item m="1" x="3792"/>
        <item m="1" x="4682"/>
        <item m="1" x="5578"/>
        <item m="1" x="6464"/>
        <item m="1" x="7350"/>
        <item m="1" x="1239"/>
        <item m="1" x="2129"/>
        <item m="1" x="3009"/>
        <item m="1" x="3893"/>
        <item m="1" x="4784"/>
        <item m="1" x="5680"/>
        <item m="1" x="6570"/>
        <item m="1" x="7452"/>
        <item m="1" x="1343"/>
        <item m="1" x="2230"/>
        <item m="1" x="3117"/>
        <item m="1" x="3997"/>
        <item m="1" x="4892"/>
        <item m="1" x="5787"/>
        <item m="1" x="6679"/>
        <item m="1" x="7555"/>
        <item m="1" x="1453"/>
        <item m="1" x="2338"/>
        <item m="1" x="3225"/>
        <item m="1" x="4104"/>
        <item m="1" x="5003"/>
        <item m="1" x="5898"/>
        <item m="1" x="1673"/>
        <item m="1" x="2561"/>
        <item m="1" x="3442"/>
        <item m="1" x="4330"/>
        <item m="1" x="5223"/>
        <item m="1" x="6120"/>
        <item m="1" x="7000"/>
        <item m="1" x="7892"/>
        <item m="1" x="1777"/>
        <item m="1" x="2669"/>
        <item m="1" x="3546"/>
        <item m="1" x="4437"/>
        <item m="1" x="5326"/>
        <item m="1" x="6224"/>
        <item m="1" x="7103"/>
        <item m="1" x="7993"/>
        <item m="1" x="1879"/>
        <item m="1" x="2769"/>
        <item m="1" x="3651"/>
        <item m="1" x="4538"/>
        <item m="1" x="5430"/>
        <item m="1" x="6324"/>
        <item m="1" x="7213"/>
        <item m="1" x="1098"/>
        <item m="1" x="1987"/>
        <item m="1" x="2873"/>
        <item m="1" x="3760"/>
        <item m="1" x="4645"/>
        <item m="1" x="5541"/>
        <item m="1" x="6434"/>
        <item m="1" x="7320"/>
        <item m="1" x="1206"/>
        <item m="1" x="2097"/>
        <item m="1" x="4870"/>
        <item m="1" x="5764"/>
        <item m="1" x="6655"/>
        <item m="1" x="7537"/>
        <item m="1" x="1432"/>
        <item m="1" x="2313"/>
        <item m="1" x="3202"/>
        <item m="1" x="4084"/>
        <item m="1" x="4980"/>
        <item m="1" x="5869"/>
        <item m="1" x="6760"/>
        <item m="1" x="7642"/>
        <item m="1" x="1536"/>
        <item m="1" x="2415"/>
        <item m="1" x="3303"/>
        <item m="1" x="4188"/>
        <item m="1" x="5082"/>
        <item m="1" x="5971"/>
        <item m="1" x="6860"/>
        <item m="1" x="7750"/>
        <item m="1" x="1637"/>
        <item m="1" x="2521"/>
        <item m="1" x="3406"/>
        <item m="1" x="4298"/>
        <item m="1" x="5186"/>
        <item m="1" x="6080"/>
        <item m="1" x="6966"/>
        <item m="1" x="7860"/>
        <item m="1" x="1741"/>
        <item m="1" x="2632"/>
        <item m="1" x="3517"/>
        <item m="1" x="4407"/>
        <item m="1" x="5294"/>
        <item m="1" x="1082"/>
        <item m="1" x="1967"/>
        <item m="1" x="2851"/>
        <item m="1" x="3737"/>
        <item m="1" x="4628"/>
        <item m="1" x="5521"/>
        <item m="1" x="6409"/>
        <item m="1" x="7299"/>
        <item m="1" x="1187"/>
        <item m="1" x="2075"/>
        <item m="1" x="2954"/>
        <item m="1" x="3844"/>
        <item m="1" x="4734"/>
        <item m="1" x="5626"/>
        <item m="1" x="6511"/>
        <item m="1" x="7401"/>
        <item m="1" x="1291"/>
        <item m="1" x="2175"/>
        <item m="1" x="3055"/>
        <item m="1" x="3944"/>
        <item m="1" x="4840"/>
        <item m="1" x="5728"/>
        <item m="1" x="6616"/>
        <item m="1" x="7502"/>
        <item m="1" x="1401"/>
        <item m="1" x="2277"/>
        <item m="1" x="3164"/>
        <item m="1" x="4051"/>
        <item m="1" x="4950"/>
        <item m="1" x="5835"/>
        <item m="1" x="6726"/>
        <item m="1" x="7614"/>
        <item m="1" x="1509"/>
        <item m="1" x="4274"/>
        <item m="1" x="5169"/>
        <item m="1" x="6060"/>
        <item m="1" x="6943"/>
        <item m="1" x="7837"/>
        <item m="1" x="1724"/>
        <item m="1" x="2612"/>
        <item m="1" x="3491"/>
        <item m="1" x="4384"/>
        <item m="1" x="5275"/>
        <item m="1" x="6169"/>
        <item m="1" x="7049"/>
        <item m="1" x="7943"/>
        <item m="1" x="1829"/>
        <item m="1" x="2715"/>
        <item m="1" x="3593"/>
        <item m="1" x="4487"/>
        <item m="1" x="5380"/>
        <item m="1" x="6271"/>
        <item m="1" x="7152"/>
        <item m="1" x="1048"/>
        <item m="1" x="1937"/>
        <item m="1" x="2816"/>
        <item m="1" x="3699"/>
        <item m="1" x="4593"/>
        <item m="1" x="5491"/>
        <item m="1" x="6374"/>
        <item m="1" x="7262"/>
        <item m="1" x="1155"/>
        <item m="1" x="2045"/>
        <item m="1" x="2921"/>
        <item m="1" x="3810"/>
        <item m="1" x="4706"/>
        <item m="1" x="7483"/>
        <item m="1" x="1378"/>
        <item m="1" x="2261"/>
        <item m="1" x="3145"/>
        <item m="1" x="4029"/>
        <item m="1" x="4927"/>
        <item m="1" x="5818"/>
        <item m="1" x="6707"/>
        <item m="1" x="7587"/>
        <item m="1" x="1487"/>
        <item m="1" x="2365"/>
        <item m="1" x="3252"/>
        <item m="1" x="4133"/>
        <item m="1" x="5033"/>
        <item m="1" x="5922"/>
        <item m="1" x="6808"/>
        <item m="1" x="7690"/>
        <item m="1" x="1587"/>
        <item m="1" x="2470"/>
        <item m="1" x="3352"/>
        <item m="1" x="4236"/>
        <item m="1" x="5133"/>
        <item m="1" x="6029"/>
        <item m="1" x="6908"/>
        <item m="1" x="7798"/>
        <item m="1" x="1691"/>
        <item m="1" x="2580"/>
        <item m="1" x="3455"/>
        <item m="1" x="4346"/>
        <item m="1" x="5243"/>
        <item m="1" x="6138"/>
        <item m="1" x="7016"/>
        <item m="1" x="7910"/>
        <item m="1" x="3678"/>
        <item m="1" x="4570"/>
        <item m="1" x="5465"/>
        <item m="1" x="6356"/>
        <item m="1" x="7241"/>
        <item m="1" x="1130"/>
        <item m="1" x="2022"/>
        <item m="1" x="2902"/>
        <item m="1" x="3788"/>
        <item m="1" x="4677"/>
        <item m="1" x="5573"/>
        <item m="1" x="6460"/>
        <item m="1" x="7346"/>
        <item m="1" x="1234"/>
        <item m="1" x="2124"/>
        <item m="1" x="3005"/>
        <item m="1" x="3890"/>
        <item m="1" x="4780"/>
        <item m="1" x="5676"/>
        <item m="1" x="6567"/>
        <item m="1" x="7449"/>
        <item m="1" x="1339"/>
        <item m="1" x="2226"/>
        <item m="1" x="3114"/>
        <item m="1" x="3994"/>
        <item m="1" x="4888"/>
        <item m="1" x="5783"/>
        <item m="1" x="6675"/>
        <item m="1" x="7551"/>
        <item m="1" x="1449"/>
        <item m="1" x="2335"/>
        <item m="1" x="3221"/>
        <item m="1" x="4101"/>
        <item m="1" x="6892"/>
        <item m="1" x="7778"/>
        <item m="1" x="1669"/>
        <item m="1" x="2556"/>
        <item m="1" x="3438"/>
        <item m="1" x="4326"/>
        <item m="1" x="5218"/>
        <item m="1" x="6115"/>
        <item m="1" x="6996"/>
        <item m="1" x="7888"/>
        <item m="1" x="1772"/>
        <item m="1" x="2664"/>
        <item m="1" x="3542"/>
        <item m="1" x="4433"/>
        <item m="1" x="5321"/>
        <item m="1" x="6219"/>
        <item m="1" x="7100"/>
        <item m="1" x="7990"/>
        <item m="1" x="1875"/>
        <item m="1" x="2765"/>
        <item m="1" x="3648"/>
        <item m="1" x="4535"/>
        <item m="1" x="5426"/>
        <item m="1" x="6321"/>
        <item m="1" x="7210"/>
        <item m="1" x="1095"/>
        <item m="1" x="1983"/>
        <item m="1" x="2869"/>
        <item m="1" x="3756"/>
        <item m="1" x="4642"/>
        <item m="1" x="5537"/>
        <item m="1" x="6431"/>
        <item m="1" x="7317"/>
        <item m="1" x="3089"/>
        <item m="1" x="3976"/>
        <item m="1" x="4867"/>
        <item m="1" x="5759"/>
        <item m="1" x="6650"/>
        <item m="1" x="7533"/>
        <item m="1" x="1428"/>
        <item m="1" x="2308"/>
        <item m="1" x="3197"/>
        <item m="1" x="4080"/>
        <item m="1" x="4976"/>
        <item m="1" x="5864"/>
        <item m="1" x="6755"/>
        <item m="1" x="7638"/>
        <item m="1" x="1532"/>
        <item m="1" x="2410"/>
        <item m="1" x="3299"/>
        <item m="1" x="4185"/>
        <item m="1" x="5079"/>
        <item m="1" x="5967"/>
        <item m="1" x="6856"/>
        <item m="1" x="7747"/>
        <item m="1" x="1634"/>
        <item m="1" x="2517"/>
        <item m="1" x="3403"/>
        <item m="1" x="4295"/>
        <item m="1" x="5182"/>
        <item m="1" x="6076"/>
        <item m="1" x="6962"/>
        <item m="1" x="7856"/>
        <item m="1" x="1738"/>
        <item m="1" x="2628"/>
        <item m="1" x="3513"/>
        <item m="1" x="5405"/>
        <item m="1" x="6301"/>
        <item m="1" x="7185"/>
        <item m="1" x="1079"/>
        <item m="1" x="1963"/>
        <item m="1" x="2846"/>
        <item m="1" x="3732"/>
        <item m="1" x="4624"/>
        <item m="1" x="5517"/>
        <item m="1" x="6404"/>
        <item m="1" x="7294"/>
        <item m="1" x="1183"/>
        <item m="1" x="2071"/>
        <item m="1" x="2949"/>
        <item m="1" x="3839"/>
        <item m="1" x="4730"/>
        <item m="1" x="5622"/>
        <item m="1" x="6507"/>
        <item m="1" x="7397"/>
        <item m="1" x="1288"/>
        <item m="1" x="2172"/>
        <item m="1" x="3051"/>
        <item m="1" x="3940"/>
        <item m="1" x="4837"/>
        <item m="1" x="5725"/>
        <item m="1" x="6612"/>
        <item m="1" x="7499"/>
        <item m="1" x="1397"/>
        <item m="1" x="2273"/>
        <item m="1" x="3160"/>
        <item m="1" x="4048"/>
        <item m="1" x="4946"/>
        <item m="1" x="5832"/>
        <item m="1" x="6723"/>
        <item m="1" x="1617"/>
        <item m="1" x="2497"/>
        <item m="1" x="3382"/>
        <item m="1" x="4270"/>
        <item m="1" x="5165"/>
        <item m="1" x="6056"/>
        <item m="1" x="6938"/>
        <item m="1" x="7832"/>
        <item m="1" x="1720"/>
        <item m="1" x="2608"/>
        <item m="1" x="3486"/>
        <item m="1" x="4379"/>
        <item m="1" x="5271"/>
        <item m="1" x="6165"/>
        <item m="1" x="7044"/>
        <item m="1" x="7938"/>
        <item m="1" x="1825"/>
        <item m="1" x="2712"/>
        <item m="1" x="3589"/>
        <item m="1" x="4483"/>
        <item m="1" x="5377"/>
        <item m="1" x="6268"/>
        <item m="1" x="7148"/>
        <item m="1" x="1044"/>
        <item m="1" x="1934"/>
        <item m="1" x="2813"/>
        <item m="1" x="3695"/>
        <item m="1" x="4589"/>
        <item m="1" x="5487"/>
        <item m="1" x="6370"/>
        <item m="1" x="7258"/>
        <item m="1" x="1152"/>
        <item m="1" x="2041"/>
        <item m="1" x="2918"/>
        <item m="1" x="4813"/>
        <item m="1" x="5708"/>
        <item m="1" x="6594"/>
        <item m="1" x="7479"/>
        <item m="1" x="1373"/>
        <item m="1" x="2257"/>
        <item m="1" x="3141"/>
        <item m="1" x="4024"/>
        <item m="1" x="4922"/>
        <item m="1" x="5814"/>
        <item m="1" x="6703"/>
        <item m="1" x="7582"/>
        <item m="1" x="1482"/>
        <item m="1" x="2361"/>
        <item m="1" x="3248"/>
        <item m="1" x="4128"/>
        <item m="1" x="5028"/>
        <item m="1" x="5919"/>
        <item m="1" x="6805"/>
        <item m="1" x="7686"/>
        <item m="1" x="1583"/>
        <item m="1" x="2467"/>
        <item m="1" x="3349"/>
        <item m="1" x="4232"/>
        <item m="1" x="5130"/>
        <item m="1" x="6026"/>
        <item m="1" x="6905"/>
        <item m="1" x="7794"/>
        <item m="1" x="1687"/>
        <item m="1" x="2576"/>
        <item m="1" x="3452"/>
        <item m="1" x="4342"/>
        <item m="1" x="5240"/>
        <item m="1" x="6135"/>
        <item m="1" x="1021"/>
        <item m="1" x="1909"/>
        <item m="1" x="2796"/>
        <item m="1" x="3675"/>
        <item m="1" x="4565"/>
        <item m="1" x="5460"/>
        <item m="1" x="6352"/>
        <item m="1" x="7237"/>
        <item m="1" x="1125"/>
        <item m="1" x="2017"/>
        <item m="1" x="2898"/>
        <item m="1" x="3784"/>
        <item m="1" x="4672"/>
        <item m="1" x="5568"/>
        <item m="1" x="6456"/>
        <item m="1" x="7342"/>
        <item m="1" x="1229"/>
        <item m="1" x="2120"/>
        <item m="1" x="3002"/>
        <item m="1" x="3887"/>
        <item m="1" x="4776"/>
        <item m="1" x="5672"/>
        <item m="1" x="6564"/>
        <item m="1" x="7446"/>
        <item m="1" x="1335"/>
        <item m="1" x="2223"/>
        <item m="1" x="3111"/>
        <item m="1" x="3990"/>
        <item m="1" x="4884"/>
        <item m="1" x="5779"/>
        <item m="1" x="6671"/>
        <item m="1" x="7548"/>
        <item m="1" x="1445"/>
        <item m="1" x="2331"/>
        <item m="1" x="4211"/>
        <item m="1" x="5109"/>
        <item m="1" x="6001"/>
        <item m="1" x="6888"/>
        <item m="1" x="7774"/>
        <item m="1" x="1664"/>
        <item m="1" x="2551"/>
        <item m="1" x="3434"/>
        <item m="1" x="4322"/>
        <item m="1" x="5213"/>
        <item m="1" x="6110"/>
        <item m="1" x="6992"/>
        <item m="1" x="7884"/>
        <item m="1" x="1767"/>
        <item m="1" x="2659"/>
        <item m="1" x="3538"/>
        <item m="1" x="4429"/>
        <item m="1" x="5317"/>
        <item m="1" x="6215"/>
        <item m="1" x="7097"/>
        <item m="1" x="7987"/>
        <item m="1" x="1871"/>
        <item m="1" x="2761"/>
        <item m="1" x="3645"/>
        <item m="1" x="4532"/>
        <item m="1" x="5422"/>
        <item m="1" x="6318"/>
        <item m="1" x="7206"/>
        <item m="1" x="1091"/>
        <item m="1" x="1979"/>
        <item m="1" x="2866"/>
        <item m="1" x="3752"/>
        <item m="1" x="4639"/>
        <item m="1" x="5534"/>
        <item m="1" x="7428"/>
        <item m="1" x="1314"/>
        <item m="1" x="2201"/>
        <item m="1" x="3084"/>
        <item m="1" x="3972"/>
        <item m="1" x="4863"/>
        <item m="1" x="5754"/>
        <item m="1" x="6645"/>
        <item m="1" x="7529"/>
        <item m="1" x="1424"/>
        <item m="1" x="2303"/>
        <item m="1" x="3192"/>
        <item m="1" x="4076"/>
        <item m="1" x="4972"/>
        <item m="1" x="5859"/>
        <item m="1" x="6750"/>
        <item m="1" x="7634"/>
        <item m="1" x="1529"/>
        <item m="1" x="2406"/>
        <item m="1" x="3295"/>
        <item m="1" x="4182"/>
        <item m="1" x="5076"/>
        <item m="1" x="5963"/>
        <item m="1" x="6852"/>
        <item m="1" x="7744"/>
        <item m="1" x="1631"/>
        <item m="1" x="2513"/>
        <item m="1" x="3399"/>
        <item m="1" x="4291"/>
        <item m="1" x="5178"/>
        <item m="1" x="6072"/>
        <item m="1" x="6959"/>
        <item m="1" x="7852"/>
        <item m="1" x="1735"/>
        <item m="1" x="3620"/>
        <item m="1" x="4515"/>
        <item m="1" x="5402"/>
        <item m="1" x="6296"/>
        <item m="1" x="7180"/>
        <item m="1" x="1075"/>
        <item m="1" x="1959"/>
        <item m="1" x="2841"/>
        <item m="1" x="3727"/>
        <item m="1" x="4620"/>
        <item m="1" x="5513"/>
        <item m="1" x="6399"/>
        <item m="1" x="7289"/>
        <item m="1" x="1179"/>
        <item m="1" x="2067"/>
        <item m="1" x="2944"/>
        <item m="1" x="3834"/>
        <item m="1" x="4727"/>
        <item m="1" x="5619"/>
        <item m="1" x="6503"/>
        <item m="1" x="7393"/>
        <item m="1" x="1285"/>
        <item m="1" x="2169"/>
        <item m="1" x="3047"/>
        <item m="1" x="3937"/>
        <item m="1" x="4834"/>
        <item m="1" x="5721"/>
        <item m="1" x="6608"/>
        <item m="1" x="7495"/>
        <item m="1" x="1393"/>
        <item m="1" x="2270"/>
        <item m="1" x="3156"/>
        <item m="1" x="4045"/>
        <item m="1" x="4943"/>
        <item m="1" x="6832"/>
        <item m="1" x="7719"/>
        <item m="1" x="1614"/>
        <item m="1" x="2493"/>
        <item m="1" x="3377"/>
        <item m="1" x="4265"/>
        <item m="1" x="5161"/>
        <item m="1" x="6052"/>
        <item m="1" x="6933"/>
        <item m="1" x="7827"/>
        <item m="1" x="1716"/>
        <item m="1" x="2604"/>
        <item m="1" x="3481"/>
        <item m="1" x="4374"/>
        <item m="1" x="5267"/>
        <item m="1" x="6161"/>
        <item m="1" x="7039"/>
        <item m="1" x="7934"/>
        <item m="1" x="1822"/>
        <item m="1" x="2709"/>
        <item m="1" x="3585"/>
        <item m="1" x="4479"/>
        <item m="1" x="5374"/>
        <item m="1" x="6265"/>
        <item m="1" x="7144"/>
        <item m="1" x="1041"/>
        <item m="1" x="1930"/>
        <item m="1" x="2809"/>
        <item m="1" x="3691"/>
        <item m="1" x="4585"/>
        <item m="1" x="5483"/>
        <item m="1" x="6367"/>
        <item m="1" x="7254"/>
        <item m="1" x="1148"/>
        <item m="1" x="3028"/>
        <item m="1" x="3915"/>
        <item m="1" x="4809"/>
        <item m="1" x="5704"/>
        <item m="1" x="6590"/>
        <item m="1" x="7474"/>
        <item m="1" x="1368"/>
        <item m="1" x="2253"/>
        <item m="1" x="3137"/>
        <item m="1" x="4019"/>
        <item m="1" x="4917"/>
        <item m="1" x="5810"/>
        <item m="1" x="6699"/>
        <item m="1" x="7577"/>
        <item m="1" x="1477"/>
        <item m="1" x="2357"/>
        <item m="1" x="3244"/>
        <item m="1" x="4124"/>
        <item m="1" x="5024"/>
        <item m="1" x="5916"/>
        <item m="1" x="6802"/>
        <item m="1" x="7682"/>
        <item m="1" x="1579"/>
        <item m="1" x="2464"/>
        <item m="1" x="3346"/>
        <item m="1" x="4228"/>
        <item m="1" x="5126"/>
        <item m="1" x="6022"/>
        <item m="1" x="6901"/>
        <item m="1" x="7790"/>
        <item m="1" x="1684"/>
        <item m="1" x="2572"/>
        <item m="1" x="3449"/>
        <item m="1" x="4339"/>
        <item m="1" x="6247"/>
        <item m="1" x="7123"/>
        <item m="1" x="1017"/>
        <item m="1" x="1904"/>
        <item m="1" x="2792"/>
        <item m="1" x="3671"/>
        <item m="1" x="4560"/>
        <item m="1" x="5455"/>
        <item m="1" x="6348"/>
        <item m="1" x="7233"/>
        <item m="1" x="1120"/>
        <item m="1" x="2012"/>
        <item m="1" x="2894"/>
        <item m="1" x="3780"/>
        <item m="1" x="4667"/>
        <item m="1" x="5563"/>
        <item m="1" x="6452"/>
        <item m="1" x="7339"/>
        <item m="1" x="1225"/>
        <item m="1" x="2116"/>
        <item m="1" x="2999"/>
        <item m="1" x="3884"/>
        <item m="1" x="4772"/>
        <item m="1" x="5668"/>
        <item m="1" x="6561"/>
        <item m="1" x="7443"/>
        <item m="1" x="1330"/>
        <item m="1" x="2219"/>
        <item m="1" x="3107"/>
        <item m="1" x="3986"/>
        <item m="1" x="4880"/>
        <item m="1" x="5776"/>
        <item m="1" x="6667"/>
        <item m="1" x="7545"/>
        <item m="1" x="2439"/>
        <item m="1" x="3327"/>
        <item m="1" x="4208"/>
        <item m="1" x="5104"/>
        <item m="1" x="5996"/>
        <item m="1" x="6884"/>
        <item m="1" x="7770"/>
        <item m="1" x="1659"/>
        <item m="1" x="2546"/>
        <item m="1" x="3430"/>
        <item m="1" x="4318"/>
        <item m="1" x="5208"/>
        <item m="1" x="6105"/>
        <item m="1" x="6988"/>
        <item m="1" x="7880"/>
        <item m="1" x="1762"/>
        <item m="1" x="2654"/>
        <item m="1" x="3535"/>
        <item m="1" x="4426"/>
        <item m="1" x="5313"/>
        <item m="1" x="6211"/>
        <item m="1" x="7094"/>
        <item m="1" x="7984"/>
        <item m="1" x="1867"/>
        <item m="1" x="2758"/>
        <item m="1" x="3642"/>
        <item m="1" x="4528"/>
        <item m="1" x="5418"/>
        <item m="1" x="6314"/>
        <item m="1" x="7202"/>
        <item m="1" x="1088"/>
        <item m="1" x="1975"/>
        <item m="1" x="2863"/>
        <item m="1" x="3749"/>
        <item m="1" x="5646"/>
        <item m="1" x="6535"/>
        <item m="1" x="7425"/>
        <item m="1" x="1310"/>
        <item m="1" x="2196"/>
        <item m="1" x="3079"/>
        <item m="1" x="3968"/>
        <item m="1" x="4859"/>
        <item m="1" x="5749"/>
        <item m="1" x="6640"/>
        <item m="1" x="7525"/>
        <item m="1" x="1420"/>
        <item m="1" x="2298"/>
        <item m="1" x="3187"/>
        <item m="1" x="4072"/>
        <item m="1" x="4968"/>
        <item m="1" x="5854"/>
        <item m="1" x="6746"/>
        <item m="1" x="7631"/>
        <item m="1" x="1526"/>
        <item m="1" x="2402"/>
        <item m="1" x="3291"/>
        <item m="1" x="4179"/>
        <item m="1" x="5073"/>
        <item m="1" x="5959"/>
        <item m="1" x="6849"/>
        <item m="1" x="7740"/>
        <item m="1" x="1627"/>
        <item m="1" x="2509"/>
        <item m="1" x="3395"/>
        <item m="1" x="4287"/>
        <item m="1" x="5175"/>
        <item m="1" x="6068"/>
        <item m="1" x="6955"/>
        <item m="1" x="1846"/>
        <item m="1" x="2735"/>
        <item m="1" x="3616"/>
        <item m="1" x="4511"/>
        <item m="1" x="5398"/>
        <item m="1" x="6291"/>
        <item m="1" x="7175"/>
        <item m="1" x="1071"/>
        <item m="1" x="1955"/>
        <item m="1" x="2836"/>
        <item m="1" x="3722"/>
        <item m="1" x="4616"/>
        <item m="1" x="5509"/>
        <item m="1" x="6394"/>
        <item m="1" x="7284"/>
        <item m="1" x="1175"/>
        <item m="1" x="2063"/>
        <item m="1" x="2940"/>
        <item m="1" x="3830"/>
        <item m="1" x="4724"/>
        <item m="1" x="5616"/>
        <item m="1" x="6499"/>
        <item m="1" x="7389"/>
        <item m="1" x="1282"/>
        <item m="1" x="2166"/>
        <item m="1" x="3043"/>
        <item m="1" x="3933"/>
        <item m="1" x="4830"/>
        <item m="1" x="5717"/>
        <item m="1" x="6604"/>
        <item m="1" x="7492"/>
        <item m="1" x="1389"/>
        <item m="1" x="2267"/>
        <item m="1" x="3153"/>
        <item m="1" x="5056"/>
        <item m="1" x="5941"/>
        <item m="1" x="6828"/>
        <item m="1" x="7714"/>
        <item m="1" x="1610"/>
        <item m="1" x="2489"/>
        <item m="1" x="3372"/>
        <item m="1" x="4260"/>
        <item m="1" x="5157"/>
        <item m="1" x="6048"/>
        <item m="1" x="6928"/>
        <item m="1" x="7822"/>
        <item m="1" x="1712"/>
        <item m="1" x="2600"/>
        <item m="1" x="3476"/>
        <item m="1" x="4369"/>
        <item m="1" x="5263"/>
        <item m="1" x="6158"/>
        <item m="1" x="7035"/>
        <item m="1" x="7930"/>
        <item m="1" x="1819"/>
        <item m="1" x="2706"/>
        <item m="1" x="3581"/>
        <item m="1" x="4476"/>
        <item m="1" x="5371"/>
        <item m="1" x="6262"/>
        <item m="1" x="7139"/>
        <item m="1" x="1037"/>
        <item m="1" x="1926"/>
        <item m="1" x="2805"/>
        <item m="1" x="3687"/>
        <item m="1" x="4582"/>
        <item m="1" x="5479"/>
        <item m="1" x="6364"/>
        <item m="1" x="1258"/>
        <item m="1" x="2148"/>
        <item m="1" x="3025"/>
        <item m="1" x="3910"/>
        <item m="1" x="4804"/>
        <item m="1" x="5700"/>
        <item m="1" x="6586"/>
        <item m="1" x="7469"/>
        <item m="1" x="1363"/>
        <item m="1" x="2249"/>
        <item m="1" x="3133"/>
        <item m="1" x="4014"/>
        <item m="1" x="4912"/>
        <item m="1" x="5806"/>
        <item m="1" x="6695"/>
        <item m="1" x="7572"/>
        <item m="1" x="1472"/>
        <item m="1" x="2354"/>
        <item m="1" x="3241"/>
        <item m="1" x="4120"/>
        <item m="1" x="5020"/>
        <item m="1" x="5913"/>
        <item m="1" x="6799"/>
        <item m="1" x="7678"/>
        <item m="1" x="1576"/>
        <item m="1" x="2461"/>
        <item m="1" x="3342"/>
        <item m="1" x="4224"/>
        <item m="1" x="5122"/>
        <item m="1" x="6018"/>
        <item m="1" x="6898"/>
        <item m="1" x="7786"/>
        <item m="1" x="1681"/>
        <item m="1" x="2569"/>
        <item m="1" x="4453"/>
        <item m="1" x="5346"/>
        <item m="1" x="6244"/>
        <item m="1" x="7119"/>
        <item m="1" x="1012"/>
        <item m="1" x="1899"/>
        <item m="1" x="2788"/>
        <item m="1" x="3667"/>
        <item m="1" x="4555"/>
        <item m="1" x="5450"/>
        <item m="1" x="6344"/>
        <item m="1" x="7229"/>
        <item m="1" x="1115"/>
        <item m="1" x="2007"/>
        <item m="1" x="2890"/>
        <item m="1" x="3776"/>
        <item m="1" x="4662"/>
        <item m="1" x="5559"/>
        <item m="1" x="6449"/>
        <item m="1" x="7336"/>
        <item m="1" x="1221"/>
        <item m="1" x="2112"/>
        <item m="1" x="2996"/>
        <item m="1" x="3881"/>
        <item m="1" x="4768"/>
        <item m="1" x="5665"/>
        <item m="1" x="6557"/>
        <item m="1" x="7439"/>
        <item m="1" x="1326"/>
        <item m="1" x="2215"/>
        <item m="1" x="3103"/>
        <item m="1" x="3983"/>
        <item m="1" x="4876"/>
        <item m="1" x="5772"/>
        <item m="1" x="7657"/>
        <item m="1" x="1553"/>
        <item m="1" x="2435"/>
        <item m="1" x="3323"/>
        <item m="1" x="4204"/>
        <item m="1" x="5099"/>
        <item m="1" x="5991"/>
        <item m="1" x="6880"/>
        <item m="1" x="7766"/>
        <item m="1" x="1654"/>
        <item m="1" x="2541"/>
        <item m="1" x="3426"/>
        <item m="1" x="4314"/>
        <item m="1" x="5203"/>
        <item m="1" x="6100"/>
        <item m="1" x="6984"/>
        <item m="1" x="7876"/>
        <item m="1" x="1758"/>
        <item m="1" x="2650"/>
        <item m="1" x="3532"/>
        <item m="1" x="4423"/>
        <item m="1" x="5309"/>
        <item m="1" x="6207"/>
        <item m="1" x="7091"/>
        <item m="1" x="7981"/>
        <item m="1" x="1863"/>
        <item m="1" x="2754"/>
        <item m="1" x="3638"/>
        <item m="1" x="4524"/>
        <item m="1" x="5414"/>
        <item m="1" x="6311"/>
        <item m="1" x="7198"/>
        <item m="1" x="1085"/>
        <item m="1" x="1972"/>
        <item m="1" x="3862"/>
        <item m="1" x="4749"/>
        <item m="1" x="5642"/>
        <item m="1" x="6530"/>
        <item m="1" x="7421"/>
        <item m="1" x="1306"/>
        <item m="1" x="2191"/>
        <item m="1" x="3074"/>
        <item m="1" x="3964"/>
        <item m="1" x="4855"/>
        <item m="1" x="5744"/>
        <item m="1" x="6635"/>
        <item m="1" x="7521"/>
        <item m="1" x="1416"/>
        <item m="1" x="2293"/>
        <item m="1" x="3182"/>
        <item m="1" x="4068"/>
        <item m="1" x="4965"/>
        <item m="1" x="5850"/>
        <item m="1" x="6742"/>
        <item m="1" x="7628"/>
        <item m="1" x="1523"/>
        <item m="1" x="2398"/>
        <item m="1" x="3288"/>
        <item m="1" x="4176"/>
        <item m="1" x="5070"/>
        <item m="1" x="5956"/>
        <item m="1" x="6846"/>
        <item m="1" x="7737"/>
        <item m="1" x="1624"/>
        <item m="1" x="2506"/>
        <item m="1" x="3393"/>
        <item m="1" x="4283"/>
        <item m="1" x="5173"/>
        <item m="1" x="7067"/>
        <item m="1" x="7963"/>
        <item m="1" x="1844"/>
        <item m="1" x="2731"/>
        <item m="1" x="3612"/>
        <item m="1" x="4507"/>
        <item m="1" x="5395"/>
        <item m="1" x="6287"/>
        <item m="1" x="7171"/>
        <item m="1" x="1068"/>
        <item m="1" x="1952"/>
        <item m="1" x="2832"/>
        <item m="1" x="3718"/>
        <item m="1" x="4612"/>
        <item m="1" x="5506"/>
        <item m="1" x="6390"/>
        <item m="1" x="7280"/>
        <item m="1" x="1172"/>
        <item m="1" x="2060"/>
        <item m="1" x="2936"/>
        <item m="1" x="3826"/>
        <item m="1" x="4721"/>
        <item m="1" x="5613"/>
        <item m="1" x="6495"/>
        <item m="1" x="7386"/>
        <item m="1" x="1279"/>
        <item m="1" x="2163"/>
        <item m="1" x="3040"/>
        <item m="1" x="3930"/>
        <item m="1" x="4827"/>
        <item m="1" x="5715"/>
        <item m="1" x="6601"/>
        <item m="1" x="7490"/>
        <item m="1" x="1387"/>
        <item m="1" x="3267"/>
        <item m="1" x="4153"/>
        <item m="1" x="5053"/>
        <item m="1" x="5938"/>
        <item m="1" x="6824"/>
        <item m="1" x="7710"/>
        <item m="1" x="1607"/>
        <item m="1" x="2486"/>
        <item m="1" x="3368"/>
        <item m="1" x="4256"/>
        <item m="1" x="5153"/>
        <item m="1" x="6045"/>
        <item m="1" x="6924"/>
        <item m="1" x="7818"/>
        <item m="1" x="1709"/>
        <item m="1" x="2597"/>
        <item m="1" x="3472"/>
        <item m="1" x="4365"/>
        <item m="1" x="5259"/>
        <item m="1" x="6155"/>
        <item m="1" x="7031"/>
        <item m="1" x="7926"/>
        <item m="1" x="1816"/>
        <item m="1" x="2703"/>
        <item m="1" x="3577"/>
        <item m="1" x="4473"/>
        <item m="1" x="5368"/>
        <item m="1" x="6259"/>
        <item m="1" x="7136"/>
        <item m="1" x="1034"/>
        <item m="1" x="1923"/>
        <item m="1" x="2803"/>
        <item m="1" x="3684"/>
        <item m="1" x="4579"/>
        <item m="1" x="6476"/>
        <item m="1" x="7363"/>
        <item m="1" x="1255"/>
        <item m="1" x="2145"/>
        <item m="1" x="3022"/>
        <item m="1" x="3906"/>
        <item m="1" x="4800"/>
        <item m="1" x="5696"/>
        <item m="1" x="6583"/>
        <item m="1" x="7465"/>
        <item m="1" x="1359"/>
        <item m="1" x="2246"/>
        <item m="1" x="3130"/>
        <item m="1" x="4010"/>
        <item m="1" x="4908"/>
        <item m="1" x="5802"/>
        <item m="1" x="6692"/>
        <item m="1" x="7568"/>
        <item m="1" x="1468"/>
        <item m="1" x="2351"/>
        <item m="1" x="3238"/>
        <item m="1" x="4116"/>
        <item m="1" x="5016"/>
        <item m="1" x="5910"/>
        <item m="1" x="6796"/>
        <item m="1" x="7674"/>
        <item m="1" x="1573"/>
        <item m="1" x="2458"/>
        <item m="1" x="3339"/>
        <item m="1" x="4221"/>
        <item m="1" x="5120"/>
        <item m="1" x="6014"/>
        <item m="1" x="6896"/>
        <item m="1" x="7784"/>
        <item m="1" x="2684"/>
        <item m="1" x="3559"/>
        <item m="1" x="4450"/>
        <item m="1" x="5342"/>
        <item m="1" x="6240"/>
        <item m="1" x="7116"/>
        <item m="1" x="1008"/>
        <item m="1" x="1895"/>
        <item m="1" x="2785"/>
        <item m="1" x="3664"/>
        <item m="1" x="4551"/>
        <item m="1" x="5446"/>
        <item m="1" x="6340"/>
        <item m="1" x="7226"/>
        <item m="1" x="1111"/>
        <item m="1" x="2003"/>
        <item m="1" x="2887"/>
        <item m="1" x="3773"/>
        <item m="1" x="4658"/>
        <item m="1" x="5555"/>
        <item m="1" x="6446"/>
        <item m="1" x="7333"/>
        <item m="1" x="1217"/>
        <item m="1" x="2109"/>
        <item m="1" x="2993"/>
        <item m="1" x="3878"/>
        <item m="1" x="4765"/>
        <item m="1" x="5662"/>
        <item m="1" x="6554"/>
        <item m="1" x="7437"/>
        <item m="1" x="1323"/>
        <item m="1" x="2213"/>
        <item m="1" x="3099"/>
        <item m="1" x="3981"/>
        <item m="1" x="5884"/>
        <item m="1" x="6776"/>
        <item m="1" x="7655"/>
        <item m="1" x="1549"/>
        <item m="1" x="2431"/>
        <item m="1" x="3319"/>
        <item m="1" x="4201"/>
        <item m="1" x="5095"/>
        <item m="1" x="5987"/>
        <item m="1" x="6876"/>
        <item m="1" x="7763"/>
        <item m="1" x="1650"/>
        <item m="1" x="2537"/>
        <item m="1" x="3422"/>
        <item m="1" x="4311"/>
        <item m="1" x="5199"/>
        <item m="1" x="6096"/>
        <item m="1" x="6980"/>
        <item m="1" x="7873"/>
        <item m="1" x="1754"/>
        <item m="1" x="2646"/>
        <item m="1" x="3529"/>
        <item m="1" x="4420"/>
        <item m="1" x="5305"/>
        <item m="1" x="6204"/>
        <item m="1" x="7088"/>
        <item m="1" x="7978"/>
        <item m="1" x="1860"/>
        <item m="1" x="2751"/>
        <item m="1" x="3635"/>
        <item m="1" x="4522"/>
        <item m="1" x="5411"/>
        <item m="1" x="6309"/>
        <item m="1" x="7195"/>
        <item m="1" x="2086"/>
        <item m="1" x="2969"/>
        <item m="1" x="3859"/>
        <item m="1" x="4746"/>
        <item m="1" x="5638"/>
        <item m="1" x="6526"/>
        <item m="1" x="7416"/>
        <item m="1" x="1303"/>
        <item m="1" x="2187"/>
        <item m="1" x="3070"/>
        <item m="1" x="3959"/>
        <item m="1" x="4852"/>
        <item m="1" x="5740"/>
        <item m="1" x="6631"/>
        <item m="1" x="7516"/>
        <item m="1" x="1413"/>
        <item m="1" x="2289"/>
        <item m="1" x="3178"/>
        <item m="1" x="4063"/>
        <item m="1" x="4962"/>
        <item m="1" x="5846"/>
        <item m="1" x="6738"/>
        <item m="1" x="7624"/>
        <item m="1" x="1520"/>
        <item m="1" x="2394"/>
        <item m="1" x="3285"/>
        <item m="1" x="4173"/>
        <item m="1" x="5067"/>
        <item m="1" x="5953"/>
        <item m="1" x="6844"/>
        <item m="1" x="7733"/>
        <item m="1" x="1622"/>
        <item m="1" x="2503"/>
        <item m="1" x="5286"/>
        <item m="1" x="6181"/>
        <item m="1" x="7064"/>
        <item m="1" x="7958"/>
        <item m="1" x="1841"/>
        <item m="1" x="2727"/>
        <item m="1" x="3608"/>
        <item m="1" x="4502"/>
        <item m="1" x="5392"/>
        <item m="1" x="6283"/>
        <item m="1" x="7167"/>
        <item m="1" x="1063"/>
        <item m="1" x="1949"/>
        <item m="1" x="2828"/>
        <item m="1" x="3714"/>
        <item m="1" x="4607"/>
        <item m="1" x="5503"/>
        <item m="1" x="6386"/>
        <item m="1" x="7276"/>
        <item m="1" x="1167"/>
        <item m="1" x="2057"/>
        <item m="1" x="2932"/>
        <item m="1" x="3822"/>
        <item m="1" x="4717"/>
        <item m="1" x="5609"/>
        <item m="1" x="6491"/>
        <item m="1" x="7382"/>
        <item m="1" x="1276"/>
        <item m="1" x="2159"/>
        <item m="1" x="3037"/>
        <item m="1" x="3927"/>
        <item m="1" x="4823"/>
        <item m="1" x="5712"/>
        <item m="1" x="1501"/>
        <item m="1" x="2377"/>
        <item m="1" x="3264"/>
        <item m="1" x="4148"/>
        <item m="1" x="5048"/>
        <item m="1" x="5934"/>
        <item m="1" x="6820"/>
        <item m="1" x="7705"/>
        <item m="1" x="1602"/>
        <item m="1" x="2482"/>
        <item m="1" x="3364"/>
        <item m="1" x="4251"/>
        <item m="1" x="5148"/>
        <item m="1" x="6041"/>
        <item m="1" x="6920"/>
        <item m="1" x="7813"/>
        <item m="1" x="1704"/>
        <item m="1" x="2593"/>
        <item m="1" x="3468"/>
        <item m="1" x="4360"/>
        <item m="1" x="5255"/>
        <item m="1" x="6151"/>
        <item m="1" x="7027"/>
        <item m="1" x="7922"/>
        <item m="1" x="1812"/>
        <item m="1" x="2699"/>
        <item m="1" x="3574"/>
        <item m="1" x="4469"/>
        <item m="1" x="5365"/>
        <item m="1" x="6256"/>
        <item m="1" x="7133"/>
        <item m="1" x="1031"/>
        <item m="1" x="1920"/>
        <item m="1" x="4692"/>
        <item m="1" x="5589"/>
        <item m="1" x="6473"/>
        <item m="1" x="7359"/>
        <item m="1" x="1250"/>
        <item m="1" x="2140"/>
        <item m="1" x="3018"/>
        <item m="1" x="3902"/>
        <item m="1" x="4795"/>
        <item m="1" x="5691"/>
        <item m="1" x="6579"/>
        <item m="1" x="7461"/>
        <item m="1" x="1354"/>
        <item m="1" x="2241"/>
        <item m="1" x="3126"/>
        <item m="1" x="4006"/>
        <item m="1" x="4903"/>
        <item m="1" x="5797"/>
        <item m="1" x="6688"/>
        <item m="1" x="7564"/>
        <item m="1" x="1463"/>
        <item m="1" x="2347"/>
        <item m="1" x="3234"/>
        <item m="1" x="4112"/>
        <item m="1" x="5012"/>
        <item m="1" x="5906"/>
        <item m="1" x="6792"/>
        <item m="1" x="7671"/>
        <item m="1" x="1569"/>
        <item m="1" x="2455"/>
        <item m="1" x="3336"/>
        <item m="1" x="4218"/>
        <item m="1" x="5118"/>
        <item m="1" x="7900"/>
        <item m="1" x="1788"/>
        <item m="1" x="2680"/>
        <item m="1" x="3555"/>
        <item m="1" x="4446"/>
        <item m="1" x="5337"/>
        <item m="1" x="6235"/>
        <item m="1" x="7112"/>
        <item m="1" x="1004"/>
        <item m="1" x="1890"/>
        <item m="1" x="2780"/>
        <item m="1" x="3660"/>
        <item m="1" x="4547"/>
        <item m="1" x="5441"/>
        <item m="1" x="6335"/>
        <item m="1" x="7222"/>
        <item m="1" x="1107"/>
        <item m="1" x="1998"/>
        <item m="1" x="2882"/>
        <item m="1" x="3769"/>
        <item m="1" x="4654"/>
        <item m="1" x="5550"/>
        <item m="1" x="6442"/>
        <item m="1" x="7329"/>
        <item m="1" x="1213"/>
        <item m="1" x="2105"/>
        <item m="1" x="2990"/>
        <item m="1" x="3874"/>
        <item m="1" x="4762"/>
        <item m="1" x="5659"/>
        <item m="1" x="6550"/>
        <item m="1" x="7434"/>
        <item m="1" x="1321"/>
        <item m="1" x="4092"/>
        <item m="1" x="4989"/>
        <item m="1" x="5880"/>
        <item m="1" x="6771"/>
        <item m="1" x="7651"/>
        <item m="1" x="1545"/>
        <item m="1" x="2426"/>
        <item m="1" x="3314"/>
        <item m="1" x="4197"/>
        <item m="1" x="5091"/>
        <item m="1" x="5982"/>
        <item m="1" x="6871"/>
        <item m="1" x="7759"/>
        <item m="1" x="1646"/>
        <item m="1" x="2532"/>
        <item m="1" x="3417"/>
        <item m="1" x="4307"/>
        <item m="1" x="5195"/>
        <item m="1" x="6091"/>
        <item m="1" x="6975"/>
        <item m="1" x="7869"/>
        <item m="1" x="1750"/>
        <item m="1" x="2641"/>
        <item m="1" x="3525"/>
        <item m="1" x="4416"/>
        <item m="1" x="5301"/>
        <item m="1" x="6200"/>
        <item m="1" x="7085"/>
        <item m="1" x="7974"/>
        <item m="1" x="1857"/>
        <item m="1" x="2748"/>
        <item m="1" x="3631"/>
        <item m="1" x="4520"/>
        <item m="1" x="7308"/>
        <item m="1" x="1195"/>
        <item m="1" x="2083"/>
        <item m="1" x="2964"/>
        <item m="1" x="3854"/>
        <item m="1" x="4742"/>
        <item m="1" x="5634"/>
        <item m="1" x="6521"/>
        <item m="1" x="7411"/>
        <item m="1" x="1299"/>
        <item m="1" x="2183"/>
        <item m="1" x="3065"/>
        <item m="1" x="3954"/>
        <item m="1" x="4848"/>
        <item m="1" x="5736"/>
        <item m="1" x="6626"/>
        <item m="1" x="7511"/>
        <item m="1" x="1409"/>
        <item m="1" x="2285"/>
        <item m="1" x="3173"/>
        <item m="1" x="4059"/>
        <item m="1" x="4958"/>
        <item m="1" x="5842"/>
        <item m="1" x="6734"/>
        <item m="1" x="7620"/>
        <item m="1" x="1516"/>
        <item m="1" x="2391"/>
        <item m="1" x="3281"/>
        <item m="1" x="4170"/>
        <item m="1" x="5064"/>
        <item m="1" x="5950"/>
        <item m="1" x="6841"/>
        <item m="1" x="7730"/>
        <item m="1" x="3500"/>
        <item m="1" x="4394"/>
        <item m="1" x="5283"/>
        <item m="1" x="6177"/>
        <item m="1" x="7059"/>
        <item m="1" x="7953"/>
        <item m="1" x="1837"/>
        <item m="1" x="2723"/>
        <item m="1" x="3603"/>
        <item m="1" x="4497"/>
        <item m="1" x="5388"/>
        <item m="1" x="6279"/>
        <item m="1" x="7162"/>
        <item m="1" x="1058"/>
        <item m="1" x="1945"/>
        <item m="1" x="2824"/>
        <item m="1" x="3709"/>
        <item m="1" x="4602"/>
        <item m="1" x="5499"/>
        <item m="1" x="6382"/>
        <item m="1" x="7271"/>
        <item m="1" x="1163"/>
        <item m="1" x="2053"/>
        <item m="1" x="2928"/>
        <item m="1" x="3818"/>
        <item m="1" x="4713"/>
        <item m="1" x="5605"/>
        <item m="1" x="6488"/>
        <item m="1" x="7378"/>
        <item m="1" x="1273"/>
        <item m="1" x="2156"/>
        <item m="1" x="3034"/>
        <item m="1" x="3925"/>
        <item m="1" x="6714"/>
        <item m="1" x="7597"/>
        <item m="1" x="1497"/>
        <item m="1" x="2373"/>
        <item m="1" x="3260"/>
        <item m="1" x="4143"/>
        <item m="1" x="5043"/>
        <item m="1" x="5930"/>
        <item m="1" x="6816"/>
        <item m="1" x="7700"/>
        <item m="1" x="1597"/>
        <item m="1" x="2478"/>
        <item m="1" x="3360"/>
        <item m="1" x="4246"/>
        <item m="1" x="5143"/>
        <item m="1" x="6037"/>
        <item m="1" x="6916"/>
        <item m="1" x="7808"/>
        <item m="1" x="1699"/>
        <item m="1" x="2589"/>
        <item m="1" x="3464"/>
        <item m="1" x="4355"/>
        <item m="1" x="5251"/>
        <item m="1" x="6147"/>
        <item m="1" x="7023"/>
        <item m="1" x="7918"/>
        <item m="1" x="1809"/>
        <item m="1" x="2695"/>
        <item m="1" x="3571"/>
        <item m="1" x="4466"/>
        <item m="1" x="5361"/>
        <item m="1" x="6253"/>
        <item m="1" x="7131"/>
        <item m="1" x="2910"/>
        <item m="1" x="3797"/>
        <item m="1" x="4688"/>
        <item m="1" x="5584"/>
        <item m="1" x="6469"/>
        <item m="1" x="7355"/>
        <item m="1" x="1245"/>
        <item m="1" x="2135"/>
        <item m="1" x="3014"/>
        <item m="1" x="3898"/>
        <item m="1" x="4790"/>
        <item m="1" x="5686"/>
        <item m="1" x="6575"/>
        <item m="1" x="7457"/>
        <item m="1" x="1349"/>
        <item m="1" x="2236"/>
        <item m="1" x="3122"/>
        <item m="1" x="4002"/>
        <item m="1" x="4898"/>
        <item m="1" x="5792"/>
        <item m="1" x="6684"/>
        <item m="1" x="7560"/>
        <item m="1" x="1458"/>
        <item m="1" x="2343"/>
        <item m="1" x="3230"/>
        <item m="1" x="4108"/>
        <item m="1" x="5008"/>
        <item m="1" x="5903"/>
        <item m="1" x="6788"/>
        <item m="1" x="7668"/>
        <item m="1" x="1566"/>
        <item m="1" x="2451"/>
        <item m="1" x="3334"/>
        <item m="1" x="6125"/>
        <item m="1" x="7005"/>
        <item m="1" x="7897"/>
        <item m="1" x="1783"/>
        <item m="1" x="2675"/>
        <item m="1" x="3551"/>
        <item m="1" x="4442"/>
        <item m="1" x="5332"/>
        <item m="1" x="6230"/>
        <item m="1" x="7108"/>
        <item m="1" x="7998"/>
        <item m="1" x="1885"/>
        <item m="1" x="2775"/>
        <item m="1" x="3656"/>
        <item m="1" x="4543"/>
        <item m="1" x="5436"/>
        <item m="1" x="6330"/>
        <item m="1" x="7218"/>
        <item m="1" x="1103"/>
        <item m="1" x="1993"/>
        <item m="1" x="2878"/>
        <item m="1" x="3765"/>
        <item m="1" x="4650"/>
        <item m="1" x="5546"/>
        <item m="1" x="6438"/>
        <item m="1" x="7325"/>
        <item m="1" x="1210"/>
        <item m="1" x="2101"/>
        <item m="1" x="2987"/>
        <item m="1" x="3871"/>
        <item m="1" x="4759"/>
        <item m="1" x="5656"/>
        <item m="1" x="6547"/>
        <item m="1" x="2318"/>
        <item m="1" x="3208"/>
        <item m="1" x="4089"/>
        <item m="1" x="4985"/>
        <item m="1" x="5875"/>
        <item m="1" x="6766"/>
        <item m="1" x="7647"/>
        <item m="1" x="1541"/>
        <item m="1" x="2421"/>
        <item m="1" x="3309"/>
        <item m="1" x="4193"/>
        <item m="1" x="5087"/>
        <item m="1" x="5977"/>
        <item m="1" x="6866"/>
        <item m="1" x="7755"/>
        <item m="1" x="1642"/>
        <item m="1" x="2527"/>
        <item m="1" x="3412"/>
        <item m="1" x="4303"/>
        <item m="1" x="5191"/>
        <item m="1" x="6086"/>
        <item m="1" x="6971"/>
        <item m="1" x="7865"/>
        <item m="1" x="1746"/>
        <item m="1" x="2637"/>
        <item m="1" x="3521"/>
        <item m="1" x="4412"/>
        <item m="1" x="5298"/>
        <item m="1" x="6196"/>
        <item m="1" x="7082"/>
        <item m="1" x="7971"/>
        <item m="1" x="1854"/>
        <item m="1" x="2746"/>
        <item m="1" x="5525"/>
        <item m="1" x="6414"/>
        <item m="1" x="7304"/>
        <item m="1" x="1191"/>
        <item m="1" x="2079"/>
        <item m="1" x="2959"/>
        <item m="1" x="3849"/>
        <item m="1" x="4738"/>
        <item m="1" x="5630"/>
        <item m="1" x="6516"/>
        <item m="1" x="7406"/>
        <item m="1" x="1295"/>
        <item m="1" x="2179"/>
        <item m="1" x="3060"/>
        <item m="1" x="3949"/>
        <item m="1" x="4844"/>
        <item m="1" x="5732"/>
        <item m="1" x="6621"/>
        <item m="1" x="7506"/>
        <item m="1" x="1405"/>
        <item m="1" x="2281"/>
        <item m="1" x="3168"/>
        <item m="1" x="4055"/>
        <item m="1" x="4954"/>
        <item m="1" x="5838"/>
        <item m="1" x="6730"/>
        <item m="1" x="7617"/>
        <item m="1" x="1512"/>
        <item m="1" x="2388"/>
        <item m="1" x="3278"/>
        <item m="1" x="4166"/>
        <item m="1" x="5061"/>
        <item m="1" x="5948"/>
        <item m="1" x="1728"/>
        <item m="1" x="2616"/>
        <item m="1" x="3496"/>
        <item m="1" x="4389"/>
        <item m="1" x="5279"/>
        <item m="1" x="6173"/>
        <item m="1" x="7054"/>
        <item m="1" x="7948"/>
        <item m="1" x="1833"/>
        <item m="1" x="2719"/>
        <item m="1" x="3598"/>
        <item m="1" x="4492"/>
        <item m="1" x="5384"/>
        <item m="1" x="6275"/>
        <item m="1" x="7157"/>
        <item m="1" x="1053"/>
        <item m="1" x="1941"/>
        <item m="1" x="2820"/>
        <item m="1" x="3704"/>
        <item m="1" x="4597"/>
        <item m="1" x="5495"/>
        <item m="1" x="6378"/>
        <item m="1" x="7266"/>
        <item m="1" x="1159"/>
        <item m="1" x="2049"/>
        <item m="1" x="2924"/>
        <item m="1" x="3814"/>
        <item m="1" x="4710"/>
        <item m="1" x="5601"/>
        <item m="1" x="6485"/>
        <item m="1" x="7375"/>
        <item m="1" x="1269"/>
        <item m="1" x="2154"/>
        <item m="1" x="4932"/>
        <item m="1" x="5822"/>
        <item m="1" x="6711"/>
        <item m="1" x="7592"/>
        <item m="1" x="1492"/>
        <item m="1" x="2369"/>
        <item m="1" x="3256"/>
        <item m="1" x="4138"/>
        <item m="1" x="5038"/>
        <item m="1" x="5926"/>
        <item m="1" x="6812"/>
        <item m="1" x="7695"/>
        <item m="1" x="1592"/>
        <item m="1" x="2474"/>
        <item m="1" x="3356"/>
        <item m="1" x="4241"/>
        <item m="1" x="5138"/>
        <item m="1" x="6033"/>
        <item m="1" x="6912"/>
        <item m="1" x="7803"/>
        <item m="1" x="1695"/>
        <item m="1" x="2585"/>
        <item m="1" x="3460"/>
        <item m="1" x="4351"/>
        <item m="1" x="5247"/>
        <item m="1" x="6143"/>
        <item m="1" x="7020"/>
        <item m="1" x="7914"/>
        <item m="1" x="1806"/>
        <item m="1" x="2692"/>
        <item m="1" x="3568"/>
        <item m="1" x="4463"/>
        <item m="1" x="5358"/>
        <item m="1" x="1136"/>
        <item m="1" x="2028"/>
        <item m="1" x="2907"/>
        <item m="1" x="3793"/>
        <item m="1" x="4683"/>
        <item m="1" x="5579"/>
        <item m="1" x="6465"/>
        <item m="1" x="7351"/>
        <item m="1" x="1240"/>
        <item m="1" x="2130"/>
        <item m="1" x="3010"/>
        <item m="1" x="3894"/>
        <item m="1" x="4785"/>
        <item m="1" x="5681"/>
        <item m="1" x="6571"/>
        <item m="1" x="7453"/>
        <item m="1" x="1344"/>
        <item m="1" x="2231"/>
        <item m="1" x="3118"/>
        <item m="1" x="3998"/>
        <item m="1" x="4893"/>
        <item m="1" x="5788"/>
        <item m="1" x="6680"/>
        <item m="1" x="7556"/>
        <item m="1" x="1454"/>
        <item m="1" x="2339"/>
        <item m="1" x="3226"/>
        <item m="1" x="4105"/>
        <item m="1" x="5004"/>
        <item m="1" x="5899"/>
        <item m="1" x="6785"/>
        <item m="1" x="7665"/>
        <item m="1" x="1564"/>
        <item m="1" x="4331"/>
        <item m="1" x="5224"/>
        <item m="1" x="6121"/>
        <item m="1" x="7001"/>
        <item m="1" x="7893"/>
        <item m="1" x="1778"/>
        <item m="1" x="2670"/>
        <item m="1" x="3547"/>
        <item m="1" x="4438"/>
        <item m="1" x="5327"/>
        <item m="1" x="6225"/>
        <item m="1" x="7104"/>
        <item m="1" x="7994"/>
        <item m="1" x="1880"/>
        <item m="1" x="2770"/>
        <item m="1" x="3652"/>
        <item m="1" x="4539"/>
        <item m="1" x="5431"/>
        <item m="1" x="6325"/>
        <item m="1" x="7214"/>
        <item m="1" x="1099"/>
        <item m="1" x="1988"/>
        <item m="1" x="2874"/>
        <item m="1" x="3761"/>
        <item m="1" x="4646"/>
        <item m="1" x="5542"/>
        <item m="1" x="6435"/>
        <item m="1" x="7321"/>
        <item m="1" x="1207"/>
        <item m="1" x="2098"/>
        <item m="1" x="2983"/>
        <item m="1" x="3868"/>
        <item m="1" x="4757"/>
        <item m="1" x="7538"/>
        <item m="1" x="1433"/>
        <item m="1" x="2314"/>
        <item m="1" x="3203"/>
        <item m="1" x="4085"/>
        <item m="1" x="4981"/>
        <item m="1" x="5870"/>
        <item m="1" x="6761"/>
        <item m="1" x="7643"/>
        <item m="1" x="1537"/>
        <item m="1" x="2416"/>
        <item m="1" x="3304"/>
        <item m="1" x="4189"/>
        <item m="1" x="5083"/>
        <item m="1" x="5972"/>
        <item m="1" x="6861"/>
        <item m="1" x="7751"/>
        <item m="1" x="1638"/>
        <item m="1" x="2522"/>
        <item m="1" x="3407"/>
        <item m="1" x="4299"/>
        <item m="1" x="5187"/>
        <item m="1" x="6081"/>
        <item m="1" x="6967"/>
        <item m="1" x="7861"/>
        <item m="1" x="1742"/>
        <item m="1" x="2633"/>
        <item m="1" x="3518"/>
        <item m="1" x="4408"/>
        <item m="1" x="5295"/>
        <item m="1" x="6193"/>
        <item m="1" x="7078"/>
        <item m="1" x="7969"/>
        <item m="1" x="3738"/>
        <item m="1" x="4629"/>
        <item m="1" x="5522"/>
        <item m="1" x="6410"/>
        <item m="1" x="7300"/>
        <item m="1" x="1188"/>
        <item m="1" x="2076"/>
        <item m="1" x="2955"/>
        <item m="1" x="3845"/>
        <item m="1" x="4735"/>
        <item m="1" x="5627"/>
        <item m="1" x="6512"/>
        <item m="1" x="7402"/>
        <item m="1" x="1292"/>
        <item m="1" x="2176"/>
        <item m="1" x="3056"/>
        <item m="1" x="3945"/>
        <item m="1" x="4841"/>
        <item m="1" x="5729"/>
        <item m="1" x="6617"/>
        <item m="1" x="7503"/>
        <item m="1" x="1402"/>
        <item m="1" x="2278"/>
        <item m="1" x="3165"/>
        <item m="1" x="4052"/>
        <item m="1" x="4951"/>
        <item m="1" x="5836"/>
        <item m="1" x="6727"/>
        <item m="1" x="7615"/>
        <item m="1" x="1510"/>
        <item m="1" x="2386"/>
        <item m="1" x="3276"/>
        <item m="1" x="4164"/>
        <item m="1" x="6944"/>
        <item m="1" x="7838"/>
        <item m="1" x="1725"/>
        <item m="1" x="2613"/>
        <item m="1" x="3492"/>
        <item m="1" x="4385"/>
        <item m="1" x="5276"/>
        <item m="1" x="6170"/>
        <item m="1" x="7050"/>
        <item m="1" x="7944"/>
        <item m="1" x="1830"/>
        <item m="1" x="2716"/>
        <item m="1" x="3594"/>
        <item m="1" x="4488"/>
        <item m="1" x="5381"/>
        <item m="1" x="6272"/>
        <item m="1" x="7153"/>
        <item m="1" x="1049"/>
        <item m="1" x="1938"/>
        <item m="1" x="2817"/>
        <item m="1" x="3700"/>
        <item m="1" x="4594"/>
        <item m="1" x="5492"/>
        <item m="1" x="6375"/>
        <item m="1" x="7263"/>
        <item m="1" x="1156"/>
        <item m="1" x="2046"/>
        <item m="1" x="2922"/>
        <item m="1" x="3811"/>
        <item m="1" x="4707"/>
        <item m="1" x="5599"/>
        <item m="1" x="6483"/>
        <item m="1" x="7373"/>
        <item m="1" x="3146"/>
        <item m="1" x="4030"/>
        <item m="1" x="4928"/>
        <item m="1" x="5819"/>
        <item m="1" x="6708"/>
        <item m="1" x="7588"/>
        <item m="1" x="1488"/>
        <item m="1" x="2366"/>
        <item m="1" x="3253"/>
        <item m="1" x="4134"/>
        <item m="1" x="5034"/>
        <item m="1" x="5923"/>
        <item m="1" x="6809"/>
        <item m="1" x="7691"/>
        <item m="1" x="1588"/>
        <item m="1" x="2471"/>
        <item m="1" x="3353"/>
        <item m="1" x="4237"/>
        <item m="1" x="5134"/>
        <item m="1" x="6030"/>
        <item m="1" x="6909"/>
        <item m="1" x="7799"/>
        <item m="1" x="1692"/>
        <item m="1" x="2581"/>
        <item m="1" x="3456"/>
        <item m="1" x="4347"/>
        <item m="1" x="5244"/>
        <item m="1" x="6139"/>
        <item m="1" x="7017"/>
        <item m="1" x="7911"/>
        <item m="1" x="1802"/>
        <item m="1" x="2689"/>
        <item m="1" x="3566"/>
        <item m="1" x="6357"/>
        <item m="1" x="7242"/>
        <item m="1" x="1131"/>
        <item m="1" x="2023"/>
        <item m="1" x="2903"/>
        <item m="1" x="3789"/>
        <item m="1" x="4678"/>
        <item m="1" x="5574"/>
        <item m="1" x="6461"/>
        <item m="1" x="7347"/>
        <item m="1" x="1235"/>
        <item m="1" x="2125"/>
        <item m="1" x="3006"/>
        <item m="1" x="3891"/>
        <item m="1" x="4781"/>
        <item m="1" x="5677"/>
        <item m="1" x="6568"/>
        <item m="1" x="7450"/>
        <item m="1" x="1340"/>
        <item m="1" x="2227"/>
        <item m="1" x="3115"/>
        <item m="1" x="3995"/>
        <item m="1" x="4889"/>
        <item m="1" x="5784"/>
        <item m="1" x="6676"/>
        <item m="1" x="7552"/>
        <item m="1" x="1450"/>
        <item m="1" x="2336"/>
        <item m="1" x="3222"/>
        <item m="1" x="4102"/>
        <item m="1" x="5001"/>
        <item m="1" x="5895"/>
        <item m="1" x="6783"/>
        <item m="1" x="2557"/>
        <item m="1" x="3439"/>
        <item m="1" x="4327"/>
        <item m="1" x="5219"/>
        <item m="1" x="6116"/>
        <item m="1" x="6997"/>
        <item m="1" x="7889"/>
        <item m="1" x="1773"/>
        <item m="1" x="2665"/>
        <item m="1" x="3543"/>
        <item m="1" x="4434"/>
        <item m="1" x="5322"/>
        <item m="1" x="6220"/>
        <item m="1" x="7101"/>
        <item m="1" x="7991"/>
        <item m="1" x="1876"/>
        <item m="1" x="2766"/>
        <item m="1" x="3649"/>
        <item m="1" x="4536"/>
        <item m="1" x="5427"/>
        <item m="1" x="6322"/>
        <item m="1" x="7211"/>
        <item m="1" x="1096"/>
        <item m="1" x="1984"/>
        <item m="1" x="2870"/>
        <item m="1" x="3757"/>
        <item m="1" x="4643"/>
        <item m="1" x="5538"/>
        <item m="1" x="6432"/>
        <item m="1" x="7318"/>
        <item m="1" x="1204"/>
        <item m="1" x="2095"/>
        <item m="1" x="2980"/>
        <item m="1" x="5760"/>
        <item m="1" x="6651"/>
        <item m="1" x="7534"/>
        <item m="1" x="1429"/>
        <item m="1" x="2309"/>
        <item m="1" x="3198"/>
        <item m="1" x="4081"/>
        <item m="1" x="4977"/>
        <item m="1" x="5865"/>
        <item m="1" x="6756"/>
        <item m="1" x="7639"/>
        <item m="1" x="1533"/>
        <item m="1" x="2411"/>
        <item m="1" x="3300"/>
        <item m="1" x="4186"/>
        <item m="1" x="5080"/>
        <item m="1" x="5968"/>
        <item m="1" x="6857"/>
        <item m="1" x="7748"/>
        <item m="1" x="1635"/>
        <item m="1" x="2518"/>
        <item m="1" x="3404"/>
        <item m="1" x="4296"/>
        <item m="1" x="5183"/>
        <item m="1" x="6077"/>
        <item m="1" x="6963"/>
        <item m="1" x="7857"/>
        <item m="1" x="1739"/>
        <item m="1" x="2629"/>
        <item m="1" x="3514"/>
        <item m="1" x="4405"/>
        <item m="1" x="5292"/>
        <item m="1" x="6190"/>
        <item m="1" x="1964"/>
        <item m="1" x="2847"/>
        <item m="1" x="3733"/>
        <item m="1" x="4625"/>
        <item m="1" x="5518"/>
        <item m="1" x="6405"/>
        <item m="1" x="7295"/>
        <item m="1" x="1184"/>
        <item m="1" x="2072"/>
        <item m="1" x="2950"/>
        <item m="1" x="3840"/>
        <item m="1" x="4731"/>
        <item m="1" x="5623"/>
        <item m="1" x="6508"/>
        <item m="1" x="7398"/>
        <item m="1" x="1289"/>
        <item m="1" x="2173"/>
        <item m="1" x="3052"/>
        <item m="1" x="3941"/>
        <item m="1" x="4838"/>
        <item m="1" x="5726"/>
        <item m="1" x="6613"/>
        <item m="1" x="7500"/>
        <item m="1" x="1398"/>
        <item m="1" x="2274"/>
        <item m="1" x="3161"/>
        <item m="1" x="4049"/>
        <item m="1" x="4947"/>
        <item m="1" x="5833"/>
        <item m="1" x="6724"/>
        <item m="1" x="7611"/>
        <item m="1" x="1507"/>
        <item m="1" x="2384"/>
        <item m="1" x="5166"/>
        <item m="1" x="6057"/>
        <item m="1" x="6939"/>
        <item m="1" x="7833"/>
        <item m="1" x="1721"/>
        <item m="1" x="2609"/>
        <item m="1" x="3487"/>
        <item m="1" x="4380"/>
        <item m="1" x="5272"/>
        <item m="1" x="6166"/>
        <item m="1" x="7045"/>
        <item m="1" x="7939"/>
        <item m="1" x="1826"/>
        <item m="1" x="2713"/>
        <item m="1" x="3590"/>
        <item m="1" x="4484"/>
        <item m="1" x="5378"/>
        <item m="1" x="6269"/>
        <item m="1" x="7149"/>
        <item m="1" x="1045"/>
        <item m="1" x="1935"/>
        <item m="1" x="2814"/>
        <item m="1" x="3696"/>
        <item m="1" x="4590"/>
        <item m="1" x="5488"/>
        <item m="1" x="6371"/>
        <item m="1" x="7259"/>
        <item m="1" x="1153"/>
        <item m="1" x="2042"/>
        <item m="1" x="2919"/>
        <item m="1" x="3808"/>
        <item m="1" x="4703"/>
        <item m="1" x="5597"/>
        <item m="1" x="1374"/>
        <item m="1" x="2258"/>
        <item m="1" x="3142"/>
        <item m="1" x="4025"/>
        <item m="1" x="4923"/>
        <item m="1" x="5815"/>
        <item m="1" x="6704"/>
        <item m="1" x="7583"/>
        <item m="1" x="1483"/>
        <item m="1" x="2362"/>
        <item m="1" x="3249"/>
        <item m="1" x="4129"/>
        <item m="1" x="5029"/>
        <item m="1" x="5920"/>
        <item m="1" x="6806"/>
        <item m="1" x="7687"/>
        <item m="1" x="1584"/>
        <item m="1" x="2468"/>
        <item m="1" x="3350"/>
        <item m="1" x="4233"/>
        <item m="1" x="5131"/>
        <item m="1" x="6027"/>
        <item m="1" x="6906"/>
        <item m="1" x="7795"/>
        <item m="1" x="1688"/>
        <item m="1" x="2577"/>
        <item m="1" x="3453"/>
        <item m="1" x="4343"/>
        <item m="1" x="5241"/>
        <item m="1" x="6136"/>
        <item m="1" x="7014"/>
        <item m="1" x="7908"/>
        <item m="1" x="1799"/>
        <item m="1" x="4566"/>
        <item m="1" x="5461"/>
        <item m="1" x="6353"/>
        <item m="1" x="7238"/>
        <item m="1" x="1126"/>
        <item m="1" x="2018"/>
        <item m="1" x="2899"/>
        <item m="1" x="3785"/>
        <item m="1" x="4673"/>
        <item m="1" x="5569"/>
        <item m="1" x="6457"/>
        <item m="1" x="7343"/>
        <item m="1" x="1230"/>
        <item m="1" x="2121"/>
        <item m="1" x="3003"/>
        <item m="1" x="3888"/>
        <item m="1" x="4777"/>
        <item m="1" x="5673"/>
        <item m="1" x="6565"/>
        <item m="1" x="7447"/>
        <item m="1" x="1336"/>
        <item m="1" x="2224"/>
        <item m="1" x="3112"/>
        <item m="1" x="3991"/>
        <item m="1" x="4885"/>
        <item m="1" x="5780"/>
        <item m="1" x="6672"/>
        <item m="1" x="7549"/>
        <item m="1" x="1446"/>
        <item m="1" x="2332"/>
        <item m="1" x="3219"/>
        <item m="1" x="4099"/>
        <item m="1" x="4998"/>
        <item m="1" x="6889"/>
        <item m="1" x="7775"/>
        <item m="1" x="1665"/>
        <item m="1" x="2552"/>
        <item m="1" x="3435"/>
        <item m="1" x="4323"/>
        <item m="1" x="5214"/>
        <item m="1" x="6111"/>
        <item m="1" x="6993"/>
        <item m="1" x="7885"/>
        <item m="1" x="1768"/>
        <item m="1" x="2660"/>
        <item m="1" x="3539"/>
        <item m="1" x="4430"/>
        <item m="1" x="5318"/>
        <item m="1" x="6216"/>
        <item m="1" x="7098"/>
        <item m="1" x="7988"/>
        <item m="1" x="1872"/>
        <item m="1" x="2762"/>
        <item m="1" x="3646"/>
        <item m="1" x="4533"/>
        <item m="1" x="5423"/>
        <item m="1" x="6319"/>
        <item m="1" x="7207"/>
        <item m="1" x="1092"/>
        <item m="1" x="1980"/>
        <item m="1" x="2867"/>
        <item m="1" x="3753"/>
        <item m="1" x="4640"/>
        <item m="1" x="5535"/>
        <item m="1" x="6428"/>
        <item m="1" x="7315"/>
        <item m="1" x="1202"/>
        <item m="1" x="3085"/>
        <item m="1" x="3973"/>
        <item m="1" x="4864"/>
        <item m="1" x="5755"/>
        <item m="1" x="6646"/>
        <item m="1" x="7530"/>
        <item m="1" x="1425"/>
        <item m="1" x="2304"/>
        <item m="1" x="3193"/>
        <item m="1" x="4077"/>
        <item m="1" x="4973"/>
        <item m="1" x="5860"/>
        <item m="1" x="6751"/>
        <item m="1" x="7635"/>
        <item m="1" x="1530"/>
        <item m="1" x="2407"/>
        <item m="1" x="3296"/>
        <item m="1" x="4183"/>
        <item m="1" x="5077"/>
        <item m="1" x="5964"/>
        <item m="1" x="6853"/>
        <item m="1" x="7745"/>
        <item m="1" x="1632"/>
        <item m="1" x="2514"/>
        <item m="1" x="3400"/>
        <item m="1" x="4292"/>
        <item m="1" x="5179"/>
        <item m="1" x="6073"/>
        <item m="1" x="6960"/>
        <item m="1" x="7853"/>
        <item m="1" x="1736"/>
        <item m="1" x="2626"/>
        <item m="1" x="3510"/>
        <item m="1" x="4403"/>
        <item m="1" x="6297"/>
        <item m="1" x="7181"/>
        <item m="1" x="1076"/>
        <item m="1" x="1960"/>
        <item m="1" x="2842"/>
        <item m="1" x="3728"/>
        <item m="1" x="4621"/>
        <item m="1" x="5514"/>
        <item m="1" x="6400"/>
        <item m="1" x="7290"/>
        <item m="1" x="1180"/>
        <item m="1" x="2068"/>
        <item m="1" x="2945"/>
        <item m="1" x="3835"/>
        <item m="1" x="4728"/>
        <item m="1" x="5620"/>
        <item m="1" x="6504"/>
        <item m="1" x="7394"/>
        <item m="1" x="1286"/>
        <item m="1" x="2170"/>
        <item m="1" x="3048"/>
        <item m="1" x="3938"/>
        <item m="1" x="4835"/>
        <item m="1" x="5722"/>
        <item m="1" x="6609"/>
        <item m="1" x="7496"/>
        <item m="1" x="1394"/>
        <item m="1" x="2271"/>
        <item m="1" x="3157"/>
        <item m="1" x="4046"/>
        <item m="1" x="4944"/>
        <item m="1" x="5830"/>
        <item m="1" x="6721"/>
        <item m="1" x="7608"/>
        <item m="1" x="2494"/>
        <item m="1" x="3378"/>
        <item m="1" x="4266"/>
        <item m="1" x="5162"/>
        <item m="1" x="6053"/>
        <item m="1" x="6934"/>
        <item m="1" x="7828"/>
        <item m="1" x="1717"/>
        <item m="1" x="2605"/>
        <item m="1" x="3482"/>
        <item m="1" x="4375"/>
        <item m="1" x="5268"/>
        <item m="1" x="6162"/>
        <item m="1" x="7040"/>
        <item m="1" x="7935"/>
        <item m="1" x="1823"/>
        <item m="1" x="2710"/>
        <item m="1" x="3586"/>
        <item m="1" x="4480"/>
        <item m="1" x="5375"/>
        <item m="1" x="6266"/>
        <item m="1" x="7145"/>
        <item m="1" x="1042"/>
        <item m="1" x="1931"/>
        <item m="1" x="2810"/>
        <item m="1" x="3692"/>
        <item m="1" x="4586"/>
        <item m="1" x="5484"/>
        <item m="1" x="6368"/>
        <item m="1" x="7255"/>
        <item m="1" x="1149"/>
        <item m="1" x="2039"/>
        <item m="1" x="2916"/>
        <item m="1" x="3805"/>
        <item m="1" x="5705"/>
        <item m="1" x="6591"/>
        <item m="1" x="7475"/>
        <item m="1" x="1369"/>
        <item m="1" x="2254"/>
        <item m="1" x="3138"/>
        <item m="1" x="4020"/>
        <item m="1" x="4918"/>
        <item m="1" x="5811"/>
        <item m="1" x="6700"/>
        <item m="1" x="7578"/>
        <item m="1" x="1478"/>
        <item m="1" x="2358"/>
        <item m="1" x="3245"/>
        <item m="1" x="4125"/>
        <item m="1" x="5025"/>
        <item m="1" x="5917"/>
        <item m="1" x="6803"/>
        <item m="1" x="7683"/>
        <item m="1" x="1580"/>
        <item m="1" x="2465"/>
        <item m="1" x="3347"/>
        <item m="1" x="4229"/>
        <item m="1" x="5127"/>
        <item m="1" x="6023"/>
        <item m="1" x="6902"/>
        <item m="1" x="7791"/>
        <item m="1" x="1685"/>
        <item m="1" x="2573"/>
        <item m="1" x="3450"/>
        <item m="1" x="4340"/>
        <item m="1" x="5237"/>
        <item m="1" x="6133"/>
        <item m="1" x="7012"/>
        <item m="1" x="1905"/>
        <item m="1" x="2793"/>
        <item m="1" x="3672"/>
        <item m="1" x="4561"/>
        <item m="1" x="5456"/>
        <item m="1" x="6349"/>
        <item m="1" x="7234"/>
        <item m="1" x="1121"/>
        <item m="1" x="2013"/>
        <item m="1" x="2895"/>
        <item m="1" x="3781"/>
        <item m="1" x="4668"/>
        <item m="1" x="5564"/>
        <item m="1" x="6453"/>
        <item m="1" x="7340"/>
        <item m="1" x="1226"/>
        <item m="1" x="2117"/>
        <item m="1" x="3000"/>
        <item m="1" x="3885"/>
        <item m="1" x="4773"/>
        <item m="1" x="5669"/>
        <item m="1" x="6562"/>
        <item m="1" x="7444"/>
        <item m="1" x="1331"/>
        <item m="1" x="2220"/>
        <item m="1" x="3108"/>
        <item m="1" x="3987"/>
        <item m="1" x="4881"/>
        <item m="1" x="5777"/>
        <item m="1" x="6668"/>
        <item m="1" x="7546"/>
        <item m="1" x="1443"/>
        <item m="1" x="2328"/>
        <item m="1" x="3217"/>
        <item m="1" x="5105"/>
        <item m="1" x="5997"/>
        <item m="1" x="6885"/>
        <item m="1" x="7771"/>
        <item m="1" x="1660"/>
        <item m="1" x="2547"/>
        <item m="1" x="3431"/>
        <item m="1" x="4319"/>
        <item m="1" x="5209"/>
        <item m="1" x="6106"/>
        <item m="1" x="6989"/>
        <item m="1" x="7881"/>
        <item m="1" x="1763"/>
        <item m="1" x="2655"/>
        <item m="1" x="3536"/>
        <item m="1" x="4427"/>
        <item m="1" x="5314"/>
        <item m="1" x="6212"/>
        <item m="1" x="7095"/>
        <item m="1" x="7985"/>
        <item m="1" x="1868"/>
        <item m="1" x="2759"/>
        <item m="1" x="3643"/>
        <item m="1" x="4529"/>
        <item m="1" x="5419"/>
        <item m="1" x="6315"/>
        <item m="1" x="7203"/>
        <item m="1" x="1089"/>
        <item m="1" x="1976"/>
        <item m="1" x="2864"/>
        <item m="1" x="3750"/>
        <item m="1" x="4637"/>
        <item m="1" x="5532"/>
        <item m="1" x="6425"/>
        <item m="1" x="1311"/>
        <item m="1" x="2197"/>
        <item m="1" x="3080"/>
        <item m="1" x="3969"/>
        <item m="1" x="4860"/>
        <item m="1" x="5750"/>
        <item m="1" x="6641"/>
        <item m="1" x="7526"/>
        <item m="1" x="1421"/>
        <item m="1" x="2299"/>
        <item m="1" x="3188"/>
        <item m="1" x="4073"/>
        <item m="1" x="4969"/>
        <item m="1" x="5855"/>
        <item m="1" x="6747"/>
        <item m="1" x="7632"/>
        <item m="1" x="1527"/>
        <item m="1" x="2403"/>
        <item m="1" x="3292"/>
        <item m="1" x="4180"/>
        <item m="1" x="5074"/>
        <item m="1" x="5960"/>
        <item m="1" x="6850"/>
        <item m="1" x="7741"/>
        <item m="1" x="1628"/>
        <item m="1" x="2510"/>
        <item m="1" x="3396"/>
        <item m="1" x="4288"/>
        <item m="1" x="5176"/>
        <item m="1" x="6069"/>
        <item m="1" x="6956"/>
        <item m="1" x="7850"/>
        <item m="1" x="1733"/>
        <item m="1" x="2623"/>
        <item m="1" x="4512"/>
        <item m="1" x="5399"/>
        <item m="1" x="6292"/>
        <item m="1" x="7176"/>
        <item m="1" x="1072"/>
        <item m="1" x="1956"/>
        <item m="1" x="2837"/>
        <item m="1" x="3723"/>
        <item m="1" x="4617"/>
        <item m="1" x="5510"/>
        <item m="1" x="6395"/>
        <item m="1" x="7285"/>
        <item m="1" x="1176"/>
        <item m="1" x="2064"/>
        <item m="1" x="2941"/>
        <item m="1" x="3831"/>
        <item m="1" x="4725"/>
        <item m="1" x="5617"/>
        <item m="1" x="6500"/>
        <item m="1" x="7390"/>
        <item m="1" x="1283"/>
        <item m="1" x="2167"/>
        <item m="1" x="3044"/>
        <item m="1" x="3934"/>
        <item m="1" x="4831"/>
        <item m="1" x="5718"/>
        <item m="1" x="6605"/>
        <item m="1" x="7493"/>
        <item m="1" x="1390"/>
        <item m="1" x="2268"/>
        <item m="1" x="3154"/>
        <item m="1" x="4042"/>
        <item m="1" x="4941"/>
        <item m="1" x="5828"/>
        <item m="1" x="7715"/>
        <item m="1" x="1611"/>
        <item m="1" x="2490"/>
        <item m="1" x="3373"/>
        <item m="1" x="4261"/>
        <item m="1" x="5158"/>
        <item m="1" x="6049"/>
        <item m="1" x="6929"/>
        <item m="1" x="7823"/>
        <item m="1" x="1713"/>
        <item m="1" x="2601"/>
        <item m="1" x="3477"/>
        <item m="1" x="4370"/>
        <item m="1" x="5264"/>
        <item m="1" x="6159"/>
        <item m="1" x="7036"/>
        <item m="1" x="7931"/>
        <item m="1" x="1820"/>
        <item m="1" x="2707"/>
        <item m="1" x="3582"/>
        <item m="1" x="4477"/>
        <item m="1" x="5372"/>
        <item m="1" x="6263"/>
        <item m="1" x="7140"/>
        <item m="1" x="1038"/>
        <item m="1" x="1927"/>
        <item m="1" x="2806"/>
        <item m="1" x="3688"/>
        <item m="1" x="4583"/>
        <item m="1" x="5480"/>
        <item m="1" x="6365"/>
        <item m="1" x="7252"/>
        <item m="1" x="1145"/>
        <item m="1" x="2037"/>
        <item m="1" x="3911"/>
        <item m="1" x="4805"/>
        <item m="1" x="5701"/>
        <item m="1" x="6587"/>
        <item m="1" x="7470"/>
        <item m="1" x="1364"/>
        <item m="1" x="2250"/>
        <item m="1" x="3134"/>
        <item m="1" x="4015"/>
        <item m="1" x="4913"/>
        <item m="1" x="5807"/>
        <item m="1" x="6696"/>
        <item m="1" x="7573"/>
        <item m="1" x="1473"/>
        <item m="1" x="2355"/>
        <item m="1" x="3242"/>
        <item m="1" x="4121"/>
        <item m="1" x="5021"/>
        <item m="1" x="5914"/>
        <item m="1" x="6800"/>
        <item m="1" x="7679"/>
        <item m="1" x="1577"/>
        <item m="1" x="2462"/>
        <item m="1" x="3343"/>
        <item m="1" x="4225"/>
        <item m="1" x="5123"/>
        <item m="1" x="6019"/>
        <item m="1" x="6899"/>
        <item m="1" x="7787"/>
        <item m="1" x="1682"/>
        <item m="1" x="2570"/>
        <item m="1" x="3447"/>
        <item m="1" x="4337"/>
        <item m="1" x="5234"/>
        <item m="1" x="7120"/>
        <item m="1" x="1013"/>
        <item m="1" x="1900"/>
        <item m="1" x="2789"/>
        <item m="1" x="3668"/>
        <item m="1" x="4556"/>
        <item m="1" x="5451"/>
        <item m="1" x="6345"/>
        <item m="1" x="7230"/>
        <item m="1" x="1116"/>
        <item m="1" x="2008"/>
        <item m="1" x="2891"/>
        <item m="1" x="3777"/>
        <item m="1" x="4663"/>
        <item m="1" x="5560"/>
        <item m="1" x="6450"/>
        <item m="1" x="7337"/>
        <item m="1" x="1222"/>
        <item m="1" x="2113"/>
        <item m="1" x="2997"/>
        <item m="1" x="3882"/>
        <item m="1" x="4769"/>
        <item m="1" x="5666"/>
        <item m="1" x="6558"/>
        <item m="1" x="7440"/>
        <item m="1" x="1327"/>
        <item m="1" x="2216"/>
        <item m="1" x="3104"/>
        <item m="1" x="3984"/>
        <item m="1" x="4877"/>
        <item m="1" x="5773"/>
        <item m="1" x="6665"/>
        <item m="1" x="7543"/>
        <item m="1" x="1440"/>
        <item m="1" x="3324"/>
        <item m="1" x="4205"/>
        <item m="1" x="5100"/>
        <item m="1" x="5992"/>
        <item m="1" x="6881"/>
        <item m="1" x="7767"/>
        <item m="1" x="1655"/>
        <item m="1" x="2542"/>
        <item m="1" x="3427"/>
        <item m="1" x="4315"/>
        <item m="1" x="5204"/>
        <item m="1" x="6101"/>
        <item m="1" x="6985"/>
        <item m="1" x="7877"/>
        <item m="1" x="1759"/>
        <item m="1" x="2651"/>
        <item m="1" x="3533"/>
        <item m="1" x="4424"/>
        <item m="1" x="5310"/>
        <item m="1" x="6208"/>
        <item m="1" x="7092"/>
        <item m="1" x="7982"/>
        <item m="1" x="1864"/>
        <item m="1" x="2755"/>
        <item m="1" x="3639"/>
        <item m="1" x="4525"/>
        <item m="1" x="5415"/>
        <item m="1" x="6312"/>
        <item m="1" x="7199"/>
        <item m="1" x="1086"/>
        <item m="1" x="1973"/>
        <item m="1" x="2860"/>
        <item m="1" x="3747"/>
        <item m="1" x="4635"/>
        <item m="1" x="6531"/>
        <item m="1" x="7422"/>
        <item m="1" x="1307"/>
        <item m="1" x="2192"/>
        <item m="1" x="3075"/>
        <item m="1" x="3965"/>
        <item m="1" x="4856"/>
        <item m="1" x="5745"/>
        <item m="1" x="6636"/>
        <item m="1" x="7522"/>
        <item m="1" x="1417"/>
        <item m="1" x="2294"/>
        <item m="1" x="3183"/>
        <item m="1" x="4069"/>
        <item m="1" x="4966"/>
        <item m="1" x="5851"/>
        <item m="1" x="6743"/>
        <item m="1" x="7629"/>
        <item m="1" x="1524"/>
        <item m="1" x="2399"/>
        <item m="1" x="3289"/>
        <item m="1" x="4177"/>
        <item m="1" x="5071"/>
        <item m="1" x="5957"/>
        <item m="1" x="6847"/>
        <item m="1" x="7738"/>
        <item m="1" x="1625"/>
        <item m="1" x="2507"/>
        <item m="1" x="3394"/>
        <item m="1" x="4284"/>
        <item m="1" x="5174"/>
        <item m="1" x="6067"/>
        <item m="1" x="6953"/>
        <item m="1" x="7849"/>
        <item m="1" x="2732"/>
        <item m="1" x="3613"/>
        <item m="1" x="4508"/>
        <item m="1" x="5396"/>
        <item m="1" x="6288"/>
        <item m="1" x="7172"/>
        <item m="1" x="1069"/>
        <item m="1" x="1953"/>
        <item m="1" x="2833"/>
        <item m="1" x="3719"/>
        <item m="1" x="4613"/>
        <item m="1" x="5507"/>
        <item m="1" x="6391"/>
        <item m="1" x="7281"/>
        <item m="1" x="1173"/>
        <item m="1" x="2061"/>
        <item m="1" x="2937"/>
        <item m="1" x="3827"/>
        <item m="1" x="4722"/>
        <item m="1" x="5614"/>
        <item m="1" x="6496"/>
        <item m="1" x="7387"/>
        <item m="1" x="1280"/>
        <item m="1" x="2164"/>
        <item m="1" x="3041"/>
        <item m="1" x="3931"/>
        <item m="1" x="4828"/>
        <item m="1" x="5716"/>
        <item m="1" x="6602"/>
        <item m="1" x="7491"/>
        <item m="1" x="1388"/>
        <item m="1" x="2266"/>
        <item m="1" x="3152"/>
        <item m="1" x="4040"/>
        <item m="1" x="5939"/>
        <item m="1" x="6825"/>
        <item m="1" x="7711"/>
        <item m="1" x="1608"/>
        <item m="1" x="2487"/>
        <item m="1" x="3369"/>
        <item m="1" x="4257"/>
        <item m="1" x="5154"/>
        <item m="1" x="6046"/>
        <item m="1" x="6925"/>
        <item m="1" x="7819"/>
        <item m="1" x="1710"/>
        <item m="1" x="2598"/>
        <item m="1" x="3473"/>
        <item m="1" x="4366"/>
        <item m="1" x="5260"/>
        <item m="1" x="6156"/>
        <item m="1" x="7032"/>
        <item m="1" x="7927"/>
        <item m="1" x="1817"/>
        <item m="1" x="2704"/>
        <item m="1" x="3578"/>
        <item m="1" x="4474"/>
        <item m="1" x="5369"/>
        <item m="1" x="6260"/>
        <item m="1" x="7137"/>
        <item m="1" x="1035"/>
        <item m="1" x="1924"/>
        <item m="1" x="2804"/>
        <item m="1" x="3685"/>
        <item m="1" x="4580"/>
        <item m="1" x="5477"/>
        <item m="1" x="6363"/>
        <item m="1" x="7250"/>
        <item m="1" x="2146"/>
        <item m="1" x="2582"/>
        <item m="1" x="3023"/>
        <item m="1" x="3457"/>
        <item m="1" x="3907"/>
        <item m="1" x="4348"/>
        <item m="1" x="4801"/>
        <item m="1" x="5245"/>
        <item m="1" x="5697"/>
        <item m="1" x="6140"/>
        <item m="1" x="6584"/>
        <item m="1" x="7018"/>
        <item m="1" x="7466"/>
        <item m="1" x="7912"/>
        <item m="1" x="1360"/>
        <item m="1" x="1803"/>
        <item m="1" x="2247"/>
        <item m="1" x="2690"/>
        <item m="1" x="3131"/>
        <item m="1" x="3567"/>
        <item m="1" x="4011"/>
        <item m="1" x="4461"/>
        <item m="1" x="4909"/>
        <item m="1" x="5356"/>
        <item m="1" x="5803"/>
        <item m="1" x="6251"/>
        <item m="1" x="6693"/>
        <item m="1" x="7128"/>
        <item m="1" x="7569"/>
        <item m="1" x="1025"/>
        <item m="1" x="1469"/>
        <item m="1" x="1913"/>
        <item m="1" x="2352"/>
        <item m="1" x="2799"/>
        <item m="1" x="3239"/>
        <item m="1" x="3679"/>
        <item m="1" x="4117"/>
        <item m="1" x="4571"/>
        <item m="1" x="5017"/>
        <item m="1" x="5466"/>
        <item m="1" x="5911"/>
        <item m="1" x="6358"/>
        <item m="1" x="6797"/>
        <item m="1" x="7243"/>
        <item m="1" x="7675"/>
        <item m="1" x="1132"/>
        <item m="1" x="1574"/>
        <item m="1" x="2024"/>
        <item m="1" x="2459"/>
        <item m="1" x="2904"/>
        <item m="1" x="3340"/>
        <item m="1" x="3790"/>
        <item m="1" x="4222"/>
        <item m="1" x="4679"/>
        <item m="1" x="5121"/>
        <item m="1" x="5575"/>
        <item m="1" x="6015"/>
        <item m="1" x="6462"/>
        <item m="1" x="6897"/>
        <item m="1" x="7348"/>
        <item m="1" x="7785"/>
        <item m="1" x="1236"/>
        <item m="1" x="1679"/>
        <item m="1" x="2126"/>
        <item m="1" x="2568"/>
        <item m="1" x="3007"/>
        <item m="1" x="3446"/>
        <item m="1" x="5343"/>
        <item m="1" x="5785"/>
        <item m="1" x="6241"/>
        <item m="1" x="6677"/>
        <item m="1" x="7117"/>
        <item m="1" x="7553"/>
        <item m="1" x="1009"/>
        <item m="1" x="1451"/>
        <item m="1" x="1896"/>
        <item m="1" x="2337"/>
        <item m="1" x="2786"/>
        <item m="1" x="3223"/>
        <item m="1" x="3665"/>
        <item m="1" x="4103"/>
        <item m="1" x="4552"/>
        <item m="1" x="5002"/>
        <item m="1" x="5447"/>
        <item m="1" x="5896"/>
        <item m="1" x="6341"/>
        <item m="1" x="6784"/>
        <item m="1" x="7227"/>
        <item m="1" x="7664"/>
        <item m="1" x="1112"/>
        <item m="1" x="1562"/>
        <item m="1" x="2004"/>
        <item m="1" x="2446"/>
        <item m="1" x="2888"/>
        <item m="1" x="3332"/>
        <item m="1" x="3774"/>
        <item m="1" x="4214"/>
        <item m="1" x="4659"/>
        <item m="1" x="5113"/>
        <item m="1" x="5556"/>
        <item m="1" x="6005"/>
        <item m="1" x="6447"/>
        <item m="1" x="6893"/>
        <item m="1" x="7334"/>
        <item m="1" x="7779"/>
        <item m="1" x="1218"/>
        <item m="1" x="1670"/>
        <item m="1" x="2110"/>
        <item m="1" x="2558"/>
        <item m="1" x="2994"/>
        <item m="1" x="3440"/>
        <item m="1" x="3879"/>
        <item m="1" x="4328"/>
        <item m="1" x="4766"/>
        <item m="1" x="5220"/>
        <item m="1" x="5663"/>
        <item m="1" x="6117"/>
        <item m="1" x="6555"/>
        <item m="1" x="6998"/>
        <item m="1" x="7438"/>
        <item m="1" x="7890"/>
        <item m="1" x="1324"/>
        <item m="1" x="1774"/>
        <item m="1" x="2214"/>
        <item m="1" x="2666"/>
        <item m="1" x="3100"/>
        <item m="1" x="3544"/>
        <item m="1" x="3982"/>
        <item m="1" x="4435"/>
        <item m="1" x="4875"/>
        <item m="1" x="5323"/>
        <item m="1" x="5770"/>
        <item m="1" x="6221"/>
        <item m="1" x="6663"/>
        <item m="1" x="1550"/>
        <item m="1" x="1985"/>
        <item m="1" x="2432"/>
        <item m="1" x="2871"/>
        <item m="1" x="3320"/>
        <item m="1" x="3758"/>
        <item m="1" x="4202"/>
        <item m="1" x="4644"/>
        <item m="1" x="5096"/>
        <item m="1" x="5539"/>
        <item m="1" x="5988"/>
        <item m="1" x="6433"/>
        <item m="1" x="6877"/>
        <item m="1" x="7319"/>
        <item m="1" x="7764"/>
        <item m="1" x="1205"/>
        <item m="1" x="1651"/>
        <item m="1" x="2096"/>
        <item m="1" x="2538"/>
        <item m="1" x="2981"/>
        <item m="1" x="3423"/>
        <item m="1" x="3867"/>
        <item m="1" x="4312"/>
        <item m="1" x="4756"/>
        <item m="1" x="5200"/>
        <item m="1" x="5652"/>
        <item m="1" x="6097"/>
        <item m="1" x="6542"/>
        <item m="1" x="6981"/>
        <item m="1" x="7431"/>
        <item m="1" x="7874"/>
        <item m="1" x="1317"/>
        <item m="1" x="1755"/>
        <item m="1" x="2205"/>
        <item m="1" x="2647"/>
        <item m="1" x="3090"/>
        <item m="1" x="3530"/>
        <item m="1" x="3977"/>
        <item m="1" x="4421"/>
        <item m="1" x="4868"/>
        <item m="1" x="5306"/>
        <item m="1" x="5761"/>
        <item m="1" x="6205"/>
        <item m="1" x="6652"/>
        <item m="1" x="7089"/>
        <item m="1" x="7535"/>
        <item m="1" x="7979"/>
        <item m="1" x="1430"/>
        <item m="1" x="1861"/>
        <item m="1" x="2310"/>
        <item m="1" x="2752"/>
        <item m="1" x="3199"/>
        <item m="1" x="3636"/>
        <item m="1" x="4082"/>
        <item m="1" x="4523"/>
        <item m="1" x="4978"/>
        <item m="1" x="5412"/>
        <item m="1" x="5866"/>
        <item m="1" x="6310"/>
        <item m="1" x="6757"/>
        <item m="1" x="7196"/>
        <item m="1" x="7640"/>
        <item m="1" x="1084"/>
        <item m="1" x="1534"/>
        <item m="1" x="1971"/>
        <item m="1" x="2412"/>
        <item m="1" x="2858"/>
        <item m="1" x="4747"/>
        <item m="1" x="5184"/>
        <item m="1" x="5639"/>
        <item m="1" x="6078"/>
        <item m="1" x="6527"/>
        <item m="1" x="6964"/>
        <item m="1" x="7417"/>
        <item m="1" x="7858"/>
        <item m="1" x="1304"/>
        <item m="1" x="1740"/>
        <item m="1" x="2188"/>
        <item m="1" x="2630"/>
        <item m="1" x="3071"/>
        <item m="1" x="3515"/>
        <item m="1" x="3960"/>
        <item m="1" x="4406"/>
        <item m="1" x="4853"/>
        <item m="1" x="5293"/>
        <item m="1" x="5741"/>
        <item m="1" x="6191"/>
        <item m="1" x="6632"/>
        <item m="1" x="7076"/>
        <item m="1" x="7517"/>
        <item m="1" x="7968"/>
        <item m="1" x="1414"/>
        <item m="1" x="1851"/>
        <item m="1" x="2290"/>
        <item m="1" x="2742"/>
        <item m="1" x="3179"/>
        <item m="1" x="3624"/>
        <item m="1" x="4064"/>
        <item m="1" x="4518"/>
        <item m="1" x="4963"/>
        <item m="1" x="5406"/>
        <item m="1" x="5847"/>
        <item m="1" x="6302"/>
        <item m="1" x="6739"/>
        <item m="1" x="7186"/>
        <item m="1" x="7625"/>
        <item m="1" x="1080"/>
        <item m="1" x="1521"/>
        <item m="1" x="1965"/>
        <item m="1" x="2395"/>
        <item m="1" x="2848"/>
        <item m="1" x="3286"/>
        <item m="1" x="3734"/>
        <item m="1" x="4174"/>
        <item m="1" x="4626"/>
        <item m="1" x="5068"/>
        <item m="1" x="5519"/>
        <item m="1" x="5954"/>
        <item m="1" x="6406"/>
        <item m="1" x="6845"/>
        <item m="1" x="7296"/>
        <item m="1" x="7734"/>
        <item m="1" x="1185"/>
        <item m="1" x="1623"/>
        <item m="1" x="2073"/>
        <item m="1" x="2504"/>
        <item m="1" x="2951"/>
        <item m="1" x="3391"/>
        <item m="1" x="3841"/>
        <item m="1" x="4281"/>
        <item m="1" x="4732"/>
        <item m="1" x="5172"/>
        <item m="1" x="5624"/>
        <item m="1" x="6065"/>
        <item m="1" x="7959"/>
        <item m="1" x="1399"/>
        <item m="1" x="1842"/>
        <item m="1" x="2275"/>
        <item m="1" x="2728"/>
        <item m="1" x="3162"/>
        <item m="1" x="3609"/>
        <item m="1" x="4050"/>
        <item m="1" x="4503"/>
        <item m="1" x="4948"/>
        <item m="1" x="5393"/>
        <item m="1" x="5834"/>
        <item m="1" x="6284"/>
        <item m="1" x="6725"/>
        <item m="1" x="7168"/>
        <item m="1" x="7612"/>
        <item m="1" x="1064"/>
        <item m="1" x="1508"/>
        <item m="1" x="1950"/>
        <item m="1" x="2385"/>
        <item m="1" x="2829"/>
        <item m="1" x="3274"/>
        <item m="1" x="3715"/>
        <item m="1" x="4162"/>
        <item m="1" x="4608"/>
        <item m="1" x="5060"/>
        <item m="1" x="5504"/>
        <item m="1" x="5946"/>
        <item m="1" x="6387"/>
        <item m="1" x="6836"/>
        <item m="1" x="7277"/>
        <item m="1" x="7723"/>
        <item m="1" x="1168"/>
        <item m="1" x="1618"/>
        <item m="1" x="2058"/>
        <item m="1" x="2498"/>
        <item m="1" x="2933"/>
        <item m="1" x="3383"/>
        <item m="1" x="3823"/>
        <item m="1" x="4271"/>
        <item m="1" x="4718"/>
        <item m="1" x="5167"/>
        <item m="1" x="5610"/>
        <item m="1" x="6058"/>
        <item m="1" x="6492"/>
        <item m="1" x="6940"/>
        <item m="1" x="7383"/>
        <item m="1" x="7834"/>
        <item m="1" x="1277"/>
        <item m="1" x="1722"/>
        <item m="1" x="2160"/>
        <item m="1" x="2610"/>
        <item m="1" x="3038"/>
        <item m="1" x="3488"/>
        <item m="1" x="3928"/>
        <item m="1" x="4381"/>
        <item m="1" x="4824"/>
        <item m="1" x="5273"/>
        <item m="1" x="5713"/>
        <item m="1" x="6167"/>
        <item m="1" x="6600"/>
        <item m="1" x="7046"/>
        <item m="1" x="7488"/>
        <item m="1" x="7940"/>
        <item m="1" x="1385"/>
        <item m="1" x="1827"/>
        <item m="1" x="2265"/>
        <item m="1" x="4149"/>
        <item m="1" x="4591"/>
        <item m="1" x="5049"/>
        <item m="1" x="5489"/>
        <item m="1" x="5935"/>
        <item m="1" x="6372"/>
        <item m="1" x="6821"/>
        <item m="1" x="7260"/>
        <item m="1" x="7706"/>
        <item m="1" x="1154"/>
        <item m="1" x="1603"/>
        <item m="1" x="2043"/>
        <item m="1" x="2483"/>
        <item m="1" x="2920"/>
        <item m="1" x="3365"/>
        <item m="1" x="3809"/>
        <item m="1" x="4252"/>
        <item m="1" x="4704"/>
        <item m="1" x="5149"/>
        <item m="1" x="5598"/>
        <item m="1" x="6042"/>
        <item m="1" x="6482"/>
        <item m="1" x="6921"/>
        <item m="1" x="7371"/>
        <item m="1" x="7814"/>
        <item m="1" x="1265"/>
        <item m="1" x="1705"/>
        <item m="1" x="2153"/>
        <item m="1" x="2594"/>
        <item m="1" x="3031"/>
        <item m="1" x="3469"/>
        <item m="1" x="3919"/>
        <item m="1" x="4361"/>
        <item m="1" x="4814"/>
        <item m="1" x="5256"/>
        <item m="1" x="5709"/>
        <item m="1" x="6152"/>
        <item m="1" x="6595"/>
        <item m="1" x="7028"/>
        <item m="1" x="7480"/>
        <item m="1" x="7923"/>
        <item m="1" x="1375"/>
        <item m="1" x="1813"/>
        <item m="1" x="2259"/>
        <item m="1" x="2700"/>
        <item m="1" x="3143"/>
        <item m="1" x="3575"/>
        <item m="1" x="4026"/>
        <item m="1" x="4470"/>
        <item m="1" x="4924"/>
        <item m="1" x="5366"/>
        <item m="1" x="5816"/>
        <item m="1" x="6257"/>
        <item m="1" x="6705"/>
        <item m="1" x="7134"/>
        <item m="1" x="7584"/>
        <item m="1" x="1032"/>
        <item m="1" x="1484"/>
        <item m="1" x="1921"/>
        <item m="1" x="2363"/>
        <item m="1" x="2802"/>
        <item m="1" x="3250"/>
        <item m="1" x="3683"/>
        <item m="1" x="4130"/>
        <item m="1" x="4577"/>
        <item m="1" x="5030"/>
        <item m="1" x="5474"/>
        <item m="1" x="7360"/>
        <item m="1" x="7796"/>
        <item m="1" x="1251"/>
        <item m="1" x="1689"/>
        <item m="1" x="2141"/>
        <item m="1" x="2578"/>
        <item m="1" x="3019"/>
        <item m="1" x="3454"/>
        <item m="1" x="3903"/>
        <item m="1" x="4344"/>
        <item m="1" x="4796"/>
        <item m="1" x="5242"/>
        <item m="1" x="5692"/>
        <item m="1" x="6137"/>
        <item m="1" x="6580"/>
        <item m="1" x="7015"/>
        <item m="1" x="7462"/>
        <item m="1" x="7909"/>
        <item m="1" x="1355"/>
        <item m="1" x="1800"/>
        <item m="1" x="2242"/>
        <item m="1" x="2688"/>
        <item m="1" x="3127"/>
        <item m="1" x="3565"/>
        <item m="1" x="4007"/>
        <item m="1" x="4459"/>
        <item m="1" x="4904"/>
        <item m="1" x="5353"/>
        <item m="1" x="5798"/>
        <item m="1" x="6250"/>
        <item m="1" x="6689"/>
        <item m="1" x="7126"/>
        <item m="1" x="7565"/>
        <item m="1" x="1022"/>
        <item m="1" x="1464"/>
        <item m="1" x="1910"/>
        <item m="1" x="2348"/>
        <item m="1" x="2797"/>
        <item m="1" x="3235"/>
        <item m="1" x="3676"/>
        <item m="1" x="4113"/>
        <item m="1" x="4567"/>
        <item m="1" x="5013"/>
        <item m="1" x="5462"/>
        <item m="1" x="5907"/>
        <item m="1" x="6354"/>
        <item m="1" x="6793"/>
        <item m="1" x="7239"/>
        <item m="1" x="7672"/>
        <item m="1" x="1127"/>
        <item m="1" x="1570"/>
        <item m="1" x="2019"/>
        <item m="1" x="2456"/>
        <item m="1" x="2900"/>
        <item m="1" x="3337"/>
        <item m="1" x="3786"/>
        <item m="1" x="4219"/>
        <item m="1" x="4674"/>
        <item m="1" x="5119"/>
        <item m="1" x="5570"/>
        <item m="1" x="6012"/>
        <item m="1" x="6458"/>
        <item m="1" x="6895"/>
        <item m="1" x="7344"/>
        <item m="1" x="7783"/>
        <item m="1" x="1231"/>
        <item m="1" x="1677"/>
        <item m="1" x="3556"/>
        <item m="1" x="3992"/>
        <item m="1" x="4447"/>
        <item m="1" x="4886"/>
        <item m="1" x="5338"/>
        <item m="1" x="5781"/>
        <item m="1" x="6236"/>
        <item m="1" x="6673"/>
        <item m="1" x="7113"/>
        <item m="1" x="7550"/>
        <item m="1" x="1005"/>
        <item m="1" x="1447"/>
        <item m="1" x="1891"/>
        <item m="1" x="2333"/>
        <item m="1" x="2781"/>
        <item m="1" x="3220"/>
        <item m="1" x="3661"/>
        <item m="1" x="4100"/>
        <item m="1" x="4548"/>
        <item m="1" x="4999"/>
        <item m="1" x="5442"/>
        <item m="1" x="5893"/>
        <item m="1" x="6336"/>
        <item m="1" x="6782"/>
        <item m="1" x="7223"/>
        <item m="1" x="7662"/>
        <item m="1" x="1108"/>
        <item m="1" x="1560"/>
        <item m="1" x="1999"/>
        <item m="1" x="2443"/>
        <item m="1" x="2883"/>
        <item m="1" x="3330"/>
        <item m="1" x="3770"/>
        <item m="1" x="4212"/>
        <item m="1" x="4655"/>
        <item m="1" x="5110"/>
        <item m="1" x="5551"/>
        <item m="1" x="6002"/>
        <item m="1" x="6443"/>
        <item m="1" x="6890"/>
        <item m="1" x="7330"/>
        <item m="1" x="7776"/>
        <item m="1" x="1214"/>
        <item m="1" x="1666"/>
        <item m="1" x="2106"/>
        <item m="1" x="2553"/>
        <item m="1" x="2991"/>
        <item m="1" x="3436"/>
        <item m="1" x="3875"/>
        <item m="1" x="4324"/>
        <item m="1" x="4763"/>
        <item m="1" x="5215"/>
        <item m="1" x="5660"/>
        <item m="1" x="6112"/>
        <item m="1" x="6551"/>
        <item m="1" x="6994"/>
        <item m="1" x="7435"/>
        <item m="1" x="7886"/>
        <item m="1" x="1322"/>
        <item m="1" x="1769"/>
        <item m="1" x="2211"/>
        <item m="1" x="2661"/>
        <item m="1" x="3097"/>
        <item m="1" x="3540"/>
        <item m="1" x="3980"/>
        <item m="1" x="4431"/>
        <item m="1" x="4873"/>
        <item m="1" x="6772"/>
        <item m="1" x="7208"/>
        <item m="1" x="7652"/>
        <item m="1" x="1093"/>
        <item m="1" x="1546"/>
        <item m="1" x="1981"/>
        <item m="1" x="2427"/>
        <item m="1" x="2868"/>
        <item m="1" x="3315"/>
        <item m="1" x="3754"/>
        <item m="1" x="4198"/>
        <item m="1" x="4641"/>
        <item m="1" x="5092"/>
        <item m="1" x="5536"/>
        <item m="1" x="5983"/>
        <item m="1" x="6429"/>
        <item m="1" x="6872"/>
        <item m="1" x="7316"/>
        <item m="1" x="7760"/>
        <item m="1" x="1203"/>
        <item m="1" x="1647"/>
        <item m="1" x="2093"/>
        <item m="1" x="2533"/>
        <item m="1" x="2978"/>
        <item m="1" x="3418"/>
        <item m="1" x="3866"/>
        <item m="1" x="4308"/>
        <item m="1" x="4754"/>
        <item m="1" x="5196"/>
        <item m="1" x="5650"/>
        <item m="1" x="6092"/>
        <item m="1" x="6539"/>
        <item m="1" x="6976"/>
        <item m="1" x="7429"/>
        <item m="1" x="7870"/>
        <item m="1" x="1315"/>
        <item m="1" x="1751"/>
        <item m="1" x="2202"/>
        <item m="1" x="2642"/>
        <item m="1" x="3086"/>
        <item m="1" x="3526"/>
        <item m="1" x="3974"/>
        <item m="1" x="4417"/>
        <item m="1" x="4865"/>
        <item m="1" x="5302"/>
        <item m="1" x="5756"/>
        <item m="1" x="6201"/>
        <item m="1" x="6647"/>
        <item m="1" x="7086"/>
        <item m="1" x="7531"/>
        <item m="1" x="7975"/>
        <item m="1" x="1426"/>
        <item m="1" x="1858"/>
        <item m="1" x="2305"/>
        <item m="1" x="2749"/>
        <item m="1" x="3194"/>
        <item m="1" x="3632"/>
        <item m="1" x="4078"/>
        <item m="1" x="4521"/>
        <item m="1" x="4974"/>
        <item m="1" x="5410"/>
        <item m="1" x="5861"/>
        <item m="1" x="6307"/>
        <item m="1" x="6752"/>
        <item m="1" x="7193"/>
        <item m="1" x="7636"/>
        <item m="1" x="2965"/>
        <item m="1" x="3401"/>
        <item m="1" x="3855"/>
        <item m="1" x="4293"/>
        <item m="1" x="4743"/>
        <item m="1" x="5180"/>
        <item m="1" x="5635"/>
        <item m="1" x="6074"/>
        <item m="1" x="6522"/>
        <item m="1" x="6961"/>
        <item m="1" x="7412"/>
        <item m="1" x="7854"/>
        <item m="1" x="1300"/>
        <item m="1" x="1737"/>
        <item m="1" x="2184"/>
        <item m="1" x="2627"/>
        <item m="1" x="3066"/>
        <item m="1" x="3511"/>
        <item m="1" x="3955"/>
        <item m="1" x="4404"/>
        <item m="1" x="4849"/>
        <item m="1" x="5291"/>
        <item m="1" x="5737"/>
        <item m="1" x="6188"/>
        <item m="1" x="6627"/>
        <item m="1" x="7073"/>
        <item m="1" x="7512"/>
        <item m="1" x="7967"/>
        <item m="1" x="1410"/>
        <item m="1" x="1849"/>
        <item m="1" x="2286"/>
        <item m="1" x="2739"/>
        <item m="1" x="3174"/>
        <item m="1" x="3621"/>
        <item m="1" x="4060"/>
        <item m="1" x="4516"/>
        <item m="1" x="4959"/>
        <item m="1" x="5403"/>
        <item m="1" x="5843"/>
        <item m="1" x="6298"/>
        <item m="1" x="6735"/>
        <item m="1" x="7182"/>
        <item m="1" x="7621"/>
        <item m="1" x="1077"/>
        <item m="1" x="1517"/>
        <item m="1" x="1961"/>
        <item m="1" x="2392"/>
        <item m="1" x="2843"/>
        <item m="1" x="3282"/>
        <item m="1" x="3729"/>
        <item m="1" x="4171"/>
        <item m="1" x="4622"/>
        <item m="1" x="5065"/>
        <item m="1" x="5515"/>
        <item m="1" x="5951"/>
        <item m="1" x="6401"/>
        <item m="1" x="6842"/>
        <item m="1" x="7291"/>
        <item m="1" x="7731"/>
        <item m="1" x="1181"/>
        <item m="1" x="1621"/>
        <item m="1" x="2069"/>
        <item m="1" x="2502"/>
        <item m="1" x="2946"/>
        <item m="1" x="3389"/>
        <item m="1" x="3836"/>
        <item m="1" x="5723"/>
        <item m="1" x="6178"/>
        <item m="1" x="6610"/>
        <item m="1" x="7060"/>
        <item m="1" x="7497"/>
        <item m="1" x="7954"/>
        <item m="1" x="1395"/>
        <item m="1" x="1838"/>
        <item m="1" x="2272"/>
        <item m="1" x="2724"/>
        <item m="1" x="3158"/>
        <item m="1" x="3604"/>
        <item m="1" x="4047"/>
        <item m="1" x="4498"/>
        <item m="1" x="4945"/>
        <item m="1" x="5389"/>
        <item m="1" x="5831"/>
        <item m="1" x="6280"/>
        <item m="1" x="6722"/>
        <item m="1" x="7163"/>
        <item m="1" x="7609"/>
        <item m="1" x="1059"/>
        <item m="1" x="1506"/>
        <item m="1" x="1946"/>
        <item m="1" x="2383"/>
        <item m="1" x="2825"/>
        <item m="1" x="3272"/>
        <item m="1" x="3710"/>
        <item m="1" x="4159"/>
        <item m="1" x="4603"/>
        <item m="1" x="5059"/>
        <item m="1" x="5500"/>
        <item m="1" x="5944"/>
        <item m="1" x="6383"/>
        <item m="1" x="6833"/>
        <item m="1" x="7272"/>
        <item m="1" x="7720"/>
        <item m="1" x="1164"/>
        <item m="1" x="1615"/>
        <item m="1" x="2054"/>
        <item m="1" x="2495"/>
        <item m="1" x="2929"/>
        <item m="1" x="3379"/>
        <item m="1" x="3819"/>
        <item m="1" x="4267"/>
        <item m="1" x="4714"/>
        <item m="1" x="5163"/>
        <item m="1" x="5606"/>
        <item m="1" x="6054"/>
        <item m="1" x="6489"/>
        <item m="1" x="6935"/>
        <item m="1" x="7379"/>
        <item m="1" x="7829"/>
        <item m="1" x="1274"/>
        <item m="1" x="1718"/>
        <item m="1" x="2157"/>
        <item m="1" x="2606"/>
        <item m="1" x="3035"/>
        <item m="1" x="3483"/>
        <item m="1" x="3926"/>
        <item m="1" x="4376"/>
        <item m="1" x="4821"/>
        <item m="1" x="5269"/>
        <item m="1" x="5711"/>
        <item m="1" x="6163"/>
        <item m="1" x="6599"/>
        <item m="1" x="7041"/>
        <item m="1" x="1932"/>
        <item m="1" x="2374"/>
        <item m="1" x="2811"/>
        <item m="1" x="3261"/>
        <item m="1" x="3693"/>
        <item m="1" x="4144"/>
        <item m="1" x="4587"/>
        <item m="1" x="5044"/>
        <item m="1" x="5485"/>
        <item m="1" x="5931"/>
        <item m="1" x="6369"/>
        <item m="1" x="6817"/>
        <item m="1" x="7256"/>
        <item m="1" x="7701"/>
        <item m="1" x="1150"/>
        <item m="1" x="1598"/>
        <item m="1" x="2040"/>
        <item m="1" x="2479"/>
        <item m="1" x="2917"/>
        <item m="1" x="3361"/>
        <item m="1" x="3806"/>
        <item m="1" x="4247"/>
        <item m="1" x="4701"/>
        <item m="1" x="5144"/>
        <item m="1" x="5596"/>
        <item m="1" x="6038"/>
        <item m="1" x="6480"/>
        <item m="1" x="6917"/>
        <item m="1" x="7369"/>
        <item m="1" x="7809"/>
        <item m="1" x="1262"/>
        <item m="1" x="1700"/>
        <item m="1" x="2151"/>
        <item m="1" x="2590"/>
        <item m="1" x="3029"/>
        <item m="1" x="3465"/>
        <item m="1" x="3916"/>
        <item m="1" x="4356"/>
        <item m="1" x="4810"/>
        <item m="1" x="5252"/>
        <item m="1" x="5706"/>
        <item m="1" x="6148"/>
        <item m="1" x="6592"/>
        <item m="1" x="7024"/>
        <item m="1" x="7476"/>
        <item m="1" x="7919"/>
        <item m="1" x="1370"/>
        <item m="1" x="1810"/>
        <item m="1" x="2255"/>
        <item m="1" x="2696"/>
        <item m="1" x="3139"/>
        <item m="1" x="3572"/>
        <item m="1" x="4021"/>
        <item m="1" x="4467"/>
        <item m="1" x="4919"/>
        <item m="1" x="5362"/>
        <item m="1" x="5812"/>
        <item m="1" x="6254"/>
        <item m="1" x="6701"/>
        <item m="1" x="7132"/>
        <item m="1" x="7579"/>
        <item m="1" x="1029"/>
        <item m="1" x="1479"/>
        <item m="1" x="1918"/>
        <item m="1" x="2359"/>
        <item m="1" x="2801"/>
        <item m="1" x="3246"/>
        <item m="1" x="5128"/>
        <item m="1" x="5585"/>
        <item m="1" x="6024"/>
        <item m="1" x="6470"/>
        <item m="1" x="6903"/>
        <item m="1" x="7356"/>
        <item m="1" x="7792"/>
        <item m="1" x="1246"/>
        <item m="1" x="1686"/>
        <item m="1" x="2136"/>
        <item m="1" x="2574"/>
        <item m="1" x="3015"/>
        <item m="1" x="3451"/>
        <item m="1" x="3899"/>
        <item m="1" x="4341"/>
        <item m="1" x="4791"/>
        <item m="1" x="5238"/>
        <item m="1" x="5687"/>
        <item m="1" x="6134"/>
        <item m="1" x="6576"/>
        <item m="1" x="7013"/>
        <item m="1" x="7458"/>
        <item m="1" x="7906"/>
        <item m="1" x="1350"/>
        <item m="1" x="1797"/>
        <item m="1" x="2237"/>
        <item m="1" x="2687"/>
        <item m="1" x="3123"/>
        <item m="1" x="3563"/>
        <item m="1" x="4003"/>
        <item m="1" x="4457"/>
        <item m="1" x="4899"/>
        <item m="1" x="5350"/>
        <item m="1" x="5793"/>
        <item m="1" x="6248"/>
        <item m="1" x="6685"/>
        <item m="1" x="7124"/>
        <item m="1" x="7561"/>
        <item m="1" x="1018"/>
        <item m="1" x="1459"/>
        <item m="1" x="1906"/>
        <item m="1" x="2344"/>
        <item m="1" x="2794"/>
        <item m="1" x="3231"/>
        <item m="1" x="3673"/>
        <item m="1" x="4109"/>
        <item m="1" x="4562"/>
        <item m="1" x="5009"/>
        <item m="1" x="5457"/>
        <item m="1" x="5904"/>
        <item m="1" x="6350"/>
        <item m="1" x="6789"/>
        <item m="1" x="7235"/>
        <item m="1" x="7669"/>
        <item m="1" x="1122"/>
        <item m="1" x="1567"/>
        <item m="1" x="2014"/>
        <item m="1" x="2452"/>
        <item m="1" x="2896"/>
        <item m="1" x="3335"/>
        <item m="1" x="3782"/>
        <item m="1" x="4217"/>
        <item m="1" x="4669"/>
        <item m="1" x="5116"/>
        <item m="1" x="5565"/>
        <item m="1" x="6010"/>
        <item m="1" x="6454"/>
        <item m="1" x="1332"/>
        <item m="1" x="1784"/>
        <item m="1" x="2221"/>
        <item m="1" x="2676"/>
        <item m="1" x="3109"/>
        <item m="1" x="3552"/>
        <item m="1" x="3988"/>
        <item m="1" x="4443"/>
        <item m="1" x="4882"/>
        <item m="1" x="5333"/>
        <item m="1" x="5778"/>
        <item m="1" x="6231"/>
        <item m="1" x="6669"/>
        <item m="1" x="7109"/>
        <item m="1" x="7547"/>
        <item m="1" x="7999"/>
        <item m="1" x="1444"/>
        <item m="1" x="1886"/>
        <item m="1" x="2329"/>
        <item m="1" x="2776"/>
        <item m="1" x="3218"/>
        <item m="1" x="3657"/>
        <item m="1" x="4098"/>
        <item m="1" x="4544"/>
        <item m="1" x="4996"/>
        <item m="1" x="5437"/>
        <item m="1" x="5890"/>
        <item m="1" x="6331"/>
        <item m="1" x="6781"/>
        <item m="1" x="7219"/>
        <item m="1" x="7660"/>
        <item m="1" x="1104"/>
        <item m="1" x="1557"/>
        <item m="1" x="1994"/>
        <item m="1" x="2440"/>
        <item m="1" x="2879"/>
        <item m="1" x="3328"/>
        <item m="1" x="3766"/>
        <item m="1" x="4209"/>
        <item m="1" x="4651"/>
        <item m="1" x="5106"/>
        <item m="1" x="5547"/>
        <item m="1" x="5998"/>
        <item m="1" x="6439"/>
        <item m="1" x="6886"/>
        <item m="1" x="7326"/>
        <item m="1" x="7772"/>
        <item m="1" x="1211"/>
        <item m="1" x="1661"/>
        <item m="1" x="2102"/>
        <item m="1" x="2548"/>
        <item m="1" x="2988"/>
        <item m="1" x="3432"/>
        <item m="1" x="3872"/>
        <item m="1" x="4320"/>
        <item m="1" x="4760"/>
        <item m="1" x="5210"/>
        <item m="1" x="5657"/>
        <item m="1" x="6107"/>
        <item m="1" x="6548"/>
        <item m="1" x="6990"/>
        <item m="1" x="7433"/>
        <item m="1" x="7882"/>
        <item m="1" x="1320"/>
        <item m="1" x="1764"/>
        <item m="1" x="2209"/>
        <item m="1" x="2656"/>
        <item m="1" x="4530"/>
        <item m="1" x="4986"/>
        <item m="1" x="5420"/>
        <item m="1" x="5876"/>
        <item m="1" x="6316"/>
        <item m="1" x="6767"/>
        <item m="1" x="7204"/>
        <item m="1" x="7648"/>
        <item m="1" x="1090"/>
        <item m="1" x="1542"/>
        <item m="1" x="1977"/>
        <item m="1" x="2422"/>
        <item m="1" x="2865"/>
        <item m="1" x="3310"/>
        <item m="1" x="3751"/>
        <item m="1" x="4194"/>
        <item m="1" x="4638"/>
        <item m="1" x="5088"/>
        <item m="1" x="5533"/>
        <item m="1" x="5978"/>
        <item m="1" x="6426"/>
        <item m="1" x="6867"/>
        <item m="1" x="7314"/>
        <item m="1" x="7756"/>
        <item m="1" x="1201"/>
        <item m="1" x="1643"/>
        <item m="1" x="2091"/>
        <item m="1" x="2528"/>
        <item m="1" x="2975"/>
        <item m="1" x="3413"/>
        <item m="1" x="3865"/>
        <item m="1" x="4304"/>
        <item m="1" x="4752"/>
        <item m="1" x="5192"/>
        <item m="1" x="5647"/>
        <item m="1" x="6087"/>
        <item m="1" x="6536"/>
        <item m="1" x="6972"/>
        <item m="1" x="7426"/>
        <item m="1" x="7866"/>
        <item m="1" x="1312"/>
        <item m="1" x="1747"/>
        <item m="1" x="2198"/>
        <item m="1" x="2638"/>
        <item m="1" x="3081"/>
        <item m="1" x="3522"/>
        <item m="1" x="3970"/>
        <item m="1" x="4413"/>
        <item m="1" x="4861"/>
        <item m="1" x="5299"/>
        <item m="1" x="5751"/>
        <item m="1" x="6197"/>
        <item m="1" x="6642"/>
        <item m="1" x="7083"/>
        <item m="1" x="7527"/>
        <item m="1" x="7972"/>
        <item m="1" x="1422"/>
        <item m="1" x="1855"/>
        <item m="1" x="2300"/>
        <item m="1" x="2747"/>
        <item m="1" x="3189"/>
        <item m="1" x="3629"/>
        <item m="1" x="4074"/>
        <item m="1" x="4519"/>
        <item m="1" x="4970"/>
        <item m="1" x="5409"/>
        <item m="1" x="5856"/>
        <item m="1" x="7742"/>
        <item m="1" x="1192"/>
        <item m="1" x="1629"/>
        <item m="1" x="2080"/>
        <item m="1" x="2511"/>
        <item m="1" x="2960"/>
        <item m="1" x="3397"/>
        <item m="1" x="3850"/>
        <item m="1" x="4289"/>
        <item m="1" x="4739"/>
        <item m="1" x="5177"/>
        <item m="1" x="5631"/>
        <item m="1" x="6070"/>
        <item m="1" x="6517"/>
        <item m="1" x="6957"/>
        <item m="1" x="7407"/>
        <item m="1" x="7851"/>
        <item m="1" x="1296"/>
        <item m="1" x="1734"/>
        <item m="1" x="2180"/>
        <item m="1" x="2624"/>
        <item m="1" x="3061"/>
        <item m="1" x="3508"/>
        <item m="1" x="3950"/>
        <item m="1" x="4402"/>
        <item m="1" x="4845"/>
        <item m="1" x="5289"/>
        <item m="1" x="5733"/>
        <item m="1" x="6186"/>
        <item m="1" x="6622"/>
        <item m="1" x="7070"/>
        <item m="1" x="7507"/>
        <item m="1" x="7965"/>
        <item m="1" x="1406"/>
        <item m="1" x="1847"/>
        <item m="1" x="2282"/>
        <item m="1" x="2736"/>
        <item m="1" x="3169"/>
        <item m="1" x="3617"/>
        <item m="1" x="4056"/>
        <item m="1" x="4513"/>
        <item m="1" x="4955"/>
        <item m="1" x="5400"/>
        <item m="1" x="5839"/>
        <item m="1" x="6293"/>
        <item m="1" x="6731"/>
        <item m="1" x="7177"/>
        <item m="1" x="7618"/>
        <item m="1" x="1073"/>
        <item m="1" x="1513"/>
        <item m="1" x="1957"/>
        <item m="1" x="2389"/>
        <item m="1" x="2838"/>
        <item m="1" x="3279"/>
        <item m="1" x="3724"/>
        <item m="1" x="4167"/>
        <item m="1" x="4618"/>
        <item m="1" x="5062"/>
        <item m="1" x="5511"/>
        <item m="1" x="5949"/>
        <item m="1" x="6396"/>
        <item m="1" x="6839"/>
        <item m="1" x="7286"/>
        <item m="1" x="7728"/>
        <item m="1" x="1177"/>
        <item m="1" x="1620"/>
        <item m="1" x="2065"/>
        <item m="1" x="3935"/>
        <item m="1" x="4390"/>
        <item m="1" x="4832"/>
        <item m="1" x="5280"/>
        <item m="1" x="5719"/>
        <item m="1" x="6174"/>
        <item m="1" x="6606"/>
        <item m="1" x="7055"/>
        <item m="1" x="7494"/>
        <item m="1" x="7949"/>
        <item m="1" x="1391"/>
        <item m="1" x="1834"/>
        <item m="1" x="2269"/>
        <item m="1" x="2720"/>
        <item m="1" x="3155"/>
        <item m="1" x="3599"/>
        <item m="1" x="4043"/>
        <item m="1" x="4493"/>
        <item m="1" x="4942"/>
        <item m="1" x="5385"/>
        <item m="1" x="5829"/>
        <item m="1" x="6276"/>
        <item m="1" x="6719"/>
        <item m="1" x="7158"/>
        <item m="1" x="7606"/>
        <item m="1" x="1054"/>
        <item m="1" x="1505"/>
        <item m="1" x="1942"/>
        <item m="1" x="2381"/>
        <item m="1" x="2821"/>
        <item m="1" x="3270"/>
        <item m="1" x="3705"/>
        <item m="1" x="4156"/>
        <item m="1" x="4598"/>
        <item m="1" x="5057"/>
        <item m="1" x="5496"/>
        <item m="1" x="5942"/>
        <item m="1" x="6379"/>
        <item m="1" x="6829"/>
        <item m="1" x="7267"/>
        <item m="1" x="7716"/>
        <item m="1" x="1160"/>
        <item m="1" x="1612"/>
        <item m="1" x="2050"/>
        <item m="1" x="2491"/>
        <item m="1" x="2925"/>
        <item m="1" x="3374"/>
        <item m="1" x="3815"/>
        <item m="1" x="4262"/>
        <item m="1" x="4711"/>
        <item m="1" x="5159"/>
        <item m="1" x="5602"/>
        <item m="1" x="6050"/>
        <item m="1" x="6486"/>
        <item m="1" x="6930"/>
        <item m="1" x="7376"/>
        <item m="1" x="7824"/>
        <item m="1" x="1270"/>
        <item m="1" x="1714"/>
        <item m="1" x="2155"/>
        <item m="1" x="2602"/>
        <item m="1" x="3033"/>
        <item m="1" x="3478"/>
        <item m="1" x="3923"/>
        <item m="1" x="4371"/>
        <item m="1" x="4819"/>
        <item m="1" x="5265"/>
        <item m="1" x="7141"/>
        <item m="1" x="7593"/>
        <item m="1" x="1039"/>
        <item m="1" x="1493"/>
        <item m="1" x="1928"/>
        <item m="1" x="2370"/>
        <item m="1" x="2807"/>
        <item m="1" x="3257"/>
        <item m="1" x="3689"/>
        <item m="1" x="4139"/>
        <item m="1" x="4584"/>
        <item m="1" x="5039"/>
        <item m="1" x="5481"/>
        <item m="1" x="5927"/>
        <item m="1" x="6366"/>
        <item m="1" x="6813"/>
        <item m="1" x="7253"/>
        <item m="1" x="7696"/>
        <item m="1" x="1146"/>
        <item m="1" x="1593"/>
        <item m="1" x="2038"/>
        <item m="1" x="2475"/>
        <item m="1" x="2915"/>
        <item m="1" x="3357"/>
        <item m="1" x="3803"/>
        <item m="1" x="4242"/>
        <item m="1" x="4698"/>
        <item m="1" x="5139"/>
        <item m="1" x="5595"/>
        <item m="1" x="6034"/>
        <item m="1" x="6478"/>
        <item m="1" x="6913"/>
        <item m="1" x="7366"/>
        <item m="1" x="7804"/>
        <item m="1" x="1259"/>
        <item m="1" x="1696"/>
        <item m="1" x="2149"/>
        <item m="1" x="2586"/>
        <item m="1" x="3026"/>
        <item m="1" x="3461"/>
        <item m="1" x="3912"/>
        <item m="1" x="4352"/>
        <item m="1" x="4806"/>
        <item m="1" x="5248"/>
        <item m="1" x="5702"/>
        <item m="1" x="6144"/>
        <item m="1" x="6588"/>
        <item m="1" x="7021"/>
        <item m="1" x="7471"/>
        <item m="1" x="7915"/>
        <item m="1" x="1365"/>
        <item m="1" x="1807"/>
        <item m="1" x="2251"/>
        <item m="1" x="2693"/>
        <item m="1" x="3135"/>
        <item m="1" x="3569"/>
        <item m="1" x="4016"/>
        <item m="1" x="4464"/>
        <item m="1" x="4914"/>
        <item m="1" x="5359"/>
        <item m="1" x="5808"/>
        <item m="1" x="6252"/>
        <item m="1" x="6697"/>
        <item m="1" x="7130"/>
        <item m="1" x="7574"/>
        <item m="1" x="1027"/>
        <item m="1" x="1474"/>
        <item m="1" x="3344"/>
        <item m="1" x="3794"/>
        <item m="1" x="4226"/>
        <item m="1" x="4684"/>
        <item m="1" x="5124"/>
        <item m="1" x="5580"/>
        <item m="1" x="6020"/>
        <item m="1" x="6466"/>
        <item m="1" x="6900"/>
        <item m="1" x="7352"/>
        <item m="1" x="7788"/>
        <item m="1" x="1241"/>
        <item m="1" x="1683"/>
        <item m="1" x="2131"/>
        <item m="1" x="2571"/>
        <item m="1" x="3011"/>
        <item m="1" x="3448"/>
        <item m="1" x="3895"/>
        <item m="1" x="4338"/>
        <item m="1" x="4786"/>
        <item m="1" x="5235"/>
        <item m="1" x="5682"/>
        <item m="1" x="6132"/>
        <item m="1" x="6572"/>
        <item m="1" x="7011"/>
        <item m="1" x="7454"/>
        <item m="1" x="7904"/>
        <item m="1" x="1345"/>
        <item m="1" x="1794"/>
        <item m="1" x="2232"/>
        <item m="1" x="2686"/>
        <item m="1" x="3119"/>
        <item m="1" x="3561"/>
        <item m="1" x="3999"/>
        <item m="1" x="4454"/>
        <item m="1" x="4894"/>
        <item m="1" x="5347"/>
        <item m="1" x="5789"/>
        <item m="1" x="6245"/>
        <item m="1" x="6681"/>
        <item m="1" x="7121"/>
        <item m="1" x="7557"/>
        <item m="1" x="1014"/>
        <item m="1" x="1455"/>
        <item m="1" x="1901"/>
        <item m="1" x="2340"/>
        <item m="1" x="2790"/>
        <item m="1" x="3227"/>
        <item m="1" x="3669"/>
        <item m="1" x="4106"/>
        <item m="1" x="4557"/>
        <item m="1" x="5005"/>
        <item m="1" x="5452"/>
        <item m="1" x="5900"/>
        <item m="1" x="6346"/>
        <item m="1" x="6786"/>
        <item m="1" x="7231"/>
        <item m="1" x="7666"/>
        <item m="1" x="1117"/>
        <item m="1" x="1565"/>
        <item m="1" x="2009"/>
        <item m="1" x="2449"/>
        <item m="1" x="2892"/>
        <item m="1" x="3333"/>
        <item m="1" x="3778"/>
        <item m="1" x="4216"/>
        <item m="1" x="4664"/>
        <item m="1" x="6559"/>
        <item m="1" x="7002"/>
        <item m="1" x="7441"/>
        <item m="1" x="7894"/>
        <item m="1" x="1328"/>
        <item m="1" x="1779"/>
        <item m="1" x="2217"/>
        <item m="1" x="2671"/>
        <item m="1" x="3105"/>
        <item m="1" x="3548"/>
        <item m="1" x="3985"/>
        <item m="1" x="4439"/>
        <item m="1" x="4878"/>
        <item m="1" x="5328"/>
        <item m="1" x="5774"/>
        <item m="1" x="6226"/>
        <item m="1" x="6666"/>
        <item m="1" x="7105"/>
        <item m="1" x="7544"/>
        <item m="1" x="7995"/>
        <item m="1" x="1441"/>
        <item m="1" x="1881"/>
        <item m="1" x="2326"/>
        <item m="1" x="2771"/>
        <item m="1" x="3216"/>
        <item m="1" x="3653"/>
        <item m="1" x="4096"/>
        <item m="1" x="4540"/>
        <item m="1" x="4994"/>
        <item m="1" x="5432"/>
        <item m="1" x="5887"/>
        <item m="1" x="6326"/>
        <item m="1" x="6779"/>
        <item m="1" x="7215"/>
        <item m="1" x="7658"/>
        <item m="1" x="1100"/>
        <item m="1" x="1554"/>
        <item m="1" x="1989"/>
        <item m="1" x="2436"/>
        <item m="1" x="2875"/>
        <item m="1" x="3325"/>
        <item m="1" x="3762"/>
        <item m="1" x="4206"/>
        <item m="1" x="4647"/>
        <item m="1" x="5101"/>
        <item m="1" x="5543"/>
        <item m="1" x="5993"/>
        <item m="1" x="6436"/>
        <item m="1" x="6882"/>
        <item m="1" x="7322"/>
        <item m="1" x="7768"/>
        <item m="1" x="1208"/>
        <item m="1" x="1656"/>
        <item m="1" x="2099"/>
        <item m="1" x="2543"/>
        <item m="1" x="2984"/>
        <item m="1" x="3428"/>
        <item m="1" x="3869"/>
        <item m="1" x="4316"/>
        <item m="1" x="4758"/>
        <item m="1" x="5205"/>
        <item m="1" x="5654"/>
        <item m="1" x="6102"/>
        <item m="1" x="6545"/>
        <item m="1" x="6986"/>
        <item m="1" x="7432"/>
        <item m="1" x="7878"/>
        <item m="1" x="2756"/>
        <item m="1" x="3204"/>
        <item m="1" x="3640"/>
        <item m="1" x="4086"/>
        <item m="1" x="4526"/>
        <item m="1" x="4982"/>
        <item m="1" x="5416"/>
        <item m="1" x="5871"/>
        <item m="1" x="6313"/>
        <item m="1" x="6762"/>
        <item m="1" x="7200"/>
        <item m="1" x="7644"/>
        <item m="1" x="1087"/>
        <item m="1" x="1538"/>
        <item m="1" x="1974"/>
        <item m="1" x="2417"/>
        <item m="1" x="2861"/>
        <item m="1" x="3305"/>
        <item m="1" x="3748"/>
        <item m="1" x="4190"/>
        <item m="1" x="4636"/>
        <item m="1" x="5084"/>
        <item m="1" x="5530"/>
        <item m="1" x="5973"/>
        <item m="1" x="6423"/>
        <item m="1" x="6862"/>
        <item m="1" x="7313"/>
        <item m="1" x="7752"/>
        <item m="1" x="1199"/>
        <item m="1" x="1639"/>
        <item m="1" x="2089"/>
        <item m="1" x="2523"/>
        <item m="1" x="2972"/>
        <item m="1" x="3408"/>
        <item m="1" x="3863"/>
        <item m="1" x="4300"/>
        <item m="1" x="4750"/>
        <item m="1" x="5188"/>
        <item m="1" x="5643"/>
        <item m="1" x="6082"/>
        <item m="1" x="6532"/>
        <item m="1" x="6968"/>
        <item m="1" x="7423"/>
        <item m="1" x="7862"/>
        <item m="1" x="1308"/>
        <item m="1" x="1743"/>
        <item m="1" x="2193"/>
        <item m="1" x="2634"/>
        <item m="1" x="3076"/>
        <item m="1" x="3519"/>
        <item m="1" x="3966"/>
        <item m="1" x="4409"/>
        <item m="1" x="4857"/>
        <item m="1" x="5296"/>
        <item m="1" x="5746"/>
        <item m="1" x="6194"/>
        <item m="1" x="6637"/>
        <item m="1" x="7079"/>
        <item m="1" x="7523"/>
        <item m="1" x="7970"/>
        <item m="1" x="1418"/>
        <item m="1" x="1853"/>
        <item m="1" x="2295"/>
        <item m="1" x="2744"/>
        <item m="1" x="3184"/>
        <item m="1" x="3627"/>
        <item m="1" x="4070"/>
        <item t="default"/>
      </items>
    </pivotField>
    <pivotField showAll="0"/>
    <pivotField showAll="0">
      <items count="11">
        <item x="1"/>
        <item h="1" x="2"/>
        <item h="1" x="3"/>
        <item h="1" x="4"/>
        <item h="1" x="5"/>
        <item h="1" x="6"/>
        <item h="1" x="7"/>
        <item h="1" x="8"/>
        <item h="1" x="9"/>
        <item h="1" x="0"/>
        <item t="default"/>
      </items>
    </pivotField>
    <pivotField showAll="0"/>
    <pivotField showAll="0"/>
    <pivotField showAll="0"/>
    <pivotField dataField="1" showAll="0" defaultSubtotal="0"/>
    <pivotField dataField="1" showAll="0" defaultSubtotal="0"/>
    <pivotField dataField="1" showAll="0" defaultSubtotal="0"/>
    <pivotField showAll="0" defaultSubtotal="0"/>
    <pivotField showAll="0" defaultSubtotal="0"/>
    <pivotField showAll="0" defaultSubtotal="0"/>
  </pivotFields>
  <rowFields count="1">
    <field x="7"/>
  </rowFields>
  <rowItems count="1003">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x v="1001"/>
    </i>
    <i t="grand">
      <x/>
    </i>
  </rowItems>
  <colFields count="1">
    <field x="-2"/>
  </colFields>
  <colItems count="3">
    <i>
      <x/>
    </i>
    <i i="1">
      <x v="1"/>
    </i>
    <i i="2">
      <x v="2"/>
    </i>
  </colItems>
  <dataFields count="3">
    <dataField name="Average of ACTUALTR" fld="13" subtotal="average" baseField="7" baseItem="12"/>
    <dataField name="Average of PREDICTEDTR" fld="14" subtotal="average" baseField="7" baseItem="12"/>
    <dataField name="Average of ERRORTR" fld="15" subtotal="average" baseField="7" baseItem="12"/>
  </dataFields>
  <chartFormats count="3">
    <chartFormat chart="5" format="12" series="1">
      <pivotArea type="data" outline="0" fieldPosition="0">
        <references count="1">
          <reference field="4294967294" count="1" selected="0">
            <x v="0"/>
          </reference>
        </references>
      </pivotArea>
    </chartFormat>
    <chartFormat chart="5" format="13" series="1">
      <pivotArea type="data" outline="0" fieldPosition="0">
        <references count="1">
          <reference field="4294967294" count="1" selected="0">
            <x v="1"/>
          </reference>
        </references>
      </pivotArea>
    </chartFormat>
    <chartFormat chart="5" format="14"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1"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0" fieldListSortAscending="1">
  <location ref="A1:D54" firstHeaderRow="0" firstDataRow="1" firstDataCol="1"/>
  <pivotFields count="19">
    <pivotField showAll="0">
      <items count="89">
        <item h="1" m="1" x="27"/>
        <item h="1" m="1" x="36"/>
        <item h="1" m="1" x="9"/>
        <item h="1" m="1" x="42"/>
        <item h="1" m="1" x="48"/>
        <item h="1" m="1" x="60"/>
        <item h="1" m="1" x="19"/>
        <item h="1" m="1" x="28"/>
        <item h="1" m="1" x="6"/>
        <item h="1" m="1" x="85"/>
        <item h="1" m="1" x="43"/>
        <item h="1" m="1" x="75"/>
        <item h="1" m="1" x="18"/>
        <item h="1" m="1" x="20"/>
        <item h="1" m="1" x="72"/>
        <item h="1" m="1" x="33"/>
        <item h="1" m="1" x="54"/>
        <item h="1" m="1" x="13"/>
        <item h="1" m="1" x="67"/>
        <item h="1" m="1" x="40"/>
        <item h="1" m="1" x="49"/>
        <item h="1" m="1" x="4"/>
        <item h="1" m="1" x="44"/>
        <item h="1" x="0"/>
        <item h="1" m="1" x="50"/>
        <item h="1" m="1" x="35"/>
        <item h="1" m="1" x="70"/>
        <item h="1" m="1" x="24"/>
        <item h="1" m="1" x="63"/>
        <item h="1" m="1" x="29"/>
        <item h="1" m="1" x="21"/>
        <item h="1" m="1" x="37"/>
        <item h="1" m="1" x="73"/>
        <item x="1"/>
        <item h="1" m="1" x="38"/>
        <item h="1" m="1" x="34"/>
        <item h="1" m="1" x="80"/>
        <item h="1" m="1" x="87"/>
        <item h="1" m="1" x="2"/>
        <item h="1" m="1" x="79"/>
        <item h="1" m="1" x="69"/>
        <item h="1" m="1" x="68"/>
        <item h="1" m="1" x="61"/>
        <item h="1" m="1" x="39"/>
        <item h="1" m="1" x="11"/>
        <item h="1" m="1" x="62"/>
        <item h="1" m="1" x="76"/>
        <item h="1" m="1" x="45"/>
        <item h="1" m="1" x="31"/>
        <item h="1" m="1" x="16"/>
        <item h="1" m="1" x="3"/>
        <item h="1" m="1" x="14"/>
        <item h="1" m="1" x="5"/>
        <item h="1" m="1" x="46"/>
        <item h="1" m="1" x="22"/>
        <item h="1" m="1" x="77"/>
        <item h="1" m="1" x="10"/>
        <item h="1" m="1" x="55"/>
        <item h="1" m="1" x="81"/>
        <item h="1" m="1" x="82"/>
        <item h="1" m="1" x="57"/>
        <item h="1" m="1" x="71"/>
        <item h="1" m="1" x="30"/>
        <item h="1" m="1" x="15"/>
        <item h="1" m="1" x="64"/>
        <item h="1" m="1" x="23"/>
        <item h="1" m="1" x="83"/>
        <item h="1" m="1" x="58"/>
        <item h="1" m="1" x="7"/>
        <item h="1" m="1" x="78"/>
        <item h="1" m="1" x="12"/>
        <item h="1" m="1" x="26"/>
        <item h="1" m="1" x="66"/>
        <item h="1" m="1" x="25"/>
        <item h="1" m="1" x="56"/>
        <item h="1" m="1" x="51"/>
        <item h="1" m="1" x="52"/>
        <item h="1" m="1" x="86"/>
        <item h="1" m="1" x="41"/>
        <item h="1" m="1" x="53"/>
        <item h="1" m="1" x="59"/>
        <item h="1" m="1" x="65"/>
        <item h="1" m="1" x="8"/>
        <item h="1" m="1" x="84"/>
        <item h="1" m="1" x="17"/>
        <item h="1" m="1" x="32"/>
        <item h="1" m="1" x="74"/>
        <item h="1" m="1" x="47"/>
        <item t="default"/>
      </items>
    </pivotField>
    <pivotField showAll="0">
      <items count="273">
        <item m="1" x="20"/>
        <item m="1" x="251"/>
        <item m="1" x="69"/>
        <item m="1" x="202"/>
        <item m="1" x="211"/>
        <item m="1" x="207"/>
        <item m="1" x="182"/>
        <item m="1" x="246"/>
        <item m="1" x="93"/>
        <item m="1" x="47"/>
        <item m="1" x="138"/>
        <item m="1" x="38"/>
        <item m="1" x="179"/>
        <item m="1" x="139"/>
        <item m="1" x="221"/>
        <item m="1" x="142"/>
        <item m="1" x="39"/>
        <item m="1" x="152"/>
        <item m="1" x="54"/>
        <item m="1" x="21"/>
        <item m="1" x="194"/>
        <item m="1" x="229"/>
        <item m="1" x="34"/>
        <item m="1" x="162"/>
        <item m="1" x="86"/>
        <item x="1"/>
        <item m="1" x="252"/>
        <item m="1" x="59"/>
        <item m="1" x="117"/>
        <item m="1" x="27"/>
        <item x="4"/>
        <item m="1" x="106"/>
        <item m="1" x="234"/>
        <item m="1" x="130"/>
        <item m="1" x="28"/>
        <item m="1" x="222"/>
        <item m="1" x="82"/>
        <item m="1" x="237"/>
        <item m="1" x="238"/>
        <item m="1" x="256"/>
        <item m="1" x="118"/>
        <item m="1" x="217"/>
        <item m="1" x="29"/>
        <item m="1" x="90"/>
        <item m="1" x="16"/>
        <item m="1" x="195"/>
        <item m="1" x="158"/>
        <item m="1" x="74"/>
        <item m="1" x="174"/>
        <item m="1" x="134"/>
        <item m="1" x="230"/>
        <item m="1" x="183"/>
        <item m="1" x="98"/>
        <item m="1" x="196"/>
        <item m="1" x="22"/>
        <item m="1" x="67"/>
        <item m="1" x="163"/>
        <item m="1" x="247"/>
        <item m="1" x="119"/>
        <item m="1" x="215"/>
        <item m="1" x="135"/>
        <item m="1" x="143"/>
        <item m="1" x="257"/>
        <item m="1" x="175"/>
        <item m="1" x="30"/>
        <item x="9"/>
        <item m="1" x="31"/>
        <item m="1" x="107"/>
        <item m="1" x="164"/>
        <item m="1" x="266"/>
        <item m="1" x="121"/>
        <item m="1" x="125"/>
        <item m="1" x="176"/>
        <item m="1" x="51"/>
        <item m="1" x="112"/>
        <item m="1" x="242"/>
        <item m="1" x="123"/>
        <item m="1" x="148"/>
        <item m="1" x="126"/>
        <item m="1" x="42"/>
        <item m="1" x="258"/>
        <item m="1" x="94"/>
        <item m="1" x="113"/>
        <item m="1" x="60"/>
        <item m="1" x="91"/>
        <item m="1" x="212"/>
        <item m="1" x="218"/>
        <item m="1" x="32"/>
        <item m="1" x="170"/>
        <item m="1" x="136"/>
        <item m="1" x="92"/>
        <item m="1" x="186"/>
        <item m="1" x="83"/>
        <item m="1" x="114"/>
        <item m="1" x="131"/>
        <item m="1" x="197"/>
        <item m="1" x="55"/>
        <item m="1" x="150"/>
        <item m="1" x="48"/>
        <item m="1" x="56"/>
        <item m="1" x="108"/>
        <item m="1" x="80"/>
        <item m="1" x="216"/>
        <item m="1" x="23"/>
        <item m="1" x="49"/>
        <item m="1" x="153"/>
        <item m="1" x="225"/>
        <item m="1" x="184"/>
        <item m="1" x="165"/>
        <item m="1" x="248"/>
        <item m="1" x="171"/>
        <item m="1" x="243"/>
        <item m="1" x="109"/>
        <item m="1" x="208"/>
        <item m="1" x="95"/>
        <item m="1" x="87"/>
        <item m="1" x="43"/>
        <item m="1" x="249"/>
        <item m="1" x="61"/>
        <item m="1" x="187"/>
        <item m="1" x="40"/>
        <item m="1" x="127"/>
        <item m="1" x="177"/>
        <item m="1" x="81"/>
        <item m="1" x="213"/>
        <item m="1" x="231"/>
        <item m="1" x="52"/>
        <item m="1" x="155"/>
        <item m="1" x="267"/>
        <item x="0"/>
        <item m="1" x="128"/>
        <item m="1" x="172"/>
        <item m="1" x="227"/>
        <item m="1" x="181"/>
        <item x="2"/>
        <item m="1" x="50"/>
        <item m="1" x="209"/>
        <item m="1" x="263"/>
        <item m="1" x="68"/>
        <item m="1" x="124"/>
        <item m="1" x="270"/>
        <item m="1" x="129"/>
        <item m="1" x="44"/>
        <item m="1" x="259"/>
        <item m="1" x="178"/>
        <item m="1" x="110"/>
        <item m="1" x="166"/>
        <item m="1" x="132"/>
        <item m="1" x="102"/>
        <item m="1" x="62"/>
        <item m="1" x="245"/>
        <item m="1" x="250"/>
        <item m="1" x="169"/>
        <item m="1" x="17"/>
        <item m="1" x="70"/>
        <item m="1" x="45"/>
        <item m="1" x="12"/>
        <item m="1" x="64"/>
        <item m="1" x="188"/>
        <item m="1" x="71"/>
        <item m="1" x="88"/>
        <item m="1" x="103"/>
        <item m="1" x="120"/>
        <item m="1" x="219"/>
        <item m="1" x="35"/>
        <item m="1" x="189"/>
        <item m="1" x="53"/>
        <item m="1" x="239"/>
        <item m="1" x="72"/>
        <item m="1" x="24"/>
        <item m="1" x="203"/>
        <item m="1" x="264"/>
        <item m="1" x="190"/>
        <item m="1" x="214"/>
        <item m="1" x="84"/>
        <item m="1" x="244"/>
        <item m="1" x="13"/>
        <item m="1" x="232"/>
        <item m="1" x="65"/>
        <item m="1" x="223"/>
        <item x="10"/>
        <item m="1" x="144"/>
        <item m="1" x="191"/>
        <item m="1" x="268"/>
        <item m="1" x="240"/>
        <item m="1" x="198"/>
        <item m="1" x="271"/>
        <item m="1" x="104"/>
        <item m="1" x="204"/>
        <item m="1" x="96"/>
        <item m="1" x="192"/>
        <item m="1" x="253"/>
        <item m="1" x="57"/>
        <item m="1" x="159"/>
        <item m="1" x="25"/>
        <item m="1" x="89"/>
        <item m="1" x="63"/>
        <item m="1" x="75"/>
        <item m="1" x="140"/>
        <item m="1" x="154"/>
        <item m="1" x="167"/>
        <item m="1" x="235"/>
        <item m="1" x="36"/>
        <item m="1" x="269"/>
        <item m="1" x="173"/>
        <item m="1" x="46"/>
        <item m="1" x="260"/>
        <item m="1" x="76"/>
        <item m="1" x="224"/>
        <item m="1" x="236"/>
        <item m="1" x="228"/>
        <item m="1" x="151"/>
        <item m="1" x="205"/>
        <item x="8"/>
        <item m="1" x="66"/>
        <item m="1" x="122"/>
        <item m="1" x="97"/>
        <item x="3"/>
        <item m="1" x="85"/>
        <item m="1" x="254"/>
        <item m="1" x="73"/>
        <item m="1" x="105"/>
        <item m="1" x="261"/>
        <item m="1" x="210"/>
        <item m="1" x="180"/>
        <item m="1" x="145"/>
        <item m="1" x="99"/>
        <item m="1" x="77"/>
        <item m="1" x="33"/>
        <item m="1" x="141"/>
        <item x="6"/>
        <item m="1" x="146"/>
        <item m="1" x="156"/>
        <item m="1" x="199"/>
        <item m="1" x="255"/>
        <item x="11"/>
        <item m="1" x="26"/>
        <item m="1" x="262"/>
        <item m="1" x="78"/>
        <item m="1" x="111"/>
        <item m="1" x="41"/>
        <item m="1" x="161"/>
        <item m="1" x="14"/>
        <item m="1" x="185"/>
        <item m="1" x="168"/>
        <item m="1" x="147"/>
        <item m="1" x="241"/>
        <item m="1" x="220"/>
        <item m="1" x="15"/>
        <item m="1" x="233"/>
        <item m="1" x="37"/>
        <item m="1" x="133"/>
        <item m="1" x="100"/>
        <item m="1" x="200"/>
        <item m="1" x="115"/>
        <item m="1" x="79"/>
        <item m="1" x="18"/>
        <item m="1" x="101"/>
        <item m="1" x="116"/>
        <item m="1" x="160"/>
        <item x="5"/>
        <item m="1" x="226"/>
        <item x="7"/>
        <item m="1" x="137"/>
        <item m="1" x="193"/>
        <item m="1" x="157"/>
        <item m="1" x="19"/>
        <item m="1" x="149"/>
        <item m="1" x="201"/>
        <item m="1" x="58"/>
        <item m="1" x="265"/>
        <item m="1" x="206"/>
        <item t="default"/>
      </items>
    </pivotField>
    <pivotField showAll="0"/>
    <pivotField showAll="0"/>
    <pivotField showAll="0" defaultSubtotal="0">
      <items count="6">
        <item x="0"/>
        <item x="1"/>
        <item x="2"/>
        <item x="3"/>
        <item x="4"/>
        <item x="5"/>
      </items>
    </pivotField>
    <pivotField showAll="0" defaultSubtotal="0">
      <items count="2">
        <item h="1" x="0"/>
        <item x="1"/>
      </items>
    </pivotField>
    <pivotField showAll="0">
      <items count="269">
        <item m="1" x="191"/>
        <item m="1" x="198"/>
        <item m="1" x="135"/>
        <item m="1" x="167"/>
        <item m="1" x="181"/>
        <item m="1" x="77"/>
        <item m="1" x="150"/>
        <item m="1" x="124"/>
        <item m="1" x="176"/>
        <item m="1" x="177"/>
        <item m="1" x="246"/>
        <item m="1" x="95"/>
        <item m="1" x="182"/>
        <item m="1" x="96"/>
        <item m="1" x="162"/>
        <item m="1" x="12"/>
        <item m="1" x="75"/>
        <item m="1" x="257"/>
        <item m="1" x="151"/>
        <item m="1" x="41"/>
        <item m="1" x="109"/>
        <item m="1" x="132"/>
        <item m="1" x="65"/>
        <item m="1" x="29"/>
        <item m="1" x="224"/>
        <item m="1" x="110"/>
        <item m="1" x="107"/>
        <item m="1" x="27"/>
        <item m="1" x="157"/>
        <item m="1" x="66"/>
        <item m="1" x="199"/>
        <item m="1" x="183"/>
        <item m="1" x="87"/>
        <item m="1" x="168"/>
        <item m="1" x="263"/>
        <item m="1" x="97"/>
        <item m="1" x="30"/>
        <item m="1" x="133"/>
        <item m="1" x="227"/>
        <item m="1" x="108"/>
        <item m="1" x="172"/>
        <item m="1" x="111"/>
        <item m="1" x="234"/>
        <item m="1" x="247"/>
        <item m="1" x="42"/>
        <item m="1" x="163"/>
        <item m="1" x="145"/>
        <item m="1" x="237"/>
        <item m="1" x="228"/>
        <item m="1" x="112"/>
        <item m="1" x="160"/>
        <item m="1" x="19"/>
        <item m="1" x="169"/>
        <item m="1" x="218"/>
        <item m="1" x="158"/>
        <item m="1" x="136"/>
        <item m="1" x="206"/>
        <item m="1" x="31"/>
        <item m="1" x="69"/>
        <item m="1" x="142"/>
        <item m="1" x="239"/>
        <item m="1" x="251"/>
        <item m="1" x="55"/>
        <item m="1" x="98"/>
        <item m="1" x="139"/>
        <item m="1" x="195"/>
        <item m="1" x="258"/>
        <item m="1" x="146"/>
        <item m="1" x="99"/>
        <item m="1" x="52"/>
        <item m="1" x="100"/>
        <item m="1" x="152"/>
        <item m="1" x="173"/>
        <item m="1" x="36"/>
        <item m="1" x="147"/>
        <item m="1" x="22"/>
        <item m="1" x="161"/>
        <item m="1" x="89"/>
        <item m="1" x="44"/>
        <item m="1" x="125"/>
        <item m="1" x="265"/>
        <item m="1" x="200"/>
        <item m="1" x="15"/>
        <item m="1" x="178"/>
        <item m="1" x="67"/>
        <item m="1" x="13"/>
        <item m="1" x="219"/>
        <item m="1" x="140"/>
        <item m="1" x="84"/>
        <item m="1" x="101"/>
        <item m="1" x="196"/>
        <item m="1" x="184"/>
        <item m="1" x="56"/>
        <item m="1" x="164"/>
        <item m="1" x="59"/>
        <item m="1" x="88"/>
        <item m="1" x="113"/>
        <item m="1" x="126"/>
        <item m="1" x="229"/>
        <item m="1" x="225"/>
        <item m="1" x="188"/>
        <item m="1" x="211"/>
        <item m="1" x="174"/>
        <item m="1" x="230"/>
        <item m="1" x="45"/>
        <item m="1" x="192"/>
        <item m="1" x="240"/>
        <item m="1" x="212"/>
        <item m="1" x="16"/>
        <item m="1" x="165"/>
        <item m="1" x="90"/>
        <item m="1" x="148"/>
        <item m="1" x="102"/>
        <item m="1" x="37"/>
        <item m="1" x="68"/>
        <item m="1" x="220"/>
        <item m="1" x="70"/>
        <item m="1" x="127"/>
        <item m="1" x="243"/>
        <item m="1" x="248"/>
        <item m="1" x="91"/>
        <item m="1" x="14"/>
        <item m="1" x="231"/>
        <item m="1" x="249"/>
        <item m="1" x="233"/>
        <item m="1" x="38"/>
        <item m="1" x="115"/>
        <item m="1" x="46"/>
        <item m="1" x="120"/>
        <item m="1" x="213"/>
        <item m="1" x="266"/>
        <item m="1" x="128"/>
        <item m="1" x="121"/>
        <item m="1" x="71"/>
        <item m="1" x="170"/>
        <item m="1" x="103"/>
        <item m="1" x="118"/>
        <item m="1" x="221"/>
        <item m="1" x="208"/>
        <item m="1" x="49"/>
        <item m="1" x="85"/>
        <item m="1" x="17"/>
        <item m="1" x="185"/>
        <item x="10"/>
        <item m="1" x="47"/>
        <item m="1" x="78"/>
        <item m="1" x="189"/>
        <item m="1" x="179"/>
        <item m="1" x="193"/>
        <item m="1" x="50"/>
        <item m="1" x="267"/>
        <item m="1" x="76"/>
        <item m="1" x="134"/>
        <item m="1" x="39"/>
        <item m="1" x="214"/>
        <item m="1" x="143"/>
        <item m="1" x="241"/>
        <item m="1" x="252"/>
        <item m="1" x="144"/>
        <item m="1" x="215"/>
        <item m="1" x="86"/>
        <item m="1" x="57"/>
        <item m="1" x="222"/>
        <item m="1" x="149"/>
        <item m="1" x="207"/>
        <item m="1" x="79"/>
        <item x="8"/>
        <item m="1" x="23"/>
        <item m="1" x="253"/>
        <item m="1" x="72"/>
        <item m="1" x="32"/>
        <item x="0"/>
        <item m="1" x="159"/>
        <item m="1" x="223"/>
        <item m="1" x="209"/>
        <item m="1" x="201"/>
        <item m="1" x="43"/>
        <item m="1" x="254"/>
        <item m="1" x="80"/>
        <item m="1" x="81"/>
        <item m="1" x="203"/>
        <item m="1" x="244"/>
        <item m="1" x="20"/>
        <item x="11"/>
        <item m="1" x="153"/>
        <item m="1" x="48"/>
        <item m="1" x="238"/>
        <item m="1" x="60"/>
        <item m="1" x="40"/>
        <item m="1" x="255"/>
        <item m="1" x="18"/>
        <item m="1" x="92"/>
        <item m="1" x="61"/>
        <item m="1" x="104"/>
        <item m="1" x="166"/>
        <item m="1" x="154"/>
        <item m="1" x="226"/>
        <item m="1" x="202"/>
        <item x="1"/>
        <item m="1" x="194"/>
        <item m="1" x="216"/>
        <item m="1" x="210"/>
        <item m="1" x="105"/>
        <item x="3"/>
        <item m="1" x="250"/>
        <item m="1" x="129"/>
        <item m="1" x="186"/>
        <item m="1" x="245"/>
        <item m="1" x="62"/>
        <item m="1" x="33"/>
        <item m="1" x="123"/>
        <item m="1" x="73"/>
        <item m="1" x="24"/>
        <item m="1" x="82"/>
        <item x="9"/>
        <item m="1" x="28"/>
        <item m="1" x="187"/>
        <item m="1" x="155"/>
        <item m="1" x="63"/>
        <item x="6"/>
        <item m="1" x="83"/>
        <item m="1" x="197"/>
        <item m="1" x="242"/>
        <item m="1" x="114"/>
        <item m="1" x="21"/>
        <item m="1" x="156"/>
        <item m="1" x="53"/>
        <item m="1" x="64"/>
        <item m="1" x="25"/>
        <item m="1" x="259"/>
        <item m="1" x="34"/>
        <item m="1" x="119"/>
        <item m="1" x="130"/>
        <item m="1" x="106"/>
        <item x="4"/>
        <item m="1" x="235"/>
        <item m="1" x="190"/>
        <item m="1" x="260"/>
        <item m="1" x="58"/>
        <item m="1" x="171"/>
        <item m="1" x="141"/>
        <item m="1" x="54"/>
        <item m="1" x="261"/>
        <item x="5"/>
        <item m="1" x="180"/>
        <item m="1" x="137"/>
        <item m="1" x="35"/>
        <item m="1" x="256"/>
        <item m="1" x="26"/>
        <item m="1" x="262"/>
        <item m="1" x="93"/>
        <item m="1" x="138"/>
        <item x="7"/>
        <item m="1" x="116"/>
        <item m="1" x="122"/>
        <item m="1" x="175"/>
        <item x="2"/>
        <item m="1" x="94"/>
        <item m="1" x="74"/>
        <item m="1" x="217"/>
        <item m="1" x="204"/>
        <item m="1" x="131"/>
        <item m="1" x="264"/>
        <item m="1" x="236"/>
        <item m="1" x="205"/>
        <item m="1" x="232"/>
        <item m="1" x="51"/>
        <item m="1" x="117"/>
        <item t="default"/>
      </items>
    </pivotField>
    <pivotField showAll="0" sortType="ascending"/>
    <pivotField axis="axisRow" showAll="0" sortType="ascending">
      <items count="1056">
        <item x="534"/>
        <item x="535"/>
        <item x="536"/>
        <item x="537"/>
        <item x="538"/>
        <item x="539"/>
        <item x="540"/>
        <item x="592"/>
        <item x="593"/>
        <item x="594"/>
        <item x="595"/>
        <item x="596"/>
        <item x="597"/>
        <item x="598"/>
        <item x="650"/>
        <item x="651"/>
        <item x="652"/>
        <item x="653"/>
        <item x="654"/>
        <item x="655"/>
        <item x="656"/>
        <item x="708"/>
        <item x="709"/>
        <item x="710"/>
        <item x="711"/>
        <item x="712"/>
        <item x="713"/>
        <item x="772"/>
        <item x="773"/>
        <item x="774"/>
        <item x="775"/>
        <item x="776"/>
        <item x="777"/>
        <item x="830"/>
        <item x="831"/>
        <item x="832"/>
        <item x="833"/>
        <item x="834"/>
        <item x="835"/>
        <item x="50"/>
        <item x="51"/>
        <item x="52"/>
        <item x="53"/>
        <item x="54"/>
        <item x="55"/>
        <item x="56"/>
        <item x="117"/>
        <item x="118"/>
        <item x="119"/>
        <item x="120"/>
        <item x="121"/>
        <item x="122"/>
        <item x="123"/>
        <item x="181"/>
        <item x="182"/>
        <item x="183"/>
        <item x="184"/>
        <item x="185"/>
        <item x="186"/>
        <item x="231"/>
        <item x="232"/>
        <item x="233"/>
        <item x="234"/>
        <item x="235"/>
        <item x="236"/>
        <item x="237"/>
        <item x="270"/>
        <item x="271"/>
        <item x="272"/>
        <item x="273"/>
        <item x="274"/>
        <item x="275"/>
        <item x="309"/>
        <item x="310"/>
        <item x="311"/>
        <item x="312"/>
        <item x="313"/>
        <item x="314"/>
        <item x="315"/>
        <item x="353"/>
        <item x="354"/>
        <item x="355"/>
        <item x="356"/>
        <item x="357"/>
        <item x="358"/>
        <item x="398"/>
        <item x="399"/>
        <item x="400"/>
        <item x="401"/>
        <item x="402"/>
        <item x="403"/>
        <item x="404"/>
        <item x="443"/>
        <item x="444"/>
        <item x="445"/>
        <item x="446"/>
        <item x="447"/>
        <item x="448"/>
        <item x="487"/>
        <item x="488"/>
        <item x="489"/>
        <item x="490"/>
        <item x="491"/>
        <item x="492"/>
        <item x="493"/>
        <item x="541"/>
        <item x="542"/>
        <item x="543"/>
        <item x="544"/>
        <item x="545"/>
        <item x="546"/>
        <item x="599"/>
        <item x="600"/>
        <item x="601"/>
        <item x="602"/>
        <item x="603"/>
        <item x="604"/>
        <item x="605"/>
        <item x="657"/>
        <item x="658"/>
        <item x="659"/>
        <item x="660"/>
        <item x="661"/>
        <item x="662"/>
        <item x="714"/>
        <item x="715"/>
        <item x="716"/>
        <item x="717"/>
        <item x="718"/>
        <item x="719"/>
        <item x="778"/>
        <item x="779"/>
        <item x="780"/>
        <item x="781"/>
        <item x="782"/>
        <item x="783"/>
        <item x="784"/>
        <item x="836"/>
        <item x="837"/>
        <item x="838"/>
        <item x="839"/>
        <item x="840"/>
        <item x="57"/>
        <item x="58"/>
        <item x="59"/>
        <item x="60"/>
        <item x="61"/>
        <item x="62"/>
        <item x="63"/>
        <item x="64"/>
        <item x="124"/>
        <item x="125"/>
        <item x="126"/>
        <item x="127"/>
        <item x="128"/>
        <item x="129"/>
        <item x="187"/>
        <item x="188"/>
        <item x="189"/>
        <item x="190"/>
        <item x="191"/>
        <item x="192"/>
        <item x="547"/>
        <item x="548"/>
        <item x="549"/>
        <item x="550"/>
        <item x="551"/>
        <item x="552"/>
        <item x="553"/>
        <item x="606"/>
        <item x="607"/>
        <item x="608"/>
        <item x="609"/>
        <item x="610"/>
        <item x="611"/>
        <item x="663"/>
        <item x="664"/>
        <item x="665"/>
        <item x="666"/>
        <item x="667"/>
        <item x="668"/>
        <item x="669"/>
        <item x="720"/>
        <item x="721"/>
        <item x="722"/>
        <item x="723"/>
        <item x="724"/>
        <item x="725"/>
        <item x="785"/>
        <item x="786"/>
        <item x="787"/>
        <item x="788"/>
        <item x="789"/>
        <item x="790"/>
        <item x="841"/>
        <item x="842"/>
        <item x="843"/>
        <item x="844"/>
        <item x="845"/>
        <item x="846"/>
        <item x="65"/>
        <item x="66"/>
        <item x="67"/>
        <item x="68"/>
        <item x="69"/>
        <item x="70"/>
        <item x="71"/>
        <item x="130"/>
        <item x="131"/>
        <item x="132"/>
        <item x="133"/>
        <item x="134"/>
        <item x="135"/>
        <item x="136"/>
        <item x="193"/>
        <item x="194"/>
        <item x="195"/>
        <item x="196"/>
        <item x="197"/>
        <item x="198"/>
        <item x="238"/>
        <item x="239"/>
        <item x="240"/>
        <item x="241"/>
        <item x="242"/>
        <item x="243"/>
        <item x="276"/>
        <item x="277"/>
        <item x="278"/>
        <item x="279"/>
        <item x="280"/>
        <item x="281"/>
        <item x="282"/>
        <item x="316"/>
        <item x="317"/>
        <item x="318"/>
        <item x="319"/>
        <item x="320"/>
        <item x="321"/>
        <item x="359"/>
        <item x="360"/>
        <item x="361"/>
        <item x="362"/>
        <item x="363"/>
        <item x="364"/>
        <item x="365"/>
        <item x="405"/>
        <item x="406"/>
        <item x="407"/>
        <item x="408"/>
        <item x="409"/>
        <item x="410"/>
        <item x="449"/>
        <item x="450"/>
        <item x="451"/>
        <item x="452"/>
        <item x="453"/>
        <item x="454"/>
        <item x="494"/>
        <item x="495"/>
        <item x="496"/>
        <item x="497"/>
        <item x="498"/>
        <item x="499"/>
        <item x="500"/>
        <item x="554"/>
        <item x="555"/>
        <item x="556"/>
        <item x="557"/>
        <item x="558"/>
        <item x="559"/>
        <item x="612"/>
        <item x="613"/>
        <item x="614"/>
        <item x="615"/>
        <item x="616"/>
        <item x="617"/>
        <item x="618"/>
        <item x="670"/>
        <item x="671"/>
        <item x="672"/>
        <item x="673"/>
        <item x="674"/>
        <item x="675"/>
        <item x="726"/>
        <item x="727"/>
        <item x="728"/>
        <item x="729"/>
        <item x="730"/>
        <item x="731"/>
        <item x="732"/>
        <item x="791"/>
        <item x="792"/>
        <item x="793"/>
        <item x="794"/>
        <item x="795"/>
        <item x="796"/>
        <item x="847"/>
        <item x="848"/>
        <item x="849"/>
        <item x="850"/>
        <item x="851"/>
        <item x="72"/>
        <item x="73"/>
        <item x="74"/>
        <item x="75"/>
        <item x="76"/>
        <item x="77"/>
        <item x="78"/>
        <item x="79"/>
        <item x="137"/>
        <item x="138"/>
        <item x="139"/>
        <item x="140"/>
        <item x="141"/>
        <item x="142"/>
        <item x="199"/>
        <item x="200"/>
        <item x="201"/>
        <item x="202"/>
        <item x="203"/>
        <item x="204"/>
        <item x="205"/>
        <item x="322"/>
        <item x="323"/>
        <item x="324"/>
        <item x="325"/>
        <item x="326"/>
        <item x="327"/>
        <item x="366"/>
        <item x="367"/>
        <item x="368"/>
        <item x="369"/>
        <item x="370"/>
        <item x="371"/>
        <item x="411"/>
        <item x="412"/>
        <item x="413"/>
        <item x="414"/>
        <item x="415"/>
        <item x="416"/>
        <item x="417"/>
        <item x="455"/>
        <item x="456"/>
        <item x="457"/>
        <item x="458"/>
        <item x="459"/>
        <item x="460"/>
        <item x="501"/>
        <item x="502"/>
        <item x="503"/>
        <item x="504"/>
        <item x="505"/>
        <item x="506"/>
        <item x="507"/>
        <item x="560"/>
        <item x="561"/>
        <item x="562"/>
        <item x="563"/>
        <item x="564"/>
        <item x="565"/>
        <item x="619"/>
        <item x="620"/>
        <item x="621"/>
        <item x="622"/>
        <item x="623"/>
        <item x="624"/>
        <item x="676"/>
        <item x="677"/>
        <item x="678"/>
        <item x="679"/>
        <item x="680"/>
        <item x="681"/>
        <item x="682"/>
        <item x="733"/>
        <item x="734"/>
        <item x="735"/>
        <item x="736"/>
        <item x="737"/>
        <item x="738"/>
        <item x="797"/>
        <item x="798"/>
        <item x="799"/>
        <item x="800"/>
        <item x="801"/>
        <item x="802"/>
        <item x="5"/>
        <item x="6"/>
        <item x="7"/>
        <item x="8"/>
        <item x="9"/>
        <item x="10"/>
        <item x="11"/>
        <item x="80"/>
        <item x="81"/>
        <item x="82"/>
        <item x="83"/>
        <item x="84"/>
        <item x="85"/>
        <item x="143"/>
        <item x="144"/>
        <item x="145"/>
        <item x="146"/>
        <item x="147"/>
        <item x="148"/>
        <item x="149"/>
        <item x="206"/>
        <item x="207"/>
        <item x="208"/>
        <item x="209"/>
        <item x="210"/>
        <item x="211"/>
        <item x="244"/>
        <item x="245"/>
        <item x="246"/>
        <item x="247"/>
        <item x="248"/>
        <item x="249"/>
        <item x="250"/>
        <item x="283"/>
        <item x="284"/>
        <item x="285"/>
        <item x="286"/>
        <item x="287"/>
        <item x="288"/>
        <item x="328"/>
        <item x="329"/>
        <item x="330"/>
        <item x="331"/>
        <item x="332"/>
        <item x="333"/>
        <item x="372"/>
        <item x="373"/>
        <item x="374"/>
        <item x="375"/>
        <item x="376"/>
        <item x="377"/>
        <item x="378"/>
        <item x="418"/>
        <item x="419"/>
        <item x="420"/>
        <item x="421"/>
        <item x="422"/>
        <item x="423"/>
        <item x="461"/>
        <item x="462"/>
        <item x="463"/>
        <item x="464"/>
        <item x="465"/>
        <item x="466"/>
        <item x="467"/>
        <item x="508"/>
        <item x="509"/>
        <item x="510"/>
        <item x="511"/>
        <item x="512"/>
        <item x="513"/>
        <item x="566"/>
        <item x="567"/>
        <item x="568"/>
        <item x="569"/>
        <item x="570"/>
        <item x="571"/>
        <item x="572"/>
        <item x="625"/>
        <item x="626"/>
        <item x="627"/>
        <item x="628"/>
        <item x="629"/>
        <item x="630"/>
        <item x="683"/>
        <item x="684"/>
        <item x="685"/>
        <item x="686"/>
        <item x="687"/>
        <item x="688"/>
        <item x="739"/>
        <item x="740"/>
        <item x="741"/>
        <item x="742"/>
        <item x="743"/>
        <item x="744"/>
        <item x="745"/>
        <item x="803"/>
        <item x="804"/>
        <item x="805"/>
        <item x="806"/>
        <item x="807"/>
        <item x="12"/>
        <item x="13"/>
        <item x="14"/>
        <item x="15"/>
        <item x="16"/>
        <item x="17"/>
        <item x="18"/>
        <item x="19"/>
        <item x="86"/>
        <item x="87"/>
        <item x="88"/>
        <item x="89"/>
        <item x="90"/>
        <item x="91"/>
        <item x="150"/>
        <item x="151"/>
        <item x="152"/>
        <item x="153"/>
        <item x="154"/>
        <item x="155"/>
        <item x="212"/>
        <item x="213"/>
        <item x="214"/>
        <item x="215"/>
        <item x="216"/>
        <item x="217"/>
        <item x="218"/>
        <item x="251"/>
        <item x="252"/>
        <item x="253"/>
        <item x="254"/>
        <item x="255"/>
        <item x="256"/>
        <item x="289"/>
        <item x="290"/>
        <item x="291"/>
        <item x="292"/>
        <item x="293"/>
        <item x="294"/>
        <item x="295"/>
        <item x="334"/>
        <item x="335"/>
        <item x="336"/>
        <item x="337"/>
        <item x="338"/>
        <item x="339"/>
        <item x="379"/>
        <item x="380"/>
        <item x="381"/>
        <item x="382"/>
        <item x="383"/>
        <item x="384"/>
        <item x="424"/>
        <item x="425"/>
        <item x="426"/>
        <item x="427"/>
        <item x="428"/>
        <item x="429"/>
        <item x="430"/>
        <item x="468"/>
        <item x="469"/>
        <item x="470"/>
        <item x="471"/>
        <item x="472"/>
        <item x="473"/>
        <item x="514"/>
        <item x="515"/>
        <item x="516"/>
        <item x="517"/>
        <item x="518"/>
        <item x="519"/>
        <item x="520"/>
        <item x="573"/>
        <item x="574"/>
        <item x="575"/>
        <item x="576"/>
        <item x="577"/>
        <item x="578"/>
        <item x="631"/>
        <item x="632"/>
        <item x="633"/>
        <item x="634"/>
        <item x="635"/>
        <item x="636"/>
        <item x="689"/>
        <item x="690"/>
        <item x="691"/>
        <item x="692"/>
        <item x="693"/>
        <item x="694"/>
        <item x="695"/>
        <item x="746"/>
        <item x="747"/>
        <item x="748"/>
        <item x="749"/>
        <item x="750"/>
        <item x="751"/>
        <item x="808"/>
        <item x="809"/>
        <item x="810"/>
        <item x="811"/>
        <item x="812"/>
        <item x="813"/>
        <item x="20"/>
        <item x="21"/>
        <item x="22"/>
        <item x="23"/>
        <item x="24"/>
        <item x="25"/>
        <item x="26"/>
        <item x="92"/>
        <item x="93"/>
        <item x="94"/>
        <item x="95"/>
        <item x="96"/>
        <item x="97"/>
        <item x="156"/>
        <item x="157"/>
        <item x="158"/>
        <item x="159"/>
        <item x="160"/>
        <item x="161"/>
        <item x="162"/>
        <item x="219"/>
        <item x="220"/>
        <item x="221"/>
        <item x="222"/>
        <item x="223"/>
        <item x="224"/>
        <item x="257"/>
        <item x="258"/>
        <item x="259"/>
        <item x="260"/>
        <item x="261"/>
        <item x="262"/>
        <item x="296"/>
        <item x="297"/>
        <item x="298"/>
        <item x="299"/>
        <item x="300"/>
        <item x="301"/>
        <item x="302"/>
        <item x="340"/>
        <item x="341"/>
        <item x="342"/>
        <item x="343"/>
        <item x="344"/>
        <item x="345"/>
        <item x="385"/>
        <item x="386"/>
        <item x="387"/>
        <item x="388"/>
        <item x="389"/>
        <item x="390"/>
        <item x="391"/>
        <item x="431"/>
        <item x="432"/>
        <item x="433"/>
        <item x="434"/>
        <item x="435"/>
        <item x="436"/>
        <item x="474"/>
        <item x="475"/>
        <item x="476"/>
        <item x="477"/>
        <item x="478"/>
        <item x="479"/>
        <item x="521"/>
        <item x="522"/>
        <item x="523"/>
        <item x="524"/>
        <item x="525"/>
        <item x="526"/>
        <item x="527"/>
        <item x="579"/>
        <item x="580"/>
        <item x="581"/>
        <item x="582"/>
        <item x="583"/>
        <item x="584"/>
        <item x="637"/>
        <item x="638"/>
        <item x="639"/>
        <item x="640"/>
        <item x="641"/>
        <item x="642"/>
        <item x="643"/>
        <item x="696"/>
        <item x="697"/>
        <item x="698"/>
        <item x="699"/>
        <item x="700"/>
        <item x="701"/>
        <item x="752"/>
        <item x="753"/>
        <item x="754"/>
        <item x="755"/>
        <item x="756"/>
        <item x="757"/>
        <item x="814"/>
        <item x="815"/>
        <item x="816"/>
        <item x="817"/>
        <item x="818"/>
        <item x="819"/>
        <item x="27"/>
        <item x="28"/>
        <item x="29"/>
        <item x="30"/>
        <item x="31"/>
        <item x="32"/>
        <item x="33"/>
        <item x="98"/>
        <item x="99"/>
        <item x="100"/>
        <item x="101"/>
        <item x="102"/>
        <item x="103"/>
        <item x="104"/>
        <item x="163"/>
        <item x="164"/>
        <item x="165"/>
        <item x="166"/>
        <item x="167"/>
        <item x="168"/>
        <item x="225"/>
        <item x="226"/>
        <item x="227"/>
        <item x="228"/>
        <item x="229"/>
        <item x="230"/>
        <item x="263"/>
        <item x="264"/>
        <item x="265"/>
        <item x="266"/>
        <item x="267"/>
        <item x="268"/>
        <item x="269"/>
        <item x="303"/>
        <item x="304"/>
        <item x="305"/>
        <item x="306"/>
        <item x="307"/>
        <item x="308"/>
        <item x="346"/>
        <item x="347"/>
        <item x="348"/>
        <item x="349"/>
        <item x="350"/>
        <item x="351"/>
        <item x="352"/>
        <item x="392"/>
        <item x="393"/>
        <item x="394"/>
        <item x="395"/>
        <item x="396"/>
        <item x="397"/>
        <item x="437"/>
        <item x="438"/>
        <item x="439"/>
        <item x="440"/>
        <item x="441"/>
        <item x="442"/>
        <item x="480"/>
        <item x="481"/>
        <item x="482"/>
        <item x="483"/>
        <item x="484"/>
        <item x="485"/>
        <item x="486"/>
        <item x="528"/>
        <item x="529"/>
        <item x="530"/>
        <item x="531"/>
        <item x="532"/>
        <item x="533"/>
        <item x="585"/>
        <item x="586"/>
        <item x="587"/>
        <item x="588"/>
        <item x="589"/>
        <item x="590"/>
        <item x="591"/>
        <item x="644"/>
        <item x="645"/>
        <item x="646"/>
        <item x="647"/>
        <item x="648"/>
        <item x="649"/>
        <item x="702"/>
        <item x="703"/>
        <item x="704"/>
        <item x="705"/>
        <item x="706"/>
        <item x="707"/>
        <item x="758"/>
        <item x="759"/>
        <item x="760"/>
        <item x="761"/>
        <item x="762"/>
        <item x="763"/>
        <item x="764"/>
        <item x="820"/>
        <item x="821"/>
        <item x="822"/>
        <item x="823"/>
        <item x="824"/>
        <item x="34"/>
        <item x="35"/>
        <item x="36"/>
        <item x="37"/>
        <item x="38"/>
        <item x="39"/>
        <item x="40"/>
        <item x="41"/>
        <item x="105"/>
        <item x="106"/>
        <item x="107"/>
        <item x="108"/>
        <item x="109"/>
        <item x="110"/>
        <item x="169"/>
        <item x="170"/>
        <item x="171"/>
        <item x="172"/>
        <item x="173"/>
        <item x="174"/>
        <item x="765"/>
        <item x="766"/>
        <item x="767"/>
        <item x="768"/>
        <item x="769"/>
        <item x="770"/>
        <item x="771"/>
        <item x="825"/>
        <item x="826"/>
        <item x="827"/>
        <item x="828"/>
        <item x="829"/>
        <item x="42"/>
        <item x="43"/>
        <item x="44"/>
        <item x="45"/>
        <item x="46"/>
        <item x="47"/>
        <item x="48"/>
        <item x="49"/>
        <item x="111"/>
        <item x="112"/>
        <item x="113"/>
        <item x="114"/>
        <item x="115"/>
        <item x="116"/>
        <item x="175"/>
        <item x="176"/>
        <item x="177"/>
        <item x="178"/>
        <item x="179"/>
        <item x="180"/>
        <item x="993"/>
        <item x="994"/>
        <item x="995"/>
        <item x="996"/>
        <item x="997"/>
        <item x="998"/>
        <item x="852"/>
        <item x="853"/>
        <item x="854"/>
        <item x="855"/>
        <item x="856"/>
        <item x="857"/>
        <item x="858"/>
        <item x="866"/>
        <item x="867"/>
        <item x="868"/>
        <item x="869"/>
        <item x="870"/>
        <item x="871"/>
        <item x="879"/>
        <item x="880"/>
        <item x="881"/>
        <item x="882"/>
        <item x="883"/>
        <item x="884"/>
        <item x="885"/>
        <item x="918"/>
        <item x="919"/>
        <item x="920"/>
        <item x="921"/>
        <item x="922"/>
        <item x="923"/>
        <item x="930"/>
        <item x="931"/>
        <item x="932"/>
        <item x="933"/>
        <item x="934"/>
        <item x="935"/>
        <item x="936"/>
        <item x="944"/>
        <item x="945"/>
        <item x="946"/>
        <item x="947"/>
        <item x="948"/>
        <item x="949"/>
        <item x="956"/>
        <item x="957"/>
        <item x="958"/>
        <item x="959"/>
        <item x="960"/>
        <item x="961"/>
        <item x="967"/>
        <item x="968"/>
        <item x="969"/>
        <item x="970"/>
        <item x="971"/>
        <item x="972"/>
        <item x="973"/>
        <item x="974"/>
        <item x="975"/>
        <item x="976"/>
        <item x="977"/>
        <item x="978"/>
        <item x="979"/>
        <item x="980"/>
        <item x="981"/>
        <item x="982"/>
        <item x="983"/>
        <item x="984"/>
        <item x="985"/>
        <item x="986"/>
        <item x="987"/>
        <item x="988"/>
        <item x="989"/>
        <item x="990"/>
        <item x="991"/>
        <item x="992"/>
        <item x="999"/>
        <item x="1000"/>
        <item x="1001"/>
        <item x="1002"/>
        <item x="1003"/>
        <item x="859"/>
        <item x="860"/>
        <item x="861"/>
        <item x="862"/>
        <item x="863"/>
        <item x="864"/>
        <item x="865"/>
        <item x="872"/>
        <item x="873"/>
        <item x="874"/>
        <item x="875"/>
        <item x="876"/>
        <item x="877"/>
        <item x="878"/>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24"/>
        <item x="925"/>
        <item x="926"/>
        <item x="927"/>
        <item x="928"/>
        <item x="929"/>
        <item x="937"/>
        <item x="938"/>
        <item x="939"/>
        <item x="940"/>
        <item x="941"/>
        <item x="942"/>
        <item x="943"/>
        <item x="950"/>
        <item x="951"/>
        <item x="952"/>
        <item x="953"/>
        <item x="954"/>
        <item x="955"/>
        <item x="962"/>
        <item x="963"/>
        <item x="964"/>
        <item x="965"/>
        <item x="966"/>
        <item x="0"/>
        <item x="1"/>
        <item x="2"/>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3"/>
        <item x="4"/>
        <item m="1" x="1054"/>
        <item t="default"/>
      </items>
    </pivotField>
    <pivotField showAll="0">
      <items count="11">
        <item x="1"/>
        <item h="1" x="2"/>
        <item h="1" x="3"/>
        <item h="1" x="4"/>
        <item h="1" x="5"/>
        <item h="1" x="6"/>
        <item h="1" x="7"/>
        <item h="1" x="8"/>
        <item h="1" x="9"/>
        <item h="1" x="0"/>
        <item t="default"/>
      </items>
    </pivotField>
    <pivotField showAll="0"/>
    <pivotField showAll="0"/>
    <pivotField showAll="0"/>
    <pivotField showAll="0" defaultSubtotal="0"/>
    <pivotField showAll="0" defaultSubtotal="0"/>
    <pivotField showAll="0" defaultSubtotal="0"/>
    <pivotField dataField="1" showAll="0" defaultSubtotal="0"/>
    <pivotField dataField="1" showAll="0" defaultSubtotal="0"/>
    <pivotField dataField="1" showAll="0" defaultSubtotal="0"/>
  </pivotFields>
  <rowFields count="1">
    <field x="8"/>
  </rowFields>
  <rowItems count="53">
    <i>
      <x v="1002"/>
    </i>
    <i>
      <x v="1003"/>
    </i>
    <i>
      <x v="1004"/>
    </i>
    <i>
      <x v="1005"/>
    </i>
    <i>
      <x v="1006"/>
    </i>
    <i>
      <x v="1007"/>
    </i>
    <i>
      <x v="1008"/>
    </i>
    <i>
      <x v="1009"/>
    </i>
    <i>
      <x v="1010"/>
    </i>
    <i>
      <x v="1011"/>
    </i>
    <i>
      <x v="1012"/>
    </i>
    <i>
      <x v="1013"/>
    </i>
    <i>
      <x v="1014"/>
    </i>
    <i>
      <x v="1015"/>
    </i>
    <i>
      <x v="1016"/>
    </i>
    <i>
      <x v="1017"/>
    </i>
    <i>
      <x v="1018"/>
    </i>
    <i>
      <x v="1019"/>
    </i>
    <i>
      <x v="1020"/>
    </i>
    <i>
      <x v="1021"/>
    </i>
    <i>
      <x v="1022"/>
    </i>
    <i>
      <x v="1023"/>
    </i>
    <i>
      <x v="1024"/>
    </i>
    <i>
      <x v="1025"/>
    </i>
    <i>
      <x v="1026"/>
    </i>
    <i>
      <x v="1027"/>
    </i>
    <i>
      <x v="1028"/>
    </i>
    <i>
      <x v="1029"/>
    </i>
    <i>
      <x v="1030"/>
    </i>
    <i>
      <x v="1031"/>
    </i>
    <i>
      <x v="1032"/>
    </i>
    <i>
      <x v="1033"/>
    </i>
    <i>
      <x v="1034"/>
    </i>
    <i>
      <x v="1035"/>
    </i>
    <i>
      <x v="1036"/>
    </i>
    <i>
      <x v="1037"/>
    </i>
    <i>
      <x v="1038"/>
    </i>
    <i>
      <x v="1039"/>
    </i>
    <i>
      <x v="1040"/>
    </i>
    <i>
      <x v="1041"/>
    </i>
    <i>
      <x v="1042"/>
    </i>
    <i>
      <x v="1043"/>
    </i>
    <i>
      <x v="1044"/>
    </i>
    <i>
      <x v="1045"/>
    </i>
    <i>
      <x v="1046"/>
    </i>
    <i>
      <x v="1047"/>
    </i>
    <i>
      <x v="1048"/>
    </i>
    <i>
      <x v="1049"/>
    </i>
    <i>
      <x v="1050"/>
    </i>
    <i>
      <x v="1051"/>
    </i>
    <i>
      <x v="1052"/>
    </i>
    <i>
      <x v="1053"/>
    </i>
    <i t="grand">
      <x/>
    </i>
  </rowItems>
  <colFields count="1">
    <field x="-2"/>
  </colFields>
  <colItems count="3">
    <i>
      <x/>
    </i>
    <i i="1">
      <x v="1"/>
    </i>
    <i i="2">
      <x v="2"/>
    </i>
  </colItems>
  <dataFields count="3">
    <dataField name="Average of ACTUALBASE" fld="16" subtotal="average" baseField="7" baseItem="0"/>
    <dataField name="Average of PREDICTEDBASE" fld="17" subtotal="average" baseField="7" baseItem="0"/>
    <dataField name="Average of ERRORBASE" fld="18" subtotal="average" baseField="7" baseItem="0"/>
  </dataFields>
  <chartFormats count="3">
    <chartFormat chart="6" format="21" series="1">
      <pivotArea type="data" outline="0" fieldPosition="0">
        <references count="1">
          <reference field="4294967294" count="1" selected="0">
            <x v="0"/>
          </reference>
        </references>
      </pivotArea>
    </chartFormat>
    <chartFormat chart="6" format="22" series="1">
      <pivotArea type="data" outline="0" fieldPosition="0">
        <references count="1">
          <reference field="4294967294" count="1" selected="0">
            <x v="1"/>
          </reference>
        </references>
      </pivotArea>
    </chartFormat>
    <chartFormat chart="6"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1" cacheId="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1" fieldListSortAscending="1">
  <location ref="A3:E340" firstHeaderRow="0" firstDataRow="1" firstDataCol="1"/>
  <pivotFields count="25">
    <pivotField showAll="0">
      <items count="110">
        <item m="1" x="93"/>
        <item m="1" x="15"/>
        <item m="1" x="20"/>
        <item m="1" x="94"/>
        <item m="1" x="37"/>
        <item m="1" x="4"/>
        <item m="1" x="32"/>
        <item m="1" x="88"/>
        <item m="1" x="51"/>
        <item m="1" x="17"/>
        <item m="1" x="49"/>
        <item m="1" x="56"/>
        <item m="1" x="72"/>
        <item m="1" x="44"/>
        <item m="1" x="89"/>
        <item m="1" x="25"/>
        <item m="1" x="57"/>
        <item m="1" x="8"/>
        <item m="1" x="55"/>
        <item m="1" x="68"/>
        <item m="1" x="95"/>
        <item m="1" x="73"/>
        <item m="1" x="98"/>
        <item m="1" x="105"/>
        <item m="1" x="60"/>
        <item m="1" x="58"/>
        <item m="1" x="76"/>
        <item m="1" x="30"/>
        <item m="1" x="84"/>
        <item m="1" x="90"/>
        <item m="1" x="24"/>
        <item m="1" x="28"/>
        <item m="1" x="47"/>
        <item m="1" x="79"/>
        <item x="0"/>
        <item m="1" x="62"/>
        <item m="1" x="69"/>
        <item m="1" x="9"/>
        <item m="1" x="96"/>
        <item m="1" x="34"/>
        <item m="1" x="10"/>
        <item m="1" x="77"/>
        <item m="1" x="21"/>
        <item m="1" x="43"/>
        <item m="1" x="48"/>
        <item m="1" x="26"/>
        <item m="1" x="67"/>
        <item m="1" x="40"/>
        <item m="1" x="80"/>
        <item m="1" x="41"/>
        <item m="1" x="99"/>
        <item m="1" x="91"/>
        <item m="1" x="16"/>
        <item m="1" x="87"/>
        <item m="1" x="75"/>
        <item m="1" x="18"/>
        <item m="1" x="100"/>
        <item m="1" x="78"/>
        <item m="1" x="106"/>
        <item m="1" x="42"/>
        <item m="1" x="107"/>
        <item m="1" x="45"/>
        <item m="1" x="38"/>
        <item m="1" x="65"/>
        <item m="1" x="22"/>
        <item m="1" x="63"/>
        <item m="1" x="5"/>
        <item m="1" x="104"/>
        <item m="1" x="101"/>
        <item m="1" x="64"/>
        <item m="1" x="31"/>
        <item m="1" x="74"/>
        <item m="1" x="70"/>
        <item m="1" x="50"/>
        <item x="1"/>
        <item m="1" x="27"/>
        <item m="1" x="33"/>
        <item m="1" x="102"/>
        <item m="1" x="59"/>
        <item m="1" x="83"/>
        <item m="1" x="46"/>
        <item m="1" x="11"/>
        <item m="1" x="52"/>
        <item m="1" x="6"/>
        <item m="1" x="61"/>
        <item m="1" x="14"/>
        <item m="1" x="35"/>
        <item m="1" x="85"/>
        <item x="2"/>
        <item m="1" x="81"/>
        <item m="1" x="23"/>
        <item m="1" x="54"/>
        <item m="1" x="7"/>
        <item m="1" x="97"/>
        <item m="1" x="39"/>
        <item m="1" x="53"/>
        <item m="1" x="71"/>
        <item m="1" x="92"/>
        <item m="1" x="12"/>
        <item m="1" x="36"/>
        <item m="1" x="108"/>
        <item m="1" x="82"/>
        <item m="1" x="13"/>
        <item m="1" x="29"/>
        <item x="3"/>
        <item m="1" x="66"/>
        <item m="1" x="103"/>
        <item m="1" x="19"/>
        <item m="1" x="86"/>
        <item t="default"/>
      </items>
    </pivotField>
    <pivotField showAll="0" defaultSubtotal="0">
      <items count="114">
        <item h="1" m="1" x="101"/>
        <item h="1" m="1" x="56"/>
        <item h="1" m="1" x="59"/>
        <item h="1" m="1" x="92"/>
        <item h="1" m="1" x="10"/>
        <item h="1" m="1" x="20"/>
        <item h="1" m="1" x="107"/>
        <item h="1" m="1" x="8"/>
        <item h="1" m="1" x="104"/>
        <item h="1" m="1" x="6"/>
        <item h="1" m="1" x="38"/>
        <item h="1" m="1" x="27"/>
        <item h="1" m="1" x="28"/>
        <item h="1" m="1" x="102"/>
        <item h="1" m="1" x="108"/>
        <item h="1" m="1" x="11"/>
        <item h="1" m="1" x="23"/>
        <item h="1" m="1" x="81"/>
        <item h="1" m="1" x="60"/>
        <item h="1" x="3"/>
        <item h="1" m="1" x="70"/>
        <item h="1" m="1" x="19"/>
        <item h="1" m="1" x="110"/>
        <item h="1" x="2"/>
        <item h="1" m="1" x="96"/>
        <item x="1"/>
        <item h="1" m="1" x="98"/>
        <item h="1" m="1" x="39"/>
        <item h="1" m="1" x="40"/>
        <item h="1" m="1" x="78"/>
        <item h="1" m="1" x="82"/>
        <item h="1" m="1" x="52"/>
        <item h="1" m="1" x="29"/>
        <item h="1" m="1" x="105"/>
        <item h="1" m="1" x="79"/>
        <item h="1" m="1" x="74"/>
        <item h="1" m="1" x="9"/>
        <item h="1" x="0"/>
        <item h="1" m="1" x="42"/>
        <item h="1" m="1" x="66"/>
        <item h="1" m="1" x="43"/>
        <item h="1" m="1" x="47"/>
        <item h="1" m="1" x="15"/>
        <item h="1" m="1" x="111"/>
        <item h="1" m="1" x="41"/>
        <item h="1" m="1" x="21"/>
        <item h="1" m="1" x="62"/>
        <item h="1" m="1" x="65"/>
        <item h="1" m="1" x="48"/>
        <item h="1" m="1" x="54"/>
        <item h="1" m="1" x="32"/>
        <item h="1" m="1" x="109"/>
        <item h="1" m="1" x="35"/>
        <item h="1" m="1" x="90"/>
        <item h="1" m="1" x="106"/>
        <item h="1" m="1" x="99"/>
        <item h="1" m="1" x="93"/>
        <item h="1" m="1" x="44"/>
        <item h="1" m="1" x="14"/>
        <item h="1" m="1" x="84"/>
        <item h="1" m="1" x="45"/>
        <item h="1" m="1" x="91"/>
        <item h="1" m="1" x="61"/>
        <item h="1" m="1" x="67"/>
        <item h="1" m="1" x="16"/>
        <item h="1" m="1" x="57"/>
        <item h="1" m="1" x="83"/>
        <item h="1" m="1" x="17"/>
        <item h="1" m="1" x="112"/>
        <item h="1" m="1" x="72"/>
        <item h="1" m="1" x="33"/>
        <item h="1" m="1" x="7"/>
        <item h="1" m="1" x="31"/>
        <item h="1" m="1" x="53"/>
        <item h="1" m="1" x="113"/>
        <item h="1" m="1" x="55"/>
        <item h="1" m="1" x="100"/>
        <item h="1" m="1" x="36"/>
        <item h="1" m="1" x="58"/>
        <item h="1" m="1" x="50"/>
        <item h="1" m="1" x="80"/>
        <item h="1" m="1" x="85"/>
        <item h="1" m="1" x="63"/>
        <item h="1" m="1" x="64"/>
        <item h="1" m="1" x="73"/>
        <item h="1" m="1" x="34"/>
        <item h="1" m="1" x="87"/>
        <item h="1" m="1" x="95"/>
        <item h="1" m="1" x="13"/>
        <item h="1" m="1" x="75"/>
        <item h="1" m="1" x="76"/>
        <item h="1" m="1" x="18"/>
        <item h="1" m="1" x="88"/>
        <item h="1" m="1" x="4"/>
        <item h="1" m="1" x="71"/>
        <item h="1" m="1" x="86"/>
        <item h="1" m="1" x="68"/>
        <item h="1" m="1" x="49"/>
        <item h="1" m="1" x="30"/>
        <item h="1" m="1" x="25"/>
        <item h="1" m="1" x="46"/>
        <item h="1" m="1" x="12"/>
        <item h="1" m="1" x="24"/>
        <item h="1" m="1" x="69"/>
        <item h="1" m="1" x="77"/>
        <item h="1" m="1" x="22"/>
        <item h="1" m="1" x="94"/>
        <item h="1" m="1" x="103"/>
        <item h="1" m="1" x="37"/>
        <item h="1" m="1" x="5"/>
        <item h="1" m="1" x="51"/>
        <item h="1" m="1" x="89"/>
        <item h="1" m="1" x="26"/>
        <item h="1" m="1" x="97"/>
      </items>
    </pivotField>
    <pivotField showAll="0"/>
    <pivotField showAll="0" defaultSubtotal="0">
      <items count="37">
        <item m="1" x="8"/>
        <item m="1" x="27"/>
        <item m="1" x="11"/>
        <item m="1" x="28"/>
        <item x="1"/>
        <item m="1" x="29"/>
        <item m="1" x="12"/>
        <item m="1" x="26"/>
        <item x="0"/>
        <item m="1" x="32"/>
        <item m="1" x="24"/>
        <item m="1" x="9"/>
        <item m="1" x="3"/>
        <item m="1" x="25"/>
        <item m="1" x="33"/>
        <item m="1" x="6"/>
        <item m="1" x="34"/>
        <item m="1" x="13"/>
        <item m="1" x="31"/>
        <item m="1" x="16"/>
        <item m="1" x="18"/>
        <item m="1" x="20"/>
        <item m="1" x="21"/>
        <item m="1" x="35"/>
        <item m="1" x="23"/>
        <item m="1" x="19"/>
        <item m="1" x="5"/>
        <item m="1" x="10"/>
        <item m="1" x="17"/>
        <item m="1" x="15"/>
        <item m="1" x="2"/>
        <item m="1" x="30"/>
        <item m="1" x="36"/>
        <item m="1" x="22"/>
        <item m="1" x="7"/>
        <item m="1" x="14"/>
        <item m="1" x="4"/>
      </items>
    </pivotField>
    <pivotField axis="axisRow" numFmtId="22" showAll="0" sortType="ascending" defaultSubtotal="0">
      <items count="1720">
        <item m="1" x="864"/>
        <item m="1" x="1128"/>
        <item m="1" x="1130"/>
        <item m="1" x="1132"/>
        <item m="1" x="1133"/>
        <item m="1" x="1135"/>
        <item m="1" x="1136"/>
        <item m="1" x="1138"/>
        <item m="1" x="1140"/>
        <item m="1" x="1142"/>
        <item m="1" x="1144"/>
        <item m="1" x="1147"/>
        <item m="1" x="1149"/>
        <item m="1" x="1151"/>
        <item m="1" x="1153"/>
        <item m="1" x="1155"/>
        <item m="1" x="1157"/>
        <item m="1" x="1159"/>
        <item m="1" x="1161"/>
        <item m="1" x="1163"/>
        <item m="1" x="464"/>
        <item m="1" x="466"/>
        <item m="1" x="468"/>
        <item m="1" x="471"/>
        <item m="1" x="472"/>
        <item m="1" x="475"/>
        <item m="1" x="477"/>
        <item m="1" x="479"/>
        <item m="1" x="481"/>
        <item m="1" x="483"/>
        <item m="1" x="486"/>
        <item m="1" x="488"/>
        <item m="1" x="490"/>
        <item m="1" x="492"/>
        <item m="1" x="494"/>
        <item m="1" x="495"/>
        <item m="1" x="499"/>
        <item m="1" x="1167"/>
        <item m="1" x="1168"/>
        <item m="1" x="1170"/>
        <item m="1" x="1173"/>
        <item m="1" x="1176"/>
        <item m="1" x="1179"/>
        <item m="1" x="1180"/>
        <item m="1" x="1183"/>
        <item m="1" x="1186"/>
        <item m="1" x="1189"/>
        <item m="1" x="1191"/>
        <item m="1" x="1194"/>
        <item m="1" x="1197"/>
        <item m="1" x="1200"/>
        <item m="1" x="1203"/>
        <item m="1" x="1206"/>
        <item m="1" x="1209"/>
        <item m="1" x="1214"/>
        <item m="1" x="1216"/>
        <item m="1" x="1218"/>
        <item m="1" x="501"/>
        <item m="1" x="503"/>
        <item m="1" x="504"/>
        <item m="1" x="507"/>
        <item m="1" x="508"/>
        <item m="1" x="509"/>
        <item m="1" x="511"/>
        <item m="1" x="513"/>
        <item m="1" x="515"/>
        <item m="1" x="518"/>
        <item m="1" x="521"/>
        <item m="1" x="523"/>
        <item m="1" x="526"/>
        <item m="1" x="528"/>
        <item m="1" x="530"/>
        <item m="1" x="531"/>
        <item m="1" x="534"/>
        <item m="1" x="537"/>
        <item m="1" x="540"/>
        <item m="1" x="543"/>
        <item m="1" x="1222"/>
        <item m="1" x="1223"/>
        <item m="1" x="1224"/>
        <item m="1" x="1227"/>
        <item m="1" x="1228"/>
        <item m="1" x="1231"/>
        <item m="1" x="1232"/>
        <item m="1" x="1234"/>
        <item m="1" x="1235"/>
        <item m="1" x="1236"/>
        <item m="1" x="1238"/>
        <item m="1" x="1240"/>
        <item m="1" x="1242"/>
        <item m="1" x="1244"/>
        <item m="1" x="1246"/>
        <item m="1" x="1247"/>
        <item m="1" x="556"/>
        <item m="1" x="558"/>
        <item m="1" x="559"/>
        <item m="1" x="560"/>
        <item m="1" x="561"/>
        <item m="1" x="562"/>
        <item m="1" x="563"/>
        <item m="1" x="564"/>
        <item m="1" x="565"/>
        <item m="1" x="566"/>
        <item m="1" x="567"/>
        <item m="1" x="568"/>
        <item m="1" x="1249"/>
        <item m="1" x="1252"/>
        <item m="1" x="1256"/>
        <item m="1" x="1258"/>
        <item m="1" x="1260"/>
        <item m="1" x="1263"/>
        <item m="1" x="1265"/>
        <item m="1" x="1267"/>
        <item m="1" x="1269"/>
        <item m="1" x="1427"/>
        <item m="1" x="737"/>
        <item m="1" x="739"/>
        <item m="1" x="740"/>
        <item m="1" x="741"/>
        <item m="1" x="743"/>
        <item m="1" x="745"/>
        <item m="1" x="747"/>
        <item m="1" x="748"/>
        <item m="1" x="749"/>
        <item m="1" x="751"/>
        <item m="1" x="753"/>
        <item m="1" x="755"/>
        <item m="1" x="758"/>
        <item m="1" x="761"/>
        <item m="1" x="764"/>
        <item m="1" x="767"/>
        <item m="1" x="769"/>
        <item m="1" x="772"/>
        <item m="1" x="775"/>
        <item m="1" x="778"/>
        <item m="1" x="781"/>
        <item m="1" x="784"/>
        <item m="1" x="787"/>
        <item m="1" x="790"/>
        <item m="1" x="1482"/>
        <item m="1" x="1484"/>
        <item m="1" x="1486"/>
        <item m="1" x="1487"/>
        <item m="1" x="1489"/>
        <item m="1" x="1490"/>
        <item m="1" x="1491"/>
        <item m="1" x="1492"/>
        <item m="1" x="1493"/>
        <item m="1" x="1495"/>
        <item m="1" x="1497"/>
        <item m="1" x="1499"/>
        <item m="1" x="1502"/>
        <item m="1" x="1505"/>
        <item m="1" x="1508"/>
        <item m="1" x="1511"/>
        <item m="1" x="1514"/>
        <item m="1" x="1517"/>
        <item m="1" x="1519"/>
        <item m="1" x="1522"/>
        <item m="1" x="1525"/>
        <item m="1" x="1528"/>
        <item m="1" x="1531"/>
        <item m="1" x="1535"/>
        <item m="1" x="806"/>
        <item m="1" x="810"/>
        <item m="1" x="812"/>
        <item m="1" x="814"/>
        <item m="1" x="816"/>
        <item m="1" x="817"/>
        <item m="1" x="818"/>
        <item m="1" x="820"/>
        <item m="1" x="822"/>
        <item m="1" x="825"/>
        <item m="1" x="827"/>
        <item m="1" x="830"/>
        <item m="1" x="833"/>
        <item m="1" x="836"/>
        <item m="1" x="840"/>
        <item m="1" x="844"/>
        <item m="1" x="846"/>
        <item m="1" x="850"/>
        <item m="1" x="853"/>
        <item m="1" x="857"/>
        <item m="1" x="860"/>
        <item m="1" x="865"/>
        <item m="1" x="868"/>
        <item m="1" x="871"/>
        <item m="1" x="1552"/>
        <item m="1" x="1554"/>
        <item m="1" x="1557"/>
        <item m="1" x="1559"/>
        <item m="1" x="1562"/>
        <item m="1" x="1564"/>
        <item m="1" x="1566"/>
        <item m="1" x="1567"/>
        <item m="1" x="1569"/>
        <item m="1" x="1571"/>
        <item m="1" x="1572"/>
        <item m="1" x="1573"/>
        <item m="1" x="1576"/>
        <item m="1" x="1578"/>
        <item m="1" x="1582"/>
        <item m="1" x="1584"/>
        <item m="1" x="1586"/>
        <item m="1" x="1589"/>
        <item m="1" x="1592"/>
        <item m="1" x="1593"/>
        <item m="1" x="1595"/>
        <item m="1" x="1597"/>
        <item m="1" x="1600"/>
        <item m="1" x="889"/>
        <item m="1" x="891"/>
        <item m="1" x="892"/>
        <item m="1" x="893"/>
        <item m="1" x="895"/>
        <item m="1" x="896"/>
        <item m="1" x="901"/>
        <item m="1" x="904"/>
        <item m="1" x="905"/>
        <item m="1" x="907"/>
        <item m="1" x="909"/>
        <item m="1" x="910"/>
        <item m="1" x="912"/>
        <item m="1" x="914"/>
        <item m="1" x="918"/>
        <item m="1" x="1643"/>
        <item m="1" x="1644"/>
        <item m="1" x="1646"/>
        <item m="1" x="1648"/>
        <item m="1" x="1658"/>
        <item m="1" x="1660"/>
        <item m="1" x="1662"/>
        <item m="1" x="1664"/>
        <item m="1" x="1667"/>
        <item m="1" x="1669"/>
        <item m="1" x="1672"/>
        <item m="1" x="1174"/>
        <item m="1" x="1175"/>
        <item m="1" x="1177"/>
        <item m="1" x="1181"/>
        <item m="1" x="1184"/>
        <item m="1" x="1187"/>
        <item m="1" x="1192"/>
        <item m="1" x="1195"/>
        <item m="1" x="1198"/>
        <item m="1" x="1201"/>
        <item m="1" x="1204"/>
        <item m="1" x="1207"/>
        <item m="1" x="1210"/>
        <item m="1" x="1212"/>
        <item m="1" x="1219"/>
        <item m="1" x="514"/>
        <item m="1" x="516"/>
        <item m="1" x="519"/>
        <item m="1" x="524"/>
        <item m="1" x="527"/>
        <item m="1" x="532"/>
        <item m="1" x="535"/>
        <item m="1" x="538"/>
        <item m="1" x="544"/>
        <item m="1" x="546"/>
        <item m="1" x="1226"/>
        <item m="1" x="1229"/>
        <item m="1" x="1230"/>
        <item m="1" x="1233"/>
        <item m="1" x="1237"/>
        <item m="1" x="1239"/>
        <item m="1" x="1241"/>
        <item m="1" x="1243"/>
        <item m="1" x="1245"/>
        <item m="1" x="1248"/>
        <item m="1" x="547"/>
        <item m="1" x="548"/>
        <item m="1" x="549"/>
        <item m="1" x="550"/>
        <item m="1" x="551"/>
        <item m="1" x="552"/>
        <item m="1" x="553"/>
        <item m="1" x="554"/>
        <item m="1" x="555"/>
        <item m="1" x="1250"/>
        <item m="1" x="1253"/>
        <item m="1" x="1254"/>
        <item m="1" x="1255"/>
        <item m="1" x="1257"/>
        <item m="1" x="1259"/>
        <item m="1" x="1261"/>
        <item m="1" x="1262"/>
        <item m="1" x="1264"/>
        <item m="1" x="1266"/>
        <item m="1" x="1268"/>
        <item m="1" x="1270"/>
        <item m="1" x="569"/>
        <item m="1" x="571"/>
        <item m="1" x="572"/>
        <item m="1" x="573"/>
        <item m="1" x="574"/>
        <item m="1" x="575"/>
        <item m="1" x="576"/>
        <item m="1" x="577"/>
        <item m="1" x="578"/>
        <item m="1" x="579"/>
        <item m="1" x="1272"/>
        <item m="1" x="1273"/>
        <item m="1" x="1274"/>
        <item m="1" x="1276"/>
        <item m="1" x="1278"/>
        <item m="1" x="1279"/>
        <item m="1" x="1280"/>
        <item m="1" x="1281"/>
        <item m="1" x="1283"/>
        <item m="1" x="1285"/>
        <item m="1" x="1286"/>
        <item m="1" x="1287"/>
        <item m="1" x="1288"/>
        <item m="1" x="1289"/>
        <item m="1" x="1290"/>
        <item m="1" x="1291"/>
        <item m="1" x="581"/>
        <item m="1" x="582"/>
        <item m="1" x="583"/>
        <item m="1" x="584"/>
        <item m="1" x="585"/>
        <item m="1" x="586"/>
        <item m="1" x="587"/>
        <item m="1" x="588"/>
        <item m="1" x="589"/>
        <item m="1" x="590"/>
        <item m="1" x="591"/>
        <item m="1" x="592"/>
        <item m="1" x="1292"/>
        <item m="1" x="1293"/>
        <item m="1" x="1294"/>
        <item m="1" x="1295"/>
        <item m="1" x="1296"/>
        <item m="1" x="1298"/>
        <item m="1" x="1300"/>
        <item m="1" x="1302"/>
        <item m="1" x="1304"/>
        <item m="1" x="1306"/>
        <item m="1" x="1308"/>
        <item m="1" x="1310"/>
        <item m="1" x="1312"/>
        <item m="1" x="613"/>
        <item m="1" x="615"/>
        <item m="1" x="616"/>
        <item m="1" x="619"/>
        <item m="1" x="621"/>
        <item m="1" x="623"/>
        <item m="1" x="625"/>
        <item m="1" x="627"/>
        <item m="1" x="630"/>
        <item m="1" x="636"/>
        <item m="1" x="638"/>
        <item m="1" x="640"/>
        <item m="1" x="1345"/>
        <item m="1" x="1347"/>
        <item m="1" x="1351"/>
        <item m="1" x="1354"/>
        <item m="1" x="1356"/>
        <item m="1" x="1359"/>
        <item m="1" x="1362"/>
        <item m="1" x="1365"/>
        <item m="1" x="1368"/>
        <item m="1" x="1371"/>
        <item m="1" x="1375"/>
        <item m="1" x="1379"/>
        <item m="1" x="650"/>
        <item m="1" x="651"/>
        <item m="1" x="654"/>
        <item m="1" x="655"/>
        <item m="1" x="656"/>
        <item m="1" x="657"/>
        <item m="1" x="659"/>
        <item m="1" x="660"/>
        <item m="1" x="662"/>
        <item m="1" x="665"/>
        <item m="1" x="666"/>
        <item m="1" x="668"/>
        <item m="1" x="670"/>
        <item m="1" x="672"/>
        <item m="1" x="1396"/>
        <item m="1" x="1398"/>
        <item m="1" x="1399"/>
        <item m="1" x="1401"/>
        <item m="1" x="1402"/>
        <item m="1" x="1406"/>
        <item m="1" x="1409"/>
        <item m="1" x="1410"/>
        <item m="1" x="1413"/>
        <item m="1" x="1415"/>
        <item m="1" x="1416"/>
        <item m="1" x="1419"/>
        <item m="1" x="1421"/>
        <item m="1" x="1422"/>
        <item m="1" x="1428"/>
        <item m="1" x="1431"/>
        <item m="1" x="676"/>
        <item m="1" x="677"/>
        <item m="1" x="678"/>
        <item m="1" x="685"/>
        <item m="1" x="691"/>
        <item m="1" x="694"/>
        <item m="1" x="697"/>
        <item m="1" x="700"/>
        <item m="1" x="703"/>
        <item m="1" x="706"/>
        <item m="1" x="709"/>
        <item m="1" x="712"/>
        <item m="1" x="715"/>
        <item m="1" x="718"/>
        <item m="1" x="725"/>
        <item m="1" x="1275"/>
        <item m="1" x="1277"/>
        <item m="1" x="1282"/>
        <item m="1" x="1284"/>
        <item m="1" x="1297"/>
        <item m="1" x="1299"/>
        <item m="1" x="1301"/>
        <item m="1" x="1303"/>
        <item m="1" x="1305"/>
        <item m="1" x="1307"/>
        <item m="1" x="1309"/>
        <item m="1" x="1311"/>
        <item m="1" x="1313"/>
        <item m="1" x="1314"/>
        <item m="1" x="1315"/>
        <item m="1" x="1316"/>
        <item m="1" x="1317"/>
        <item m="1" x="593"/>
        <item m="1" x="594"/>
        <item m="1" x="595"/>
        <item m="1" x="596"/>
        <item m="1" x="597"/>
        <item m="1" x="598"/>
        <item m="1" x="599"/>
        <item m="1" x="600"/>
        <item m="1" x="601"/>
        <item m="1" x="602"/>
        <item m="1" x="603"/>
        <item m="1" x="604"/>
        <item m="1" x="605"/>
        <item m="1" x="606"/>
        <item m="1" x="607"/>
        <item m="1" x="608"/>
        <item m="1" x="609"/>
        <item m="1" x="610"/>
        <item m="1" x="611"/>
        <item m="1" x="612"/>
        <item m="1" x="1319"/>
        <item m="1" x="1346"/>
        <item m="1" x="1349"/>
        <item m="1" x="1352"/>
        <item m="1" x="1357"/>
        <item m="1" x="1360"/>
        <item m="1" x="1363"/>
        <item m="1" x="1366"/>
        <item m="1" x="1369"/>
        <item m="1" x="1372"/>
        <item m="1" x="1377"/>
        <item m="1" x="1380"/>
        <item m="1" x="1382"/>
        <item m="1" x="1385"/>
        <item m="1" x="1388"/>
        <item m="1" x="653"/>
        <item m="1" x="658"/>
        <item m="1" x="661"/>
        <item m="1" x="663"/>
        <item m="1" x="664"/>
        <item m="1" x="667"/>
        <item m="1" x="669"/>
        <item m="1" x="671"/>
        <item m="1" x="673"/>
        <item m="1" x="674"/>
        <item m="1" x="675"/>
        <item m="1" x="1400"/>
        <item m="1" x="1403"/>
        <item m="1" x="1411"/>
        <item m="1" x="1414"/>
        <item m="1" x="1417"/>
        <item m="1" x="1420"/>
        <item m="1" x="1423"/>
        <item m="1" x="1425"/>
        <item m="1" x="1429"/>
        <item m="1" x="1432"/>
        <item m="1" x="1433"/>
        <item m="1" x="1435"/>
        <item m="1" x="1437"/>
        <item m="1" x="679"/>
        <item m="1" x="680"/>
        <item m="1" x="681"/>
        <item m="1" x="682"/>
        <item m="1" x="683"/>
        <item m="1" x="686"/>
        <item m="1" x="689"/>
        <item m="1" x="692"/>
        <item m="1" x="695"/>
        <item m="1" x="698"/>
        <item m="1" x="701"/>
        <item m="1" x="704"/>
        <item m="1" x="707"/>
        <item m="1" x="710"/>
        <item m="1" x="713"/>
        <item m="1" x="716"/>
        <item m="1" x="719"/>
        <item m="1" x="721"/>
        <item m="1" x="723"/>
        <item m="1" x="726"/>
        <item m="1" x="728"/>
        <item m="1" x="730"/>
        <item m="1" x="732"/>
        <item m="1" x="1444"/>
        <item m="1" x="1445"/>
        <item m="1" x="1447"/>
        <item m="1" x="1451"/>
        <item m="1" x="1455"/>
        <item m="1" x="1458"/>
        <item m="1" x="1460"/>
        <item m="1" x="1462"/>
        <item m="1" x="1464"/>
        <item m="1" x="1466"/>
        <item m="1" x="1468"/>
        <item m="1" x="1470"/>
        <item m="1" x="1473"/>
        <item m="1" x="1475"/>
        <item m="1" x="1477"/>
        <item m="1" x="744"/>
        <item m="1" x="746"/>
        <item m="1" x="819"/>
        <item m="1" x="821"/>
        <item m="1" x="823"/>
        <item m="1" x="837"/>
        <item m="1" x="841"/>
        <item m="1" x="847"/>
        <item m="1" x="854"/>
        <item m="1" x="861"/>
        <item m="1" x="869"/>
        <item m="1" x="874"/>
        <item m="1" x="877"/>
        <item m="1" x="881"/>
        <item m="1" x="1568"/>
        <item m="1" x="1579"/>
        <item m="1" x="1583"/>
        <item m="1" x="1585"/>
        <item m="1" x="1587"/>
        <item m="1" x="1590"/>
        <item m="1" x="1596"/>
        <item m="1" x="1598"/>
        <item m="1" x="1602"/>
        <item m="1" x="1606"/>
        <item m="1" x="1608"/>
        <item m="1" x="1610"/>
        <item m="1" x="894"/>
        <item m="1" x="897"/>
        <item m="1" x="902"/>
        <item m="1" x="906"/>
        <item m="1" x="908"/>
        <item m="1" x="911"/>
        <item m="1" x="915"/>
        <item m="1" x="916"/>
        <item m="1" x="923"/>
        <item m="1" x="925"/>
        <item m="1" x="1617"/>
        <item m="1" x="1320"/>
        <item m="1" x="1321"/>
        <item m="1" x="1322"/>
        <item m="1" x="1323"/>
        <item m="1" x="1324"/>
        <item m="1" x="1325"/>
        <item m="1" x="1326"/>
        <item m="1" x="1327"/>
        <item m="1" x="1328"/>
        <item m="1" x="1329"/>
        <item m="1" x="1330"/>
        <item m="1" x="1331"/>
        <item m="1" x="1332"/>
        <item m="1" x="1333"/>
        <item m="1" x="1334"/>
        <item m="1" x="1335"/>
        <item m="1" x="1336"/>
        <item m="1" x="1337"/>
        <item m="1" x="1338"/>
        <item m="1" x="1339"/>
        <item m="1" x="1340"/>
        <item m="1" x="1341"/>
        <item m="1" x="1342"/>
        <item m="1" x="1343"/>
        <item m="1" x="617"/>
        <item m="1" x="618"/>
        <item m="1" x="620"/>
        <item m="1" x="622"/>
        <item m="1" x="624"/>
        <item m="1" x="626"/>
        <item m="1" x="628"/>
        <item m="1" x="629"/>
        <item m="1" x="631"/>
        <item m="1" x="632"/>
        <item m="1" x="633"/>
        <item m="1" x="634"/>
        <item m="1" x="635"/>
        <item m="1" x="637"/>
        <item m="1" x="639"/>
        <item m="1" x="641"/>
        <item m="1" x="642"/>
        <item m="1" x="643"/>
        <item m="1" x="644"/>
        <item m="1" x="645"/>
        <item m="1" x="646"/>
        <item m="1" x="647"/>
        <item m="1" x="648"/>
        <item m="1" x="649"/>
        <item m="1" x="1348"/>
        <item m="1" x="1350"/>
        <item m="1" x="1353"/>
        <item m="1" x="1355"/>
        <item m="1" x="1358"/>
        <item m="1" x="1361"/>
        <item m="1" x="1364"/>
        <item m="1" x="1367"/>
        <item m="1" x="1370"/>
        <item m="1" x="1373"/>
        <item m="1" x="1374"/>
        <item m="1" x="1376"/>
        <item m="1" x="1378"/>
        <item m="1" x="1381"/>
        <item m="1" x="1383"/>
        <item m="1" x="1384"/>
        <item m="1" x="1386"/>
        <item m="1" x="1387"/>
        <item m="1" x="1389"/>
        <item m="1" x="1390"/>
        <item m="1" x="1391"/>
        <item m="1" x="1392"/>
        <item m="1" x="1393"/>
        <item m="1" x="1394"/>
        <item m="1" x="684"/>
        <item m="1" x="687"/>
        <item m="1" x="690"/>
        <item m="1" x="693"/>
        <item m="1" x="696"/>
        <item m="1" x="699"/>
        <item m="1" x="702"/>
        <item m="1" x="705"/>
        <item m="1" x="708"/>
        <item m="1" x="711"/>
        <item m="1" x="714"/>
        <item m="1" x="717"/>
        <item m="1" x="720"/>
        <item m="1" x="722"/>
        <item m="1" x="724"/>
        <item m="1" x="727"/>
        <item m="1" x="729"/>
        <item m="1" x="731"/>
        <item m="1" x="733"/>
        <item m="1" x="734"/>
        <item m="1" x="735"/>
        <item m="1" x="736"/>
        <item m="1" x="738"/>
        <item m="1" x="1446"/>
        <item m="1" x="1448"/>
        <item m="1" x="1449"/>
        <item m="1" x="1450"/>
        <item m="1" x="1452"/>
        <item m="1" x="1453"/>
        <item m="1" x="1454"/>
        <item m="1" x="1456"/>
        <item m="1" x="1457"/>
        <item m="1" x="1459"/>
        <item m="1" x="1461"/>
        <item m="1" x="1463"/>
        <item m="1" x="1465"/>
        <item m="1" x="1467"/>
        <item m="1" x="1469"/>
        <item m="1" x="1471"/>
        <item m="1" x="1472"/>
        <item m="1" x="1474"/>
        <item m="1" x="1476"/>
        <item m="1" x="1478"/>
        <item m="1" x="1479"/>
        <item m="1" x="1480"/>
        <item m="1" x="1481"/>
        <item m="1" x="1483"/>
        <item m="1" x="750"/>
        <item m="1" x="752"/>
        <item m="1" x="754"/>
        <item m="1" x="756"/>
        <item m="1" x="759"/>
        <item m="1" x="762"/>
        <item m="1" x="765"/>
        <item m="1" x="768"/>
        <item m="1" x="770"/>
        <item m="1" x="773"/>
        <item m="1" x="776"/>
        <item m="1" x="779"/>
        <item m="1" x="782"/>
        <item m="1" x="785"/>
        <item m="1" x="788"/>
        <item m="1" x="791"/>
        <item m="1" x="792"/>
        <item m="1" x="794"/>
        <item m="1" x="796"/>
        <item m="1" x="798"/>
        <item m="1" x="800"/>
        <item m="1" x="802"/>
        <item m="1" x="804"/>
        <item m="1" x="807"/>
        <item m="1" x="1494"/>
        <item m="1" x="1496"/>
        <item m="1" x="1498"/>
        <item m="1" x="1500"/>
        <item m="1" x="1503"/>
        <item m="1" x="1506"/>
        <item m="1" x="1509"/>
        <item m="1" x="1512"/>
        <item m="1" x="1515"/>
        <item m="1" x="1518"/>
        <item m="1" x="1520"/>
        <item m="1" x="1523"/>
        <item m="1" x="1526"/>
        <item m="1" x="1529"/>
        <item m="1" x="1532"/>
        <item m="1" x="1536"/>
        <item m="1" x="1538"/>
        <item m="1" x="1540"/>
        <item m="1" x="1542"/>
        <item m="1" x="1544"/>
        <item m="1" x="1546"/>
        <item m="1" x="1548"/>
        <item m="1" x="1550"/>
        <item m="1" x="1553"/>
        <item m="1" x="824"/>
        <item m="1" x="826"/>
        <item m="1" x="828"/>
        <item m="1" x="831"/>
        <item m="1" x="834"/>
        <item m="1" x="838"/>
        <item m="1" x="842"/>
        <item m="1" x="845"/>
        <item m="1" x="848"/>
        <item m="1" x="851"/>
        <item m="1" x="855"/>
        <item m="1" x="858"/>
        <item m="1" x="862"/>
        <item m="1" x="866"/>
        <item m="1" x="870"/>
        <item m="1" x="872"/>
        <item m="1" x="875"/>
        <item m="1" x="878"/>
        <item m="1" x="879"/>
        <item m="1" x="882"/>
        <item m="1" x="884"/>
        <item m="1" x="885"/>
        <item m="1" x="887"/>
        <item m="1" x="888"/>
        <item m="1" x="1570"/>
        <item m="1" x="1618"/>
        <item m="1" x="1619"/>
        <item m="1" x="1621"/>
        <item m="1" x="1622"/>
        <item m="1" x="1623"/>
        <item m="1" x="1624"/>
        <item m="1" x="1625"/>
        <item m="1" x="1626"/>
        <item m="1" x="1627"/>
        <item m="1" x="1628"/>
        <item m="1" x="1629"/>
        <item m="1" x="1630"/>
        <item m="1" x="1631"/>
        <item m="1" x="1632"/>
        <item m="1" x="1633"/>
        <item m="1" x="1634"/>
        <item m="1" x="1635"/>
        <item m="1" x="1636"/>
        <item m="1" x="1637"/>
        <item m="1" x="1638"/>
        <item m="1" x="1639"/>
        <item m="1" x="1640"/>
        <item m="1" x="1641"/>
        <item m="1" x="932"/>
        <item m="1" x="933"/>
        <item m="1" x="934"/>
        <item m="1" x="935"/>
        <item m="1" x="937"/>
        <item m="1" x="938"/>
        <item m="1" x="940"/>
        <item m="1" x="941"/>
        <item m="1" x="943"/>
        <item m="1" x="945"/>
        <item m="1" x="947"/>
        <item m="1" x="948"/>
        <item m="1" x="949"/>
        <item m="1" x="950"/>
        <item m="1" x="952"/>
        <item m="1" x="953"/>
        <item m="1" x="954"/>
        <item m="1" x="955"/>
        <item m="1" x="956"/>
        <item m="1" x="957"/>
        <item m="1" x="958"/>
        <item m="1" x="959"/>
        <item m="1" x="960"/>
        <item m="1" x="961"/>
        <item m="1" x="1647"/>
        <item m="1" x="1649"/>
        <item m="1" x="1650"/>
        <item m="1" x="1651"/>
        <item m="1" x="1653"/>
        <item m="1" x="1655"/>
        <item m="1" x="1656"/>
        <item m="1" x="1657"/>
        <item m="1" x="1659"/>
        <item m="1" x="1661"/>
        <item m="1" x="1663"/>
        <item m="1" x="1665"/>
        <item m="1" x="1668"/>
        <item m="1" x="1670"/>
        <item m="1" x="1673"/>
        <item m="1" x="1674"/>
        <item m="1" x="1675"/>
        <item m="1" x="1676"/>
        <item m="1" x="1677"/>
        <item m="1" x="1679"/>
        <item m="1" x="1681"/>
        <item m="1" x="1683"/>
        <item m="1" x="1685"/>
        <item m="1" x="963"/>
        <item m="1" x="964"/>
        <item m="1" x="965"/>
        <item m="1" x="966"/>
        <item m="1" x="968"/>
        <item m="1" x="970"/>
        <item m="1" x="971"/>
        <item m="1" x="972"/>
        <item m="1" x="974"/>
        <item m="1" x="975"/>
        <item m="1" x="976"/>
        <item m="1" x="978"/>
        <item m="1" x="980"/>
        <item m="1" x="982"/>
        <item m="1" x="983"/>
        <item m="1" x="985"/>
        <item m="1" x="987"/>
        <item m="1" x="989"/>
        <item m="1" x="991"/>
        <item m="1" x="993"/>
        <item m="1" x="995"/>
        <item m="1" x="997"/>
        <item m="1" x="999"/>
        <item m="1" x="1687"/>
        <item m="1" x="1688"/>
        <item m="1" x="1689"/>
        <item m="1" x="1691"/>
        <item m="1" x="1692"/>
        <item m="1" x="1693"/>
        <item m="1" x="1694"/>
        <item m="1" x="1695"/>
        <item m="1" x="1696"/>
        <item m="1" x="1698"/>
        <item m="1" x="1700"/>
        <item m="1" x="1702"/>
        <item m="1" x="1703"/>
        <item m="1" x="1705"/>
        <item m="1" x="1707"/>
        <item m="1" x="1709"/>
        <item m="1" x="1711"/>
        <item m="1" x="1019"/>
        <item m="1" x="1020"/>
        <item m="1" x="1021"/>
        <item m="1" x="1022"/>
        <item m="1" x="1023"/>
        <item m="1" x="1024"/>
        <item m="1" x="1025"/>
        <item m="1" x="1026"/>
        <item m="1" x="1027"/>
        <item m="1" x="1028"/>
        <item m="1" x="1029"/>
        <item m="1" x="1030"/>
        <item m="1" x="1031"/>
        <item m="1" x="1032"/>
        <item m="1" x="1033"/>
        <item m="1" x="1034"/>
        <item m="1" x="1035"/>
        <item m="1" x="1036"/>
        <item m="1" x="1037"/>
        <item m="1" x="1038"/>
        <item m="1" x="1039"/>
        <item m="1" x="1040"/>
        <item m="1" x="1041"/>
        <item m="1" x="347"/>
        <item m="1" x="348"/>
        <item m="1" x="349"/>
        <item m="1" x="350"/>
        <item m="1" x="351"/>
        <item m="1" x="352"/>
        <item m="1" x="353"/>
        <item m="1" x="354"/>
        <item m="1" x="355"/>
        <item m="1" x="356"/>
        <item m="1" x="357"/>
        <item m="1" x="358"/>
        <item m="1" x="359"/>
        <item m="1" x="360"/>
        <item m="1" x="361"/>
        <item m="1" x="362"/>
        <item m="1" x="363"/>
        <item m="1" x="364"/>
        <item m="1" x="365"/>
        <item m="1" x="366"/>
        <item m="1" x="367"/>
        <item m="1" x="368"/>
        <item m="1" x="1042"/>
        <item m="1" x="1043"/>
        <item m="1" x="1044"/>
        <item m="1" x="1045"/>
        <item m="1" x="1047"/>
        <item m="1" x="1049"/>
        <item m="1" x="1050"/>
        <item m="1" x="1051"/>
        <item m="1" x="1053"/>
        <item m="1" x="1054"/>
        <item m="1" x="1055"/>
        <item m="1" x="1057"/>
        <item m="1" x="1058"/>
        <item m="1" x="1061"/>
        <item m="1" x="1063"/>
        <item m="1" x="1065"/>
        <item m="1" x="1067"/>
        <item m="1" x="1069"/>
        <item m="1" x="1071"/>
        <item m="1" x="1073"/>
        <item m="1" x="1075"/>
        <item m="1" x="1077"/>
        <item m="1" x="1078"/>
        <item m="1" x="369"/>
        <item m="1" x="370"/>
        <item m="1" x="371"/>
        <item m="1" x="372"/>
        <item m="1" x="374"/>
        <item m="1" x="375"/>
        <item m="1" x="377"/>
        <item m="1" x="378"/>
        <item m="1" x="380"/>
        <item m="1" x="381"/>
        <item m="1" x="382"/>
        <item m="1" x="384"/>
        <item m="1" x="385"/>
        <item m="1" x="386"/>
        <item m="1" x="387"/>
        <item m="1" x="389"/>
        <item m="1" x="390"/>
        <item m="1" x="391"/>
        <item m="1" x="393"/>
        <item m="1" x="395"/>
        <item m="1" x="397"/>
        <item m="1" x="399"/>
        <item m="1" x="401"/>
        <item m="1" x="403"/>
        <item m="1" x="1080"/>
        <item m="1" x="1081"/>
        <item m="1" x="1083"/>
        <item m="1" x="1085"/>
        <item m="1" x="1086"/>
        <item m="1" x="1087"/>
        <item m="1" x="1088"/>
        <item m="1" x="1089"/>
        <item m="1" x="1090"/>
        <item m="1" x="1091"/>
        <item m="1" x="1092"/>
        <item m="1" x="1093"/>
        <item m="1" x="1094"/>
        <item m="1" x="1095"/>
        <item m="1" x="405"/>
        <item m="1" x="407"/>
        <item m="1" x="408"/>
        <item m="1" x="409"/>
        <item m="1" x="410"/>
        <item m="1" x="411"/>
        <item m="1" x="412"/>
        <item m="1" x="413"/>
        <item m="1" x="414"/>
        <item m="1" x="415"/>
        <item m="1" x="416"/>
        <item m="1" x="417"/>
        <item m="1" x="418"/>
        <item m="1" x="419"/>
        <item m="1" x="1097"/>
        <item m="1" x="1098"/>
        <item m="1" x="1099"/>
        <item m="1" x="1100"/>
        <item m="1" x="1101"/>
        <item m="1" x="1102"/>
        <item m="1" x="1103"/>
        <item m="1" x="1104"/>
        <item m="1" x="1105"/>
        <item m="1" x="1106"/>
        <item m="1" x="1107"/>
        <item m="1" x="1108"/>
        <item m="1" x="1109"/>
        <item m="1" x="1110"/>
        <item m="1" x="1111"/>
        <item m="1" x="420"/>
        <item m="1" x="421"/>
        <item m="1" x="422"/>
        <item m="1" x="423"/>
        <item m="1" x="424"/>
        <item m="1" x="425"/>
        <item m="1" x="426"/>
        <item m="1" x="427"/>
        <item m="1" x="428"/>
        <item m="1" x="429"/>
        <item m="1" x="430"/>
        <item m="1" x="431"/>
        <item m="1" x="432"/>
        <item m="1" x="433"/>
        <item m="1" x="434"/>
        <item m="1" x="435"/>
        <item m="1" x="436"/>
        <item m="1" x="437"/>
        <item m="1" x="1112"/>
        <item m="1" x="1113"/>
        <item m="1" x="1115"/>
        <item m="1" x="1116"/>
        <item m="1" x="1117"/>
        <item m="1" x="1118"/>
        <item m="1" x="1119"/>
        <item m="1" x="1120"/>
        <item m="1" x="1121"/>
        <item m="1" x="1122"/>
        <item m="1" x="1123"/>
        <item m="1" x="1124"/>
        <item m="1" x="1125"/>
        <item m="1" x="1126"/>
        <item m="1" x="1404"/>
        <item m="1" x="1405"/>
        <item m="1" x="1407"/>
        <item m="1" x="1408"/>
        <item m="1" x="1412"/>
        <item m="1" x="1418"/>
        <item m="1" x="1424"/>
        <item m="1" x="1426"/>
        <item m="1" x="1430"/>
        <item m="1" x="1434"/>
        <item m="1" x="1436"/>
        <item m="1" x="1438"/>
        <item m="1" x="1439"/>
        <item m="1" x="1440"/>
        <item m="1" x="1441"/>
        <item m="1" x="1442"/>
        <item m="1" x="1443"/>
        <item m="1" x="688"/>
        <item m="1" x="757"/>
        <item m="1" x="760"/>
        <item m="1" x="763"/>
        <item m="1" x="766"/>
        <item m="1" x="771"/>
        <item m="1" x="774"/>
        <item m="1" x="777"/>
        <item m="1" x="780"/>
        <item m="1" x="783"/>
        <item m="1" x="786"/>
        <item m="1" x="789"/>
        <item m="1" x="793"/>
        <item m="1" x="795"/>
        <item m="1" x="797"/>
        <item m="1" x="799"/>
        <item m="1" x="801"/>
        <item m="1" x="803"/>
        <item m="1" x="805"/>
        <item m="1" x="808"/>
        <item m="1" x="811"/>
        <item m="1" x="813"/>
        <item m="1" x="1501"/>
        <item m="1" x="1504"/>
        <item m="1" x="1507"/>
        <item m="1" x="1510"/>
        <item m="1" x="1513"/>
        <item m="1" x="1516"/>
        <item m="1" x="1521"/>
        <item m="1" x="1524"/>
        <item m="1" x="1527"/>
        <item m="1" x="1530"/>
        <item m="1" x="1533"/>
        <item m="1" x="1537"/>
        <item m="1" x="1539"/>
        <item m="1" x="1541"/>
        <item m="1" x="1543"/>
        <item m="1" x="1545"/>
        <item m="1" x="1547"/>
        <item m="1" x="1549"/>
        <item m="1" x="1551"/>
        <item m="1" x="1555"/>
        <item m="1" x="829"/>
        <item m="1" x="832"/>
        <item m="1" x="835"/>
        <item m="1" x="839"/>
        <item m="1" x="843"/>
        <item m="1" x="849"/>
        <item m="1" x="852"/>
        <item m="1" x="856"/>
        <item m="1" x="859"/>
        <item m="1" x="863"/>
        <item m="1" x="867"/>
        <item m="1" x="873"/>
        <item m="1" x="876"/>
        <item m="1" x="880"/>
        <item m="1" x="883"/>
        <item m="1" x="886"/>
        <item m="1" x="1574"/>
        <item m="1" x="1580"/>
        <item m="1" x="1594"/>
        <item m="1" x="1599"/>
        <item m="1" x="1603"/>
        <item m="1" x="1605"/>
        <item m="1" x="1607"/>
        <item m="1" x="1609"/>
        <item m="1" x="1611"/>
        <item m="1" x="1612"/>
        <item m="1" x="1613"/>
        <item m="1" x="1614"/>
        <item m="1" x="1615"/>
        <item m="1" x="1616"/>
        <item m="1" x="898"/>
        <item m="1" x="899"/>
        <item m="1" x="900"/>
        <item m="1" x="903"/>
        <item m="1" x="913"/>
        <item m="1" x="917"/>
        <item m="1" x="919"/>
        <item m="1" x="920"/>
        <item m="1" x="921"/>
        <item m="1" x="922"/>
        <item m="1" x="924"/>
        <item m="1" x="926"/>
        <item m="1" x="927"/>
        <item m="1" x="928"/>
        <item m="1" x="929"/>
        <item m="1" x="1620"/>
        <item m="1" x="1652"/>
        <item m="1" x="1654"/>
        <item m="1" x="1666"/>
        <item m="1" x="1671"/>
        <item m="1" x="1678"/>
        <item m="1" x="1680"/>
        <item m="1" x="1682"/>
        <item m="1" x="1684"/>
        <item m="1" x="1686"/>
        <item m="1" x="967"/>
        <item m="1" x="969"/>
        <item m="1" x="973"/>
        <item m="1" x="977"/>
        <item m="1" x="979"/>
        <item m="1" x="981"/>
        <item m="1" x="984"/>
        <item m="1" x="986"/>
        <item m="1" x="988"/>
        <item m="1" x="990"/>
        <item m="1" x="992"/>
        <item m="1" x="994"/>
        <item m="1" x="996"/>
        <item m="1" x="998"/>
        <item m="1" x="1000"/>
        <item m="1" x="1690"/>
        <item m="1" x="1697"/>
        <item m="1" x="1699"/>
        <item m="1" x="1701"/>
        <item m="1" x="1704"/>
        <item m="1" x="1706"/>
        <item m="1" x="1708"/>
        <item m="1" x="1710"/>
        <item m="1" x="1712"/>
        <item m="1" x="1713"/>
        <item m="1" x="1714"/>
        <item m="1" x="1001"/>
        <item m="1" x="1002"/>
        <item m="1" x="1003"/>
        <item m="1" x="1004"/>
        <item m="1" x="1005"/>
        <item m="1" x="1006"/>
        <item m="1" x="1007"/>
        <item m="1" x="1008"/>
        <item m="1" x="1009"/>
        <item m="1" x="1010"/>
        <item m="1" x="1011"/>
        <item m="1" x="1012"/>
        <item m="1" x="1013"/>
        <item m="1" x="1014"/>
        <item m="1" x="1015"/>
        <item m="1" x="1016"/>
        <item m="1" x="1017"/>
        <item m="1" x="1018"/>
        <item m="1" x="1715"/>
        <item m="1" x="1716"/>
        <item m="1" x="1717"/>
        <item m="1" x="1718"/>
        <item m="1" x="1719"/>
        <item m="1" x="336"/>
        <item m="1" x="337"/>
        <item m="1" x="338"/>
        <item m="1" x="339"/>
        <item m="1" x="340"/>
        <item m="1" x="341"/>
        <item m="1" x="342"/>
        <item m="1" x="343"/>
        <item m="1" x="344"/>
        <item m="1" x="345"/>
        <item m="1" x="346"/>
        <item m="1" x="1046"/>
        <item m="1" x="1048"/>
        <item m="1" x="1052"/>
        <item m="1" x="1056"/>
        <item m="1" x="1059"/>
        <item m="1" x="1060"/>
        <item m="1" x="1062"/>
        <item m="1" x="1064"/>
        <item m="1" x="1066"/>
        <item m="1" x="1068"/>
        <item m="1" x="1070"/>
        <item m="1" x="1072"/>
        <item m="1" x="1074"/>
        <item m="1" x="1076"/>
        <item m="1" x="1079"/>
        <item m="1" x="373"/>
        <item m="1" x="376"/>
        <item m="1" x="379"/>
        <item m="1" x="383"/>
        <item m="1" x="388"/>
        <item m="1" x="392"/>
        <item m="1" x="394"/>
        <item m="1" x="396"/>
        <item m="1" x="398"/>
        <item m="1" x="400"/>
        <item m="1" x="402"/>
        <item m="1" x="404"/>
        <item m="1" x="1082"/>
        <item m="1" x="1084"/>
        <item m="1" x="406"/>
        <item m="1" x="1096"/>
        <item m="1" x="1114"/>
        <item m="1" x="438"/>
        <item m="1" x="1485"/>
        <item m="1" x="1534"/>
        <item m="1" x="809"/>
        <item m="1" x="440"/>
        <item m="1" x="441"/>
        <item m="1" x="442"/>
        <item m="1" x="443"/>
        <item m="1" x="444"/>
        <item m="1" x="445"/>
        <item m="1" x="446"/>
        <item m="1" x="447"/>
        <item m="1" x="448"/>
        <item m="1" x="449"/>
        <item m="1" x="450"/>
        <item m="1" x="451"/>
        <item m="1" x="452"/>
        <item m="1" x="453"/>
        <item m="1" x="454"/>
        <item m="1" x="455"/>
        <item m="1" x="456"/>
        <item m="1" x="457"/>
        <item m="1" x="458"/>
        <item m="1" x="459"/>
        <item m="1" x="460"/>
        <item m="1" x="461"/>
        <item m="1" x="462"/>
        <item m="1" x="463"/>
        <item m="1" x="1127"/>
        <item m="1" x="1129"/>
        <item m="1" x="1131"/>
        <item m="1" x="1134"/>
        <item m="1" x="1137"/>
        <item m="1" x="1139"/>
        <item m="1" x="1141"/>
        <item m="1" x="1143"/>
        <item m="1" x="1145"/>
        <item m="1" x="1146"/>
        <item m="1" x="1148"/>
        <item m="1" x="1150"/>
        <item m="1" x="1152"/>
        <item m="1" x="1154"/>
        <item m="1" x="1156"/>
        <item m="1" x="1158"/>
        <item m="1" x="1160"/>
        <item m="1" x="1162"/>
        <item m="1" x="1164"/>
        <item m="1" x="1165"/>
        <item m="1" x="1166"/>
        <item m="1" x="465"/>
        <item m="1" x="467"/>
        <item m="1" x="469"/>
        <item m="1" x="470"/>
        <item m="1" x="473"/>
        <item m="1" x="474"/>
        <item m="1" x="476"/>
        <item m="1" x="478"/>
        <item m="1" x="480"/>
        <item m="1" x="482"/>
        <item m="1" x="484"/>
        <item m="1" x="485"/>
        <item m="1" x="487"/>
        <item m="1" x="489"/>
        <item m="1" x="491"/>
        <item m="1" x="493"/>
        <item m="1" x="496"/>
        <item m="1" x="497"/>
        <item m="1" x="498"/>
        <item m="1" x="500"/>
        <item m="1" x="1169"/>
        <item m="1" x="1171"/>
        <item m="1" x="1178"/>
        <item m="1" x="1182"/>
        <item m="1" x="1185"/>
        <item m="1" x="1188"/>
        <item m="1" x="1190"/>
        <item m="1" x="1193"/>
        <item m="1" x="1196"/>
        <item m="1" x="1199"/>
        <item m="1" x="1202"/>
        <item m="1" x="1205"/>
        <item m="1" x="1208"/>
        <item m="1" x="1211"/>
        <item m="1" x="1213"/>
        <item m="1" x="1215"/>
        <item m="1" x="1217"/>
        <item m="1" x="1220"/>
        <item m="1" x="1221"/>
        <item m="1" x="502"/>
        <item m="1" x="505"/>
        <item m="1" x="510"/>
        <item m="1" x="512"/>
        <item m="1" x="517"/>
        <item m="1" x="520"/>
        <item m="1" x="522"/>
        <item m="1" x="525"/>
        <item m="1" x="529"/>
        <item m="1" x="533"/>
        <item m="1" x="536"/>
        <item m="1" x="539"/>
        <item m="1" x="541"/>
        <item m="1" x="542"/>
        <item m="1" x="545"/>
        <item x="27"/>
        <item x="34"/>
        <item x="35"/>
        <item x="36"/>
        <item x="37"/>
        <item x="38"/>
        <item x="39"/>
        <item x="40"/>
        <item x="41"/>
        <item x="42"/>
        <item x="43"/>
        <item x="44"/>
        <item x="45"/>
        <item x="46"/>
        <item x="28"/>
        <item x="47"/>
        <item x="48"/>
        <item x="29"/>
        <item x="49"/>
        <item x="50"/>
        <item x="51"/>
        <item x="52"/>
        <item x="17"/>
        <item x="53"/>
        <item x="54"/>
        <item x="55"/>
        <item x="56"/>
        <item x="57"/>
        <item x="58"/>
        <item x="59"/>
        <item x="60"/>
        <item x="61"/>
        <item x="18"/>
        <item x="62"/>
        <item x="19"/>
        <item x="20"/>
        <item x="63"/>
        <item x="64"/>
        <item x="65"/>
        <item x="66"/>
        <item x="67"/>
        <item x="68"/>
        <item x="69"/>
        <item x="70"/>
        <item x="71"/>
        <item x="72"/>
        <item x="73"/>
        <item x="21"/>
        <item x="22"/>
        <item x="74"/>
        <item x="75"/>
        <item x="76"/>
        <item x="77"/>
        <item x="78"/>
        <item x="79"/>
        <item x="80"/>
        <item x="81"/>
        <item x="82"/>
        <item x="83"/>
        <item x="84"/>
        <item x="85"/>
        <item x="86"/>
        <item x="87"/>
        <item x="88"/>
        <item x="89"/>
        <item x="90"/>
        <item x="91"/>
        <item x="92"/>
        <item x="93"/>
        <item x="94"/>
        <item x="95"/>
        <item x="96"/>
        <item x="97"/>
        <item x="98"/>
        <item x="99"/>
        <item x="100"/>
        <item x="23"/>
        <item x="101"/>
        <item x="102"/>
        <item x="103"/>
        <item x="104"/>
        <item x="105"/>
        <item x="106"/>
        <item x="107"/>
        <item x="108"/>
        <item x="109"/>
        <item x="110"/>
        <item x="111"/>
        <item x="112"/>
        <item x="113"/>
        <item x="114"/>
        <item x="115"/>
        <item x="116"/>
        <item x="117"/>
        <item x="118"/>
        <item x="119"/>
        <item x="120"/>
        <item x="8"/>
        <item x="121"/>
        <item x="122"/>
        <item x="123"/>
        <item x="124"/>
        <item x="125"/>
        <item x="126"/>
        <item x="127"/>
        <item x="128"/>
        <item x="129"/>
        <item x="130"/>
        <item x="131"/>
        <item x="132"/>
        <item x="133"/>
        <item x="134"/>
        <item x="135"/>
        <item x="136"/>
        <item x="137"/>
        <item x="9"/>
        <item x="138"/>
        <item x="139"/>
        <item x="140"/>
        <item x="141"/>
        <item x="10"/>
        <item x="11"/>
        <item x="142"/>
        <item x="12"/>
        <item x="143"/>
        <item x="13"/>
        <item x="144"/>
        <item x="145"/>
        <item x="146"/>
        <item x="147"/>
        <item x="148"/>
        <item x="149"/>
        <item x="150"/>
        <item x="151"/>
        <item x="152"/>
        <item x="153"/>
        <item x="154"/>
        <item x="155"/>
        <item x="14"/>
        <item x="156"/>
        <item x="157"/>
        <item x="158"/>
        <item x="159"/>
        <item x="160"/>
        <item x="15"/>
        <item x="16"/>
        <item x="161"/>
        <item x="162"/>
        <item x="163"/>
        <item x="164"/>
        <item x="165"/>
        <item x="166"/>
        <item x="167"/>
        <item x="2"/>
        <item x="168"/>
        <item x="169"/>
        <item x="170"/>
        <item x="171"/>
        <item x="172"/>
        <item x="173"/>
        <item x="174"/>
        <item x="175"/>
        <item x="176"/>
        <item x="177"/>
        <item x="178"/>
        <item x="179"/>
        <item x="180"/>
        <item x="3"/>
        <item x="181"/>
        <item x="4"/>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5"/>
        <item x="212"/>
        <item x="213"/>
        <item x="214"/>
        <item x="215"/>
        <item x="6"/>
        <item x="7"/>
        <item x="216"/>
        <item x="217"/>
        <item x="218"/>
        <item x="219"/>
        <item x="220"/>
        <item x="221"/>
        <item x="222"/>
        <item x="223"/>
        <item x="224"/>
        <item x="225"/>
        <item x="226"/>
        <item x="227"/>
        <item x="0"/>
        <item x="228"/>
        <item x="229"/>
        <item x="230"/>
        <item x="231"/>
        <item x="232"/>
        <item x="233"/>
        <item x="1"/>
        <item x="234"/>
        <item x="235"/>
        <item x="236"/>
        <item x="30"/>
        <item x="237"/>
        <item x="238"/>
        <item x="239"/>
        <item x="240"/>
        <item x="241"/>
        <item x="242"/>
        <item x="243"/>
        <item x="244"/>
        <item x="245"/>
        <item x="246"/>
        <item m="1" x="1395"/>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31"/>
        <item x="282"/>
        <item x="283"/>
        <item x="32"/>
        <item x="284"/>
        <item x="285"/>
        <item x="286"/>
        <item x="287"/>
        <item x="33"/>
        <item x="288"/>
        <item x="289"/>
        <item x="290"/>
        <item x="291"/>
        <item x="292"/>
        <item x="293"/>
        <item x="294"/>
        <item x="295"/>
        <item x="296"/>
        <item x="297"/>
        <item x="298"/>
        <item x="299"/>
        <item x="300"/>
        <item x="301"/>
        <item x="302"/>
        <item x="303"/>
        <item x="24"/>
        <item x="304"/>
        <item x="305"/>
        <item x="306"/>
        <item x="307"/>
        <item x="308"/>
        <item x="309"/>
        <item x="310"/>
        <item x="311"/>
        <item x="312"/>
        <item x="313"/>
        <item x="314"/>
        <item x="25"/>
        <item x="315"/>
        <item x="316"/>
        <item x="317"/>
        <item x="318"/>
        <item x="26"/>
        <item x="319"/>
        <item x="320"/>
        <item x="321"/>
        <item x="322"/>
        <item x="323"/>
        <item x="324"/>
        <item x="325"/>
        <item x="326"/>
        <item x="327"/>
        <item x="328"/>
        <item x="329"/>
        <item x="330"/>
        <item x="331"/>
        <item x="332"/>
        <item x="333"/>
        <item x="334"/>
        <item x="335"/>
        <item m="1" x="1556"/>
        <item m="1" x="1558"/>
        <item m="1" x="1560"/>
        <item m="1" x="1563"/>
        <item m="1" x="1565"/>
        <item m="1" x="1575"/>
        <item m="1" x="1577"/>
        <item m="1" x="1581"/>
        <item m="1" x="1588"/>
        <item m="1" x="1591"/>
        <item m="1" x="1601"/>
        <item m="1" x="1604"/>
        <item m="1" x="930"/>
        <item m="1" x="931"/>
        <item m="1" x="936"/>
        <item m="1" x="939"/>
        <item m="1" x="942"/>
        <item m="1" x="944"/>
        <item m="1" x="946"/>
        <item m="1" x="951"/>
        <item m="1" x="1642"/>
        <item m="1" x="1172"/>
        <item m="1" x="506"/>
        <item m="1" x="1225"/>
        <item m="1" x="557"/>
        <item m="1" x="1251"/>
        <item m="1" x="570"/>
        <item m="1" x="1271"/>
        <item m="1" x="580"/>
        <item m="1" x="1318"/>
        <item m="1" x="614"/>
        <item m="1" x="1344"/>
        <item m="1" x="652"/>
        <item m="1" x="1397"/>
        <item m="1" x="742"/>
        <item m="1" x="1488"/>
        <item m="1" x="815"/>
        <item m="1" x="1561"/>
        <item m="1" x="890"/>
        <item m="1" x="1645"/>
        <item m="1" x="962"/>
        <item m="1" x="439"/>
      </items>
    </pivotField>
    <pivotField showAll="0" defaultSubtotal="0"/>
    <pivotField showAll="0"/>
    <pivotField showAll="0" defaultSubtotal="0"/>
    <pivotField showAll="0" defaultSubtotal="0"/>
    <pivotField showAll="0"/>
    <pivotField showAll="0" defaultSubtotal="0"/>
    <pivotField dataField="1" showAll="0" defaultSubtotal="0"/>
    <pivotField showAll="0"/>
    <pivotField showAll="0" defaultSubtotal="0"/>
    <pivotField dataField="1" showAll="0" defaultSubtotal="0"/>
    <pivotField showAll="0"/>
    <pivotField showAll="0" defaultSubtotal="0"/>
    <pivotField showAll="0" defaultSubtotal="0"/>
    <pivotField showAll="0"/>
    <pivotField showAll="0" defaultSubtotal="0"/>
    <pivotField showAll="0" defaultSubtotal="0"/>
    <pivotField showAll="0" defaultSubtotal="0"/>
    <pivotField dragToRow="0" dragToCol="0" dragToPage="0" showAll="0" defaultSubtotal="0"/>
    <pivotField dataField="1" dragToRow="0" dragToCol="0" dragToPage="0" showAll="0" defaultSubtotal="0"/>
    <pivotField dataField="1" dragToRow="0" dragToCol="0" dragToPage="0" showAll="0" defaultSubtotal="0"/>
  </pivotFields>
  <rowFields count="1">
    <field x="4"/>
  </rowFields>
  <rowItems count="337">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t="grand">
      <x/>
    </i>
  </rowItems>
  <colFields count="1">
    <field x="-2"/>
  </colFields>
  <colItems count="4">
    <i>
      <x/>
    </i>
    <i i="1">
      <x v="1"/>
    </i>
    <i i="2">
      <x v="2"/>
    </i>
    <i i="3">
      <x v="3"/>
    </i>
  </colItems>
  <dataFields count="4">
    <dataField name="errorH" fld="11" subtotal="average" baseField="4" baseItem="66" numFmtId="165"/>
    <dataField name="errorL" fld="14" subtotal="average" baseField="4" baseItem="1157" numFmtId="165"/>
    <dataField name="Average of errHp" fld="23" subtotal="average" baseField="4" baseItem="1350" numFmtId="9"/>
    <dataField name="Average of errLp" fld="24" subtotal="average" baseField="4" baseItem="1350" numFmtId="9"/>
  </dataFields>
  <formats count="6">
    <format dxfId="38">
      <pivotArea dataOnly="0" fieldPosition="0">
        <references count="1">
          <reference field="4" count="1">
            <x v="1609"/>
          </reference>
        </references>
      </pivotArea>
    </format>
    <format dxfId="37">
      <pivotArea dataOnly="0" fieldPosition="0">
        <references count="1">
          <reference field="4" count="1">
            <x v="1310"/>
          </reference>
        </references>
      </pivotArea>
    </format>
    <format dxfId="36">
      <pivotArea outline="0" fieldPosition="0">
        <references count="1">
          <reference field="4294967294" count="1">
            <x v="1"/>
          </reference>
        </references>
      </pivotArea>
    </format>
    <format dxfId="35">
      <pivotArea outline="0" fieldPosition="0">
        <references count="1">
          <reference field="4294967294" count="1">
            <x v="0"/>
          </reference>
        </references>
      </pivotArea>
    </format>
    <format dxfId="34">
      <pivotArea outline="0" fieldPosition="0">
        <references count="1">
          <reference field="4294967294" count="1">
            <x v="2"/>
          </reference>
        </references>
      </pivotArea>
    </format>
    <format dxfId="33">
      <pivotArea outline="0" fieldPosition="0">
        <references count="1">
          <reference field="4294967294" count="1">
            <x v="3"/>
          </reference>
        </references>
      </pivotArea>
    </format>
  </formats>
  <chartFormats count="4">
    <chartFormat chart="0" format="19" series="1">
      <pivotArea type="data" outline="0" fieldPosition="0">
        <references count="1">
          <reference field="4294967294" count="1" selected="0">
            <x v="0"/>
          </reference>
        </references>
      </pivotArea>
    </chartFormat>
    <chartFormat chart="0" format="20" series="1">
      <pivotArea type="data" outline="0" fieldPosition="0">
        <references count="1">
          <reference field="4294967294" count="1" selected="0">
            <x v="1"/>
          </reference>
        </references>
      </pivotArea>
    </chartFormat>
    <chartFormat chart="0" format="24" series="1">
      <pivotArea type="data" outline="0" fieldPosition="0">
        <references count="1">
          <reference field="4294967294" count="1" selected="0">
            <x v="2"/>
          </reference>
        </references>
      </pivotArea>
    </chartFormat>
    <chartFormat chart="0" format="25" series="1">
      <pivotArea type="data" outline="0" fieldPosition="0">
        <references count="1">
          <reference field="429496729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3" cacheId="3" applyNumberFormats="0" applyBorderFormats="0" applyFontFormats="0" applyPatternFormats="0" applyAlignmentFormats="0" applyWidthHeightFormats="1" dataCaption="Values" updatedVersion="5" minRefreshableVersion="3" useAutoFormatting="1" colGrandTotals="0" itemPrintTitles="1" createdVersion="5" indent="0" compact="0" compactData="0" gridDropZones="1" multipleFieldFilters="0" chartFormat="9" fieldListSortAscending="1">
  <location ref="A6:H17" firstHeaderRow="1" firstDataRow="3" firstDataCol="6" rowPageCount="1" colPageCount="1"/>
  <pivotFields count="38">
    <pivotField axis="axisPage" compact="0" outline="0" showAll="0" defaultSubtotal="0">
      <items count="36">
        <item x="6"/>
        <item x="2"/>
        <item m="1" x="9"/>
        <item m="1" x="13"/>
        <item m="1" x="17"/>
        <item m="1" x="24"/>
        <item m="1" x="27"/>
        <item m="1" x="31"/>
        <item m="1" x="19"/>
        <item m="1" x="21"/>
        <item m="1" x="30"/>
        <item m="1" x="23"/>
        <item m="1" x="14"/>
        <item m="1" x="8"/>
        <item m="1" x="25"/>
        <item m="1" x="16"/>
        <item m="1" x="10"/>
        <item m="1" x="26"/>
        <item m="1" x="18"/>
        <item m="1" x="11"/>
        <item m="1" x="28"/>
        <item m="1" x="20"/>
        <item m="1" x="12"/>
        <item x="0"/>
        <item m="1" x="22"/>
        <item m="1" x="32"/>
        <item x="1"/>
        <item m="1" x="34"/>
        <item m="1" x="35"/>
        <item m="1" x="7"/>
        <item m="1" x="15"/>
        <item m="1" x="33"/>
        <item m="1" x="29"/>
        <item x="3"/>
        <item x="4"/>
        <item x="5"/>
      </items>
    </pivotField>
    <pivotField axis="axisRow" compact="0" outline="0" showAll="0" sortType="ascending" defaultSubtotal="0">
      <items count="65">
        <item x="0"/>
        <item m="1" x="59"/>
        <item m="1" x="55"/>
        <item x="1"/>
        <item m="1" x="38"/>
        <item x="2"/>
        <item m="1" x="47"/>
        <item x="3"/>
        <item x="4"/>
        <item m="1" x="50"/>
        <item x="5"/>
        <item m="1" x="62"/>
        <item m="1" x="46"/>
        <item x="6"/>
        <item x="7"/>
        <item x="8"/>
        <item x="9"/>
        <item x="10"/>
        <item x="11"/>
        <item x="12"/>
        <item m="1" x="40"/>
        <item m="1" x="39"/>
        <item x="13"/>
        <item x="14"/>
        <item x="15"/>
        <item x="16"/>
        <item m="1" x="52"/>
        <item m="1" x="60"/>
        <item x="17"/>
        <item m="1" x="44"/>
        <item m="1" x="53"/>
        <item x="18"/>
        <item m="1" x="48"/>
        <item m="1" x="57"/>
        <item m="1" x="43"/>
        <item x="19"/>
        <item x="20"/>
        <item m="1" x="54"/>
        <item x="21"/>
        <item x="22"/>
        <item x="23"/>
        <item x="24"/>
        <item x="25"/>
        <item m="1" x="45"/>
        <item x="26"/>
        <item m="1" x="42"/>
        <item x="27"/>
        <item m="1" x="58"/>
        <item m="1" x="61"/>
        <item x="28"/>
        <item m="1" x="56"/>
        <item x="29"/>
        <item x="30"/>
        <item m="1" x="41"/>
        <item m="1" x="37"/>
        <item x="31"/>
        <item x="32"/>
        <item m="1" x="51"/>
        <item x="33"/>
        <item x="34"/>
        <item m="1" x="49"/>
        <item m="1" x="64"/>
        <item x="35"/>
        <item m="1" x="63"/>
        <item x="36"/>
      </items>
    </pivotField>
    <pivotField compact="0" outline="0" showAll="0" defaultSubtotal="0"/>
    <pivotField compact="0" outline="0" showAll="0" sortType="ascending" defaultSubtotal="0"/>
    <pivotField compact="0" outline="0" showAll="0" defaultSubtotal="0">
      <items count="2">
        <item m="1" x="1"/>
        <item x="0"/>
      </items>
    </pivotField>
    <pivotField axis="axisCol" compact="0" outline="0" showAll="0" defaultSubtotal="0">
      <items count="83">
        <item x="0"/>
        <item x="64"/>
        <item x="32"/>
        <item x="1"/>
        <item x="26"/>
        <item x="2"/>
        <item x="4"/>
        <item x="31"/>
        <item x="62"/>
        <item x="74"/>
        <item x="61"/>
        <item x="22"/>
        <item m="1" x="82"/>
        <item x="5"/>
        <item x="8"/>
        <item x="10"/>
        <item x="11"/>
        <item x="27"/>
        <item x="65"/>
        <item x="13"/>
        <item x="45"/>
        <item x="14"/>
        <item x="15"/>
        <item x="17"/>
        <item x="19"/>
        <item x="47"/>
        <item x="56"/>
        <item m="1" x="81"/>
        <item x="72"/>
        <item x="20"/>
        <item x="24"/>
        <item x="60"/>
        <item x="33"/>
        <item x="36"/>
        <item m="1" x="80"/>
        <item x="25"/>
        <item x="63"/>
        <item x="28"/>
        <item x="37"/>
        <item x="53"/>
        <item x="58"/>
        <item x="43"/>
        <item x="38"/>
        <item x="39"/>
        <item x="35"/>
        <item x="40"/>
        <item x="34"/>
        <item x="23"/>
        <item x="46"/>
        <item x="73"/>
        <item x="41"/>
        <item x="42"/>
        <item x="44"/>
        <item x="48"/>
        <item m="1" x="78"/>
        <item x="50"/>
        <item x="49"/>
        <item x="9"/>
        <item x="29"/>
        <item x="52"/>
        <item x="30"/>
        <item x="55"/>
        <item x="57"/>
        <item x="59"/>
        <item x="66"/>
        <item x="67"/>
        <item x="54"/>
        <item x="68"/>
        <item x="69"/>
        <item m="1" x="79"/>
        <item x="70"/>
        <item x="71"/>
        <item x="16"/>
        <item x="18"/>
        <item x="75"/>
        <item x="77"/>
        <item x="76"/>
        <item x="3"/>
        <item x="6"/>
        <item x="7"/>
        <item x="12"/>
        <item x="21"/>
        <item x="51"/>
      </items>
    </pivotField>
    <pivotField compact="0" outline="0" showAll="0" sortType="ascending" defaultSubtotal="0"/>
    <pivotField axis="axisRow" compact="0" outline="0" showAll="0" defaultSubtotal="0">
      <items count="14">
        <item x="6"/>
        <item x="0"/>
        <item x="7"/>
        <item x="11"/>
        <item x="10"/>
        <item x="8"/>
        <item x="1"/>
        <item x="13"/>
        <item x="12"/>
        <item x="9"/>
        <item x="2"/>
        <item x="5"/>
        <item x="3"/>
        <item x="4"/>
      </items>
    </pivotField>
    <pivotField axis="axisRow" compact="0" numFmtId="164" outline="0" showAll="0" sortType="ascending" defaultSubtotal="0">
      <items count="57">
        <item x="7"/>
        <item x="34"/>
        <item x="1"/>
        <item x="33"/>
        <item x="44"/>
        <item x="3"/>
        <item x="5"/>
        <item x="25"/>
        <item x="4"/>
        <item x="26"/>
        <item x="36"/>
        <item x="22"/>
        <item x="35"/>
        <item x="10"/>
        <item x="17"/>
        <item x="23"/>
        <item x="31"/>
        <item x="18"/>
        <item x="0"/>
        <item x="8"/>
        <item x="2"/>
        <item x="37"/>
        <item x="6"/>
        <item x="21"/>
        <item x="30"/>
        <item x="27"/>
        <item x="19"/>
        <item x="9"/>
        <item x="29"/>
        <item x="20"/>
        <item x="28"/>
        <item x="32"/>
        <item x="51"/>
        <item x="56"/>
        <item x="55"/>
        <item x="53"/>
        <item x="54"/>
        <item x="52"/>
        <item x="50"/>
        <item x="12"/>
        <item x="49"/>
        <item x="15"/>
        <item x="38"/>
        <item x="43"/>
        <item x="46"/>
        <item x="13"/>
        <item x="39"/>
        <item x="11"/>
        <item x="47"/>
        <item x="14"/>
        <item x="48"/>
        <item x="41"/>
        <item x="40"/>
        <item x="45"/>
        <item x="16"/>
        <item x="42"/>
        <item x="24"/>
      </items>
    </pivotField>
    <pivotField compact="0" outline="0" showAll="0" defaultSubtotal="0">
      <items count="3">
        <item x="0"/>
        <item h="1" x="2"/>
        <item h="1" x="1"/>
      </items>
    </pivotField>
    <pivotField compact="0" outline="0" showAll="0" defaultSubtotal="0"/>
    <pivotField dataField="1" compact="0" outline="0" showAll="0" defaultSubtotal="0"/>
    <pivotField compact="0" outline="0" showAll="0" defaultSubtotal="0"/>
    <pivotField compact="0" outline="0" showAll="0" defaultSubtotal="0"/>
    <pivotField name="HistoryLen" compact="0" outline="0" showAll="0" defaultSubtotal="0"/>
    <pivotField name="EngineTopology" axis="axisRow" compact="0" outline="0" showAll="0" sortType="ascending" defaultSubtotal="0">
      <items count="7">
        <item x="0"/>
        <item x="3"/>
        <item x="1"/>
        <item m="1" x="5"/>
        <item x="2"/>
        <item m="1" x="6"/>
        <item m="1" x="4"/>
      </items>
    </pivotField>
    <pivotField name="MaxEpochs" compact="0" outline="0" showAll="0" sortType="ascending" defaultSubtotal="0">
      <items count="14">
        <item m="1" x="5"/>
        <item m="1" x="13"/>
        <item m="1" x="6"/>
        <item m="1" x="8"/>
        <item m="1" x="10"/>
        <item x="1"/>
        <item m="1" x="3"/>
        <item m="1" x="11"/>
        <item m="1" x="12"/>
        <item m="1" x="7"/>
        <item x="0"/>
        <item m="1" x="4"/>
        <item m="1" x="9"/>
        <item x="2"/>
      </items>
    </pivotField>
    <pivotField name="MaxK" compact="0" outline="0" showAll="0" sortType="ascending" defaultSubtotal="0"/>
    <pivotField name="SampleLen" axis="axisRow" compact="0" outline="0" showAll="0" sortType="ascending" defaultSubtotal="0">
      <items count="9">
        <item x="2"/>
        <item x="4"/>
        <item m="1" x="8"/>
        <item x="5"/>
        <item m="1" x="7"/>
        <item x="6"/>
        <item x="0"/>
        <item x="3"/>
        <item x="1"/>
      </items>
    </pivotField>
    <pivotField name="Date0"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Col" compact="0" outline="0" showAll="0" sortType="ascending" defaultSubtotal="0">
      <items count="3">
        <item sd="0" x="0"/>
        <item x="2"/>
        <item sd="0" x="1"/>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items count="2">
        <item x="1"/>
        <item x="0"/>
      </items>
    </pivotField>
    <pivotField axis="axisRow" compact="0" outline="0" showAll="0" defaultSubtotal="0">
      <items count="2">
        <item x="0"/>
        <item x="1"/>
      </items>
    </pivotField>
    <pivotField compact="0" outline="0" dragToRow="0" dragToCol="0" dragToPage="0" showAll="0" defaultSubtotal="0"/>
  </pivotFields>
  <rowFields count="6">
    <field x="15"/>
    <field x="36"/>
    <field x="18"/>
    <field x="7"/>
    <field x="1"/>
    <field x="8"/>
  </rowFields>
  <rowItems count="9">
    <i>
      <x v="2"/>
      <x/>
      <x/>
      <x v="10"/>
      <x v="5"/>
      <x v="20"/>
    </i>
    <i r="2">
      <x v="1"/>
      <x v="10"/>
      <x v="15"/>
      <x v="19"/>
    </i>
    <i r="3">
      <x v="12"/>
      <x v="8"/>
      <x v="8"/>
    </i>
    <i r="3">
      <x v="13"/>
      <x v="10"/>
      <x v="6"/>
    </i>
    <i r="2">
      <x v="6"/>
      <x v="10"/>
      <x v="22"/>
      <x v="17"/>
    </i>
    <i r="2">
      <x v="7"/>
      <x v="10"/>
      <x v="44"/>
      <x v="16"/>
    </i>
    <i r="2">
      <x v="8"/>
      <x v="10"/>
      <x v="31"/>
      <x v="15"/>
    </i>
    <i r="1">
      <x v="1"/>
      <x v="8"/>
      <x v="6"/>
      <x v="3"/>
      <x v="2"/>
    </i>
    <i t="grand">
      <x/>
    </i>
  </rowItems>
  <colFields count="2">
    <field x="29"/>
    <field x="5"/>
  </colFields>
  <colItems count="2">
    <i>
      <x/>
    </i>
    <i>
      <x v="2"/>
    </i>
  </colItems>
  <pageFields count="1">
    <pageField fld="0" item="26" hier="-1"/>
  </pageFields>
  <dataFields count="1">
    <dataField name="Error" fld="11" subtotal="average" baseField="1" baseItem="3" numFmtId="16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6" fieldListSortAscending="1">
  <location ref="A3:C35" firstHeaderRow="0" firstDataRow="1" firstDataCol="1"/>
  <pivotFields count="15">
    <pivotField showAll="0">
      <items count="34">
        <item h="1" m="1" x="16"/>
        <item h="1" m="1" x="19"/>
        <item h="1" m="1" x="25"/>
        <item h="1" m="1" x="14"/>
        <item h="1" m="1" x="21"/>
        <item h="1" m="1" x="20"/>
        <item h="1" m="1" x="10"/>
        <item h="1" m="1" x="22"/>
        <item h="1" x="0"/>
        <item h="1" x="1"/>
        <item h="1" m="1" x="30"/>
        <item h="1" m="1" x="26"/>
        <item h="1" m="1" x="32"/>
        <item h="1" m="1" x="12"/>
        <item h="1" m="1" x="5"/>
        <item h="1" m="1" x="28"/>
        <item h="1" m="1" x="23"/>
        <item x="2"/>
        <item h="1" m="1" x="17"/>
        <item h="1" m="1" x="9"/>
        <item h="1" m="1" x="4"/>
        <item h="1" m="1" x="18"/>
        <item h="1" m="1" x="11"/>
        <item h="1" m="1" x="8"/>
        <item h="1" m="1" x="13"/>
        <item h="1" m="1" x="24"/>
        <item h="1" m="1" x="7"/>
        <item h="1" m="1" x="6"/>
        <item h="1" m="1" x="31"/>
        <item h="1" m="1" x="27"/>
        <item h="1" m="1" x="15"/>
        <item h="1" m="1" x="29"/>
        <item h="1" m="1" x="3"/>
        <item t="default"/>
      </items>
    </pivotField>
    <pivotField showAll="0"/>
    <pivotField axis="axisRow" showAll="0">
      <items count="3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m="1" x="168"/>
        <item m="1" x="41"/>
        <item m="1" x="180"/>
        <item m="1" x="53"/>
        <item m="1" x="192"/>
        <item m="1" x="65"/>
        <item m="1" x="204"/>
        <item m="1" x="76"/>
        <item m="1" x="215"/>
        <item m="1" x="87"/>
        <item m="1" x="226"/>
        <item m="1" x="98"/>
        <item m="1" x="238"/>
        <item m="1" x="110"/>
        <item m="1" x="249"/>
        <item m="1" x="212"/>
        <item m="1" x="146"/>
        <item m="1" x="84"/>
        <item m="1" x="285"/>
        <item m="1" x="222"/>
        <item m="1" x="156"/>
        <item m="1" x="94"/>
        <item m="1" x="295"/>
        <item m="1" x="234"/>
        <item m="1" x="169"/>
        <item m="1" x="106"/>
        <item m="1" x="42"/>
        <item m="1" x="245"/>
        <item m="1" x="181"/>
        <item m="1" x="117"/>
        <item m="1" x="54"/>
        <item m="1" x="256"/>
        <item m="1" x="193"/>
        <item m="1" x="128"/>
        <item m="1" x="66"/>
        <item m="1" x="267"/>
        <item m="1" x="205"/>
        <item m="1" x="138"/>
        <item m="1" x="77"/>
        <item m="1" x="277"/>
        <item m="1" x="216"/>
        <item m="1" x="149"/>
        <item m="1" x="88"/>
        <item m="1" x="288"/>
        <item m="1" x="227"/>
        <item m="1" x="160"/>
        <item m="1" x="99"/>
        <item m="1" x="33"/>
        <item m="1" x="239"/>
        <item m="1" x="173"/>
        <item m="1" x="121"/>
        <item m="1" x="259"/>
        <item m="1" x="131"/>
        <item m="1" x="270"/>
        <item m="1" x="141"/>
        <item m="1" x="280"/>
        <item m="1" x="152"/>
        <item m="1" x="291"/>
        <item m="1" x="164"/>
        <item m="1" x="37"/>
        <item m="1" x="176"/>
        <item m="1" x="49"/>
        <item m="1" x="188"/>
        <item m="1" x="61"/>
        <item m="1" x="200"/>
        <item m="1" x="73"/>
        <item m="1" x="111"/>
        <item m="1" x="46"/>
        <item m="1" x="250"/>
        <item m="1" x="185"/>
        <item m="1" x="122"/>
        <item m="1" x="57"/>
        <item m="1" x="260"/>
        <item m="1" x="196"/>
        <item m="1" x="132"/>
        <item m="1" x="69"/>
        <item m="1" x="271"/>
        <item m="1" x="208"/>
        <item m="1" x="142"/>
        <item m="1" x="80"/>
        <item m="1" x="281"/>
        <item m="1" x="219"/>
        <item m="1" x="153"/>
        <item m="1" x="91"/>
        <item m="1" x="292"/>
        <item m="1" x="231"/>
        <item m="1" x="165"/>
        <item m="1" x="103"/>
        <item m="1" x="38"/>
        <item m="1" x="242"/>
        <item m="1" x="177"/>
        <item m="1" x="114"/>
        <item m="1" x="50"/>
        <item m="1" x="253"/>
        <item m="1" x="189"/>
        <item m="1" x="125"/>
        <item m="1" x="228"/>
        <item m="1" x="62"/>
        <item m="1" x="161"/>
        <item m="1" x="264"/>
        <item m="1" x="100"/>
        <item m="1" x="201"/>
        <item m="1" x="34"/>
        <item m="1" x="136"/>
        <item m="1" x="240"/>
        <item m="1" x="74"/>
        <item m="1" x="174"/>
        <item m="1" x="275"/>
        <item m="1" x="112"/>
        <item m="1" x="213"/>
        <item m="1" x="47"/>
        <item m="1" x="147"/>
        <item m="1" x="251"/>
        <item m="1" x="85"/>
        <item m="1" x="186"/>
        <item m="1" x="286"/>
        <item m="1" x="123"/>
        <item m="1" x="223"/>
        <item m="1" x="58"/>
        <item m="1" x="157"/>
        <item m="1" x="261"/>
        <item m="1" x="95"/>
        <item m="1" x="197"/>
        <item m="1" x="296"/>
        <item m="1" x="133"/>
        <item m="1" x="235"/>
        <item m="1" x="70"/>
        <item m="1" x="170"/>
        <item m="1" x="272"/>
        <item m="1" x="107"/>
        <item m="1" x="209"/>
        <item m="1" x="43"/>
        <item m="1" x="143"/>
        <item m="1" x="246"/>
        <item m="1" x="81"/>
        <item m="1" x="182"/>
        <item m="1" x="282"/>
        <item m="1" x="118"/>
        <item m="1" x="220"/>
        <item m="1" x="55"/>
        <item m="1" x="154"/>
        <item m="1" x="257"/>
        <item m="1" x="92"/>
        <item m="1" x="194"/>
        <item m="1" x="293"/>
        <item m="1" x="129"/>
        <item m="1" x="232"/>
        <item m="1" x="67"/>
        <item m="1" x="166"/>
        <item m="1" x="268"/>
        <item m="1" x="104"/>
        <item m="1" x="206"/>
        <item m="1" x="39"/>
        <item m="1" x="139"/>
        <item m="1" x="243"/>
        <item m="1" x="78"/>
        <item m="1" x="178"/>
        <item m="1" x="278"/>
        <item m="1" x="115"/>
        <item m="1" x="217"/>
        <item m="1" x="51"/>
        <item m="1" x="150"/>
        <item m="1" x="254"/>
        <item m="1" x="89"/>
        <item m="1" x="190"/>
        <item m="1" x="289"/>
        <item m="1" x="126"/>
        <item m="1" x="229"/>
        <item m="1" x="63"/>
        <item m="1" x="162"/>
        <item m="1" x="265"/>
        <item m="1" x="101"/>
        <item m="1" x="202"/>
        <item m="1" x="35"/>
        <item m="1" x="137"/>
        <item m="1" x="241"/>
        <item m="1" x="75"/>
        <item m="1" x="175"/>
        <item m="1" x="276"/>
        <item m="1" x="113"/>
        <item m="1" x="214"/>
        <item m="1" x="48"/>
        <item m="1" x="148"/>
        <item m="1" x="252"/>
        <item m="1" x="86"/>
        <item m="1" x="187"/>
        <item m="1" x="287"/>
        <item m="1" x="124"/>
        <item m="1" x="224"/>
        <item m="1" x="59"/>
        <item m="1" x="158"/>
        <item m="1" x="262"/>
        <item m="1" x="96"/>
        <item m="1" x="198"/>
        <item m="1" x="297"/>
        <item m="1" x="134"/>
        <item m="1" x="236"/>
        <item m="1" x="71"/>
        <item m="1" x="171"/>
        <item m="1" x="273"/>
        <item m="1" x="108"/>
        <item m="1" x="210"/>
        <item m="1" x="44"/>
        <item m="1" x="144"/>
        <item m="1" x="247"/>
        <item m="1" x="82"/>
        <item m="1" x="183"/>
        <item m="1" x="283"/>
        <item m="1" x="119"/>
        <item m="1" x="221"/>
        <item m="1" x="56"/>
        <item m="1" x="155"/>
        <item m="1" x="258"/>
        <item m="1" x="93"/>
        <item m="1" x="195"/>
        <item m="1" x="294"/>
        <item m="1" x="130"/>
        <item m="1" x="233"/>
        <item m="1" x="68"/>
        <item m="1" x="167"/>
        <item m="1" x="269"/>
        <item m="1" x="105"/>
        <item m="1" x="207"/>
        <item m="1" x="40"/>
        <item m="1" x="225"/>
        <item m="1" x="140"/>
        <item m="1" x="60"/>
        <item m="1" x="244"/>
        <item m="1" x="159"/>
        <item m="1" x="79"/>
        <item m="1" x="263"/>
        <item m="1" x="179"/>
        <item m="1" x="97"/>
        <item m="1" x="279"/>
        <item m="1" x="199"/>
        <item m="1" x="116"/>
        <item m="1" x="298"/>
        <item m="1" x="218"/>
        <item m="1" x="135"/>
        <item m="1" x="52"/>
        <item m="1" x="237"/>
        <item m="1" x="151"/>
        <item m="1" x="72"/>
        <item m="1" x="255"/>
        <item m="1" x="172"/>
        <item m="1" x="90"/>
        <item m="1" x="274"/>
        <item m="1" x="191"/>
        <item m="1" x="109"/>
        <item m="1" x="290"/>
        <item m="1" x="211"/>
        <item m="1" x="127"/>
        <item m="1" x="45"/>
        <item m="1" x="230"/>
        <item m="1" x="145"/>
        <item m="1" x="64"/>
        <item m="1" x="248"/>
        <item m="1" x="163"/>
        <item m="1" x="83"/>
        <item m="1" x="266"/>
        <item m="1" x="184"/>
        <item m="1" x="102"/>
        <item m="1" x="284"/>
        <item m="1" x="203"/>
        <item m="1" x="120"/>
        <item m="1" x="36"/>
        <item t="default"/>
      </items>
    </pivotField>
    <pivotField showAll="0"/>
    <pivotField showAll="0"/>
    <pivotField showAll="0"/>
    <pivotField showAll="0"/>
    <pivotField showAll="0"/>
    <pivotField showAll="0"/>
    <pivotField showAll="0" defaultSubtotal="0"/>
    <pivotField dataField="1" showAll="0" defaultSubtotal="0"/>
    <pivotField showAll="0"/>
    <pivotField showAll="0"/>
    <pivotField dataField="1" showAll="0"/>
    <pivotField showAll="0"/>
  </pivotFields>
  <rowFields count="1">
    <field x="2"/>
  </rowFields>
  <rowItems count="3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t="grand">
      <x/>
    </i>
  </rowItems>
  <colFields count="1">
    <field x="-2"/>
  </colFields>
  <colItems count="2">
    <i>
      <x/>
    </i>
    <i i="1">
      <x v="1"/>
    </i>
  </colItems>
  <dataFields count="2">
    <dataField name="Min of GTSE_NEW" fld="10" subtotal="min" baseField="2" baseItem="0" numFmtId="2"/>
    <dataField name="Min of RNORM" fld="13" subtotal="min" baseField="2" baseItem="0"/>
  </dataFields>
  <chartFormats count="2">
    <chartFormat chart="0" format="5" series="1">
      <pivotArea type="data" outline="0" fieldPosition="0">
        <references count="1">
          <reference field="4294967294" count="1" selected="0">
            <x v="0"/>
          </reference>
        </references>
      </pivotArea>
    </chartFormat>
    <chartFormat chart="0" format="9"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5" minRefreshableVersion="3" useAutoFormatting="1" colGrandTotals="0" itemPrintTitles="1" createdVersion="5" indent="0" outline="1" outlineData="1" multipleFieldFilters="0" chartFormat="7" fieldListSortAscending="1">
  <location ref="A4:C35" firstHeaderRow="1" firstDataRow="3" firstDataCol="1" rowPageCount="2" colPageCount="1"/>
  <pivotFields count="16">
    <pivotField showAll="0"/>
    <pivotField showAll="0"/>
    <pivotField axis="axisPage" showAll="0" defaultSubtotal="0">
      <items count="29">
        <item m="1" x="23"/>
        <item m="1" x="25"/>
        <item x="8"/>
        <item x="3"/>
        <item x="9"/>
        <item x="19"/>
        <item x="12"/>
        <item x="17"/>
        <item x="11"/>
        <item x="20"/>
        <item x="6"/>
        <item x="0"/>
        <item x="5"/>
        <item x="1"/>
        <item x="10"/>
        <item x="13"/>
        <item x="14"/>
        <item x="15"/>
        <item x="18"/>
        <item x="16"/>
        <item x="4"/>
        <item m="1" x="27"/>
        <item x="7"/>
        <item m="1" x="28"/>
        <item x="21"/>
        <item m="1" x="24"/>
        <item m="1" x="26"/>
        <item x="2"/>
        <item x="22"/>
      </items>
    </pivotField>
    <pivotField showAll="0" defaultSubtotal="0"/>
    <pivotField axis="axisRow" numFmtId="164" showAll="0" sortType="ascending" defaultSubtotal="0">
      <items count="234">
        <item x="53"/>
        <item m="1" x="201"/>
        <item m="1" x="202"/>
        <item x="12"/>
        <item x="13"/>
        <item x="89"/>
        <item m="1" x="171"/>
        <item x="107"/>
        <item x="95"/>
        <item x="59"/>
        <item x="40"/>
        <item x="20"/>
        <item x="32"/>
        <item x="17"/>
        <item x="64"/>
        <item m="1" x="197"/>
        <item m="1" x="150"/>
        <item x="77"/>
        <item x="67"/>
        <item x="100"/>
        <item x="24"/>
        <item x="99"/>
        <item x="85"/>
        <item x="41"/>
        <item x="96"/>
        <item x="26"/>
        <item x="86"/>
        <item x="93"/>
        <item x="78"/>
        <item x="5"/>
        <item x="91"/>
        <item x="43"/>
        <item x="2"/>
        <item x="50"/>
        <item x="10"/>
        <item x="108"/>
        <item m="1" x="223"/>
        <item m="1" x="175"/>
        <item x="98"/>
        <item x="9"/>
        <item m="1" x="176"/>
        <item x="97"/>
        <item x="39"/>
        <item x="23"/>
        <item x="21"/>
        <item x="113"/>
        <item m="1" x="186"/>
        <item m="1" x="136"/>
        <item m="1" x="187"/>
        <item m="1" x="168"/>
        <item x="80"/>
        <item m="1" x="208"/>
        <item m="1" x="169"/>
        <item m="1" x="155"/>
        <item m="1" x="216"/>
        <item m="1" x="198"/>
        <item m="1" x="203"/>
        <item m="1" x="156"/>
        <item m="1" x="211"/>
        <item m="1" x="128"/>
        <item m="1" x="162"/>
        <item m="1" x="132"/>
        <item m="1" x="225"/>
        <item x="47"/>
        <item x="58"/>
        <item m="1" x="137"/>
        <item x="35"/>
        <item x="37"/>
        <item m="1" x="133"/>
        <item m="1" x="193"/>
        <item m="1" x="160"/>
        <item x="118"/>
        <item m="1" x="138"/>
        <item m="1" x="173"/>
        <item x="6"/>
        <item x="74"/>
        <item x="52"/>
        <item m="1" x="145"/>
        <item x="117"/>
        <item x="81"/>
        <item m="1" x="177"/>
        <item x="122"/>
        <item m="1" x="174"/>
        <item x="61"/>
        <item x="62"/>
        <item x="57"/>
        <item x="11"/>
        <item x="126"/>
        <item m="1" x="161"/>
        <item x="54"/>
        <item m="1" x="157"/>
        <item x="123"/>
        <item x="70"/>
        <item m="1" x="158"/>
        <item m="1" x="226"/>
        <item x="111"/>
        <item x="121"/>
        <item x="73"/>
        <item m="1" x="217"/>
        <item x="124"/>
        <item m="1" x="139"/>
        <item m="1" x="182"/>
        <item x="72"/>
        <item x="60"/>
        <item m="1" x="220"/>
        <item x="34"/>
        <item x="4"/>
        <item x="66"/>
        <item x="55"/>
        <item m="1" x="167"/>
        <item x="1"/>
        <item x="18"/>
        <item m="1" x="143"/>
        <item x="92"/>
        <item x="28"/>
        <item x="76"/>
        <item x="46"/>
        <item x="42"/>
        <item m="1" x="222"/>
        <item m="1" x="166"/>
        <item x="104"/>
        <item m="1" x="127"/>
        <item x="125"/>
        <item x="44"/>
        <item x="87"/>
        <item m="1" x="224"/>
        <item x="79"/>
        <item m="1" x="229"/>
        <item m="1" x="151"/>
        <item m="1" x="134"/>
        <item m="1" x="178"/>
        <item m="1" x="194"/>
        <item x="45"/>
        <item m="1" x="190"/>
        <item m="1" x="207"/>
        <item x="15"/>
        <item m="1" x="163"/>
        <item m="1" x="191"/>
        <item m="1" x="148"/>
        <item x="36"/>
        <item x="106"/>
        <item x="56"/>
        <item m="1" x="140"/>
        <item x="33"/>
        <item x="83"/>
        <item m="1" x="214"/>
        <item x="22"/>
        <item m="1" x="180"/>
        <item m="1" x="212"/>
        <item x="109"/>
        <item x="90"/>
        <item x="103"/>
        <item m="1" x="153"/>
        <item x="114"/>
        <item x="3"/>
        <item m="1" x="192"/>
        <item m="1" x="183"/>
        <item x="75"/>
        <item x="110"/>
        <item m="1" x="185"/>
        <item m="1" x="146"/>
        <item m="1" x="199"/>
        <item m="1" x="232"/>
        <item m="1" x="172"/>
        <item m="1" x="130"/>
        <item m="1" x="221"/>
        <item x="51"/>
        <item m="1" x="181"/>
        <item x="49"/>
        <item x="30"/>
        <item m="1" x="209"/>
        <item m="1" x="195"/>
        <item x="120"/>
        <item m="1" x="164"/>
        <item m="1" x="205"/>
        <item m="1" x="219"/>
        <item x="115"/>
        <item x="84"/>
        <item m="1" x="131"/>
        <item x="94"/>
        <item x="27"/>
        <item x="65"/>
        <item x="7"/>
        <item x="63"/>
        <item m="1" x="184"/>
        <item x="71"/>
        <item x="8"/>
        <item m="1" x="141"/>
        <item x="112"/>
        <item x="31"/>
        <item x="25"/>
        <item x="82"/>
        <item x="102"/>
        <item m="1" x="231"/>
        <item x="105"/>
        <item x="16"/>
        <item x="48"/>
        <item m="1" x="210"/>
        <item x="101"/>
        <item m="1" x="206"/>
        <item m="1" x="152"/>
        <item m="1" x="204"/>
        <item m="1" x="233"/>
        <item m="1" x="159"/>
        <item m="1" x="228"/>
        <item x="119"/>
        <item x="69"/>
        <item x="116"/>
        <item m="1" x="179"/>
        <item m="1" x="227"/>
        <item x="14"/>
        <item m="1" x="142"/>
        <item m="1" x="188"/>
        <item m="1" x="135"/>
        <item m="1" x="230"/>
        <item x="88"/>
        <item m="1" x="189"/>
        <item m="1" x="200"/>
        <item m="1" x="218"/>
        <item m="1" x="170"/>
        <item m="1" x="215"/>
        <item m="1" x="129"/>
        <item m="1" x="165"/>
        <item m="1" x="147"/>
        <item m="1" x="149"/>
        <item m="1" x="144"/>
        <item x="68"/>
        <item x="38"/>
        <item x="0"/>
        <item x="19"/>
        <item x="29"/>
        <item m="1" x="213"/>
        <item m="1" x="196"/>
        <item m="1" x="154"/>
      </items>
    </pivotField>
    <pivotField showAll="0" defaultSubtotal="0"/>
    <pivotField showAll="0" defaultSubtotal="0"/>
    <pivotField showAll="0" defaultSubtotal="0"/>
    <pivotField showAll="0" defaultSubtotal="0"/>
    <pivotField axis="axisCol" showAll="0">
      <items count="3">
        <item x="0"/>
        <item h="1" x="1"/>
        <item t="default"/>
      </items>
    </pivotField>
    <pivotField showAll="0"/>
    <pivotField showAll="0"/>
    <pivotField axis="axisPage" showAll="0">
      <items count="35">
        <item m="1" x="22"/>
        <item m="1" x="16"/>
        <item m="1" x="21"/>
        <item m="1" x="23"/>
        <item m="1" x="17"/>
        <item m="1" x="25"/>
        <item x="0"/>
        <item m="1" x="20"/>
        <item m="1" x="27"/>
        <item m="1" x="13"/>
        <item m="1" x="18"/>
        <item m="1" x="19"/>
        <item m="1" x="26"/>
        <item x="2"/>
        <item m="1" x="15"/>
        <item m="1" x="30"/>
        <item m="1" x="14"/>
        <item m="1" x="33"/>
        <item m="1" x="31"/>
        <item x="1"/>
        <item m="1" x="12"/>
        <item m="1" x="24"/>
        <item m="1" x="32"/>
        <item m="1" x="28"/>
        <item m="1" x="29"/>
        <item x="9"/>
        <item x="7"/>
        <item x="10"/>
        <item x="11"/>
        <item x="8"/>
        <item x="3"/>
        <item x="4"/>
        <item x="5"/>
        <item x="6"/>
        <item t="default"/>
      </items>
    </pivotField>
    <pivotField showAll="0"/>
    <pivotField dataField="1" showAll="0"/>
    <pivotField dataField="1" showAll="0" defaultSubtotal="0"/>
  </pivotFields>
  <rowFields count="1">
    <field x="4"/>
  </rowFields>
  <rowItems count="29">
    <i>
      <x v="8"/>
    </i>
    <i>
      <x v="9"/>
    </i>
    <i>
      <x v="10"/>
    </i>
    <i>
      <x v="12"/>
    </i>
    <i>
      <x v="17"/>
    </i>
    <i>
      <x v="18"/>
    </i>
    <i>
      <x v="19"/>
    </i>
    <i>
      <x v="20"/>
    </i>
    <i>
      <x v="21"/>
    </i>
    <i>
      <x v="22"/>
    </i>
    <i>
      <x v="23"/>
    </i>
    <i>
      <x v="24"/>
    </i>
    <i>
      <x v="25"/>
    </i>
    <i>
      <x v="26"/>
    </i>
    <i>
      <x v="27"/>
    </i>
    <i>
      <x v="28"/>
    </i>
    <i>
      <x v="29"/>
    </i>
    <i>
      <x v="30"/>
    </i>
    <i>
      <x v="31"/>
    </i>
    <i>
      <x v="32"/>
    </i>
    <i>
      <x v="33"/>
    </i>
    <i>
      <x v="34"/>
    </i>
    <i>
      <x v="38"/>
    </i>
    <i>
      <x v="39"/>
    </i>
    <i>
      <x v="41"/>
    </i>
    <i>
      <x v="42"/>
    </i>
    <i>
      <x v="43"/>
    </i>
    <i>
      <x v="44"/>
    </i>
    <i t="grand">
      <x/>
    </i>
  </rowItems>
  <colFields count="2">
    <field x="9"/>
    <field x="-2"/>
  </colFields>
  <colItems count="2">
    <i>
      <x/>
      <x/>
    </i>
    <i r="1" i="1">
      <x v="1"/>
    </i>
  </colItems>
  <pageFields count="2">
    <pageField fld="2" item="27" hier="-1"/>
    <pageField fld="12" hier="-1"/>
  </pageFields>
  <dataFields count="2">
    <dataField name="Average of AVGERROR" fld="14" subtotal="average" baseField="0" baseItem="16" numFmtId="165"/>
    <dataField name="Average of RUNMSE" fld="15" subtotal="average" baseField="4" baseItem="9" numFmtId="164"/>
  </dataFields>
  <formats count="22">
    <format dxfId="32">
      <pivotArea dataOnly="0" labelOnly="1" fieldPosition="0">
        <references count="1">
          <reference field="9" count="0"/>
        </references>
      </pivotArea>
    </format>
    <format dxfId="31">
      <pivotArea dataOnly="0" labelOnly="1" grandCol="1" outline="0" fieldPosition="0"/>
    </format>
    <format dxfId="30">
      <pivotArea collapsedLevelsAreSubtotals="1" fieldPosition="0">
        <references count="3">
          <reference field="4294967294" count="1" selected="0">
            <x v="0"/>
          </reference>
          <reference field="4" count="1">
            <x v="46"/>
          </reference>
          <reference field="9" count="0" selected="0"/>
        </references>
      </pivotArea>
    </format>
    <format dxfId="29">
      <pivotArea collapsedLevelsAreSubtotals="1" fieldPosition="0">
        <references count="3">
          <reference field="4294967294" count="1" selected="0">
            <x v="0"/>
          </reference>
          <reference field="4" count="1">
            <x v="48"/>
          </reference>
          <reference field="9" count="0" selected="0"/>
        </references>
      </pivotArea>
    </format>
    <format dxfId="28">
      <pivotArea collapsedLevelsAreSubtotals="1" fieldPosition="0">
        <references count="3">
          <reference field="4294967294" count="1" selected="0">
            <x v="0"/>
          </reference>
          <reference field="4" count="1">
            <x v="49"/>
          </reference>
          <reference field="9" count="0" selected="0"/>
        </references>
      </pivotArea>
    </format>
    <format dxfId="27">
      <pivotArea collapsedLevelsAreSubtotals="1" fieldPosition="0">
        <references count="3">
          <reference field="4294967294" count="1" selected="0">
            <x v="0"/>
          </reference>
          <reference field="4" count="1">
            <x v="131"/>
          </reference>
          <reference field="9" count="0" selected="0"/>
        </references>
      </pivotArea>
    </format>
    <format dxfId="26">
      <pivotArea collapsedLevelsAreSubtotals="1" fieldPosition="0">
        <references count="3">
          <reference field="4294967294" count="1" selected="0">
            <x v="0"/>
          </reference>
          <reference field="4" count="1">
            <x v="133"/>
          </reference>
          <reference field="9" count="0" selected="0"/>
        </references>
      </pivotArea>
    </format>
    <format dxfId="25">
      <pivotArea collapsedLevelsAreSubtotals="1" fieldPosition="0">
        <references count="3">
          <reference field="4294967294" count="1" selected="0">
            <x v="0"/>
          </reference>
          <reference field="4" count="1">
            <x v="137"/>
          </reference>
          <reference field="9" count="0" selected="0"/>
        </references>
      </pivotArea>
    </format>
    <format dxfId="24">
      <pivotArea collapsedLevelsAreSubtotals="1" fieldPosition="0">
        <references count="3">
          <reference field="4294967294" count="1" selected="0">
            <x v="0"/>
          </reference>
          <reference field="4" count="1">
            <x v="159"/>
          </reference>
          <reference field="9" count="0" selected="0"/>
        </references>
      </pivotArea>
    </format>
    <format dxfId="23">
      <pivotArea collapsedLevelsAreSubtotals="1" fieldPosition="0">
        <references count="3">
          <reference field="4294967294" count="1" selected="0">
            <x v="0"/>
          </reference>
          <reference field="4" count="1">
            <x v="162"/>
          </reference>
          <reference field="9" count="0" selected="0"/>
        </references>
      </pivotArea>
    </format>
    <format dxfId="22">
      <pivotArea collapsedLevelsAreSubtotals="1" fieldPosition="0">
        <references count="3">
          <reference field="4294967294" count="1" selected="0">
            <x v="0"/>
          </reference>
          <reference field="4" count="1">
            <x v="167"/>
          </reference>
          <reference field="9" count="0" selected="0"/>
        </references>
      </pivotArea>
    </format>
    <format dxfId="21">
      <pivotArea collapsedLevelsAreSubtotals="1" fieldPosition="0">
        <references count="3">
          <reference field="4294967294" count="1" selected="0">
            <x v="0"/>
          </reference>
          <reference field="4" count="1">
            <x v="171"/>
          </reference>
          <reference field="9" count="0" selected="0"/>
        </references>
      </pivotArea>
    </format>
    <format dxfId="20">
      <pivotArea collapsedLevelsAreSubtotals="1" fieldPosition="0">
        <references count="3">
          <reference field="4294967294" count="1" selected="0">
            <x v="0"/>
          </reference>
          <reference field="4" count="1">
            <x v="174"/>
          </reference>
          <reference field="9" count="0" selected="0"/>
        </references>
      </pivotArea>
    </format>
    <format dxfId="19">
      <pivotArea collapsedLevelsAreSubtotals="1" fieldPosition="0">
        <references count="3">
          <reference field="4294967294" count="1" selected="0">
            <x v="0"/>
          </reference>
          <reference field="4" count="1">
            <x v="178"/>
          </reference>
          <reference field="9" count="0" selected="0"/>
        </references>
      </pivotArea>
    </format>
    <format dxfId="18">
      <pivotArea collapsedLevelsAreSubtotals="1" fieldPosition="0">
        <references count="3">
          <reference field="4294967294" count="1" selected="0">
            <x v="0"/>
          </reference>
          <reference field="4" count="1">
            <x v="197"/>
          </reference>
          <reference field="9" count="0" selected="0"/>
        </references>
      </pivotArea>
    </format>
    <format dxfId="17">
      <pivotArea collapsedLevelsAreSubtotals="1" fieldPosition="0">
        <references count="3">
          <reference field="4294967294" count="1" selected="0">
            <x v="0"/>
          </reference>
          <reference field="4" count="1">
            <x v="199"/>
          </reference>
          <reference field="9" count="0" selected="0"/>
        </references>
      </pivotArea>
    </format>
    <format dxfId="16">
      <pivotArea collapsedLevelsAreSubtotals="1" fieldPosition="0">
        <references count="3">
          <reference field="4294967294" count="1" selected="0">
            <x v="0"/>
          </reference>
          <reference field="4" count="1">
            <x v="203"/>
          </reference>
          <reference field="9" count="0" selected="0"/>
        </references>
      </pivotArea>
    </format>
    <format dxfId="15">
      <pivotArea collapsedLevelsAreSubtotals="1" fieldPosition="0">
        <references count="3">
          <reference field="4294967294" count="1" selected="0">
            <x v="0"/>
          </reference>
          <reference field="4" count="1">
            <x v="212"/>
          </reference>
          <reference field="9" count="0" selected="0"/>
        </references>
      </pivotArea>
    </format>
    <format dxfId="14">
      <pivotArea collapsedLevelsAreSubtotals="1" fieldPosition="0">
        <references count="3">
          <reference field="4294967294" count="1" selected="0">
            <x v="0"/>
          </reference>
          <reference field="4" count="1">
            <x v="218"/>
          </reference>
          <reference field="9" count="0" selected="0"/>
        </references>
      </pivotArea>
    </format>
    <format dxfId="13">
      <pivotArea collapsedLevelsAreSubtotals="1" fieldPosition="0">
        <references count="3">
          <reference field="4294967294" count="1" selected="0">
            <x v="0"/>
          </reference>
          <reference field="4" count="1">
            <x v="224"/>
          </reference>
          <reference field="9" count="0" selected="0"/>
        </references>
      </pivotArea>
    </format>
    <format dxfId="12">
      <pivotArea dataOnly="0" labelOnly="1" fieldPosition="0">
        <references count="1">
          <reference field="4" count="0"/>
        </references>
      </pivotArea>
    </format>
    <format dxfId="11">
      <pivotArea outline="0" fieldPosition="0">
        <references count="1">
          <reference field="4294967294" count="1">
            <x v="1"/>
          </reference>
        </references>
      </pivotArea>
    </format>
  </formats>
  <chartFormats count="7">
    <chartFormat chart="0" format="1" series="1">
      <pivotArea type="data" outline="0" fieldPosition="0">
        <references count="2">
          <reference field="4294967294" count="1" selected="0">
            <x v="0"/>
          </reference>
          <reference field="9" count="1" selected="0">
            <x v="0"/>
          </reference>
        </references>
      </pivotArea>
    </chartFormat>
    <chartFormat chart="0" format="3" series="1">
      <pivotArea type="data" outline="0" fieldPosition="0">
        <references count="2">
          <reference field="4294967294" count="1" selected="0">
            <x v="0"/>
          </reference>
          <reference field="9" count="1" selected="0">
            <x v="1"/>
          </reference>
        </references>
      </pivotArea>
    </chartFormat>
    <chartFormat chart="4" format="4" series="1">
      <pivotArea type="data" outline="0" fieldPosition="0">
        <references count="2">
          <reference field="4294967294" count="1" selected="0">
            <x v="0"/>
          </reference>
          <reference field="9" count="1" selected="0">
            <x v="1"/>
          </reference>
        </references>
      </pivotArea>
    </chartFormat>
    <chartFormat chart="6" format="9" series="1">
      <pivotArea type="data" outline="0" fieldPosition="0">
        <references count="2">
          <reference field="4294967294" count="1" selected="0">
            <x v="0"/>
          </reference>
          <reference field="9" count="1" selected="0">
            <x v="0"/>
          </reference>
        </references>
      </pivotArea>
    </chartFormat>
    <chartFormat chart="6" format="11" series="1">
      <pivotArea type="data" outline="0" fieldPosition="0">
        <references count="2">
          <reference field="4294967294" count="1" selected="0">
            <x v="0"/>
          </reference>
          <reference field="9" count="1" selected="0">
            <x v="1"/>
          </reference>
        </references>
      </pivotArea>
    </chartFormat>
    <chartFormat chart="6" format="12" series="1">
      <pivotArea type="data" outline="0" fieldPosition="0">
        <references count="1">
          <reference field="4294967294" count="1" selected="0">
            <x v="0"/>
          </reference>
        </references>
      </pivotArea>
    </chartFormat>
    <chartFormat chart="6" format="13" series="1">
      <pivotArea type="data" outline="0" fieldPosition="0">
        <references count="2">
          <reference field="4294967294" count="1" selected="0">
            <x v="1"/>
          </reference>
          <reference field="9"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Query from Algo" connectionId="1" autoFormatId="16" applyNumberFormats="0" applyBorderFormats="0" applyFontFormats="0" applyPatternFormats="0" applyAlignmentFormats="0" applyWidthHeightFormats="0">
  <queryTableRefresh nextId="31">
    <queryTableFields count="16">
      <queryTableField id="13" name="SIMULATIONID" tableColumnId="5"/>
      <queryTableField id="1" name="PROCESSID" tableColumnId="1"/>
      <queryTableField id="29" name="NETPROCESSID" tableColumnId="12"/>
      <queryTableField id="2" name="CLIENTNAME" tableColumnId="2"/>
      <queryTableField id="3" name="CLIENTSTART" tableColumnId="3"/>
      <queryTableField id="4" name="DURATION" tableColumnId="4"/>
      <queryTableField id="7" name="DOTRAINING" tableColumnId="7"/>
      <queryTableField id="8" name="DOTRAINRUN" tableColumnId="8"/>
      <queryTableField id="9" name="DOTESTRUN" tableColumnId="9"/>
      <queryTableField id="10" name="SIMULATIONSTARTTRAIN" tableColumnId="6"/>
      <queryTableField id="11" name="SIMULATIONSTARTINFER" tableColumnId="10"/>
      <queryTableField id="12" name="SIMULATIONSTARTVALID" tableColumnId="11"/>
      <queryTableField id="17" name="CLIENTXMLFILE" tableColumnId="13"/>
      <queryTableField id="20" name="ENGINEXMLFILE" tableColumnId="16"/>
      <queryTableField id="21" name="ACTIONXMLFILE" tableColumnId="17"/>
      <queryTableField id="18" name="SHAPEXMLFILE" tableColumnId="14"/>
    </queryTableFields>
  </queryTableRefresh>
</queryTable>
</file>

<file path=xl/queryTables/queryTable2.xml><?xml version="1.0" encoding="utf-8"?>
<queryTable xmlns="http://schemas.openxmlformats.org/spreadsheetml/2006/main" name="Query from Algo" connectionId="10" autoFormatId="16" applyNumberFormats="0" applyBorderFormats="0" applyFontFormats="0" applyPatternFormats="0" applyAlignmentFormats="0" applyWidthHeightFormats="0">
  <queryTableRefresh nextId="25">
    <queryTableFields count="12">
      <queryTableField id="13" name="PROCESSID" tableColumnId="1"/>
      <queryTableField id="14" name="HISTORYLEN" tableColumnId="2"/>
      <queryTableField id="15" name="TOPOLOGY" tableColumnId="3"/>
      <queryTableField id="16" name="MAXEPOCHS" tableColumnId="4"/>
      <queryTableField id="17" name="MAXK" tableColumnId="5"/>
      <queryTableField id="18" name="SAMPLELEN" tableColumnId="6"/>
      <queryTableField id="19" name="DATE0" tableColumnId="7"/>
      <queryTableField id="20" name="SYMBOL0" tableColumnId="8"/>
      <queryTableField id="21" name="SYMBOL1" tableColumnId="9"/>
      <queryTableField id="22" name="SYMBOL2" tableColumnId="10"/>
      <queryTableField id="23" name="TIMEFRAME" tableColumnId="11"/>
      <queryTableField id="24" name="DATATRANSFORMATION" tableColumnId="12"/>
    </queryTableFields>
  </queryTableRefresh>
</queryTable>
</file>

<file path=xl/queryTables/queryTable3.xml><?xml version="1.0" encoding="utf-8"?>
<queryTable xmlns="http://schemas.openxmlformats.org/spreadsheetml/2006/main" name="Query from Algo" connectionId="11" autoFormatId="16" applyNumberFormats="0" applyBorderFormats="0" applyFontFormats="0" applyPatternFormats="0" applyAlignmentFormats="0" applyWidthHeightFormats="0">
  <queryTableRefresh nextId="8">
    <queryTableFields count="7">
      <queryTableField id="1" name="SIMULATIONID" tableColumnId="1"/>
      <queryTableField id="2" name="PROCESSID" tableColumnId="2"/>
      <queryTableField id="3" name="THREADID" tableColumnId="3"/>
      <queryTableField id="4" name="FILEID" tableColumnId="4"/>
      <queryTableField id="5" name="PARMID" tableColumnId="5"/>
      <queryTableField id="6" name="PARMDESC" tableColumnId="6"/>
      <queryTableField id="7" name="PARMVAL" tableColumnId="7"/>
    </queryTableFields>
  </queryTableRefresh>
</queryTable>
</file>

<file path=xl/queryTables/queryTable4.xml><?xml version="1.0" encoding="utf-8"?>
<queryTable xmlns="http://schemas.openxmlformats.org/spreadsheetml/2006/main" name="Query from Algo" connectionId="2" autoFormatId="16" applyNumberFormats="0" applyBorderFormats="0" applyFontFormats="0" applyPatternFormats="0" applyAlignmentFormats="0" applyWidthHeightFormats="0">
  <queryTableRefresh nextId="10">
    <queryTableFields count="6">
      <queryTableField id="1" name="PROCESSID" tableColumnId="1"/>
      <queryTableField id="3" name="COREID" tableColumnId="3"/>
      <queryTableField id="5" name="PARENTCOREID" tableColumnId="5"/>
      <queryTableField id="7" name="ENGINE_TYPE" tableColumnId="7"/>
      <queryTableField id="8" name="CORE_TYPE" tableColumnId="8"/>
      <queryTableField id="9" name="CONN_TYPE" tableColumnId="9"/>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ROCESSID" sourceName="PROCESSID">
  <pivotTables>
    <pivotTable tabId="1" name="PivotTable1"/>
  </pivotTables>
  <data>
    <tabular pivotCacheId="1">
      <items count="526">
        <i x="0"/>
        <i x="1" s="1"/>
        <i x="2"/>
        <i x="3"/>
        <i x="274" nd="1"/>
        <i x="165" nd="1"/>
        <i x="45" nd="1"/>
        <i x="166" nd="1"/>
        <i x="512" nd="1"/>
        <i x="461" nd="1"/>
        <i x="455" nd="1"/>
        <i x="124" nd="1"/>
        <i x="113" nd="1"/>
        <i x="152" nd="1"/>
        <i x="253" nd="1"/>
        <i x="375" nd="1"/>
        <i x="144" nd="1"/>
        <i x="367" nd="1"/>
        <i x="191" nd="1"/>
        <i x="341" nd="1"/>
        <i x="332" nd="1"/>
        <i x="419" nd="1"/>
        <i x="120" nd="1"/>
        <i x="43" nd="1"/>
        <i x="90" nd="1"/>
        <i x="354" nd="1"/>
        <i x="474" nd="1"/>
        <i x="19" nd="1"/>
        <i x="158" nd="1"/>
        <i x="259" nd="1"/>
        <i x="62" nd="1"/>
        <i x="363" nd="1"/>
        <i x="87" nd="1"/>
        <i x="128" nd="1"/>
        <i x="146" nd="1"/>
        <i x="167" nd="1"/>
        <i x="344" nd="1"/>
        <i x="417" nd="1"/>
        <i x="448" nd="1"/>
        <i x="14" nd="1"/>
        <i x="209" nd="1"/>
        <i x="336" nd="1"/>
        <i x="456" nd="1"/>
        <i x="26" nd="1"/>
        <i x="184" nd="1"/>
        <i x="246" nd="1"/>
        <i x="154" nd="1"/>
        <i x="175" nd="1"/>
        <i x="224" nd="1"/>
        <i x="321" nd="1"/>
        <i x="394" nd="1"/>
        <i x="510" nd="1"/>
        <i x="342" nd="1"/>
        <i x="403" nd="1"/>
        <i x="10" nd="1"/>
        <i x="69" nd="1"/>
        <i x="92" nd="1"/>
        <i x="221" nd="1"/>
        <i x="358" nd="1"/>
        <i x="407" nd="1"/>
        <i x="471" nd="1"/>
        <i x="520" nd="1"/>
        <i x="9" nd="1"/>
        <i x="31" nd="1"/>
        <i x="82" nd="1"/>
        <i x="282" nd="1"/>
        <i x="325" nd="1"/>
        <i x="443" nd="1"/>
        <i x="29" nd="1"/>
        <i x="50" nd="1"/>
        <i x="101" nd="1"/>
        <i x="121" nd="1"/>
        <i x="180" nd="1"/>
        <i x="192" nd="1"/>
        <i x="300" nd="1"/>
        <i x="306" nd="1"/>
        <i x="365" nd="1"/>
        <i x="402" nd="1"/>
        <i x="469" nd="1"/>
        <i x="49" nd="1"/>
        <i x="501" nd="1"/>
        <i x="140" nd="1"/>
        <i x="404" nd="1"/>
        <i x="413" nd="1"/>
        <i x="442" nd="1"/>
        <i x="458" nd="1"/>
        <i x="38" nd="1"/>
        <i x="172" nd="1"/>
        <i x="318" nd="1"/>
        <i x="351" nd="1"/>
        <i x="373" nd="1"/>
        <i x="399" nd="1"/>
        <i x="431" nd="1"/>
        <i x="476" nd="1"/>
        <i x="132" nd="1"/>
        <i x="171" nd="1"/>
        <i x="213" nd="1"/>
        <i x="232" nd="1"/>
        <i x="260" nd="1"/>
        <i x="379" nd="1"/>
        <i x="468" nd="1"/>
        <i x="48" nd="1"/>
        <i x="81" nd="1"/>
        <i x="100" nd="1"/>
        <i x="218" nd="1"/>
        <i x="317" nd="1"/>
        <i x="391" nd="1"/>
        <i x="508" nd="1"/>
        <i x="525" nd="1"/>
        <i x="7" nd="1"/>
        <i x="65" nd="1"/>
        <i x="99" nd="1"/>
        <i x="130" nd="1"/>
        <i x="151" nd="1"/>
        <i x="206" nd="1"/>
        <i x="239" nd="1"/>
        <i x="272" nd="1"/>
        <i x="311" nd="1"/>
        <i x="355" nd="1"/>
        <i x="418" nd="1"/>
        <i x="327" nd="1"/>
        <i x="22" nd="1"/>
        <i x="44" nd="1"/>
        <i x="138" nd="1"/>
        <i x="178" nd="1"/>
        <i x="249" nd="1"/>
        <i x="331" nd="1"/>
        <i x="80" nd="1"/>
        <i x="364" nd="1"/>
        <i x="372" nd="1"/>
        <i x="109" nd="1"/>
        <i x="190" nd="1"/>
        <i x="467" nd="1"/>
        <i x="515" nd="1"/>
        <i x="21" nd="1"/>
        <i x="79" nd="1"/>
        <i x="148" nd="1"/>
        <i x="159" nd="1"/>
        <i x="20" nd="1"/>
        <i x="316" nd="1"/>
        <i x="28" nd="1"/>
        <i x="108" nd="1"/>
        <i x="389" nd="1"/>
        <i x="198" nd="1"/>
        <i x="236" nd="1"/>
        <i x="248" nd="1"/>
        <i x="514" nd="1"/>
        <i x="523" nd="1"/>
        <i x="37" nd="1"/>
        <i x="42" nd="1"/>
        <i x="63" nd="1"/>
        <i x="88" nd="1"/>
        <i x="11" nd="1"/>
        <i x="97" nd="1"/>
        <i x="410" nd="1"/>
        <i x="176" nd="1"/>
        <i x="428" nd="1"/>
        <i x="216" nd="1"/>
        <i x="491" nd="1"/>
        <i x="257" nd="1"/>
        <i x="498" nd="1"/>
        <i x="349" nd="1"/>
        <i x="96" nd="1"/>
        <i x="117" nd="1"/>
        <i x="387" nd="1"/>
        <i x="168" nd="1"/>
        <i x="204" nd="1"/>
        <i x="466" nd="1"/>
        <i x="256" nd="1"/>
        <i x="46" nd="1"/>
        <i x="278" nd="1"/>
        <i x="513" nd="1"/>
        <i x="295" nd="1"/>
        <i x="17" nd="1"/>
        <i x="315" nd="1"/>
        <i x="75" nd="1"/>
        <i x="437" nd="1"/>
        <i x="227" nd="1"/>
        <i x="277" nd="1"/>
        <i x="309" nd="1"/>
        <i x="314" nd="1"/>
        <i x="343" nd="1"/>
        <i x="60" nd="1"/>
        <i x="33" nd="1"/>
        <i x="116" nd="1"/>
        <i x="136" nd="1"/>
        <i x="156" nd="1"/>
        <i x="416" nd="1"/>
        <i x="423" nd="1"/>
        <i x="197" nd="1"/>
        <i x="210" nd="1"/>
        <i x="215" nd="1"/>
        <i x="234" nd="1"/>
        <i x="484" nd="1"/>
        <i x="488" nd="1"/>
        <i x="293" nd="1"/>
        <i x="27" nd="1"/>
        <i x="329" nd="1"/>
        <i x="337" nd="1"/>
        <i x="53" nd="1"/>
        <i x="73" nd="1"/>
        <i x="115" nd="1"/>
        <i x="185" nd="1"/>
        <i x="473" nd="1"/>
        <i x="247" nd="1"/>
        <i x="292" nd="1"/>
        <i x="13" nd="1"/>
        <i x="313" nd="1"/>
        <i x="126" nd="1"/>
        <i x="396" nd="1"/>
        <i x="422" nd="1"/>
        <i x="103" nd="1"/>
        <i x="196" nd="1"/>
        <i x="447" nd="1"/>
        <i x="233" nd="1"/>
        <i x="497" nd="1"/>
        <i x="276" nd="1"/>
        <i x="506" nd="1"/>
        <i x="243" nd="1"/>
        <i x="35" nd="1"/>
        <i x="335" nd="1"/>
        <i x="86" nd="1"/>
        <i x="8" nd="1"/>
        <i x="95" nd="1"/>
        <i x="377" nd="1"/>
        <i x="415" nd="1"/>
        <i x="164" nd="1"/>
        <i x="421" nd="1"/>
        <i x="427" nd="1"/>
        <i x="393" nd="1"/>
        <i x="225" nd="1"/>
        <i x="255" nd="1"/>
        <i x="496" nd="1"/>
        <i x="266" nd="1"/>
        <i x="451" nd="1"/>
        <i x="285" nd="1"/>
        <i x="12" nd="1"/>
        <i x="72" nd="1"/>
        <i x="84" nd="1"/>
        <i x="107" nd="1"/>
        <i x="125" nd="1"/>
        <i x="395" nd="1"/>
        <i x="155" nd="1"/>
        <i x="102" nd="1"/>
        <i x="183" nd="1"/>
        <i x="462" nd="1"/>
        <i x="214" nd="1"/>
        <i x="479" nd="1"/>
        <i x="244" nd="1"/>
        <i x="505" nd="1"/>
        <i x="284" nd="1"/>
        <i x="291" nd="1"/>
        <i x="40" nd="1"/>
        <i x="58" nd="1"/>
        <i x="369" nd="1"/>
        <i x="153" nd="1"/>
        <i x="163" nd="1"/>
        <i x="182" nd="1"/>
        <i x="202" nd="1"/>
        <i x="487" nd="1"/>
        <i x="275" nd="1"/>
        <i x="511" nd="1"/>
        <i x="34" nd="1"/>
        <i x="328" nd="1"/>
        <i x="57" nd="1"/>
        <i x="71" nd="1"/>
        <i x="353" nd="1"/>
        <i x="83" nd="1"/>
        <i x="361" nd="1"/>
        <i x="23" nd="1"/>
        <i x="106" nd="1"/>
        <i x="386" nd="1"/>
        <i x="145" nd="1"/>
        <i x="446" nd="1"/>
        <i x="201" nd="1"/>
        <i x="460" nd="1"/>
        <i x="173" nd="1"/>
        <i x="432" nd="1"/>
        <i x="504" nd="1"/>
        <i x="283" nd="1"/>
        <i x="303" nd="1"/>
        <i x="5" nd="1"/>
        <i x="312" nd="1"/>
        <i x="52" nd="1"/>
        <i x="56" nd="1"/>
        <i x="70" nd="1"/>
        <i x="352" nd="1"/>
        <i x="360" nd="1"/>
        <i x="94" nd="1"/>
        <i x="134" nd="1"/>
        <i x="408" nd="1"/>
        <i x="436" nd="1"/>
        <i x="195" nd="1"/>
        <i x="445" nd="1"/>
        <i x="454" nd="1"/>
        <i x="459" nd="1"/>
        <i x="223" nd="1"/>
        <i x="230" nd="1"/>
        <i x="265" nd="1"/>
        <i x="521" nd="1"/>
        <i x="228" nd="1"/>
        <i x="334" nd="1"/>
        <i x="93" nd="1"/>
        <i x="376" nd="1"/>
        <i x="123" nd="1"/>
        <i x="174" nd="1"/>
        <i x="181" nd="1"/>
        <i x="194" nd="1"/>
        <i x="200" nd="1"/>
        <i x="453" nd="1"/>
        <i x="222" nd="1"/>
        <i x="472" nd="1"/>
        <i x="495" nd="1"/>
        <i x="302" nd="1"/>
        <i x="326" nd="1"/>
        <i x="359" nd="1"/>
        <i x="105" nd="1"/>
        <i x="114" nd="1"/>
        <i x="435" nd="1"/>
        <i x="110" nd="1"/>
        <i x="444" nd="1"/>
        <i x="199" nd="1"/>
        <i x="465" nd="1"/>
        <i x="220" nd="1"/>
        <i x="345" nd="1"/>
        <i x="486" nd="1"/>
        <i x="254" nd="1"/>
        <i x="494" nd="1"/>
        <i x="129" nd="1"/>
        <i x="137" nd="1"/>
        <i x="170" nd="1"/>
        <i x="308" nd="1"/>
        <i x="424" nd="1"/>
        <i x="430" nd="1"/>
        <i x="32" nd="1"/>
        <i x="449" nd="1"/>
        <i x="205" nd="1"/>
        <i x="212" nd="1"/>
        <i x="217" nd="1"/>
        <i x="475" nd="1"/>
        <i x="357" nd="1"/>
        <i x="238" nd="1"/>
        <i x="104" nd="1"/>
        <i x="385" nd="1"/>
        <i x="271" nd="1"/>
        <i x="503" nd="1"/>
        <i x="280" nd="1"/>
        <i x="287" nd="1"/>
        <i x="516" nd="1"/>
        <i x="297" nd="1"/>
        <i x="304" nd="1"/>
        <i x="310" nd="1"/>
        <i x="426" nd="1"/>
        <i x="434" nd="1"/>
        <i x="452" nd="1"/>
        <i x="207" nd="1"/>
        <i x="339" nd="1"/>
        <i x="89" nd="1"/>
        <i x="98" nd="1"/>
        <i x="264" nd="1"/>
        <i x="390" nd="1"/>
        <i x="149" nd="1"/>
        <i x="160" nd="1"/>
        <i x="4" nd="1"/>
        <i x="169" nd="1"/>
        <i x="320" nd="1"/>
        <i x="517" nd="1"/>
        <i x="30" nd="1"/>
        <i x="457" nd="1"/>
        <i x="51" nd="1"/>
        <i x="55" nd="1"/>
        <i x="68" nd="1"/>
        <i x="356" nd="1"/>
        <i x="485" nd="1"/>
        <i x="493" nd="1"/>
        <i x="112" nd="1"/>
        <i x="286" nd="1"/>
        <i x="406" nd="1"/>
        <i x="383" nd="1"/>
        <i x="193" nd="1"/>
        <i x="323" nd="1"/>
        <i x="15" nd="1"/>
        <i x="346" nd="1"/>
        <i x="464" nd="1"/>
        <i x="219" nd="1"/>
        <i x="78" nd="1"/>
        <i x="242" nd="1"/>
        <i x="252" nd="1"/>
        <i x="119" nd="1"/>
        <i x="290" nd="1"/>
        <i x="307" nd="1"/>
        <i x="177" nd="1"/>
        <i x="25" nd="1"/>
        <i x="189" nd="1"/>
        <i x="440" nd="1"/>
        <i x="67" nd="1"/>
        <i x="237" nd="1"/>
        <i x="368" nd="1"/>
        <i x="492" nd="1"/>
        <i x="122" nd="1"/>
        <i x="279" nd="1"/>
        <i x="143" nd="1"/>
        <i x="405" nd="1"/>
        <i x="296" nd="1"/>
        <i x="524" nd="1"/>
        <i x="162" nd="1"/>
        <i x="18" nd="1"/>
        <i x="322" nd="1"/>
        <i x="64" nd="1"/>
        <i x="77" nd="1"/>
        <i x="229" nd="1"/>
        <i x="478" nd="1"/>
        <i x="241" nd="1"/>
        <i x="251" nd="1"/>
        <i x="118" nd="1"/>
        <i x="263" nd="1"/>
        <i x="388" nd="1"/>
        <i x="281" nd="1"/>
        <i x="289" nd="1"/>
        <i x="411" nd="1"/>
        <i x="301" nd="1"/>
        <i x="429" nd="1"/>
        <i x="24" nd="1"/>
        <i x="188" nd="1"/>
        <i x="319" nd="1"/>
        <i x="439" nd="1"/>
        <i x="324" nd="1"/>
        <i x="463" nd="1"/>
        <i x="54" nd="1"/>
        <i x="481" nd="1"/>
        <i x="91" nd="1"/>
        <i x="235" nd="1"/>
        <i x="366" nd="1"/>
        <i x="258" nd="1"/>
        <i x="499" nd="1"/>
        <i x="270" nd="1"/>
        <i x="142" nd="1"/>
        <i x="414" nd="1"/>
        <i x="420" nd="1"/>
        <i x="6" nd="1"/>
        <i x="425" nd="1"/>
        <i x="433" nd="1"/>
        <i x="36" nd="1"/>
        <i x="338" nd="1"/>
        <i x="61" nd="1"/>
        <i x="350" nd="1"/>
        <i x="470" nd="1"/>
        <i x="76" nd="1"/>
        <i x="362" nd="1"/>
        <i x="240" nd="1"/>
        <i x="262" nd="1"/>
        <i x="147" nd="1"/>
        <i x="378" nd="1"/>
        <i x="519" nd="1"/>
        <i x="157" nd="1"/>
        <i x="438" nd="1"/>
        <i x="211" nd="1"/>
        <i x="231" nd="1"/>
        <i x="374" nd="1"/>
        <i x="384" nd="1"/>
        <i x="269" nd="1"/>
        <i x="502" nd="1"/>
        <i x="133" nd="1"/>
        <i x="401" nd="1"/>
        <i x="141" nd="1"/>
        <i x="179" nd="1"/>
        <i x="371" nd="1"/>
        <i x="127" nd="1"/>
        <i x="518" nd="1"/>
        <i x="187" nd="1"/>
        <i x="39" nd="1"/>
        <i x="333" nd="1"/>
        <i x="490" nd="1"/>
        <i x="507" nd="1"/>
        <i x="294" nd="1"/>
        <i x="131" nd="1"/>
        <i x="16" nd="1"/>
        <i x="41" nd="1"/>
        <i x="348" nd="1"/>
        <i x="74" nd="1"/>
        <i x="299" nd="1"/>
        <i x="226" nd="1"/>
        <i x="489" nd="1"/>
        <i x="268" nd="1"/>
        <i x="400" nd="1"/>
        <i x="161" nd="1"/>
        <i x="330" nd="1"/>
        <i x="450" nd="1"/>
        <i x="477" nd="1"/>
        <i x="370" nd="1"/>
        <i x="261" nd="1"/>
        <i x="273" nd="1"/>
        <i x="397" nd="1"/>
        <i x="509" nd="1"/>
        <i x="288" nd="1"/>
        <i x="186" nd="1"/>
        <i x="480" nd="1"/>
        <i x="381" nd="1"/>
        <i x="139" nd="1"/>
        <i x="412" nd="1"/>
        <i x="380" nd="1"/>
        <i x="522" nd="1"/>
        <i x="441" nd="1"/>
        <i x="59" nd="1"/>
        <i x="250" nd="1"/>
        <i x="135" nd="1"/>
        <i x="409" nd="1"/>
        <i x="203" nd="1"/>
        <i x="245" nd="1"/>
        <i x="267" nd="1"/>
        <i x="398" nd="1"/>
        <i x="85" nd="1"/>
        <i x="483" nd="1"/>
        <i x="347" nd="1"/>
        <i x="340" nd="1"/>
        <i x="392" nd="1"/>
        <i x="47" nd="1"/>
        <i x="66" nd="1"/>
        <i x="482" nd="1"/>
        <i x="208" nd="1"/>
        <i x="150" nd="1"/>
        <i x="500" nd="1"/>
        <i x="305" nd="1"/>
        <i x="298" nd="1"/>
        <i x="111" nd="1"/>
        <i x="382"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PROCESSID3" sourceName="PROCESSID">
  <pivotTables>
    <pivotTable tabId="17" name="PivotTable1"/>
  </pivotTables>
  <data>
    <tabular pivotCacheId="4">
      <items count="33">
        <i x="0"/>
        <i x="1"/>
        <i x="2" s="1"/>
        <i x="16" nd="1"/>
        <i x="19" nd="1"/>
        <i x="25" nd="1"/>
        <i x="14" nd="1"/>
        <i x="21" nd="1"/>
        <i x="20" nd="1"/>
        <i x="10" nd="1"/>
        <i x="22" nd="1"/>
        <i x="30" nd="1"/>
        <i x="26" nd="1"/>
        <i x="32" nd="1"/>
        <i x="12" nd="1"/>
        <i x="5" nd="1"/>
        <i x="28" nd="1"/>
        <i x="23" nd="1"/>
        <i x="17" nd="1"/>
        <i x="9" nd="1"/>
        <i x="4" nd="1"/>
        <i x="18" nd="1"/>
        <i x="11" nd="1"/>
        <i x="8" nd="1"/>
        <i x="13" nd="1"/>
        <i x="24" nd="1"/>
        <i x="7" nd="1"/>
        <i x="6" nd="1"/>
        <i x="31" nd="1"/>
        <i x="27" nd="1"/>
        <i x="15" nd="1"/>
        <i x="29" nd="1"/>
        <i x="3"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SIMULATIONID" sourceName="SIMULATIONID">
  <pivotTables>
    <pivotTable tabId="1" name="PivotTable1"/>
  </pivotTables>
  <data>
    <tabular pivotCacheId="1">
      <items count="37">
        <i x="0" s="1"/>
        <i x="21" s="1" nd="1"/>
        <i x="35" s="1" nd="1"/>
        <i x="4" s="1" nd="1"/>
        <i x="9" s="1" nd="1"/>
        <i x="14" s="1" nd="1"/>
        <i x="22" s="1" nd="1"/>
        <i x="25" s="1" nd="1"/>
        <i x="31" s="1" nd="1"/>
        <i x="16" s="1" nd="1"/>
        <i x="19" s="1" nd="1"/>
        <i x="34" s="1" nd="1"/>
        <i x="36" s="1" nd="1"/>
        <i x="5" s="1" nd="1"/>
        <i x="10" s="1" nd="1"/>
        <i x="29" s="1" nd="1"/>
        <i x="12" s="1" nd="1"/>
        <i x="32" s="1" nd="1"/>
        <i x="7" s="1" nd="1"/>
        <i x="18" s="1" nd="1"/>
        <i x="28" s="1" nd="1"/>
        <i x="20" s="1" nd="1"/>
        <i x="11" s="1" nd="1"/>
        <i x="3" s="1" nd="1"/>
        <i x="30" s="1" nd="1"/>
        <i x="23" s="1" nd="1"/>
        <i x="13" s="1" nd="1"/>
        <i x="6" s="1" nd="1"/>
        <i x="33" s="1" nd="1"/>
        <i x="24" s="1" nd="1"/>
        <i x="15" s="1" nd="1"/>
        <i x="8" s="1" nd="1"/>
        <i x="1" s="1" nd="1"/>
        <i x="26" s="1" nd="1"/>
        <i x="17" s="1" nd="1"/>
        <i x="2" s="1" nd="1"/>
        <i x="27"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CLIENTPID" sourceName="CLIENTPID">
  <pivotTables>
    <pivotTable tabId="23" name="PivotTable1"/>
  </pivotTables>
  <data>
    <tabular pivotCacheId="5">
      <items count="109">
        <i x="1" s="1"/>
        <i x="93" s="1" nd="1"/>
        <i x="15" s="1" nd="1"/>
        <i x="20" s="1" nd="1"/>
        <i x="94" s="1" nd="1"/>
        <i x="37" s="1" nd="1"/>
        <i x="4" s="1" nd="1"/>
        <i x="32" s="1" nd="1"/>
        <i x="88" s="1" nd="1"/>
        <i x="51" s="1" nd="1"/>
        <i x="17" s="1" nd="1"/>
        <i x="49" s="1" nd="1"/>
        <i x="56" s="1" nd="1"/>
        <i x="72" s="1" nd="1"/>
        <i x="44" s="1" nd="1"/>
        <i x="89" s="1" nd="1"/>
        <i x="25" s="1" nd="1"/>
        <i x="57" s="1" nd="1"/>
        <i x="8" s="1" nd="1"/>
        <i x="55" s="1" nd="1"/>
        <i x="68" s="1" nd="1"/>
        <i x="95" s="1" nd="1"/>
        <i x="73" s="1" nd="1"/>
        <i x="98" s="1" nd="1"/>
        <i x="105" s="1" nd="1"/>
        <i x="60" s="1" nd="1"/>
        <i x="58" s="1" nd="1"/>
        <i x="76" s="1" nd="1"/>
        <i x="30" s="1" nd="1"/>
        <i x="84" s="1" nd="1"/>
        <i x="90" s="1" nd="1"/>
        <i x="24" s="1" nd="1"/>
        <i x="28" s="1" nd="1"/>
        <i x="47" s="1" nd="1"/>
        <i x="79" s="1" nd="1"/>
        <i x="0" s="1" nd="1"/>
        <i x="62" s="1" nd="1"/>
        <i x="69" s="1" nd="1"/>
        <i x="9" s="1" nd="1"/>
        <i x="96" s="1" nd="1"/>
        <i x="34" s="1" nd="1"/>
        <i x="10" s="1" nd="1"/>
        <i x="77" s="1" nd="1"/>
        <i x="21" s="1" nd="1"/>
        <i x="43" s="1" nd="1"/>
        <i x="48" s="1" nd="1"/>
        <i x="26" s="1" nd="1"/>
        <i x="67" s="1" nd="1"/>
        <i x="40" s="1" nd="1"/>
        <i x="80" s="1" nd="1"/>
        <i x="41" s="1" nd="1"/>
        <i x="99" s="1" nd="1"/>
        <i x="91" s="1" nd="1"/>
        <i x="16" s="1" nd="1"/>
        <i x="87" s="1" nd="1"/>
        <i x="75" s="1" nd="1"/>
        <i x="18" s="1" nd="1"/>
        <i x="100" s="1" nd="1"/>
        <i x="78" s="1" nd="1"/>
        <i x="106" s="1" nd="1"/>
        <i x="42" s="1" nd="1"/>
        <i x="107" s="1" nd="1"/>
        <i x="45" s="1" nd="1"/>
        <i x="38" s="1" nd="1"/>
        <i x="65" s="1" nd="1"/>
        <i x="22" s="1" nd="1"/>
        <i x="63" s="1" nd="1"/>
        <i x="5" s="1" nd="1"/>
        <i x="104" s="1" nd="1"/>
        <i x="101" s="1" nd="1"/>
        <i x="64" s="1" nd="1"/>
        <i x="31" s="1" nd="1"/>
        <i x="74" s="1" nd="1"/>
        <i x="70" s="1" nd="1"/>
        <i x="50" s="1" nd="1"/>
        <i x="27" s="1" nd="1"/>
        <i x="33" s="1" nd="1"/>
        <i x="102" s="1" nd="1"/>
        <i x="59" s="1" nd="1"/>
        <i x="83" s="1" nd="1"/>
        <i x="46" s="1" nd="1"/>
        <i x="11" s="1" nd="1"/>
        <i x="52" s="1" nd="1"/>
        <i x="6" s="1" nd="1"/>
        <i x="61" s="1" nd="1"/>
        <i x="14" s="1" nd="1"/>
        <i x="35" s="1" nd="1"/>
        <i x="85" s="1" nd="1"/>
        <i x="2" s="1" nd="1"/>
        <i x="81" s="1" nd="1"/>
        <i x="23" s="1" nd="1"/>
        <i x="54" s="1" nd="1"/>
        <i x="7" s="1" nd="1"/>
        <i x="97" s="1" nd="1"/>
        <i x="39" s="1" nd="1"/>
        <i x="53" s="1" nd="1"/>
        <i x="71" s="1" nd="1"/>
        <i x="92" s="1" nd="1"/>
        <i x="12" s="1" nd="1"/>
        <i x="36" s="1" nd="1"/>
        <i x="108" s="1" nd="1"/>
        <i x="82" s="1" nd="1"/>
        <i x="13" s="1" nd="1"/>
        <i x="29" s="1" nd="1"/>
        <i x="3" s="1" nd="1"/>
        <i x="66" s="1" nd="1"/>
        <i x="103" s="1" nd="1"/>
        <i x="19" s="1" nd="1"/>
        <i x="86"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ENGINEPID" sourceName="ENGINEPID">
  <pivotTables>
    <pivotTable tabId="23" name="PivotTable1"/>
  </pivotTables>
  <data>
    <tabular pivotCacheId="5">
      <items count="37">
        <i x="1" s="1"/>
        <i x="8" s="1" nd="1"/>
        <i x="27" s="1" nd="1"/>
        <i x="11" s="1" nd="1"/>
        <i x="28" s="1" nd="1"/>
        <i x="29" s="1" nd="1"/>
        <i x="12" s="1" nd="1"/>
        <i x="26" s="1" nd="1"/>
        <i x="0" s="1" nd="1"/>
        <i x="32" s="1" nd="1"/>
        <i x="24" s="1" nd="1"/>
        <i x="9" s="1" nd="1"/>
        <i x="3" s="1" nd="1"/>
        <i x="25" s="1" nd="1"/>
        <i x="33" s="1" nd="1"/>
        <i x="6" s="1" nd="1"/>
        <i x="34" s="1" nd="1"/>
        <i x="13" s="1" nd="1"/>
        <i x="31" s="1" nd="1"/>
        <i x="16" s="1" nd="1"/>
        <i x="18" s="1" nd="1"/>
        <i x="20" s="1" nd="1"/>
        <i x="21" s="1" nd="1"/>
        <i x="35" s="1" nd="1"/>
        <i x="23" s="1" nd="1"/>
        <i x="19" s="1" nd="1"/>
        <i x="5" s="1" nd="1"/>
        <i x="10" s="1" nd="1"/>
        <i x="17" s="1" nd="1"/>
        <i x="15" s="1" nd="1"/>
        <i x="2" s="1" nd="1"/>
        <i x="30" s="1" nd="1"/>
        <i x="36" s="1" nd="1"/>
        <i x="22" s="1" nd="1"/>
        <i x="7" s="1" nd="1"/>
        <i x="14" s="1" nd="1"/>
        <i x="4" s="1" nd="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SESSIONID" sourceName="SESSIONID">
  <pivotTables>
    <pivotTable tabId="23" name="PivotTable1"/>
  </pivotTables>
  <data>
    <tabular pivotCacheId="5">
      <items count="114">
        <i x="3"/>
        <i x="2"/>
        <i x="1" s="1"/>
        <i x="0"/>
        <i x="101" nd="1"/>
        <i x="56" nd="1"/>
        <i x="59" nd="1"/>
        <i x="92" nd="1"/>
        <i x="10" nd="1"/>
        <i x="20" nd="1"/>
        <i x="107" nd="1"/>
        <i x="8" nd="1"/>
        <i x="104" nd="1"/>
        <i x="6" nd="1"/>
        <i x="38" nd="1"/>
        <i x="27" nd="1"/>
        <i x="28" nd="1"/>
        <i x="102" nd="1"/>
        <i x="108" nd="1"/>
        <i x="11" nd="1"/>
        <i x="23" nd="1"/>
        <i x="81" nd="1"/>
        <i x="60" nd="1"/>
        <i x="70" nd="1"/>
        <i x="19" nd="1"/>
        <i x="110" nd="1"/>
        <i x="96" nd="1"/>
        <i x="98" nd="1"/>
        <i x="39" nd="1"/>
        <i x="40" nd="1"/>
        <i x="78" nd="1"/>
        <i x="82" nd="1"/>
        <i x="52" nd="1"/>
        <i x="29" nd="1"/>
        <i x="105" nd="1"/>
        <i x="79" nd="1"/>
        <i x="74" nd="1"/>
        <i x="9" nd="1"/>
        <i x="42" nd="1"/>
        <i x="66" nd="1"/>
        <i x="43" nd="1"/>
        <i x="47" nd="1"/>
        <i x="15" nd="1"/>
        <i x="111" nd="1"/>
        <i x="41" nd="1"/>
        <i x="21" nd="1"/>
        <i x="62" nd="1"/>
        <i x="65" nd="1"/>
        <i x="48" nd="1"/>
        <i x="54" nd="1"/>
        <i x="32" nd="1"/>
        <i x="109" nd="1"/>
        <i x="35" nd="1"/>
        <i x="90" nd="1"/>
        <i x="106" nd="1"/>
        <i x="99" nd="1"/>
        <i x="93" nd="1"/>
        <i x="44" nd="1"/>
        <i x="14" nd="1"/>
        <i x="84" nd="1"/>
        <i x="45" nd="1"/>
        <i x="91" nd="1"/>
        <i x="61" nd="1"/>
        <i x="67" nd="1"/>
        <i x="16" nd="1"/>
        <i x="57" nd="1"/>
        <i x="83" nd="1"/>
        <i x="17" nd="1"/>
        <i x="112" nd="1"/>
        <i x="72" nd="1"/>
        <i x="33" nd="1"/>
        <i x="7" nd="1"/>
        <i x="31" nd="1"/>
        <i x="53" nd="1"/>
        <i x="113" nd="1"/>
        <i x="55" nd="1"/>
        <i x="100" nd="1"/>
        <i x="36" nd="1"/>
        <i x="58" nd="1"/>
        <i x="50" nd="1"/>
        <i x="80" nd="1"/>
        <i x="85" nd="1"/>
        <i x="63" nd="1"/>
        <i x="64" nd="1"/>
        <i x="73" nd="1"/>
        <i x="34" nd="1"/>
        <i x="87" nd="1"/>
        <i x="95" nd="1"/>
        <i x="13" nd="1"/>
        <i x="75" nd="1"/>
        <i x="76" nd="1"/>
        <i x="18" nd="1"/>
        <i x="88" nd="1"/>
        <i x="4" nd="1"/>
        <i x="71" nd="1"/>
        <i x="86" nd="1"/>
        <i x="68" nd="1"/>
        <i x="49" nd="1"/>
        <i x="30" nd="1"/>
        <i x="25" nd="1"/>
        <i x="46" nd="1"/>
        <i x="12" nd="1"/>
        <i x="24" nd="1"/>
        <i x="69" nd="1"/>
        <i x="77" nd="1"/>
        <i x="22" nd="1"/>
        <i x="94" nd="1"/>
        <i x="103" nd="1"/>
        <i x="37" nd="1"/>
        <i x="5" nd="1"/>
        <i x="51" nd="1"/>
        <i x="89" nd="1"/>
        <i x="26" nd="1"/>
        <i x="97"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SOURCETSID3" sourceName="SOURCETSID">
  <pivotTables>
    <pivotTable tabId="20" name="PivotTable3"/>
  </pivotTables>
  <data>
    <tabular pivotCacheId="6">
      <items count="3">
        <i x="0" s="1"/>
        <i x="2"/>
        <i x="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BPALGO" sourceName="BPALGO">
  <pivotTables>
    <pivotTable tabId="20" name="PivotTable3"/>
  </pivotTables>
  <data>
    <tabular pivotCacheId="6">
      <items count="2">
        <i x="0" s="1"/>
        <i x="1" s="1" nd="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CORE0USECONTEXT" sourceName="CORE0USECONTEXT">
  <pivotTables>
    <pivotTable tabId="20" name="PivotTable3"/>
  </pivotTables>
  <data>
    <tabular pivotCacheId="6">
      <items count="2">
        <i x="0" s="1"/>
        <i x="1" s="1"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MAXEPOCHST" sourceName="MAXEPOCHST">
  <pivotTables>
    <pivotTable tabId="20" name="PivotTable3"/>
  </pivotTables>
  <data>
    <tabular pivotCacheId="6">
      <items count="14">
        <i x="1" s="1"/>
        <i x="0" s="1"/>
        <i x="2" s="1"/>
        <i x="5" s="1" nd="1"/>
        <i x="13" s="1" nd="1"/>
        <i x="6" s="1" nd="1"/>
        <i x="8" s="1" nd="1"/>
        <i x="10" s="1" nd="1"/>
        <i x="3" s="1" nd="1"/>
        <i x="11" s="1" nd="1"/>
        <i x="12" s="1" nd="1"/>
        <i x="7" s="1" nd="1"/>
        <i x="4" s="1" nd="1"/>
        <i x="9" s="1" nd="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SAMPLELENT" sourceName="SAMPLELENT">
  <pivotTables>
    <pivotTable tabId="20" name="PivotTable3"/>
  </pivotTables>
  <data>
    <tabular pivotCacheId="6">
      <items count="9">
        <i x="2" s="1"/>
        <i x="4" s="1"/>
        <i x="0" s="1"/>
        <i x="3" s="1"/>
        <i x="1" s="1"/>
        <i x="8" s="1" nd="1"/>
        <i x="5" s="1" nd="1"/>
        <i x="7" s="1" nd="1"/>
        <i x="6" s="1" nd="1"/>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mc:Ignorable="x" name="Slicer_PROCESSID1" sourceName="PROCESSID">
  <pivotTables>
    <pivotTable tabId="27" name="PivotTable1"/>
  </pivotTables>
  <data>
    <tabular pivotCacheId="7">
      <items count="88">
        <i x="0" s="1"/>
        <i x="1" s="1"/>
        <i x="27" s="1" nd="1"/>
        <i x="36" s="1" nd="1"/>
        <i x="9" s="1" nd="1"/>
        <i x="42" s="1" nd="1"/>
        <i x="48" s="1" nd="1"/>
        <i x="60" s="1" nd="1"/>
        <i x="19" s="1" nd="1"/>
        <i x="28" s="1" nd="1"/>
        <i x="6" s="1" nd="1"/>
        <i x="85" s="1" nd="1"/>
        <i x="43" s="1" nd="1"/>
        <i x="75" s="1" nd="1"/>
        <i x="18" s="1" nd="1"/>
        <i x="20" s="1" nd="1"/>
        <i x="72" s="1" nd="1"/>
        <i x="33" s="1" nd="1"/>
        <i x="54" s="1" nd="1"/>
        <i x="13" s="1" nd="1"/>
        <i x="67" s="1" nd="1"/>
        <i x="40" s="1" nd="1"/>
        <i x="49" s="1" nd="1"/>
        <i x="4" s="1" nd="1"/>
        <i x="44" s="1" nd="1"/>
        <i x="50" s="1" nd="1"/>
        <i x="35" s="1" nd="1"/>
        <i x="70" s="1" nd="1"/>
        <i x="24" s="1" nd="1"/>
        <i x="63" s="1" nd="1"/>
        <i x="29" s="1" nd="1"/>
        <i x="21" s="1" nd="1"/>
        <i x="37" s="1" nd="1"/>
        <i x="73" s="1" nd="1"/>
        <i x="38" s="1" nd="1"/>
        <i x="34" s="1" nd="1"/>
        <i x="80" s="1" nd="1"/>
        <i x="87" s="1" nd="1"/>
        <i x="2" s="1" nd="1"/>
        <i x="79" s="1" nd="1"/>
        <i x="69" s="1" nd="1"/>
        <i x="68" s="1" nd="1"/>
        <i x="61" s="1" nd="1"/>
        <i x="39" s="1" nd="1"/>
        <i x="11" s="1" nd="1"/>
        <i x="62" s="1" nd="1"/>
        <i x="76" s="1" nd="1"/>
        <i x="45" s="1" nd="1"/>
        <i x="31" s="1" nd="1"/>
        <i x="16" s="1" nd="1"/>
        <i x="3" s="1" nd="1"/>
        <i x="14" s="1" nd="1"/>
        <i x="5" s="1" nd="1"/>
        <i x="46" s="1" nd="1"/>
        <i x="22" s="1" nd="1"/>
        <i x="77" s="1" nd="1"/>
        <i x="10" s="1" nd="1"/>
        <i x="55" s="1" nd="1"/>
        <i x="81" s="1" nd="1"/>
        <i x="82" s="1" nd="1"/>
        <i x="57" s="1" nd="1"/>
        <i x="71" s="1" nd="1"/>
        <i x="30" s="1" nd="1"/>
        <i x="15" s="1" nd="1"/>
        <i x="64" s="1" nd="1"/>
        <i x="23" s="1" nd="1"/>
        <i x="83" s="1" nd="1"/>
        <i x="58" s="1" nd="1"/>
        <i x="7" s="1" nd="1"/>
        <i x="78" s="1" nd="1"/>
        <i x="12" s="1" nd="1"/>
        <i x="26" s="1" nd="1"/>
        <i x="66" s="1" nd="1"/>
        <i x="25" s="1" nd="1"/>
        <i x="56" s="1" nd="1"/>
        <i x="51" s="1" nd="1"/>
        <i x="52" s="1" nd="1"/>
        <i x="86" s="1" nd="1"/>
        <i x="41" s="1" nd="1"/>
        <i x="53" s="1" nd="1"/>
        <i x="59" s="1" nd="1"/>
        <i x="65" s="1" nd="1"/>
        <i x="8" s="1" nd="1"/>
        <i x="84" s="1" nd="1"/>
        <i x="17" s="1" nd="1"/>
        <i x="32" s="1" nd="1"/>
        <i x="74" s="1" nd="1"/>
        <i x="47" s="1" nd="1"/>
      </items>
    </tabular>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mc:Ignorable="x" name="Slicer_FEATURE" sourceName="FEATURE">
  <pivotTables>
    <pivotTable tabId="27" name="PivotTable1"/>
  </pivotTables>
  <data>
    <tabular pivotCacheId="7">
      <items count="10">
        <i x="1" s="1"/>
        <i x="2" s="1"/>
        <i x="3" s="1"/>
        <i x="4" s="1"/>
        <i x="5" s="1"/>
        <i x="6" s="1"/>
        <i x="7" s="1"/>
        <i x="8" s="1"/>
        <i x="9" s="1"/>
        <i x="0" s="1"/>
      </items>
    </tabular>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mc:Ignorable="x" name="Slicer_MSER" sourceName="MSER">
  <pivotTables>
    <pivotTable tabId="27" name="PivotTable1"/>
  </pivotTables>
  <data>
    <tabular pivotCacheId="7">
      <items count="268">
        <i x="10" s="1"/>
        <i x="11" s="1"/>
        <i x="191" s="1" nd="1"/>
        <i x="198" s="1" nd="1"/>
        <i x="135" s="1" nd="1"/>
        <i x="167" s="1" nd="1"/>
        <i x="181" s="1" nd="1"/>
        <i x="77" s="1" nd="1"/>
        <i x="150" s="1" nd="1"/>
        <i x="124" s="1" nd="1"/>
        <i x="176" s="1" nd="1"/>
        <i x="177" s="1" nd="1"/>
        <i x="246" s="1" nd="1"/>
        <i x="95" s="1" nd="1"/>
        <i x="182" s="1" nd="1"/>
        <i x="96" s="1" nd="1"/>
        <i x="162" s="1" nd="1"/>
        <i x="12" s="1" nd="1"/>
        <i x="75" s="1" nd="1"/>
        <i x="257" s="1" nd="1"/>
        <i x="151" s="1" nd="1"/>
        <i x="41" s="1" nd="1"/>
        <i x="109" s="1" nd="1"/>
        <i x="132" s="1" nd="1"/>
        <i x="65" s="1" nd="1"/>
        <i x="29" s="1" nd="1"/>
        <i x="224" s="1" nd="1"/>
        <i x="110" s="1" nd="1"/>
        <i x="107" s="1" nd="1"/>
        <i x="27" s="1" nd="1"/>
        <i x="157" s="1" nd="1"/>
        <i x="66" s="1" nd="1"/>
        <i x="199" s="1" nd="1"/>
        <i x="183" s="1" nd="1"/>
        <i x="87" s="1" nd="1"/>
        <i x="168" s="1" nd="1"/>
        <i x="263" s="1" nd="1"/>
        <i x="97" s="1" nd="1"/>
        <i x="30" s="1" nd="1"/>
        <i x="133" s="1" nd="1"/>
        <i x="227" s="1" nd="1"/>
        <i x="108" s="1" nd="1"/>
        <i x="172" s="1" nd="1"/>
        <i x="111" s="1" nd="1"/>
        <i x="234" s="1" nd="1"/>
        <i x="247" s="1" nd="1"/>
        <i x="42" s="1" nd="1"/>
        <i x="163" s="1" nd="1"/>
        <i x="145" s="1" nd="1"/>
        <i x="237" s="1" nd="1"/>
        <i x="228" s="1" nd="1"/>
        <i x="112" s="1" nd="1"/>
        <i x="160" s="1" nd="1"/>
        <i x="19" s="1" nd="1"/>
        <i x="169" s="1" nd="1"/>
        <i x="218" s="1" nd="1"/>
        <i x="158" s="1" nd="1"/>
        <i x="136" s="1" nd="1"/>
        <i x="206" s="1" nd="1"/>
        <i x="31" s="1" nd="1"/>
        <i x="69" s="1" nd="1"/>
        <i x="142" s="1" nd="1"/>
        <i x="239" s="1" nd="1"/>
        <i x="251" s="1" nd="1"/>
        <i x="55" s="1" nd="1"/>
        <i x="98" s="1" nd="1"/>
        <i x="139" s="1" nd="1"/>
        <i x="195" s="1" nd="1"/>
        <i x="258" s="1" nd="1"/>
        <i x="146" s="1" nd="1"/>
        <i x="99" s="1" nd="1"/>
        <i x="52" s="1" nd="1"/>
        <i x="100" s="1" nd="1"/>
        <i x="152" s="1" nd="1"/>
        <i x="173" s="1" nd="1"/>
        <i x="36" s="1" nd="1"/>
        <i x="147" s="1" nd="1"/>
        <i x="22" s="1" nd="1"/>
        <i x="161" s="1" nd="1"/>
        <i x="89" s="1" nd="1"/>
        <i x="44" s="1" nd="1"/>
        <i x="125" s="1" nd="1"/>
        <i x="265" s="1" nd="1"/>
        <i x="200" s="1" nd="1"/>
        <i x="15" s="1" nd="1"/>
        <i x="178" s="1" nd="1"/>
        <i x="67" s="1" nd="1"/>
        <i x="13" s="1" nd="1"/>
        <i x="219" s="1" nd="1"/>
        <i x="140" s="1" nd="1"/>
        <i x="84" s="1" nd="1"/>
        <i x="101" s="1" nd="1"/>
        <i x="196" s="1" nd="1"/>
        <i x="184" s="1" nd="1"/>
        <i x="56" s="1" nd="1"/>
        <i x="164" s="1" nd="1"/>
        <i x="59" s="1" nd="1"/>
        <i x="88" s="1" nd="1"/>
        <i x="113" s="1" nd="1"/>
        <i x="126" s="1" nd="1"/>
        <i x="229" s="1" nd="1"/>
        <i x="225" s="1" nd="1"/>
        <i x="188" s="1" nd="1"/>
        <i x="211" s="1" nd="1"/>
        <i x="174" s="1" nd="1"/>
        <i x="230" s="1" nd="1"/>
        <i x="45" s="1" nd="1"/>
        <i x="192" s="1" nd="1"/>
        <i x="240" s="1" nd="1"/>
        <i x="212" s="1" nd="1"/>
        <i x="16" s="1" nd="1"/>
        <i x="165" s="1" nd="1"/>
        <i x="90" s="1" nd="1"/>
        <i x="148" s="1" nd="1"/>
        <i x="102" s="1" nd="1"/>
        <i x="37" s="1" nd="1"/>
        <i x="68" s="1" nd="1"/>
        <i x="220" s="1" nd="1"/>
        <i x="70" s="1" nd="1"/>
        <i x="127" s="1" nd="1"/>
        <i x="243" s="1" nd="1"/>
        <i x="248" s="1" nd="1"/>
        <i x="91" s="1" nd="1"/>
        <i x="14" s="1" nd="1"/>
        <i x="231" s="1" nd="1"/>
        <i x="249" s="1" nd="1"/>
        <i x="233" s="1" nd="1"/>
        <i x="38" s="1" nd="1"/>
        <i x="115" s="1" nd="1"/>
        <i x="46" s="1" nd="1"/>
        <i x="120" s="1" nd="1"/>
        <i x="213" s="1" nd="1"/>
        <i x="266" s="1" nd="1"/>
        <i x="128" s="1" nd="1"/>
        <i x="121" s="1" nd="1"/>
        <i x="71" s="1" nd="1"/>
        <i x="170" s="1" nd="1"/>
        <i x="103" s="1" nd="1"/>
        <i x="118" s="1" nd="1"/>
        <i x="221" s="1" nd="1"/>
        <i x="208" s="1" nd="1"/>
        <i x="49" s="1" nd="1"/>
        <i x="85" s="1" nd="1"/>
        <i x="17" s="1" nd="1"/>
        <i x="185" s="1" nd="1"/>
        <i x="47" s="1" nd="1"/>
        <i x="78" s="1" nd="1"/>
        <i x="189" s="1" nd="1"/>
        <i x="179" s="1" nd="1"/>
        <i x="193" s="1" nd="1"/>
        <i x="50" s="1" nd="1"/>
        <i x="267" s="1" nd="1"/>
        <i x="76" s="1" nd="1"/>
        <i x="134" s="1" nd="1"/>
        <i x="39" s="1" nd="1"/>
        <i x="214" s="1" nd="1"/>
        <i x="143" s="1" nd="1"/>
        <i x="241" s="1" nd="1"/>
        <i x="252" s="1" nd="1"/>
        <i x="144" s="1" nd="1"/>
        <i x="215" s="1" nd="1"/>
        <i x="86" s="1" nd="1"/>
        <i x="57" s="1" nd="1"/>
        <i x="222" s="1" nd="1"/>
        <i x="149" s="1" nd="1"/>
        <i x="207" s="1" nd="1"/>
        <i x="79" s="1" nd="1"/>
        <i x="8" s="1" nd="1"/>
        <i x="23" s="1" nd="1"/>
        <i x="253" s="1" nd="1"/>
        <i x="72" s="1" nd="1"/>
        <i x="32" s="1" nd="1"/>
        <i x="0" s="1" nd="1"/>
        <i x="159" s="1" nd="1"/>
        <i x="223" s="1" nd="1"/>
        <i x="209" s="1" nd="1"/>
        <i x="201" s="1" nd="1"/>
        <i x="43" s="1" nd="1"/>
        <i x="254" s="1" nd="1"/>
        <i x="80" s="1" nd="1"/>
        <i x="81" s="1" nd="1"/>
        <i x="203" s="1" nd="1"/>
        <i x="244" s="1" nd="1"/>
        <i x="20" s="1" nd="1"/>
        <i x="153" s="1" nd="1"/>
        <i x="48" s="1" nd="1"/>
        <i x="238" s="1" nd="1"/>
        <i x="60" s="1" nd="1"/>
        <i x="40" s="1" nd="1"/>
        <i x="255" s="1" nd="1"/>
        <i x="18" s="1" nd="1"/>
        <i x="92" s="1" nd="1"/>
        <i x="61" s="1" nd="1"/>
        <i x="104" s="1" nd="1"/>
        <i x="166" s="1" nd="1"/>
        <i x="154" s="1" nd="1"/>
        <i x="226" s="1" nd="1"/>
        <i x="202" s="1" nd="1"/>
        <i x="1" s="1" nd="1"/>
        <i x="194" s="1" nd="1"/>
        <i x="216" s="1" nd="1"/>
        <i x="210" s="1" nd="1"/>
        <i x="105" s="1" nd="1"/>
        <i x="3" s="1" nd="1"/>
        <i x="250" s="1" nd="1"/>
        <i x="129" s="1" nd="1"/>
        <i x="186" s="1" nd="1"/>
        <i x="245" s="1" nd="1"/>
        <i x="62" s="1" nd="1"/>
        <i x="33" s="1" nd="1"/>
        <i x="123" s="1" nd="1"/>
        <i x="73" s="1" nd="1"/>
        <i x="24" s="1" nd="1"/>
        <i x="82" s="1" nd="1"/>
        <i x="9" s="1" nd="1"/>
        <i x="28" s="1" nd="1"/>
        <i x="187" s="1" nd="1"/>
        <i x="155" s="1" nd="1"/>
        <i x="63" s="1" nd="1"/>
        <i x="6" s="1" nd="1"/>
        <i x="83" s="1" nd="1"/>
        <i x="197" s="1" nd="1"/>
        <i x="242" s="1" nd="1"/>
        <i x="114" s="1" nd="1"/>
        <i x="21" s="1" nd="1"/>
        <i x="156" s="1" nd="1"/>
        <i x="53" s="1" nd="1"/>
        <i x="64" s="1" nd="1"/>
        <i x="25" s="1" nd="1"/>
        <i x="259" s="1" nd="1"/>
        <i x="34" s="1" nd="1"/>
        <i x="119" s="1" nd="1"/>
        <i x="130" s="1" nd="1"/>
        <i x="106" s="1" nd="1"/>
        <i x="4" s="1" nd="1"/>
        <i x="235" s="1" nd="1"/>
        <i x="190" s="1" nd="1"/>
        <i x="260" s="1" nd="1"/>
        <i x="58" s="1" nd="1"/>
        <i x="171" s="1" nd="1"/>
        <i x="141" s="1" nd="1"/>
        <i x="54" s="1" nd="1"/>
        <i x="261" s="1" nd="1"/>
        <i x="5" s="1" nd="1"/>
        <i x="180" s="1" nd="1"/>
        <i x="137" s="1" nd="1"/>
        <i x="35" s="1" nd="1"/>
        <i x="256" s="1" nd="1"/>
        <i x="26" s="1" nd="1"/>
        <i x="262" s="1" nd="1"/>
        <i x="93" s="1" nd="1"/>
        <i x="138" s="1" nd="1"/>
        <i x="7" s="1" nd="1"/>
        <i x="116" s="1" nd="1"/>
        <i x="122" s="1" nd="1"/>
        <i x="175" s="1" nd="1"/>
        <i x="2" s="1" nd="1"/>
        <i x="94" s="1" nd="1"/>
        <i x="74" s="1" nd="1"/>
        <i x="217" s="1" nd="1"/>
        <i x="204" s="1" nd="1"/>
        <i x="131" s="1" nd="1"/>
        <i x="264" s="1" nd="1"/>
        <i x="236" s="1" nd="1"/>
        <i x="205" s="1" nd="1"/>
        <i x="232" s="1" nd="1"/>
        <i x="51" s="1" nd="1"/>
        <i x="117" s="1" nd="1"/>
      </items>
    </tabular>
  </data>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mc:Ignorable="x" name="Slicer_THREADID" sourceName="THREADID">
  <pivotTables>
    <pivotTable tabId="27" name="PivotTable1"/>
  </pivotTables>
  <data>
    <tabular pivotCacheId="7">
      <items count="272">
        <i x="10" s="1"/>
        <i x="11" s="1"/>
        <i x="20" s="1" nd="1"/>
        <i x="251" s="1" nd="1"/>
        <i x="69" s="1" nd="1"/>
        <i x="202" s="1" nd="1"/>
        <i x="211" s="1" nd="1"/>
        <i x="207" s="1" nd="1"/>
        <i x="182" s="1" nd="1"/>
        <i x="246" s="1" nd="1"/>
        <i x="93" s="1" nd="1"/>
        <i x="47" s="1" nd="1"/>
        <i x="138" s="1" nd="1"/>
        <i x="38" s="1" nd="1"/>
        <i x="179" s="1" nd="1"/>
        <i x="139" s="1" nd="1"/>
        <i x="221" s="1" nd="1"/>
        <i x="142" s="1" nd="1"/>
        <i x="39" s="1" nd="1"/>
        <i x="152" s="1" nd="1"/>
        <i x="54" s="1" nd="1"/>
        <i x="21" s="1" nd="1"/>
        <i x="194" s="1" nd="1"/>
        <i x="229" s="1" nd="1"/>
        <i x="34" s="1" nd="1"/>
        <i x="162" s="1" nd="1"/>
        <i x="86" s="1" nd="1"/>
        <i x="1" s="1" nd="1"/>
        <i x="252" s="1" nd="1"/>
        <i x="59" s="1" nd="1"/>
        <i x="117" s="1" nd="1"/>
        <i x="27" s="1" nd="1"/>
        <i x="4" s="1" nd="1"/>
        <i x="106" s="1" nd="1"/>
        <i x="234" s="1" nd="1"/>
        <i x="130" s="1" nd="1"/>
        <i x="28" s="1" nd="1"/>
        <i x="222" s="1" nd="1"/>
        <i x="82" s="1" nd="1"/>
        <i x="237" s="1" nd="1"/>
        <i x="238" s="1" nd="1"/>
        <i x="256" s="1" nd="1"/>
        <i x="118" s="1" nd="1"/>
        <i x="217" s="1" nd="1"/>
        <i x="29" s="1" nd="1"/>
        <i x="90" s="1" nd="1"/>
        <i x="16" s="1" nd="1"/>
        <i x="195" s="1" nd="1"/>
        <i x="158" s="1" nd="1"/>
        <i x="74" s="1" nd="1"/>
        <i x="174" s="1" nd="1"/>
        <i x="134" s="1" nd="1"/>
        <i x="230" s="1" nd="1"/>
        <i x="183" s="1" nd="1"/>
        <i x="98" s="1" nd="1"/>
        <i x="196" s="1" nd="1"/>
        <i x="22" s="1" nd="1"/>
        <i x="67" s="1" nd="1"/>
        <i x="163" s="1" nd="1"/>
        <i x="247" s="1" nd="1"/>
        <i x="119" s="1" nd="1"/>
        <i x="215" s="1" nd="1"/>
        <i x="135" s="1" nd="1"/>
        <i x="143" s="1" nd="1"/>
        <i x="257" s="1" nd="1"/>
        <i x="175" s="1" nd="1"/>
        <i x="30" s="1" nd="1"/>
        <i x="9" s="1" nd="1"/>
        <i x="31" s="1" nd="1"/>
        <i x="107" s="1" nd="1"/>
        <i x="164" s="1" nd="1"/>
        <i x="266" s="1" nd="1"/>
        <i x="121" s="1" nd="1"/>
        <i x="125" s="1" nd="1"/>
        <i x="176" s="1" nd="1"/>
        <i x="51" s="1" nd="1"/>
        <i x="112" s="1" nd="1"/>
        <i x="242" s="1" nd="1"/>
        <i x="123" s="1" nd="1"/>
        <i x="148" s="1" nd="1"/>
        <i x="126" s="1" nd="1"/>
        <i x="42" s="1" nd="1"/>
        <i x="258" s="1" nd="1"/>
        <i x="94" s="1" nd="1"/>
        <i x="113" s="1" nd="1"/>
        <i x="60" s="1" nd="1"/>
        <i x="91" s="1" nd="1"/>
        <i x="212" s="1" nd="1"/>
        <i x="218" s="1" nd="1"/>
        <i x="32" s="1" nd="1"/>
        <i x="170" s="1" nd="1"/>
        <i x="136" s="1" nd="1"/>
        <i x="92" s="1" nd="1"/>
        <i x="186" s="1" nd="1"/>
        <i x="83" s="1" nd="1"/>
        <i x="114" s="1" nd="1"/>
        <i x="131" s="1" nd="1"/>
        <i x="197" s="1" nd="1"/>
        <i x="55" s="1" nd="1"/>
        <i x="150" s="1" nd="1"/>
        <i x="48" s="1" nd="1"/>
        <i x="56" s="1" nd="1"/>
        <i x="108" s="1" nd="1"/>
        <i x="80" s="1" nd="1"/>
        <i x="216" s="1" nd="1"/>
        <i x="23" s="1" nd="1"/>
        <i x="49" s="1" nd="1"/>
        <i x="153" s="1" nd="1"/>
        <i x="225" s="1" nd="1"/>
        <i x="184" s="1" nd="1"/>
        <i x="165" s="1" nd="1"/>
        <i x="248" s="1" nd="1"/>
        <i x="171" s="1" nd="1"/>
        <i x="243" s="1" nd="1"/>
        <i x="109" s="1" nd="1"/>
        <i x="208" s="1" nd="1"/>
        <i x="95" s="1" nd="1"/>
        <i x="87" s="1" nd="1"/>
        <i x="43" s="1" nd="1"/>
        <i x="249" s="1" nd="1"/>
        <i x="61" s="1" nd="1"/>
        <i x="187" s="1" nd="1"/>
        <i x="40" s="1" nd="1"/>
        <i x="127" s="1" nd="1"/>
        <i x="177" s="1" nd="1"/>
        <i x="81" s="1" nd="1"/>
        <i x="213" s="1" nd="1"/>
        <i x="231" s="1" nd="1"/>
        <i x="52" s="1" nd="1"/>
        <i x="155" s="1" nd="1"/>
        <i x="267" s="1" nd="1"/>
        <i x="0" s="1" nd="1"/>
        <i x="128" s="1" nd="1"/>
        <i x="172" s="1" nd="1"/>
        <i x="227" s="1" nd="1"/>
        <i x="181" s="1" nd="1"/>
        <i x="2" s="1" nd="1"/>
        <i x="50" s="1" nd="1"/>
        <i x="209" s="1" nd="1"/>
        <i x="263" s="1" nd="1"/>
        <i x="68" s="1" nd="1"/>
        <i x="124" s="1" nd="1"/>
        <i x="270" s="1" nd="1"/>
        <i x="129" s="1" nd="1"/>
        <i x="44" s="1" nd="1"/>
        <i x="259" s="1" nd="1"/>
        <i x="178" s="1" nd="1"/>
        <i x="110" s="1" nd="1"/>
        <i x="166" s="1" nd="1"/>
        <i x="132" s="1" nd="1"/>
        <i x="102" s="1" nd="1"/>
        <i x="62" s="1" nd="1"/>
        <i x="245" s="1" nd="1"/>
        <i x="250" s="1" nd="1"/>
        <i x="169" s="1" nd="1"/>
        <i x="17" s="1" nd="1"/>
        <i x="70" s="1" nd="1"/>
        <i x="45" s="1" nd="1"/>
        <i x="12" s="1" nd="1"/>
        <i x="64" s="1" nd="1"/>
        <i x="188" s="1" nd="1"/>
        <i x="71" s="1" nd="1"/>
        <i x="88" s="1" nd="1"/>
        <i x="103" s="1" nd="1"/>
        <i x="120" s="1" nd="1"/>
        <i x="219" s="1" nd="1"/>
        <i x="35" s="1" nd="1"/>
        <i x="189" s="1" nd="1"/>
        <i x="53" s="1" nd="1"/>
        <i x="239" s="1" nd="1"/>
        <i x="72" s="1" nd="1"/>
        <i x="24" s="1" nd="1"/>
        <i x="203" s="1" nd="1"/>
        <i x="264" s="1" nd="1"/>
        <i x="190" s="1" nd="1"/>
        <i x="214" s="1" nd="1"/>
        <i x="84" s="1" nd="1"/>
        <i x="244" s="1" nd="1"/>
        <i x="13" s="1" nd="1"/>
        <i x="232" s="1" nd="1"/>
        <i x="65" s="1" nd="1"/>
        <i x="223" s="1" nd="1"/>
        <i x="144" s="1" nd="1"/>
        <i x="191" s="1" nd="1"/>
        <i x="268" s="1" nd="1"/>
        <i x="240" s="1" nd="1"/>
        <i x="198" s="1" nd="1"/>
        <i x="271" s="1" nd="1"/>
        <i x="104" s="1" nd="1"/>
        <i x="204" s="1" nd="1"/>
        <i x="96" s="1" nd="1"/>
        <i x="192" s="1" nd="1"/>
        <i x="253" s="1" nd="1"/>
        <i x="57" s="1" nd="1"/>
        <i x="159" s="1" nd="1"/>
        <i x="25" s="1" nd="1"/>
        <i x="89" s="1" nd="1"/>
        <i x="63" s="1" nd="1"/>
        <i x="75" s="1" nd="1"/>
        <i x="140" s="1" nd="1"/>
        <i x="154" s="1" nd="1"/>
        <i x="167" s="1" nd="1"/>
        <i x="235" s="1" nd="1"/>
        <i x="36" s="1" nd="1"/>
        <i x="269" s="1" nd="1"/>
        <i x="173" s="1" nd="1"/>
        <i x="46" s="1" nd="1"/>
        <i x="260" s="1" nd="1"/>
        <i x="76" s="1" nd="1"/>
        <i x="224" s="1" nd="1"/>
        <i x="236" s="1" nd="1"/>
        <i x="228" s="1" nd="1"/>
        <i x="151" s="1" nd="1"/>
        <i x="205" s="1" nd="1"/>
        <i x="8" s="1" nd="1"/>
        <i x="66" s="1" nd="1"/>
        <i x="122" s="1" nd="1"/>
        <i x="97" s="1" nd="1"/>
        <i x="3" s="1" nd="1"/>
        <i x="85" s="1" nd="1"/>
        <i x="254" s="1" nd="1"/>
        <i x="73" s="1" nd="1"/>
        <i x="105" s="1" nd="1"/>
        <i x="261" s="1" nd="1"/>
        <i x="210" s="1" nd="1"/>
        <i x="180" s="1" nd="1"/>
        <i x="145" s="1" nd="1"/>
        <i x="99" s="1" nd="1"/>
        <i x="77" s="1" nd="1"/>
        <i x="33" s="1" nd="1"/>
        <i x="141" s="1" nd="1"/>
        <i x="6" s="1" nd="1"/>
        <i x="146" s="1" nd="1"/>
        <i x="156" s="1" nd="1"/>
        <i x="199" s="1" nd="1"/>
        <i x="255" s="1" nd="1"/>
        <i x="26" s="1" nd="1"/>
        <i x="262" s="1" nd="1"/>
        <i x="78" s="1" nd="1"/>
        <i x="111" s="1" nd="1"/>
        <i x="41" s="1" nd="1"/>
        <i x="161" s="1" nd="1"/>
        <i x="14" s="1" nd="1"/>
        <i x="185" s="1" nd="1"/>
        <i x="168" s="1" nd="1"/>
        <i x="147" s="1" nd="1"/>
        <i x="241" s="1" nd="1"/>
        <i x="220" s="1" nd="1"/>
        <i x="15" s="1" nd="1"/>
        <i x="233" s="1" nd="1"/>
        <i x="37" s="1" nd="1"/>
        <i x="133" s="1" nd="1"/>
        <i x="100" s="1" nd="1"/>
        <i x="200" s="1" nd="1"/>
        <i x="115" s="1" nd="1"/>
        <i x="79" s="1" nd="1"/>
        <i x="18" s="1" nd="1"/>
        <i x="101" s="1" nd="1"/>
        <i x="116" s="1" nd="1"/>
        <i x="160" s="1" nd="1"/>
        <i x="5" s="1" nd="1"/>
        <i x="226" s="1" nd="1"/>
        <i x="7" s="1" nd="1"/>
        <i x="137" s="1" nd="1"/>
        <i x="193" s="1" nd="1"/>
        <i x="157" s="1" nd="1"/>
        <i x="19" s="1" nd="1"/>
        <i x="149" s="1" nd="1"/>
        <i x="201" s="1" nd="1"/>
        <i x="58" s="1" nd="1"/>
        <i x="265" s="1" nd="1"/>
        <i x="206" s="1" nd="1"/>
      </items>
    </tabular>
  </data>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mc:Ignorable="x" name="Slicer_NETPROCESSID" sourceName="NETPROCESSID">
  <pivotTables>
    <pivotTable tabId="27" name="PivotTable1"/>
  </pivotTables>
  <data>
    <tabular pivotCacheId="7">
      <items count="58">
        <i x="0" s="1"/>
        <i x="1" s="1" nd="1"/>
        <i x="15" s="1" nd="1"/>
        <i x="21" s="1" nd="1"/>
        <i x="5" s="1" nd="1"/>
        <i x="26" s="1" nd="1"/>
        <i x="31" s="1" nd="1"/>
        <i x="10" s="1" nd="1"/>
        <i x="4" s="1" nd="1"/>
        <i x="55" s="1" nd="1"/>
        <i x="27" s="1" nd="1"/>
        <i x="51" s="1" nd="1"/>
        <i x="48" s="1" nd="1"/>
        <i x="36" s="1" nd="1"/>
        <i x="44" s="1" nd="1"/>
        <i x="24" s="1" nd="1"/>
        <i x="32" s="1" nd="1"/>
        <i x="33" s="1" nd="1"/>
        <i x="20" s="1" nd="1"/>
        <i x="46" s="1" nd="1"/>
        <i x="13" s="1" nd="1"/>
        <i x="41" s="1" nd="1"/>
        <i x="11" s="1" nd="1"/>
        <i x="49" s="1" nd="1"/>
        <i x="22" s="1" nd="1"/>
        <i x="19" s="1" nd="1"/>
        <i x="57" s="1" nd="1"/>
        <i x="2" s="1" nd="1"/>
        <i x="45" s="1" nd="1"/>
        <i x="23" s="1" nd="1"/>
        <i x="52" s="1" nd="1"/>
        <i x="28" s="1" nd="1"/>
        <i x="17" s="1" nd="1"/>
        <i x="8" s="1" nd="1"/>
        <i x="3" s="1" nd="1"/>
        <i x="29" s="1" nd="1"/>
        <i x="12" s="1" nd="1"/>
        <i x="37" s="1" nd="1"/>
        <i x="39" s="1" nd="1"/>
        <i x="47" s="1" nd="1"/>
        <i x="16" s="1" nd="1"/>
        <i x="7" s="1" nd="1"/>
        <i x="42" s="1" nd="1"/>
        <i x="54" s="1" nd="1"/>
        <i x="40" s="1" nd="1"/>
        <i x="53" s="1" nd="1"/>
        <i x="6" s="1" nd="1"/>
        <i x="14" s="1" nd="1"/>
        <i x="43" s="1" nd="1"/>
        <i x="38" s="1" nd="1"/>
        <i x="34" s="1" nd="1"/>
        <i x="56" s="1" nd="1"/>
        <i x="25" s="1" nd="1"/>
        <i x="35" s="1" nd="1"/>
        <i x="9" s="1" nd="1"/>
        <i x="18" s="1" nd="1"/>
        <i x="50" s="1" nd="1"/>
        <i x="30" s="1" nd="1"/>
      </items>
    </tabular>
  </data>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mc:Ignorable="x" name="Slicer_PROCESSID11" sourceName="PROCESSID">
  <pivotTables>
    <pivotTable tabId="28" name="PivotTable1"/>
  </pivotTables>
  <data>
    <tabular pivotCacheId="7">
      <items count="88">
        <i x="0" s="1"/>
        <i x="1" s="1"/>
        <i x="27" s="1" nd="1"/>
        <i x="36" s="1" nd="1"/>
        <i x="9" s="1" nd="1"/>
        <i x="42" s="1" nd="1"/>
        <i x="48" s="1" nd="1"/>
        <i x="60" s="1" nd="1"/>
        <i x="19" s="1" nd="1"/>
        <i x="28" s="1" nd="1"/>
        <i x="6" s="1" nd="1"/>
        <i x="85" s="1" nd="1"/>
        <i x="43" s="1" nd="1"/>
        <i x="75" s="1" nd="1"/>
        <i x="18" s="1" nd="1"/>
        <i x="20" s="1" nd="1"/>
        <i x="72" s="1" nd="1"/>
        <i x="33" s="1" nd="1"/>
        <i x="54" s="1" nd="1"/>
        <i x="13" s="1" nd="1"/>
        <i x="67" s="1" nd="1"/>
        <i x="40" s="1" nd="1"/>
        <i x="49" s="1" nd="1"/>
        <i x="4" s="1" nd="1"/>
        <i x="44" s="1" nd="1"/>
        <i x="50" s="1" nd="1"/>
        <i x="35" s="1" nd="1"/>
        <i x="70" s="1" nd="1"/>
        <i x="24" s="1" nd="1"/>
        <i x="63" s="1" nd="1"/>
        <i x="29" s="1" nd="1"/>
        <i x="21" s="1" nd="1"/>
        <i x="37" s="1" nd="1"/>
        <i x="73" s="1" nd="1"/>
        <i x="38" s="1" nd="1"/>
        <i x="34" s="1" nd="1"/>
        <i x="80" s="1" nd="1"/>
        <i x="87" s="1" nd="1"/>
        <i x="2" s="1" nd="1"/>
        <i x="79" s="1" nd="1"/>
        <i x="69" s="1" nd="1"/>
        <i x="68" s="1" nd="1"/>
        <i x="61" s="1" nd="1"/>
        <i x="39" s="1" nd="1"/>
        <i x="11" s="1" nd="1"/>
        <i x="62" s="1" nd="1"/>
        <i x="76" s="1" nd="1"/>
        <i x="45" s="1" nd="1"/>
        <i x="31" s="1" nd="1"/>
        <i x="16" s="1" nd="1"/>
        <i x="3" s="1" nd="1"/>
        <i x="14" s="1" nd="1"/>
        <i x="5" s="1" nd="1"/>
        <i x="46" s="1" nd="1"/>
        <i x="22" s="1" nd="1"/>
        <i x="77" s="1" nd="1"/>
        <i x="10" s="1" nd="1"/>
        <i x="55" s="1" nd="1"/>
        <i x="81" s="1" nd="1"/>
        <i x="82" s="1" nd="1"/>
        <i x="57" s="1" nd="1"/>
        <i x="71" s="1" nd="1"/>
        <i x="30" s="1" nd="1"/>
        <i x="15" s="1" nd="1"/>
        <i x="64" s="1" nd="1"/>
        <i x="23" s="1" nd="1"/>
        <i x="83" s="1" nd="1"/>
        <i x="58" s="1" nd="1"/>
        <i x="7" s="1" nd="1"/>
        <i x="78" s="1" nd="1"/>
        <i x="12" s="1" nd="1"/>
        <i x="26" s="1" nd="1"/>
        <i x="66" s="1" nd="1"/>
        <i x="25" s="1" nd="1"/>
        <i x="56" s="1" nd="1"/>
        <i x="51" s="1" nd="1"/>
        <i x="52" s="1" nd="1"/>
        <i x="86" s="1" nd="1"/>
        <i x="41" s="1" nd="1"/>
        <i x="53" s="1" nd="1"/>
        <i x="59" s="1" nd="1"/>
        <i x="65" s="1" nd="1"/>
        <i x="8" s="1" nd="1"/>
        <i x="84" s="1" nd="1"/>
        <i x="17" s="1" nd="1"/>
        <i x="32" s="1" nd="1"/>
        <i x="74" s="1" nd="1"/>
        <i x="47" s="1" nd="1"/>
      </items>
    </tabular>
  </data>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mc:Ignorable="x" name="Slicer_FEATURE1" sourceName="FEATURE">
  <pivotTables>
    <pivotTable tabId="28" name="PivotTable1"/>
  </pivotTables>
  <data>
    <tabular pivotCacheId="7">
      <items count="10">
        <i x="1" s="1"/>
        <i x="2"/>
        <i x="3"/>
        <i x="4"/>
        <i x="5"/>
        <i x="6"/>
        <i x="7"/>
        <i x="8"/>
        <i x="9"/>
        <i x="0"/>
      </items>
    </tabular>
  </data>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mc:Ignorable="x" name="Slicer_MSER1" sourceName="MSER">
  <pivotTables>
    <pivotTable tabId="28" name="PivotTable1"/>
  </pivotTables>
  <data>
    <tabular pivotCacheId="7">
      <items count="268">
        <i x="10" s="1"/>
        <i x="11" s="1"/>
        <i x="191" s="1" nd="1"/>
        <i x="198" s="1" nd="1"/>
        <i x="135" s="1" nd="1"/>
        <i x="167" s="1" nd="1"/>
        <i x="181" s="1" nd="1"/>
        <i x="77" s="1" nd="1"/>
        <i x="150" s="1" nd="1"/>
        <i x="124" s="1" nd="1"/>
        <i x="176" s="1" nd="1"/>
        <i x="177" s="1" nd="1"/>
        <i x="246" s="1" nd="1"/>
        <i x="95" s="1" nd="1"/>
        <i x="182" s="1" nd="1"/>
        <i x="96" s="1" nd="1"/>
        <i x="162" s="1" nd="1"/>
        <i x="12" s="1" nd="1"/>
        <i x="75" s="1" nd="1"/>
        <i x="257" s="1" nd="1"/>
        <i x="151" s="1" nd="1"/>
        <i x="41" s="1" nd="1"/>
        <i x="109" s="1" nd="1"/>
        <i x="132" s="1" nd="1"/>
        <i x="65" s="1" nd="1"/>
        <i x="29" s="1" nd="1"/>
        <i x="224" s="1" nd="1"/>
        <i x="110" s="1" nd="1"/>
        <i x="107" s="1" nd="1"/>
        <i x="27" s="1" nd="1"/>
        <i x="157" s="1" nd="1"/>
        <i x="66" s="1" nd="1"/>
        <i x="199" s="1" nd="1"/>
        <i x="183" s="1" nd="1"/>
        <i x="87" s="1" nd="1"/>
        <i x="168" s="1" nd="1"/>
        <i x="263" s="1" nd="1"/>
        <i x="97" s="1" nd="1"/>
        <i x="30" s="1" nd="1"/>
        <i x="133" s="1" nd="1"/>
        <i x="227" s="1" nd="1"/>
        <i x="108" s="1" nd="1"/>
        <i x="172" s="1" nd="1"/>
        <i x="111" s="1" nd="1"/>
        <i x="234" s="1" nd="1"/>
        <i x="247" s="1" nd="1"/>
        <i x="42" s="1" nd="1"/>
        <i x="163" s="1" nd="1"/>
        <i x="145" s="1" nd="1"/>
        <i x="237" s="1" nd="1"/>
        <i x="228" s="1" nd="1"/>
        <i x="112" s="1" nd="1"/>
        <i x="160" s="1" nd="1"/>
        <i x="19" s="1" nd="1"/>
        <i x="169" s="1" nd="1"/>
        <i x="218" s="1" nd="1"/>
        <i x="158" s="1" nd="1"/>
        <i x="136" s="1" nd="1"/>
        <i x="206" s="1" nd="1"/>
        <i x="31" s="1" nd="1"/>
        <i x="69" s="1" nd="1"/>
        <i x="142" s="1" nd="1"/>
        <i x="239" s="1" nd="1"/>
        <i x="251" s="1" nd="1"/>
        <i x="55" s="1" nd="1"/>
        <i x="98" s="1" nd="1"/>
        <i x="139" s="1" nd="1"/>
        <i x="195" s="1" nd="1"/>
        <i x="258" s="1" nd="1"/>
        <i x="146" s="1" nd="1"/>
        <i x="99" s="1" nd="1"/>
        <i x="52" s="1" nd="1"/>
        <i x="100" s="1" nd="1"/>
        <i x="152" s="1" nd="1"/>
        <i x="173" s="1" nd="1"/>
        <i x="36" s="1" nd="1"/>
        <i x="147" s="1" nd="1"/>
        <i x="22" s="1" nd="1"/>
        <i x="161" s="1" nd="1"/>
        <i x="89" s="1" nd="1"/>
        <i x="44" s="1" nd="1"/>
        <i x="125" s="1" nd="1"/>
        <i x="265" s="1" nd="1"/>
        <i x="200" s="1" nd="1"/>
        <i x="15" s="1" nd="1"/>
        <i x="178" s="1" nd="1"/>
        <i x="67" s="1" nd="1"/>
        <i x="13" s="1" nd="1"/>
        <i x="219" s="1" nd="1"/>
        <i x="140" s="1" nd="1"/>
        <i x="84" s="1" nd="1"/>
        <i x="101" s="1" nd="1"/>
        <i x="196" s="1" nd="1"/>
        <i x="184" s="1" nd="1"/>
        <i x="56" s="1" nd="1"/>
        <i x="164" s="1" nd="1"/>
        <i x="59" s="1" nd="1"/>
        <i x="88" s="1" nd="1"/>
        <i x="113" s="1" nd="1"/>
        <i x="126" s="1" nd="1"/>
        <i x="229" s="1" nd="1"/>
        <i x="225" s="1" nd="1"/>
        <i x="188" s="1" nd="1"/>
        <i x="211" s="1" nd="1"/>
        <i x="174" s="1" nd="1"/>
        <i x="230" s="1" nd="1"/>
        <i x="45" s="1" nd="1"/>
        <i x="192" s="1" nd="1"/>
        <i x="240" s="1" nd="1"/>
        <i x="212" s="1" nd="1"/>
        <i x="16" s="1" nd="1"/>
        <i x="165" s="1" nd="1"/>
        <i x="90" s="1" nd="1"/>
        <i x="148" s="1" nd="1"/>
        <i x="102" s="1" nd="1"/>
        <i x="37" s="1" nd="1"/>
        <i x="68" s="1" nd="1"/>
        <i x="220" s="1" nd="1"/>
        <i x="70" s="1" nd="1"/>
        <i x="127" s="1" nd="1"/>
        <i x="243" s="1" nd="1"/>
        <i x="248" s="1" nd="1"/>
        <i x="91" s="1" nd="1"/>
        <i x="14" s="1" nd="1"/>
        <i x="231" s="1" nd="1"/>
        <i x="249" s="1" nd="1"/>
        <i x="233" s="1" nd="1"/>
        <i x="38" s="1" nd="1"/>
        <i x="115" s="1" nd="1"/>
        <i x="46" s="1" nd="1"/>
        <i x="120" s="1" nd="1"/>
        <i x="213" s="1" nd="1"/>
        <i x="266" s="1" nd="1"/>
        <i x="128" s="1" nd="1"/>
        <i x="121" s="1" nd="1"/>
        <i x="71" s="1" nd="1"/>
        <i x="170" s="1" nd="1"/>
        <i x="103" s="1" nd="1"/>
        <i x="118" s="1" nd="1"/>
        <i x="221" s="1" nd="1"/>
        <i x="208" s="1" nd="1"/>
        <i x="49" s="1" nd="1"/>
        <i x="85" s="1" nd="1"/>
        <i x="17" s="1" nd="1"/>
        <i x="185" s="1" nd="1"/>
        <i x="47" s="1" nd="1"/>
        <i x="78" s="1" nd="1"/>
        <i x="189" s="1" nd="1"/>
        <i x="179" s="1" nd="1"/>
        <i x="193" s="1" nd="1"/>
        <i x="50" s="1" nd="1"/>
        <i x="267" s="1" nd="1"/>
        <i x="76" s="1" nd="1"/>
        <i x="134" s="1" nd="1"/>
        <i x="39" s="1" nd="1"/>
        <i x="214" s="1" nd="1"/>
        <i x="143" s="1" nd="1"/>
        <i x="241" s="1" nd="1"/>
        <i x="252" s="1" nd="1"/>
        <i x="144" s="1" nd="1"/>
        <i x="215" s="1" nd="1"/>
        <i x="86" s="1" nd="1"/>
        <i x="57" s="1" nd="1"/>
        <i x="222" s="1" nd="1"/>
        <i x="149" s="1" nd="1"/>
        <i x="207" s="1" nd="1"/>
        <i x="79" s="1" nd="1"/>
        <i x="8" s="1" nd="1"/>
        <i x="23" s="1" nd="1"/>
        <i x="253" s="1" nd="1"/>
        <i x="72" s="1" nd="1"/>
        <i x="32" s="1" nd="1"/>
        <i x="0" s="1" nd="1"/>
        <i x="159" s="1" nd="1"/>
        <i x="223" s="1" nd="1"/>
        <i x="209" s="1" nd="1"/>
        <i x="201" s="1" nd="1"/>
        <i x="43" s="1" nd="1"/>
        <i x="254" s="1" nd="1"/>
        <i x="80" s="1" nd="1"/>
        <i x="81" s="1" nd="1"/>
        <i x="203" s="1" nd="1"/>
        <i x="244" s="1" nd="1"/>
        <i x="20" s="1" nd="1"/>
        <i x="153" s="1" nd="1"/>
        <i x="48" s="1" nd="1"/>
        <i x="238" s="1" nd="1"/>
        <i x="60" s="1" nd="1"/>
        <i x="40" s="1" nd="1"/>
        <i x="255" s="1" nd="1"/>
        <i x="18" s="1" nd="1"/>
        <i x="92" s="1" nd="1"/>
        <i x="61" s="1" nd="1"/>
        <i x="104" s="1" nd="1"/>
        <i x="166" s="1" nd="1"/>
        <i x="154" s="1" nd="1"/>
        <i x="226" s="1" nd="1"/>
        <i x="202" s="1" nd="1"/>
        <i x="1" s="1" nd="1"/>
        <i x="194" s="1" nd="1"/>
        <i x="216" s="1" nd="1"/>
        <i x="210" s="1" nd="1"/>
        <i x="105" s="1" nd="1"/>
        <i x="3" s="1" nd="1"/>
        <i x="250" s="1" nd="1"/>
        <i x="129" s="1" nd="1"/>
        <i x="186" s="1" nd="1"/>
        <i x="245" s="1" nd="1"/>
        <i x="62" s="1" nd="1"/>
        <i x="33" s="1" nd="1"/>
        <i x="123" s="1" nd="1"/>
        <i x="73" s="1" nd="1"/>
        <i x="24" s="1" nd="1"/>
        <i x="82" s="1" nd="1"/>
        <i x="9" s="1" nd="1"/>
        <i x="28" s="1" nd="1"/>
        <i x="187" s="1" nd="1"/>
        <i x="155" s="1" nd="1"/>
        <i x="63" s="1" nd="1"/>
        <i x="6" s="1" nd="1"/>
        <i x="83" s="1" nd="1"/>
        <i x="197" s="1" nd="1"/>
        <i x="242" s="1" nd="1"/>
        <i x="114" s="1" nd="1"/>
        <i x="21" s="1" nd="1"/>
        <i x="156" s="1" nd="1"/>
        <i x="53" s="1" nd="1"/>
        <i x="64" s="1" nd="1"/>
        <i x="25" s="1" nd="1"/>
        <i x="259" s="1" nd="1"/>
        <i x="34" s="1" nd="1"/>
        <i x="119" s="1" nd="1"/>
        <i x="130" s="1" nd="1"/>
        <i x="106" s="1" nd="1"/>
        <i x="4" s="1" nd="1"/>
        <i x="235" s="1" nd="1"/>
        <i x="190" s="1" nd="1"/>
        <i x="260" s="1" nd="1"/>
        <i x="58" s="1" nd="1"/>
        <i x="171" s="1" nd="1"/>
        <i x="141" s="1" nd="1"/>
        <i x="54" s="1" nd="1"/>
        <i x="261" s="1" nd="1"/>
        <i x="5" s="1" nd="1"/>
        <i x="180" s="1" nd="1"/>
        <i x="137" s="1" nd="1"/>
        <i x="35" s="1" nd="1"/>
        <i x="256" s="1" nd="1"/>
        <i x="26" s="1" nd="1"/>
        <i x="262" s="1" nd="1"/>
        <i x="93" s="1" nd="1"/>
        <i x="138" s="1" nd="1"/>
        <i x="7" s="1" nd="1"/>
        <i x="116" s="1" nd="1"/>
        <i x="122" s="1" nd="1"/>
        <i x="175" s="1" nd="1"/>
        <i x="2" s="1" nd="1"/>
        <i x="94" s="1" nd="1"/>
        <i x="74" s="1" nd="1"/>
        <i x="217" s="1" nd="1"/>
        <i x="204" s="1" nd="1"/>
        <i x="131" s="1" nd="1"/>
        <i x="264" s="1" nd="1"/>
        <i x="236" s="1" nd="1"/>
        <i x="205" s="1" nd="1"/>
        <i x="232" s="1" nd="1"/>
        <i x="51" s="1" nd="1"/>
        <i x="117" s="1" nd="1"/>
      </items>
    </tabular>
  </data>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mc:Ignorable="x" name="Slicer_THREADID1" sourceName="THREADID">
  <pivotTables>
    <pivotTable tabId="28" name="PivotTable1"/>
  </pivotTables>
  <data>
    <tabular pivotCacheId="7">
      <items count="272">
        <i x="10" s="1"/>
        <i x="11" s="1"/>
        <i x="20" s="1" nd="1"/>
        <i x="251" s="1" nd="1"/>
        <i x="69" s="1" nd="1"/>
        <i x="202" s="1" nd="1"/>
        <i x="211" s="1" nd="1"/>
        <i x="207" s="1" nd="1"/>
        <i x="182" s="1" nd="1"/>
        <i x="246" s="1" nd="1"/>
        <i x="93" s="1" nd="1"/>
        <i x="47" s="1" nd="1"/>
        <i x="138" s="1" nd="1"/>
        <i x="38" s="1" nd="1"/>
        <i x="179" s="1" nd="1"/>
        <i x="139" s="1" nd="1"/>
        <i x="221" s="1" nd="1"/>
        <i x="142" s="1" nd="1"/>
        <i x="39" s="1" nd="1"/>
        <i x="152" s="1" nd="1"/>
        <i x="54" s="1" nd="1"/>
        <i x="21" s="1" nd="1"/>
        <i x="194" s="1" nd="1"/>
        <i x="229" s="1" nd="1"/>
        <i x="34" s="1" nd="1"/>
        <i x="162" s="1" nd="1"/>
        <i x="86" s="1" nd="1"/>
        <i x="1" s="1" nd="1"/>
        <i x="252" s="1" nd="1"/>
        <i x="59" s="1" nd="1"/>
        <i x="117" s="1" nd="1"/>
        <i x="27" s="1" nd="1"/>
        <i x="4" s="1" nd="1"/>
        <i x="106" s="1" nd="1"/>
        <i x="234" s="1" nd="1"/>
        <i x="130" s="1" nd="1"/>
        <i x="28" s="1" nd="1"/>
        <i x="222" s="1" nd="1"/>
        <i x="82" s="1" nd="1"/>
        <i x="237" s="1" nd="1"/>
        <i x="238" s="1" nd="1"/>
        <i x="256" s="1" nd="1"/>
        <i x="118" s="1" nd="1"/>
        <i x="217" s="1" nd="1"/>
        <i x="29" s="1" nd="1"/>
        <i x="90" s="1" nd="1"/>
        <i x="16" s="1" nd="1"/>
        <i x="195" s="1" nd="1"/>
        <i x="158" s="1" nd="1"/>
        <i x="74" s="1" nd="1"/>
        <i x="174" s="1" nd="1"/>
        <i x="134" s="1" nd="1"/>
        <i x="230" s="1" nd="1"/>
        <i x="183" s="1" nd="1"/>
        <i x="98" s="1" nd="1"/>
        <i x="196" s="1" nd="1"/>
        <i x="22" s="1" nd="1"/>
        <i x="67" s="1" nd="1"/>
        <i x="163" s="1" nd="1"/>
        <i x="247" s="1" nd="1"/>
        <i x="119" s="1" nd="1"/>
        <i x="215" s="1" nd="1"/>
        <i x="135" s="1" nd="1"/>
        <i x="143" s="1" nd="1"/>
        <i x="257" s="1" nd="1"/>
        <i x="175" s="1" nd="1"/>
        <i x="30" s="1" nd="1"/>
        <i x="9" s="1" nd="1"/>
        <i x="31" s="1" nd="1"/>
        <i x="107" s="1" nd="1"/>
        <i x="164" s="1" nd="1"/>
        <i x="266" s="1" nd="1"/>
        <i x="121" s="1" nd="1"/>
        <i x="125" s="1" nd="1"/>
        <i x="176" s="1" nd="1"/>
        <i x="51" s="1" nd="1"/>
        <i x="112" s="1" nd="1"/>
        <i x="242" s="1" nd="1"/>
        <i x="123" s="1" nd="1"/>
        <i x="148" s="1" nd="1"/>
        <i x="126" s="1" nd="1"/>
        <i x="42" s="1" nd="1"/>
        <i x="258" s="1" nd="1"/>
        <i x="94" s="1" nd="1"/>
        <i x="113" s="1" nd="1"/>
        <i x="60" s="1" nd="1"/>
        <i x="91" s="1" nd="1"/>
        <i x="212" s="1" nd="1"/>
        <i x="218" s="1" nd="1"/>
        <i x="32" s="1" nd="1"/>
        <i x="170" s="1" nd="1"/>
        <i x="136" s="1" nd="1"/>
        <i x="92" s="1" nd="1"/>
        <i x="186" s="1" nd="1"/>
        <i x="83" s="1" nd="1"/>
        <i x="114" s="1" nd="1"/>
        <i x="131" s="1" nd="1"/>
        <i x="197" s="1" nd="1"/>
        <i x="55" s="1" nd="1"/>
        <i x="150" s="1" nd="1"/>
        <i x="48" s="1" nd="1"/>
        <i x="56" s="1" nd="1"/>
        <i x="108" s="1" nd="1"/>
        <i x="80" s="1" nd="1"/>
        <i x="216" s="1" nd="1"/>
        <i x="23" s="1" nd="1"/>
        <i x="49" s="1" nd="1"/>
        <i x="153" s="1" nd="1"/>
        <i x="225" s="1" nd="1"/>
        <i x="184" s="1" nd="1"/>
        <i x="165" s="1" nd="1"/>
        <i x="248" s="1" nd="1"/>
        <i x="171" s="1" nd="1"/>
        <i x="243" s="1" nd="1"/>
        <i x="109" s="1" nd="1"/>
        <i x="208" s="1" nd="1"/>
        <i x="95" s="1" nd="1"/>
        <i x="87" s="1" nd="1"/>
        <i x="43" s="1" nd="1"/>
        <i x="249" s="1" nd="1"/>
        <i x="61" s="1" nd="1"/>
        <i x="187" s="1" nd="1"/>
        <i x="40" s="1" nd="1"/>
        <i x="127" s="1" nd="1"/>
        <i x="177" s="1" nd="1"/>
        <i x="81" s="1" nd="1"/>
        <i x="213" s="1" nd="1"/>
        <i x="231" s="1" nd="1"/>
        <i x="52" s="1" nd="1"/>
        <i x="155" s="1" nd="1"/>
        <i x="267" s="1" nd="1"/>
        <i x="0" s="1" nd="1"/>
        <i x="128" s="1" nd="1"/>
        <i x="172" s="1" nd="1"/>
        <i x="227" s="1" nd="1"/>
        <i x="181" s="1" nd="1"/>
        <i x="2" s="1" nd="1"/>
        <i x="50" s="1" nd="1"/>
        <i x="209" s="1" nd="1"/>
        <i x="263" s="1" nd="1"/>
        <i x="68" s="1" nd="1"/>
        <i x="124" s="1" nd="1"/>
        <i x="270" s="1" nd="1"/>
        <i x="129" s="1" nd="1"/>
        <i x="44" s="1" nd="1"/>
        <i x="259" s="1" nd="1"/>
        <i x="178" s="1" nd="1"/>
        <i x="110" s="1" nd="1"/>
        <i x="166" s="1" nd="1"/>
        <i x="132" s="1" nd="1"/>
        <i x="102" s="1" nd="1"/>
        <i x="62" s="1" nd="1"/>
        <i x="245" s="1" nd="1"/>
        <i x="250" s="1" nd="1"/>
        <i x="169" s="1" nd="1"/>
        <i x="17" s="1" nd="1"/>
        <i x="70" s="1" nd="1"/>
        <i x="45" s="1" nd="1"/>
        <i x="12" s="1" nd="1"/>
        <i x="64" s="1" nd="1"/>
        <i x="188" s="1" nd="1"/>
        <i x="71" s="1" nd="1"/>
        <i x="88" s="1" nd="1"/>
        <i x="103" s="1" nd="1"/>
        <i x="120" s="1" nd="1"/>
        <i x="219" s="1" nd="1"/>
        <i x="35" s="1" nd="1"/>
        <i x="189" s="1" nd="1"/>
        <i x="53" s="1" nd="1"/>
        <i x="239" s="1" nd="1"/>
        <i x="72" s="1" nd="1"/>
        <i x="24" s="1" nd="1"/>
        <i x="203" s="1" nd="1"/>
        <i x="264" s="1" nd="1"/>
        <i x="190" s="1" nd="1"/>
        <i x="214" s="1" nd="1"/>
        <i x="84" s="1" nd="1"/>
        <i x="244" s="1" nd="1"/>
        <i x="13" s="1" nd="1"/>
        <i x="232" s="1" nd="1"/>
        <i x="65" s="1" nd="1"/>
        <i x="223" s="1" nd="1"/>
        <i x="144" s="1" nd="1"/>
        <i x="191" s="1" nd="1"/>
        <i x="268" s="1" nd="1"/>
        <i x="240" s="1" nd="1"/>
        <i x="198" s="1" nd="1"/>
        <i x="271" s="1" nd="1"/>
        <i x="104" s="1" nd="1"/>
        <i x="204" s="1" nd="1"/>
        <i x="96" s="1" nd="1"/>
        <i x="192" s="1" nd="1"/>
        <i x="253" s="1" nd="1"/>
        <i x="57" s="1" nd="1"/>
        <i x="159" s="1" nd="1"/>
        <i x="25" s="1" nd="1"/>
        <i x="89" s="1" nd="1"/>
        <i x="63" s="1" nd="1"/>
        <i x="75" s="1" nd="1"/>
        <i x="140" s="1" nd="1"/>
        <i x="154" s="1" nd="1"/>
        <i x="167" s="1" nd="1"/>
        <i x="235" s="1" nd="1"/>
        <i x="36" s="1" nd="1"/>
        <i x="269" s="1" nd="1"/>
        <i x="173" s="1" nd="1"/>
        <i x="46" s="1" nd="1"/>
        <i x="260" s="1" nd="1"/>
        <i x="76" s="1" nd="1"/>
        <i x="224" s="1" nd="1"/>
        <i x="236" s="1" nd="1"/>
        <i x="228" s="1" nd="1"/>
        <i x="151" s="1" nd="1"/>
        <i x="205" s="1" nd="1"/>
        <i x="8" s="1" nd="1"/>
        <i x="66" s="1" nd="1"/>
        <i x="122" s="1" nd="1"/>
        <i x="97" s="1" nd="1"/>
        <i x="3" s="1" nd="1"/>
        <i x="85" s="1" nd="1"/>
        <i x="254" s="1" nd="1"/>
        <i x="73" s="1" nd="1"/>
        <i x="105" s="1" nd="1"/>
        <i x="261" s="1" nd="1"/>
        <i x="210" s="1" nd="1"/>
        <i x="180" s="1" nd="1"/>
        <i x="145" s="1" nd="1"/>
        <i x="99" s="1" nd="1"/>
        <i x="77" s="1" nd="1"/>
        <i x="33" s="1" nd="1"/>
        <i x="141" s="1" nd="1"/>
        <i x="6" s="1" nd="1"/>
        <i x="146" s="1" nd="1"/>
        <i x="156" s="1" nd="1"/>
        <i x="199" s="1" nd="1"/>
        <i x="255" s="1" nd="1"/>
        <i x="26" s="1" nd="1"/>
        <i x="262" s="1" nd="1"/>
        <i x="78" s="1" nd="1"/>
        <i x="111" s="1" nd="1"/>
        <i x="41" s="1" nd="1"/>
        <i x="161" s="1" nd="1"/>
        <i x="14" s="1" nd="1"/>
        <i x="185" s="1" nd="1"/>
        <i x="168" s="1" nd="1"/>
        <i x="147" s="1" nd="1"/>
        <i x="241" s="1" nd="1"/>
        <i x="220" s="1" nd="1"/>
        <i x="15" s="1" nd="1"/>
        <i x="233" s="1" nd="1"/>
        <i x="37" s="1" nd="1"/>
        <i x="133" s="1" nd="1"/>
        <i x="100" s="1" nd="1"/>
        <i x="200" s="1" nd="1"/>
        <i x="115" s="1" nd="1"/>
        <i x="79" s="1" nd="1"/>
        <i x="18" s="1" nd="1"/>
        <i x="101" s="1" nd="1"/>
        <i x="116" s="1" nd="1"/>
        <i x="160" s="1" nd="1"/>
        <i x="5" s="1" nd="1"/>
        <i x="226" s="1" nd="1"/>
        <i x="7" s="1" nd="1"/>
        <i x="137" s="1" nd="1"/>
        <i x="193" s="1" nd="1"/>
        <i x="157" s="1" nd="1"/>
        <i x="19" s="1" nd="1"/>
        <i x="149" s="1" nd="1"/>
        <i x="201" s="1" nd="1"/>
        <i x="58" s="1" nd="1"/>
        <i x="265" s="1" nd="1"/>
        <i x="206" s="1" nd="1"/>
      </items>
    </tabular>
  </data>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mc:Ignorable="x" name="Slicer_PROCESSID111" sourceName="PROCESSID">
  <pivotTables>
    <pivotTable tabId="29" name="PivotTable1"/>
  </pivotTables>
  <data>
    <tabular pivotCacheId="7">
      <items count="88">
        <i x="0"/>
        <i x="1" s="1"/>
        <i x="27" nd="1"/>
        <i x="36" nd="1"/>
        <i x="9" nd="1"/>
        <i x="42" nd="1"/>
        <i x="48" nd="1"/>
        <i x="60" nd="1"/>
        <i x="19" nd="1"/>
        <i x="28" nd="1"/>
        <i x="6" nd="1"/>
        <i x="85" nd="1"/>
        <i x="43" nd="1"/>
        <i x="75" nd="1"/>
        <i x="18" nd="1"/>
        <i x="20" nd="1"/>
        <i x="72" nd="1"/>
        <i x="33" nd="1"/>
        <i x="54" nd="1"/>
        <i x="13" nd="1"/>
        <i x="67" nd="1"/>
        <i x="40" nd="1"/>
        <i x="49" nd="1"/>
        <i x="4" nd="1"/>
        <i x="44" nd="1"/>
        <i x="50" nd="1"/>
        <i x="35" nd="1"/>
        <i x="70" nd="1"/>
        <i x="24" nd="1"/>
        <i x="63" nd="1"/>
        <i x="29" nd="1"/>
        <i x="21" nd="1"/>
        <i x="37" nd="1"/>
        <i x="73" nd="1"/>
        <i x="38" nd="1"/>
        <i x="34" nd="1"/>
        <i x="80" nd="1"/>
        <i x="87" nd="1"/>
        <i x="2" nd="1"/>
        <i x="79" nd="1"/>
        <i x="69" nd="1"/>
        <i x="68" nd="1"/>
        <i x="61" nd="1"/>
        <i x="39" nd="1"/>
        <i x="11" nd="1"/>
        <i x="62" nd="1"/>
        <i x="76" nd="1"/>
        <i x="45" nd="1"/>
        <i x="31" nd="1"/>
        <i x="16" nd="1"/>
        <i x="3" nd="1"/>
        <i x="14" nd="1"/>
        <i x="5" nd="1"/>
        <i x="46" nd="1"/>
        <i x="22" nd="1"/>
        <i x="77" nd="1"/>
        <i x="10" nd="1"/>
        <i x="55" nd="1"/>
        <i x="81" nd="1"/>
        <i x="82" nd="1"/>
        <i x="57" nd="1"/>
        <i x="71" nd="1"/>
        <i x="30" nd="1"/>
        <i x="15" nd="1"/>
        <i x="64" nd="1"/>
        <i x="23" nd="1"/>
        <i x="83" nd="1"/>
        <i x="58" nd="1"/>
        <i x="7" nd="1"/>
        <i x="78" nd="1"/>
        <i x="12" nd="1"/>
        <i x="26" nd="1"/>
        <i x="66" nd="1"/>
        <i x="25" nd="1"/>
        <i x="56" nd="1"/>
        <i x="51" nd="1"/>
        <i x="52" nd="1"/>
        <i x="86" nd="1"/>
        <i x="41" nd="1"/>
        <i x="53" nd="1"/>
        <i x="59" nd="1"/>
        <i x="65" nd="1"/>
        <i x="8" nd="1"/>
        <i x="84" nd="1"/>
        <i x="17" nd="1"/>
        <i x="32" nd="1"/>
        <i x="74" nd="1"/>
        <i x="47" nd="1"/>
      </items>
    </tabular>
  </data>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mc:Ignorable="x" name="Slicer_FEATURE11" sourceName="FEATURE">
  <pivotTables>
    <pivotTable tabId="29" name="PivotTable1"/>
  </pivotTables>
  <data>
    <tabular pivotCacheId="7">
      <items count="10">
        <i x="1" s="1"/>
        <i x="2"/>
        <i x="3"/>
        <i x="4"/>
        <i x="5"/>
        <i x="6"/>
        <i x="7"/>
        <i x="8"/>
        <i x="9"/>
        <i x="0"/>
      </items>
    </tabular>
  </data>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mc:Ignorable="x" name="Slicer_MSER11" sourceName="MSER">
  <pivotTables>
    <pivotTable tabId="29" name="PivotTable1"/>
  </pivotTables>
  <data>
    <tabular pivotCacheId="7">
      <items count="268">
        <i x="11" s="1"/>
        <i x="191" s="1" nd="1"/>
        <i x="198" s="1" nd="1"/>
        <i x="135" s="1" nd="1"/>
        <i x="167" s="1" nd="1"/>
        <i x="181" s="1" nd="1"/>
        <i x="77" s="1" nd="1"/>
        <i x="150" s="1" nd="1"/>
        <i x="124" s="1" nd="1"/>
        <i x="176" s="1" nd="1"/>
        <i x="177" s="1" nd="1"/>
        <i x="246" s="1" nd="1"/>
        <i x="95" s="1" nd="1"/>
        <i x="182" s="1" nd="1"/>
        <i x="96" s="1" nd="1"/>
        <i x="162" s="1" nd="1"/>
        <i x="12" s="1" nd="1"/>
        <i x="75" s="1" nd="1"/>
        <i x="257" s="1" nd="1"/>
        <i x="151" s="1" nd="1"/>
        <i x="41" s="1" nd="1"/>
        <i x="109" s="1" nd="1"/>
        <i x="132" s="1" nd="1"/>
        <i x="65" s="1" nd="1"/>
        <i x="29" s="1" nd="1"/>
        <i x="224" s="1" nd="1"/>
        <i x="110" s="1" nd="1"/>
        <i x="107" s="1" nd="1"/>
        <i x="27" s="1" nd="1"/>
        <i x="157" s="1" nd="1"/>
        <i x="66" s="1" nd="1"/>
        <i x="199" s="1" nd="1"/>
        <i x="183" s="1" nd="1"/>
        <i x="87" s="1" nd="1"/>
        <i x="168" s="1" nd="1"/>
        <i x="263" s="1" nd="1"/>
        <i x="97" s="1" nd="1"/>
        <i x="30" s="1" nd="1"/>
        <i x="133" s="1" nd="1"/>
        <i x="227" s="1" nd="1"/>
        <i x="108" s="1" nd="1"/>
        <i x="172" s="1" nd="1"/>
        <i x="111" s="1" nd="1"/>
        <i x="234" s="1" nd="1"/>
        <i x="247" s="1" nd="1"/>
        <i x="42" s="1" nd="1"/>
        <i x="163" s="1" nd="1"/>
        <i x="145" s="1" nd="1"/>
        <i x="237" s="1" nd="1"/>
        <i x="228" s="1" nd="1"/>
        <i x="112" s="1" nd="1"/>
        <i x="160" s="1" nd="1"/>
        <i x="19" s="1" nd="1"/>
        <i x="169" s="1" nd="1"/>
        <i x="218" s="1" nd="1"/>
        <i x="158" s="1" nd="1"/>
        <i x="136" s="1" nd="1"/>
        <i x="206" s="1" nd="1"/>
        <i x="31" s="1" nd="1"/>
        <i x="69" s="1" nd="1"/>
        <i x="142" s="1" nd="1"/>
        <i x="239" s="1" nd="1"/>
        <i x="251" s="1" nd="1"/>
        <i x="55" s="1" nd="1"/>
        <i x="98" s="1" nd="1"/>
        <i x="139" s="1" nd="1"/>
        <i x="195" s="1" nd="1"/>
        <i x="258" s="1" nd="1"/>
        <i x="146" s="1" nd="1"/>
        <i x="99" s="1" nd="1"/>
        <i x="52" s="1" nd="1"/>
        <i x="100" s="1" nd="1"/>
        <i x="152" s="1" nd="1"/>
        <i x="173" s="1" nd="1"/>
        <i x="36" s="1" nd="1"/>
        <i x="147" s="1" nd="1"/>
        <i x="22" s="1" nd="1"/>
        <i x="161" s="1" nd="1"/>
        <i x="89" s="1" nd="1"/>
        <i x="44" s="1" nd="1"/>
        <i x="125" s="1" nd="1"/>
        <i x="265" s="1" nd="1"/>
        <i x="200" s="1" nd="1"/>
        <i x="15" s="1" nd="1"/>
        <i x="178" s="1" nd="1"/>
        <i x="67" s="1" nd="1"/>
        <i x="13" s="1" nd="1"/>
        <i x="219" s="1" nd="1"/>
        <i x="140" s="1" nd="1"/>
        <i x="84" s="1" nd="1"/>
        <i x="101" s="1" nd="1"/>
        <i x="196" s="1" nd="1"/>
        <i x="184" s="1" nd="1"/>
        <i x="56" s="1" nd="1"/>
        <i x="164" s="1" nd="1"/>
        <i x="59" s="1" nd="1"/>
        <i x="88" s="1" nd="1"/>
        <i x="113" s="1" nd="1"/>
        <i x="126" s="1" nd="1"/>
        <i x="229" s="1" nd="1"/>
        <i x="225" s="1" nd="1"/>
        <i x="188" s="1" nd="1"/>
        <i x="211" s="1" nd="1"/>
        <i x="174" s="1" nd="1"/>
        <i x="230" s="1" nd="1"/>
        <i x="45" s="1" nd="1"/>
        <i x="192" s="1" nd="1"/>
        <i x="240" s="1" nd="1"/>
        <i x="212" s="1" nd="1"/>
        <i x="16" s="1" nd="1"/>
        <i x="165" s="1" nd="1"/>
        <i x="90" s="1" nd="1"/>
        <i x="148" s="1" nd="1"/>
        <i x="102" s="1" nd="1"/>
        <i x="37" s="1" nd="1"/>
        <i x="68" s="1" nd="1"/>
        <i x="220" s="1" nd="1"/>
        <i x="70" s="1" nd="1"/>
        <i x="127" s="1" nd="1"/>
        <i x="243" s="1" nd="1"/>
        <i x="248" s="1" nd="1"/>
        <i x="91" s="1" nd="1"/>
        <i x="14" s="1" nd="1"/>
        <i x="231" s="1" nd="1"/>
        <i x="249" s="1" nd="1"/>
        <i x="233" s="1" nd="1"/>
        <i x="38" s="1" nd="1"/>
        <i x="115" s="1" nd="1"/>
        <i x="46" s="1" nd="1"/>
        <i x="120" s="1" nd="1"/>
        <i x="213" s="1" nd="1"/>
        <i x="266" s="1" nd="1"/>
        <i x="128" s="1" nd="1"/>
        <i x="121" s="1" nd="1"/>
        <i x="71" s="1" nd="1"/>
        <i x="170" s="1" nd="1"/>
        <i x="103" s="1" nd="1"/>
        <i x="118" s="1" nd="1"/>
        <i x="221" s="1" nd="1"/>
        <i x="208" s="1" nd="1"/>
        <i x="49" s="1" nd="1"/>
        <i x="85" s="1" nd="1"/>
        <i x="17" s="1" nd="1"/>
        <i x="185" s="1" nd="1"/>
        <i x="10" s="1" nd="1"/>
        <i x="47" s="1" nd="1"/>
        <i x="78" s="1" nd="1"/>
        <i x="189" s="1" nd="1"/>
        <i x="179" s="1" nd="1"/>
        <i x="193" s="1" nd="1"/>
        <i x="50" s="1" nd="1"/>
        <i x="267" s="1" nd="1"/>
        <i x="76" s="1" nd="1"/>
        <i x="134" s="1" nd="1"/>
        <i x="39" s="1" nd="1"/>
        <i x="214" s="1" nd="1"/>
        <i x="143" s="1" nd="1"/>
        <i x="241" s="1" nd="1"/>
        <i x="252" s="1" nd="1"/>
        <i x="144" s="1" nd="1"/>
        <i x="215" s="1" nd="1"/>
        <i x="86" s="1" nd="1"/>
        <i x="57" s="1" nd="1"/>
        <i x="222" s="1" nd="1"/>
        <i x="149" s="1" nd="1"/>
        <i x="207" s="1" nd="1"/>
        <i x="79" s="1" nd="1"/>
        <i x="8" s="1" nd="1"/>
        <i x="23" s="1" nd="1"/>
        <i x="253" s="1" nd="1"/>
        <i x="72" s="1" nd="1"/>
        <i x="32" s="1" nd="1"/>
        <i x="0" s="1" nd="1"/>
        <i x="159" s="1" nd="1"/>
        <i x="223" s="1" nd="1"/>
        <i x="209" s="1" nd="1"/>
        <i x="201" s="1" nd="1"/>
        <i x="43" s="1" nd="1"/>
        <i x="254" s="1" nd="1"/>
        <i x="80" s="1" nd="1"/>
        <i x="81" s="1" nd="1"/>
        <i x="203" s="1" nd="1"/>
        <i x="244" s="1" nd="1"/>
        <i x="20" s="1" nd="1"/>
        <i x="153" s="1" nd="1"/>
        <i x="48" s="1" nd="1"/>
        <i x="238" s="1" nd="1"/>
        <i x="60" s="1" nd="1"/>
        <i x="40" s="1" nd="1"/>
        <i x="255" s="1" nd="1"/>
        <i x="18" s="1" nd="1"/>
        <i x="92" s="1" nd="1"/>
        <i x="61" s="1" nd="1"/>
        <i x="104" s="1" nd="1"/>
        <i x="166" s="1" nd="1"/>
        <i x="154" s="1" nd="1"/>
        <i x="226" s="1" nd="1"/>
        <i x="202" s="1" nd="1"/>
        <i x="1" s="1" nd="1"/>
        <i x="194" s="1" nd="1"/>
        <i x="216" s="1" nd="1"/>
        <i x="210" s="1" nd="1"/>
        <i x="105" s="1" nd="1"/>
        <i x="3" s="1" nd="1"/>
        <i x="250" s="1" nd="1"/>
        <i x="129" s="1" nd="1"/>
        <i x="186" s="1" nd="1"/>
        <i x="245" s="1" nd="1"/>
        <i x="62" s="1" nd="1"/>
        <i x="33" s="1" nd="1"/>
        <i x="123" s="1" nd="1"/>
        <i x="73" s="1" nd="1"/>
        <i x="24" s="1" nd="1"/>
        <i x="82" s="1" nd="1"/>
        <i x="9" s="1" nd="1"/>
        <i x="28" s="1" nd="1"/>
        <i x="187" s="1" nd="1"/>
        <i x="155" s="1" nd="1"/>
        <i x="63" s="1" nd="1"/>
        <i x="6" s="1" nd="1"/>
        <i x="83" s="1" nd="1"/>
        <i x="197" s="1" nd="1"/>
        <i x="242" s="1" nd="1"/>
        <i x="114" s="1" nd="1"/>
        <i x="21" s="1" nd="1"/>
        <i x="156" s="1" nd="1"/>
        <i x="53" s="1" nd="1"/>
        <i x="64" s="1" nd="1"/>
        <i x="25" s="1" nd="1"/>
        <i x="259" s="1" nd="1"/>
        <i x="34" s="1" nd="1"/>
        <i x="119" s="1" nd="1"/>
        <i x="130" s="1" nd="1"/>
        <i x="106" s="1" nd="1"/>
        <i x="4" s="1" nd="1"/>
        <i x="235" s="1" nd="1"/>
        <i x="190" s="1" nd="1"/>
        <i x="260" s="1" nd="1"/>
        <i x="58" s="1" nd="1"/>
        <i x="171" s="1" nd="1"/>
        <i x="141" s="1" nd="1"/>
        <i x="54" s="1" nd="1"/>
        <i x="261" s="1" nd="1"/>
        <i x="5" s="1" nd="1"/>
        <i x="180" s="1" nd="1"/>
        <i x="137" s="1" nd="1"/>
        <i x="35" s="1" nd="1"/>
        <i x="256" s="1" nd="1"/>
        <i x="26" s="1" nd="1"/>
        <i x="262" s="1" nd="1"/>
        <i x="93" s="1" nd="1"/>
        <i x="138" s="1" nd="1"/>
        <i x="7" s="1" nd="1"/>
        <i x="116" s="1" nd="1"/>
        <i x="122" s="1" nd="1"/>
        <i x="175" s="1" nd="1"/>
        <i x="2" s="1" nd="1"/>
        <i x="94" s="1" nd="1"/>
        <i x="74" s="1" nd="1"/>
        <i x="217" s="1" nd="1"/>
        <i x="204" s="1" nd="1"/>
        <i x="131" s="1" nd="1"/>
        <i x="264" s="1" nd="1"/>
        <i x="236" s="1" nd="1"/>
        <i x="205" s="1" nd="1"/>
        <i x="232" s="1" nd="1"/>
        <i x="51" s="1" nd="1"/>
        <i x="117" s="1" nd="1"/>
      </items>
    </tabular>
  </data>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mc:Ignorable="x" name="Slicer_THREADID11" sourceName="THREADID">
  <pivotTables>
    <pivotTable tabId="29" name="PivotTable1"/>
  </pivotTables>
  <data>
    <tabular pivotCacheId="7">
      <items count="272">
        <i x="11" s="1"/>
        <i x="20" s="1" nd="1"/>
        <i x="251" s="1" nd="1"/>
        <i x="69" s="1" nd="1"/>
        <i x="202" s="1" nd="1"/>
        <i x="211" s="1" nd="1"/>
        <i x="207" s="1" nd="1"/>
        <i x="182" s="1" nd="1"/>
        <i x="246" s="1" nd="1"/>
        <i x="93" s="1" nd="1"/>
        <i x="47" s="1" nd="1"/>
        <i x="138" s="1" nd="1"/>
        <i x="38" s="1" nd="1"/>
        <i x="179" s="1" nd="1"/>
        <i x="139" s="1" nd="1"/>
        <i x="221" s="1" nd="1"/>
        <i x="142" s="1" nd="1"/>
        <i x="39" s="1" nd="1"/>
        <i x="152" s="1" nd="1"/>
        <i x="54" s="1" nd="1"/>
        <i x="21" s="1" nd="1"/>
        <i x="194" s="1" nd="1"/>
        <i x="229" s="1" nd="1"/>
        <i x="34" s="1" nd="1"/>
        <i x="162" s="1" nd="1"/>
        <i x="86" s="1" nd="1"/>
        <i x="1" s="1" nd="1"/>
        <i x="252" s="1" nd="1"/>
        <i x="59" s="1" nd="1"/>
        <i x="117" s="1" nd="1"/>
        <i x="27" s="1" nd="1"/>
        <i x="4" s="1" nd="1"/>
        <i x="106" s="1" nd="1"/>
        <i x="234" s="1" nd="1"/>
        <i x="130" s="1" nd="1"/>
        <i x="28" s="1" nd="1"/>
        <i x="222" s="1" nd="1"/>
        <i x="82" s="1" nd="1"/>
        <i x="237" s="1" nd="1"/>
        <i x="238" s="1" nd="1"/>
        <i x="256" s="1" nd="1"/>
        <i x="118" s="1" nd="1"/>
        <i x="217" s="1" nd="1"/>
        <i x="29" s="1" nd="1"/>
        <i x="90" s="1" nd="1"/>
        <i x="16" s="1" nd="1"/>
        <i x="195" s="1" nd="1"/>
        <i x="158" s="1" nd="1"/>
        <i x="74" s="1" nd="1"/>
        <i x="174" s="1" nd="1"/>
        <i x="134" s="1" nd="1"/>
        <i x="230" s="1" nd="1"/>
        <i x="183" s="1" nd="1"/>
        <i x="98" s="1" nd="1"/>
        <i x="196" s="1" nd="1"/>
        <i x="22" s="1" nd="1"/>
        <i x="67" s="1" nd="1"/>
        <i x="163" s="1" nd="1"/>
        <i x="247" s="1" nd="1"/>
        <i x="119" s="1" nd="1"/>
        <i x="215" s="1" nd="1"/>
        <i x="135" s="1" nd="1"/>
        <i x="143" s="1" nd="1"/>
        <i x="257" s="1" nd="1"/>
        <i x="175" s="1" nd="1"/>
        <i x="30" s="1" nd="1"/>
        <i x="9" s="1" nd="1"/>
        <i x="31" s="1" nd="1"/>
        <i x="107" s="1" nd="1"/>
        <i x="164" s="1" nd="1"/>
        <i x="266" s="1" nd="1"/>
        <i x="121" s="1" nd="1"/>
        <i x="125" s="1" nd="1"/>
        <i x="176" s="1" nd="1"/>
        <i x="51" s="1" nd="1"/>
        <i x="112" s="1" nd="1"/>
        <i x="242" s="1" nd="1"/>
        <i x="123" s="1" nd="1"/>
        <i x="148" s="1" nd="1"/>
        <i x="126" s="1" nd="1"/>
        <i x="42" s="1" nd="1"/>
        <i x="258" s="1" nd="1"/>
        <i x="94" s="1" nd="1"/>
        <i x="113" s="1" nd="1"/>
        <i x="60" s="1" nd="1"/>
        <i x="91" s="1" nd="1"/>
        <i x="212" s="1" nd="1"/>
        <i x="218" s="1" nd="1"/>
        <i x="32" s="1" nd="1"/>
        <i x="170" s="1" nd="1"/>
        <i x="136" s="1" nd="1"/>
        <i x="92" s="1" nd="1"/>
        <i x="186" s="1" nd="1"/>
        <i x="83" s="1" nd="1"/>
        <i x="114" s="1" nd="1"/>
        <i x="131" s="1" nd="1"/>
        <i x="197" s="1" nd="1"/>
        <i x="55" s="1" nd="1"/>
        <i x="150" s="1" nd="1"/>
        <i x="48" s="1" nd="1"/>
        <i x="56" s="1" nd="1"/>
        <i x="108" s="1" nd="1"/>
        <i x="80" s="1" nd="1"/>
        <i x="216" s="1" nd="1"/>
        <i x="23" s="1" nd="1"/>
        <i x="49" s="1" nd="1"/>
        <i x="153" s="1" nd="1"/>
        <i x="225" s="1" nd="1"/>
        <i x="184" s="1" nd="1"/>
        <i x="165" s="1" nd="1"/>
        <i x="248" s="1" nd="1"/>
        <i x="171" s="1" nd="1"/>
        <i x="243" s="1" nd="1"/>
        <i x="109" s="1" nd="1"/>
        <i x="208" s="1" nd="1"/>
        <i x="95" s="1" nd="1"/>
        <i x="87" s="1" nd="1"/>
        <i x="43" s="1" nd="1"/>
        <i x="249" s="1" nd="1"/>
        <i x="61" s="1" nd="1"/>
        <i x="187" s="1" nd="1"/>
        <i x="40" s="1" nd="1"/>
        <i x="127" s="1" nd="1"/>
        <i x="177" s="1" nd="1"/>
        <i x="81" s="1" nd="1"/>
        <i x="213" s="1" nd="1"/>
        <i x="231" s="1" nd="1"/>
        <i x="52" s="1" nd="1"/>
        <i x="155" s="1" nd="1"/>
        <i x="267" s="1" nd="1"/>
        <i x="0" s="1" nd="1"/>
        <i x="128" s="1" nd="1"/>
        <i x="172" s="1" nd="1"/>
        <i x="227" s="1" nd="1"/>
        <i x="181" s="1" nd="1"/>
        <i x="2" s="1" nd="1"/>
        <i x="50" s="1" nd="1"/>
        <i x="209" s="1" nd="1"/>
        <i x="263" s="1" nd="1"/>
        <i x="68" s="1" nd="1"/>
        <i x="124" s="1" nd="1"/>
        <i x="270" s="1" nd="1"/>
        <i x="129" s="1" nd="1"/>
        <i x="44" s="1" nd="1"/>
        <i x="259" s="1" nd="1"/>
        <i x="178" s="1" nd="1"/>
        <i x="110" s="1" nd="1"/>
        <i x="166" s="1" nd="1"/>
        <i x="132" s="1" nd="1"/>
        <i x="102" s="1" nd="1"/>
        <i x="62" s="1" nd="1"/>
        <i x="245" s="1" nd="1"/>
        <i x="250" s="1" nd="1"/>
        <i x="169" s="1" nd="1"/>
        <i x="17" s="1" nd="1"/>
        <i x="70" s="1" nd="1"/>
        <i x="45" s="1" nd="1"/>
        <i x="12" s="1" nd="1"/>
        <i x="64" s="1" nd="1"/>
        <i x="188" s="1" nd="1"/>
        <i x="71" s="1" nd="1"/>
        <i x="88" s="1" nd="1"/>
        <i x="103" s="1" nd="1"/>
        <i x="120" s="1" nd="1"/>
        <i x="219" s="1" nd="1"/>
        <i x="35" s="1" nd="1"/>
        <i x="189" s="1" nd="1"/>
        <i x="53" s="1" nd="1"/>
        <i x="239" s="1" nd="1"/>
        <i x="72" s="1" nd="1"/>
        <i x="24" s="1" nd="1"/>
        <i x="203" s="1" nd="1"/>
        <i x="264" s="1" nd="1"/>
        <i x="190" s="1" nd="1"/>
        <i x="214" s="1" nd="1"/>
        <i x="84" s="1" nd="1"/>
        <i x="244" s="1" nd="1"/>
        <i x="13" s="1" nd="1"/>
        <i x="232" s="1" nd="1"/>
        <i x="65" s="1" nd="1"/>
        <i x="223" s="1" nd="1"/>
        <i x="10" s="1" nd="1"/>
        <i x="144" s="1" nd="1"/>
        <i x="191" s="1" nd="1"/>
        <i x="268" s="1" nd="1"/>
        <i x="240" s="1" nd="1"/>
        <i x="198" s="1" nd="1"/>
        <i x="271" s="1" nd="1"/>
        <i x="104" s="1" nd="1"/>
        <i x="204" s="1" nd="1"/>
        <i x="96" s="1" nd="1"/>
        <i x="192" s="1" nd="1"/>
        <i x="253" s="1" nd="1"/>
        <i x="57" s="1" nd="1"/>
        <i x="159" s="1" nd="1"/>
        <i x="25" s="1" nd="1"/>
        <i x="89" s="1" nd="1"/>
        <i x="63" s="1" nd="1"/>
        <i x="75" s="1" nd="1"/>
        <i x="140" s="1" nd="1"/>
        <i x="154" s="1" nd="1"/>
        <i x="167" s="1" nd="1"/>
        <i x="235" s="1" nd="1"/>
        <i x="36" s="1" nd="1"/>
        <i x="269" s="1" nd="1"/>
        <i x="173" s="1" nd="1"/>
        <i x="46" s="1" nd="1"/>
        <i x="260" s="1" nd="1"/>
        <i x="76" s="1" nd="1"/>
        <i x="224" s="1" nd="1"/>
        <i x="236" s="1" nd="1"/>
        <i x="228" s="1" nd="1"/>
        <i x="151" s="1" nd="1"/>
        <i x="205" s="1" nd="1"/>
        <i x="8" s="1" nd="1"/>
        <i x="66" s="1" nd="1"/>
        <i x="122" s="1" nd="1"/>
        <i x="97" s="1" nd="1"/>
        <i x="3" s="1" nd="1"/>
        <i x="85" s="1" nd="1"/>
        <i x="254" s="1" nd="1"/>
        <i x="73" s="1" nd="1"/>
        <i x="105" s="1" nd="1"/>
        <i x="261" s="1" nd="1"/>
        <i x="210" s="1" nd="1"/>
        <i x="180" s="1" nd="1"/>
        <i x="145" s="1" nd="1"/>
        <i x="99" s="1" nd="1"/>
        <i x="77" s="1" nd="1"/>
        <i x="33" s="1" nd="1"/>
        <i x="141" s="1" nd="1"/>
        <i x="6" s="1" nd="1"/>
        <i x="146" s="1" nd="1"/>
        <i x="156" s="1" nd="1"/>
        <i x="199" s="1" nd="1"/>
        <i x="255" s="1" nd="1"/>
        <i x="26" s="1" nd="1"/>
        <i x="262" s="1" nd="1"/>
        <i x="78" s="1" nd="1"/>
        <i x="111" s="1" nd="1"/>
        <i x="41" s="1" nd="1"/>
        <i x="161" s="1" nd="1"/>
        <i x="14" s="1" nd="1"/>
        <i x="185" s="1" nd="1"/>
        <i x="168" s="1" nd="1"/>
        <i x="147" s="1" nd="1"/>
        <i x="241" s="1" nd="1"/>
        <i x="220" s="1" nd="1"/>
        <i x="15" s="1" nd="1"/>
        <i x="233" s="1" nd="1"/>
        <i x="37" s="1" nd="1"/>
        <i x="133" s="1" nd="1"/>
        <i x="100" s="1" nd="1"/>
        <i x="200" s="1" nd="1"/>
        <i x="115" s="1" nd="1"/>
        <i x="79" s="1" nd="1"/>
        <i x="18" s="1" nd="1"/>
        <i x="101" s="1" nd="1"/>
        <i x="116" s="1" nd="1"/>
        <i x="160" s="1" nd="1"/>
        <i x="5" s="1" nd="1"/>
        <i x="226" s="1" nd="1"/>
        <i x="7" s="1" nd="1"/>
        <i x="137" s="1" nd="1"/>
        <i x="193" s="1" nd="1"/>
        <i x="157" s="1" nd="1"/>
        <i x="19" s="1" nd="1"/>
        <i x="149" s="1" nd="1"/>
        <i x="201" s="1" nd="1"/>
        <i x="58" s="1" nd="1"/>
        <i x="265" s="1" nd="1"/>
        <i x="206" s="1" nd="1"/>
      </items>
    </tabular>
  </data>
</slicerCacheDefinition>
</file>

<file path=xl/slicerCaches/slicerCache25.xml><?xml version="1.0" encoding="utf-8"?>
<slicerCacheDefinition xmlns="http://schemas.microsoft.com/office/spreadsheetml/2009/9/main" xmlns:mc="http://schemas.openxmlformats.org/markup-compatibility/2006" xmlns:x="http://schemas.openxmlformats.org/spreadsheetml/2006/main" mc:Ignorable="x" name="Slicer_COREID" sourceName="COREID">
  <pivotTables>
    <pivotTable tabId="27" name="PivotTable1"/>
  </pivotTables>
  <data>
    <tabular pivotCacheId="7">
      <items count="6">
        <i x="5" s="1"/>
        <i x="0" s="1" nd="1"/>
        <i x="1" s="1" nd="1"/>
        <i x="2" s="1" nd="1"/>
        <i x="3" s="1" nd="1"/>
        <i x="4" s="1" nd="1"/>
      </items>
    </tabular>
  </data>
</slicerCacheDefinition>
</file>

<file path=xl/slicerCaches/slicerCache26.xml><?xml version="1.0" encoding="utf-8"?>
<slicerCacheDefinition xmlns="http://schemas.microsoft.com/office/spreadsheetml/2009/9/main" xmlns:mc="http://schemas.openxmlformats.org/markup-compatibility/2006" xmlns:x="http://schemas.openxmlformats.org/spreadsheetml/2006/main" mc:Ignorable="x" name="Slicer_LAYER" sourceName="LAYER">
  <pivotTables>
    <pivotTable tabId="27" name="PivotTable1"/>
  </pivotTables>
  <data>
    <tabular pivotCacheId="7">
      <items count="2">
        <i x="0"/>
        <i x="1" s="1"/>
      </items>
    </tabular>
  </data>
</slicerCacheDefinition>
</file>

<file path=xl/slicerCaches/slicerCache27.xml><?xml version="1.0" encoding="utf-8"?>
<slicerCacheDefinition xmlns="http://schemas.microsoft.com/office/spreadsheetml/2009/9/main" xmlns:mc="http://schemas.openxmlformats.org/markup-compatibility/2006" xmlns:x="http://schemas.openxmlformats.org/spreadsheetml/2006/main" mc:Ignorable="x" name="Slicer_LAYER1" sourceName="LAYER">
  <pivotTables>
    <pivotTable tabId="28" name="PivotTable1"/>
  </pivotTables>
  <data>
    <tabular pivotCacheId="7">
      <items count="2">
        <i x="0"/>
        <i x="1" s="1"/>
      </items>
    </tabular>
  </data>
</slicerCacheDefinition>
</file>

<file path=xl/slicerCaches/slicerCache28.xml><?xml version="1.0" encoding="utf-8"?>
<slicerCacheDefinition xmlns="http://schemas.microsoft.com/office/spreadsheetml/2009/9/main" xmlns:mc="http://schemas.openxmlformats.org/markup-compatibility/2006" xmlns:x="http://schemas.openxmlformats.org/spreadsheetml/2006/main" mc:Ignorable="x" name="Slicer_COREID1" sourceName="COREID">
  <pivotTables>
    <pivotTable tabId="28" name="PivotTable1"/>
  </pivotTables>
  <data>
    <tabular pivotCacheId="7">
      <items count="6">
        <i x="5" s="1"/>
        <i x="0" s="1" nd="1"/>
        <i x="1" s="1" nd="1"/>
        <i x="2" s="1" nd="1"/>
        <i x="3" s="1" nd="1"/>
        <i x="4" s="1" nd="1"/>
      </items>
    </tabular>
  </data>
</slicerCacheDefinition>
</file>

<file path=xl/slicerCaches/slicerCache29.xml><?xml version="1.0" encoding="utf-8"?>
<slicerCacheDefinition xmlns="http://schemas.microsoft.com/office/spreadsheetml/2009/9/main" xmlns:mc="http://schemas.openxmlformats.org/markup-compatibility/2006" xmlns:x="http://schemas.openxmlformats.org/spreadsheetml/2006/main" mc:Ignorable="x" name="Slicer_LAYER2" sourceName="LAYER">
  <pivotTables>
    <pivotTable tabId="29" name="PivotTable1"/>
  </pivotTables>
  <data>
    <tabular pivotCacheId="7">
      <items count="2">
        <i x="0"/>
        <i x="1" s="1"/>
      </items>
    </tabular>
  </data>
</slicerCacheDefinition>
</file>

<file path=xl/slicerCaches/slicerCache30.xml><?xml version="1.0" encoding="utf-8"?>
<slicerCacheDefinition xmlns="http://schemas.microsoft.com/office/spreadsheetml/2009/9/main" xmlns:mc="http://schemas.openxmlformats.org/markup-compatibility/2006" xmlns:x="http://schemas.openxmlformats.org/spreadsheetml/2006/main" mc:Ignorable="x" name="Slicer_COREID2" sourceName="COREID">
  <pivotTables>
    <pivotTable tabId="29" name="PivotTable1"/>
  </pivotTables>
  <data>
    <tabular pivotCacheId="7">
      <items count="6">
        <i x="5" s="1"/>
        <i x="0" s="1" nd="1"/>
        <i x="1" s="1" nd="1"/>
        <i x="2" s="1" nd="1"/>
        <i x="3" s="1" nd="1"/>
        <i x="4"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PROCESSID" cache="Slicer_PROCESSID" caption="PROCESSID" rowHeight="241300"/>
  <slicer name="SIMULATIONID" cache="Slicer_SIMULATIONID" caption="SIMULATIONID"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PROCESSID 1" cache="Slicer_PROCESSID1" caption="PROCESSID" rowHeight="241300"/>
  <slicer name="FEATURE" cache="Slicer_FEATURE" caption="FEATURE" rowHeight="241300"/>
  <slicer name="MSER" cache="Slicer_MSER" caption="MSER" rowHeight="241300"/>
  <slicer name="THREADID" cache="Slicer_THREADID" caption="THREADID" rowHeight="241300"/>
  <slicer name="NETPROCESSID" cache="Slicer_NETPROCESSID" caption="NETPROCESSID" rowHeight="241300"/>
  <slicer name="COREID" cache="Slicer_COREID" caption="COREID" rowHeight="241300"/>
  <slicer name="LAYER" cache="Slicer_LAYER" caption="LAYER" rowHeight="241300"/>
</slicers>
</file>

<file path=xl/slicers/slicer3.xml><?xml version="1.0" encoding="utf-8"?>
<slicers xmlns="http://schemas.microsoft.com/office/spreadsheetml/2009/9/main" xmlns:mc="http://schemas.openxmlformats.org/markup-compatibility/2006" xmlns:x="http://schemas.openxmlformats.org/spreadsheetml/2006/main" mc:Ignorable="x">
  <slicer name="PROCESSID 2" cache="Slicer_PROCESSID11" caption="PROCESSID" rowHeight="241300"/>
  <slicer name="FEATURE 1" cache="Slicer_FEATURE1" caption="FEATURE" rowHeight="241300"/>
  <slicer name="MSER 1" cache="Slicer_MSER1" caption="MSER" rowHeight="241300"/>
  <slicer name="THREADID 1" cache="Slicer_THREADID1" caption="THREADID" rowHeight="241300"/>
  <slicer name="LAYER 1" cache="Slicer_LAYER1" caption="LAYER" rowHeight="241300"/>
  <slicer name="COREID 1" cache="Slicer_COREID1" caption="COREID" rowHeight="241300"/>
</slicers>
</file>

<file path=xl/slicers/slicer4.xml><?xml version="1.0" encoding="utf-8"?>
<slicers xmlns="http://schemas.microsoft.com/office/spreadsheetml/2009/9/main" xmlns:mc="http://schemas.openxmlformats.org/markup-compatibility/2006" xmlns:x="http://schemas.openxmlformats.org/spreadsheetml/2006/main" mc:Ignorable="x">
  <slicer name="PROCESSID 3" cache="Slicer_PROCESSID111" caption="PROCESSID" rowHeight="241300"/>
  <slicer name="FEATURE 2" cache="Slicer_FEATURE11" caption="FEATURE" rowHeight="241300"/>
  <slicer name="MSER 2" cache="Slicer_MSER11" caption="MSER" rowHeight="241300"/>
  <slicer name="THREADID 2" cache="Slicer_THREADID11" caption="THREADID" rowHeight="241300"/>
  <slicer name="LAYER 2" cache="Slicer_LAYER2" caption="LAYER" rowHeight="241300"/>
  <slicer name="COREID 2" cache="Slicer_COREID2" caption="COREID" rowHeight="241300"/>
</slicers>
</file>

<file path=xl/slicers/slicer5.xml><?xml version="1.0" encoding="utf-8"?>
<slicers xmlns="http://schemas.microsoft.com/office/spreadsheetml/2009/9/main" xmlns:mc="http://schemas.openxmlformats.org/markup-compatibility/2006" xmlns:x="http://schemas.openxmlformats.org/spreadsheetml/2006/main" mc:Ignorable="x">
  <slicer name="CLIENTPID" cache="Slicer_CLIENTPID" caption="CLIENTPID" rowHeight="234950"/>
  <slicer name="ENGINEPID" cache="Slicer_ENGINEPID" caption="ENGINEPID" rowHeight="241300"/>
  <slicer name="SESSIONID" cache="Slicer_SESSIONID" caption="SESSIONID" rowHeight="241300"/>
</slicers>
</file>

<file path=xl/slicers/slicer6.xml><?xml version="1.0" encoding="utf-8"?>
<slicers xmlns="http://schemas.microsoft.com/office/spreadsheetml/2009/9/main" xmlns:mc="http://schemas.openxmlformats.org/markup-compatibility/2006" xmlns:x="http://schemas.openxmlformats.org/spreadsheetml/2006/main" mc:Ignorable="x">
  <slicer name="SOURCETSID 2" cache="Slicer_SOURCETSID3" caption="SOURCETSID" rowHeight="241300"/>
  <slicer name="BPALGO" cache="Slicer_BPALGO" caption="BPALGO" rowHeight="241300"/>
  <slicer name="CORE0USECONTEXT" cache="Slicer_CORE0USECONTEXT" caption="CORE0USECONTEXT" rowHeight="241300"/>
  <slicer name="MaxEpochs" cache="Slicer_MAXEPOCHST" caption="MaxEpochs" rowHeight="241300"/>
  <slicer name="SampleLen" cache="Slicer_SAMPLELENT" caption="SampleLen" rowHeight="241300"/>
</slicers>
</file>

<file path=xl/slicers/slicer7.xml><?xml version="1.0" encoding="utf-8"?>
<slicers xmlns="http://schemas.microsoft.com/office/spreadsheetml/2009/9/main" xmlns:mc="http://schemas.openxmlformats.org/markup-compatibility/2006" xmlns:x="http://schemas.openxmlformats.org/spreadsheetml/2006/main" mc:Ignorable="x">
  <slicer name="PROCESSID 4" cache="Slicer_PROCESSID3" caption="PROCESSID"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id="1" name="Table_Query_from_Algo" displayName="Table_Query_from_Algo" ref="A1:P4" tableType="queryTable" totalsRowShown="0">
  <autoFilter ref="A1:P4"/>
  <tableColumns count="16">
    <tableColumn id="5" uniqueName="5" name="SIMULATIONID" queryTableFieldId="13" dataDxfId="10"/>
    <tableColumn id="1" uniqueName="1" name="PROCESSID" queryTableFieldId="1"/>
    <tableColumn id="12" uniqueName="12" name="NETPROCESSID" queryTableFieldId="29" dataDxfId="9"/>
    <tableColumn id="2" uniqueName="2" name="CLIENTNAME" queryTableFieldId="2"/>
    <tableColumn id="3" uniqueName="3" name="CLIENTSTART" queryTableFieldId="3" dataDxfId="8"/>
    <tableColumn id="4" uniqueName="4" name="DURATION" queryTableFieldId="4" dataDxfId="7"/>
    <tableColumn id="7" uniqueName="7" name="DOTRAINING" queryTableFieldId="7"/>
    <tableColumn id="8" uniqueName="8" name="DOTRAINRUN" queryTableFieldId="8"/>
    <tableColumn id="9" uniqueName="9" name="DOTESTRUN" queryTableFieldId="9"/>
    <tableColumn id="6" uniqueName="6" name="SIMULATIONSTARTTRAIN" queryTableFieldId="10" dataDxfId="6"/>
    <tableColumn id="10" uniqueName="10" name="SIMULATIONSTARTINFER" queryTableFieldId="11" dataDxfId="5"/>
    <tableColumn id="11" uniqueName="11" name="SIMULATIONSTARTVALID" queryTableFieldId="12" dataDxfId="4"/>
    <tableColumn id="13" uniqueName="13" name="CLIENTXMLFILE" queryTableFieldId="17" dataDxfId="3"/>
    <tableColumn id="16" uniqueName="16" name="ENGINEXMLFILE" queryTableFieldId="20" dataDxfId="2"/>
    <tableColumn id="17" uniqueName="17" name="ACTIONXMLFILE" queryTableFieldId="21" dataDxfId="1"/>
    <tableColumn id="14" uniqueName="14" name="SHAPEXMLFILE" queryTableFieldId="18" dataDxfId="0"/>
  </tableColumns>
  <tableStyleInfo name="TableStyleMedium2" showFirstColumn="0" showLastColumn="0" showRowStripes="1" showColumnStripes="0"/>
</table>
</file>

<file path=xl/tables/table2.xml><?xml version="1.0" encoding="utf-8"?>
<table xmlns="http://schemas.openxmlformats.org/spreadsheetml/2006/main" id="4" name="Table_Query_from_Algo5" displayName="Table_Query_from_Algo5" ref="A1:L50" tableType="queryTable" totalsRowShown="0">
  <autoFilter ref="A1:L50"/>
  <tableColumns count="12">
    <tableColumn id="1" uniqueName="1" name="PROCESSID" queryTableFieldId="13"/>
    <tableColumn id="2" uniqueName="2" name="HISTORYLEN" queryTableFieldId="14"/>
    <tableColumn id="3" uniqueName="3" name="TOPOLOGY" queryTableFieldId="15"/>
    <tableColumn id="4" uniqueName="4" name="MAXEPOCHS" queryTableFieldId="16"/>
    <tableColumn id="5" uniqueName="5" name="MAXK" queryTableFieldId="17"/>
    <tableColumn id="6" uniqueName="6" name="SAMPLELEN" queryTableFieldId="18"/>
    <tableColumn id="7" uniqueName="7" name="DATE0" queryTableFieldId="19"/>
    <tableColumn id="8" uniqueName="8" name="SYMBOL0" queryTableFieldId="20"/>
    <tableColumn id="9" uniqueName="9" name="SYMBOL1" queryTableFieldId="21"/>
    <tableColumn id="10" uniqueName="10" name="SYMBOL2" queryTableFieldId="22"/>
    <tableColumn id="11" uniqueName="11" name="TIMEFRAME" queryTableFieldId="23"/>
    <tableColumn id="12" uniqueName="12" name="DATATRANSFORMATION" queryTableFieldId="24"/>
  </tableColumns>
  <tableStyleInfo name="TableStyleMedium2" showFirstColumn="0" showLastColumn="0" showRowStripes="1" showColumnStripes="0"/>
</table>
</file>

<file path=xl/tables/table3.xml><?xml version="1.0" encoding="utf-8"?>
<table xmlns="http://schemas.openxmlformats.org/spreadsheetml/2006/main" id="3" name="Table_Query_from_Algo4" displayName="Table_Query_from_Algo4" ref="A1:G3871" tableType="queryTable" totalsRowShown="0">
  <autoFilter ref="A1:G3871">
    <filterColumn colId="1">
      <filters>
        <filter val="4124"/>
      </filters>
    </filterColumn>
  </autoFilter>
  <sortState ref="A2:G3871">
    <sortCondition ref="F1:F10180"/>
  </sortState>
  <tableColumns count="7">
    <tableColumn id="1" uniqueName="1" name="SIMULATIONID" queryTableFieldId="1"/>
    <tableColumn id="2" uniqueName="2" name="PROCESSID" queryTableFieldId="2"/>
    <tableColumn id="3" uniqueName="3" name="THREADID" queryTableFieldId="3"/>
    <tableColumn id="4" uniqueName="4" name="FILEID" queryTableFieldId="4"/>
    <tableColumn id="5" uniqueName="5" name="PARMID" queryTableFieldId="5"/>
    <tableColumn id="6" uniqueName="6" name="PARMDESC" queryTableFieldId="6"/>
    <tableColumn id="7" uniqueName="7" name="PARMVAL" queryTableFieldId="7"/>
  </tableColumns>
  <tableStyleInfo name="TableStyleMedium2" showFirstColumn="0" showLastColumn="0" showRowStripes="1" showColumnStripes="0"/>
</table>
</file>

<file path=xl/tables/table4.xml><?xml version="1.0" encoding="utf-8"?>
<table xmlns="http://schemas.openxmlformats.org/spreadsheetml/2006/main" id="2" name="Table_Query_from_Algo3" displayName="Table_Query_from_Algo3" ref="A1:F21" tableType="queryTable" totalsRowShown="0">
  <autoFilter ref="A1:F21"/>
  <tableColumns count="6">
    <tableColumn id="1" uniqueName="1" name="PROCESSID" queryTableFieldId="1"/>
    <tableColumn id="3" uniqueName="3" name="COREID" queryTableFieldId="3"/>
    <tableColumn id="5" uniqueName="5" name="PARENTCOREID" queryTableFieldId="5"/>
    <tableColumn id="7" uniqueName="7" name="ENGINE_TYPE" queryTableFieldId="7"/>
    <tableColumn id="8" uniqueName="8" name="CORE_TYPE" queryTableFieldId="8"/>
    <tableColumn id="9" uniqueName="9" name="CONN_TYPE" queryTableFieldId="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openxmlformats.org/officeDocument/2006/relationships/pivotTable" Target="../pivotTables/pivotTable2.xml"/><Relationship Id="rId4" Type="http://schemas.microsoft.com/office/2007/relationships/slicer" Target="../slicers/slicer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pivotTable" Target="../pivotTables/pivotTable3.xml"/><Relationship Id="rId4" Type="http://schemas.microsoft.com/office/2007/relationships/slicer" Target="../slicers/slicer3.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3.bin"/><Relationship Id="rId1" Type="http://schemas.openxmlformats.org/officeDocument/2006/relationships/pivotTable" Target="../pivotTables/pivotTable4.xml"/><Relationship Id="rId4" Type="http://schemas.microsoft.com/office/2007/relationships/slicer" Target="../slicers/slicer4.xml"/></Relationships>
</file>

<file path=xl/worksheets/_rels/sheet5.xml.rels><?xml version="1.0" encoding="UTF-8" standalone="yes"?>
<Relationships xmlns="http://schemas.openxmlformats.org/package/2006/relationships"><Relationship Id="rId3" Type="http://schemas.microsoft.com/office/2007/relationships/slicer" Target="../slicers/slicer5.xml"/><Relationship Id="rId2" Type="http://schemas.openxmlformats.org/officeDocument/2006/relationships/drawing" Target="../drawings/drawing5.xml"/><Relationship Id="rId1" Type="http://schemas.openxmlformats.org/officeDocument/2006/relationships/pivotTable" Target="../pivotTables/pivotTable5.xml"/></Relationships>
</file>

<file path=xl/worksheets/_rels/sheet6.xml.rels><?xml version="1.0" encoding="UTF-8" standalone="yes"?>
<Relationships xmlns="http://schemas.openxmlformats.org/package/2006/relationships"><Relationship Id="rId3" Type="http://schemas.openxmlformats.org/officeDocument/2006/relationships/hyperlink" Target="Config/Engines" TargetMode="External"/><Relationship Id="rId2" Type="http://schemas.openxmlformats.org/officeDocument/2006/relationships/hyperlink" Target="Config/DataSets" TargetMode="External"/><Relationship Id="rId1" Type="http://schemas.openxmlformats.org/officeDocument/2006/relationships/hyperlink" Target="Config/DataShapes" TargetMode="External"/></Relationships>
</file>

<file path=xl/worksheets/_rels/sheet7.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0.xml.rels><?xml version="1.0" encoding="UTF-8" standalone="yes"?>
<Relationships xmlns="http://schemas.openxmlformats.org/package/2006/relationships"><Relationship Id="rId3" Type="http://schemas.microsoft.com/office/2007/relationships/slicer" Target="../slicers/slicer6.xml"/><Relationship Id="rId2" Type="http://schemas.openxmlformats.org/officeDocument/2006/relationships/drawing" Target="../drawings/drawing6.xml"/><Relationship Id="rId1" Type="http://schemas.openxmlformats.org/officeDocument/2006/relationships/pivotTable" Target="../pivotTables/pivotTable6.xml"/></Relationships>
</file>

<file path=xl/worksheets/_rels/sheet12.xml.rels><?xml version="1.0" encoding="UTF-8" standalone="yes"?>
<Relationships xmlns="http://schemas.openxmlformats.org/package/2006/relationships"><Relationship Id="rId3" Type="http://schemas.microsoft.com/office/2007/relationships/slicer" Target="../slicers/slicer7.xml"/><Relationship Id="rId2" Type="http://schemas.openxmlformats.org/officeDocument/2006/relationships/drawing" Target="../drawings/drawing7.xml"/><Relationship Id="rId1" Type="http://schemas.openxmlformats.org/officeDocument/2006/relationships/pivotTable" Target="../pivotTables/pivotTable7.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8.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502"/>
  <sheetViews>
    <sheetView zoomScale="85" zoomScaleNormal="85" workbookViewId="0">
      <selection activeCell="A14" sqref="A14"/>
    </sheetView>
  </sheetViews>
  <sheetFormatPr defaultRowHeight="15" x14ac:dyDescent="0.25"/>
  <cols>
    <col min="1" max="1" width="13.28515625" bestFit="1" customWidth="1"/>
    <col min="2" max="2" width="8.140625" bestFit="1" customWidth="1"/>
    <col min="3" max="3" width="20.85546875" bestFit="1" customWidth="1"/>
    <col min="5" max="5" width="18.28515625" bestFit="1" customWidth="1"/>
    <col min="6" max="6" width="10.7109375" bestFit="1" customWidth="1"/>
  </cols>
  <sheetData>
    <row r="1" spans="1:6" ht="18.75" x14ac:dyDescent="0.3">
      <c r="A1" s="1" t="s">
        <v>0</v>
      </c>
      <c r="B1" t="s">
        <v>2</v>
      </c>
      <c r="C1" t="s">
        <v>379</v>
      </c>
      <c r="E1" s="5" t="s">
        <v>15</v>
      </c>
      <c r="F1" s="24">
        <f>VLOOKUP(COUNT($B:$B)-2,$A:$B,2,FALSE)</f>
        <v>1.1408239370212E-3</v>
      </c>
    </row>
    <row r="2" spans="1:6" x14ac:dyDescent="0.25">
      <c r="A2" s="2">
        <v>0</v>
      </c>
      <c r="B2" s="3">
        <v>2.0790577400475701E-3</v>
      </c>
      <c r="C2" s="4">
        <v>412</v>
      </c>
      <c r="E2" s="5" t="s">
        <v>380</v>
      </c>
      <c r="F2" s="4">
        <f>GETPIVOTDATA("Average of DURATION",$A$1)</f>
        <v>136.47399999999999</v>
      </c>
    </row>
    <row r="3" spans="1:6" x14ac:dyDescent="0.25">
      <c r="A3" s="2">
        <v>1</v>
      </c>
      <c r="B3" s="3">
        <v>1.4589267084375E-3</v>
      </c>
      <c r="C3" s="4">
        <v>144</v>
      </c>
    </row>
    <row r="4" spans="1:6" x14ac:dyDescent="0.25">
      <c r="A4" s="2">
        <v>2</v>
      </c>
      <c r="B4" s="3">
        <v>1.4557862887159001E-3</v>
      </c>
      <c r="C4" s="4">
        <v>134</v>
      </c>
    </row>
    <row r="5" spans="1:6" x14ac:dyDescent="0.25">
      <c r="A5" s="2">
        <v>3</v>
      </c>
      <c r="B5" s="3">
        <v>1.4525428414344801E-3</v>
      </c>
      <c r="C5" s="4">
        <v>132</v>
      </c>
    </row>
    <row r="6" spans="1:6" x14ac:dyDescent="0.25">
      <c r="A6" s="2">
        <v>4</v>
      </c>
      <c r="B6" s="3">
        <v>1.44913676194847E-3</v>
      </c>
      <c r="C6" s="4">
        <v>132</v>
      </c>
    </row>
    <row r="7" spans="1:6" x14ac:dyDescent="0.25">
      <c r="A7" s="2">
        <v>5</v>
      </c>
      <c r="B7" s="3">
        <v>1.4455084456130899E-3</v>
      </c>
      <c r="C7" s="4">
        <v>131</v>
      </c>
    </row>
    <row r="8" spans="1:6" x14ac:dyDescent="0.25">
      <c r="A8" s="2">
        <v>6</v>
      </c>
      <c r="B8" s="3">
        <v>1.4415945624932599E-3</v>
      </c>
      <c r="C8" s="4">
        <v>135</v>
      </c>
    </row>
    <row r="9" spans="1:6" x14ac:dyDescent="0.25">
      <c r="A9" s="2">
        <v>7</v>
      </c>
      <c r="B9" s="3">
        <v>1.43733236473054E-3</v>
      </c>
      <c r="C9" s="4">
        <v>133</v>
      </c>
    </row>
    <row r="10" spans="1:6" x14ac:dyDescent="0.25">
      <c r="A10" s="2">
        <v>8</v>
      </c>
      <c r="B10" s="3">
        <v>1.4326693490147599E-3</v>
      </c>
      <c r="C10" s="4">
        <v>150</v>
      </c>
    </row>
    <row r="11" spans="1:6" x14ac:dyDescent="0.25">
      <c r="A11" s="2">
        <v>9</v>
      </c>
      <c r="B11" s="3">
        <v>1.4275477733462999E-3</v>
      </c>
      <c r="C11" s="4">
        <v>133</v>
      </c>
    </row>
    <row r="12" spans="1:6" x14ac:dyDescent="0.25">
      <c r="A12" s="2">
        <v>10</v>
      </c>
      <c r="B12" s="3">
        <v>1.4219209551811201E-3</v>
      </c>
      <c r="C12" s="4">
        <v>131</v>
      </c>
    </row>
    <row r="13" spans="1:6" x14ac:dyDescent="0.25">
      <c r="A13" s="2">
        <v>11</v>
      </c>
      <c r="B13" s="3">
        <v>1.4157502446323601E-3</v>
      </c>
      <c r="C13" s="4">
        <v>132</v>
      </c>
    </row>
    <row r="14" spans="1:6" x14ac:dyDescent="0.25">
      <c r="A14" s="2">
        <v>12</v>
      </c>
      <c r="B14" s="3">
        <v>1.40901689883322E-3</v>
      </c>
      <c r="C14" s="4">
        <v>131</v>
      </c>
    </row>
    <row r="15" spans="1:6" x14ac:dyDescent="0.25">
      <c r="A15" s="2">
        <v>13</v>
      </c>
      <c r="B15" s="3">
        <v>1.40171602834016E-3</v>
      </c>
      <c r="C15" s="4">
        <v>155</v>
      </c>
    </row>
    <row r="16" spans="1:6" x14ac:dyDescent="0.25">
      <c r="A16" s="2">
        <v>14</v>
      </c>
      <c r="B16" s="3">
        <v>1.39387883245945E-3</v>
      </c>
      <c r="C16" s="4">
        <v>132</v>
      </c>
    </row>
    <row r="17" spans="1:3" x14ac:dyDescent="0.25">
      <c r="A17" s="2">
        <v>15</v>
      </c>
      <c r="B17" s="3">
        <v>1.3855596771463799E-3</v>
      </c>
      <c r="C17" s="4">
        <v>141</v>
      </c>
    </row>
    <row r="18" spans="1:3" x14ac:dyDescent="0.25">
      <c r="A18" s="2">
        <v>16</v>
      </c>
      <c r="B18" s="3">
        <v>1.3768534408882299E-3</v>
      </c>
      <c r="C18" s="4">
        <v>149</v>
      </c>
    </row>
    <row r="19" spans="1:3" x14ac:dyDescent="0.25">
      <c r="A19" s="2">
        <v>17</v>
      </c>
      <c r="B19" s="3">
        <v>1.3678816612809901E-3</v>
      </c>
      <c r="C19" s="4">
        <v>132</v>
      </c>
    </row>
    <row r="20" spans="1:3" x14ac:dyDescent="0.25">
      <c r="A20" s="2">
        <v>18</v>
      </c>
      <c r="B20" s="3">
        <v>1.3587973080575501E-3</v>
      </c>
      <c r="C20" s="4">
        <v>131</v>
      </c>
    </row>
    <row r="21" spans="1:3" x14ac:dyDescent="0.25">
      <c r="A21" s="2">
        <v>19</v>
      </c>
      <c r="B21" s="3">
        <v>1.34976953268051E-3</v>
      </c>
      <c r="C21" s="4">
        <v>132</v>
      </c>
    </row>
    <row r="22" spans="1:3" x14ac:dyDescent="0.25">
      <c r="A22" s="2">
        <v>20</v>
      </c>
      <c r="B22" s="3">
        <v>1.34097202681005E-3</v>
      </c>
      <c r="C22" s="4">
        <v>132</v>
      </c>
    </row>
    <row r="23" spans="1:3" x14ac:dyDescent="0.25">
      <c r="A23" s="2">
        <v>21</v>
      </c>
      <c r="B23" s="3">
        <v>1.33256788831204E-3</v>
      </c>
      <c r="C23" s="4">
        <v>132</v>
      </c>
    </row>
    <row r="24" spans="1:3" x14ac:dyDescent="0.25">
      <c r="A24" s="2">
        <v>22</v>
      </c>
      <c r="B24" s="3">
        <v>1.3246947200968901E-3</v>
      </c>
      <c r="C24" s="4">
        <v>133</v>
      </c>
    </row>
    <row r="25" spans="1:3" x14ac:dyDescent="0.25">
      <c r="A25" s="2">
        <v>23</v>
      </c>
      <c r="B25" s="3">
        <v>1.3174513587728099E-3</v>
      </c>
      <c r="C25" s="4">
        <v>135</v>
      </c>
    </row>
    <row r="26" spans="1:3" x14ac:dyDescent="0.25">
      <c r="A26" s="2">
        <v>24</v>
      </c>
      <c r="B26" s="3">
        <v>1.3108947314321999E-3</v>
      </c>
      <c r="C26" s="4">
        <v>135</v>
      </c>
    </row>
    <row r="27" spans="1:3" x14ac:dyDescent="0.25">
      <c r="A27" s="2">
        <v>25</v>
      </c>
      <c r="B27" s="3">
        <v>1.3050402048975201E-3</v>
      </c>
      <c r="C27" s="4">
        <v>131</v>
      </c>
    </row>
    <row r="28" spans="1:3" x14ac:dyDescent="0.25">
      <c r="A28" s="2">
        <v>26</v>
      </c>
      <c r="B28" s="3">
        <v>1.2998627498745901E-3</v>
      </c>
      <c r="C28" s="4">
        <v>132</v>
      </c>
    </row>
    <row r="29" spans="1:3" x14ac:dyDescent="0.25">
      <c r="A29" s="2">
        <v>27</v>
      </c>
      <c r="B29" s="3">
        <v>1.2953102122992301E-3</v>
      </c>
      <c r="C29" s="4">
        <v>132</v>
      </c>
    </row>
    <row r="30" spans="1:3" x14ac:dyDescent="0.25">
      <c r="A30" s="2">
        <v>28</v>
      </c>
      <c r="B30" s="3">
        <v>1.29131402354687E-3</v>
      </c>
      <c r="C30" s="4">
        <v>132</v>
      </c>
    </row>
    <row r="31" spans="1:3" x14ac:dyDescent="0.25">
      <c r="A31" s="2">
        <v>29</v>
      </c>
      <c r="B31" s="3">
        <v>1.2877919944003201E-3</v>
      </c>
      <c r="C31" s="4">
        <v>130</v>
      </c>
    </row>
    <row r="32" spans="1:3" x14ac:dyDescent="0.25">
      <c r="A32" s="2">
        <v>30</v>
      </c>
      <c r="B32" s="3">
        <v>1.2846703175455299E-3</v>
      </c>
      <c r="C32" s="4">
        <v>134</v>
      </c>
    </row>
    <row r="33" spans="1:3" x14ac:dyDescent="0.25">
      <c r="A33" s="2">
        <v>31</v>
      </c>
      <c r="B33" s="3">
        <v>1.2818739050999299E-3</v>
      </c>
      <c r="C33" s="4">
        <v>132</v>
      </c>
    </row>
    <row r="34" spans="1:3" x14ac:dyDescent="0.25">
      <c r="A34" s="2">
        <v>32</v>
      </c>
      <c r="B34" s="3">
        <v>1.2793430360034099E-3</v>
      </c>
      <c r="C34" s="4">
        <v>134</v>
      </c>
    </row>
    <row r="35" spans="1:3" x14ac:dyDescent="0.25">
      <c r="A35" s="2">
        <v>33</v>
      </c>
      <c r="B35" s="3">
        <v>1.2770253233611601E-3</v>
      </c>
      <c r="C35" s="4">
        <v>132</v>
      </c>
    </row>
    <row r="36" spans="1:3" x14ac:dyDescent="0.25">
      <c r="A36" s="2">
        <v>34</v>
      </c>
      <c r="B36" s="3">
        <v>1.2748757144436199E-3</v>
      </c>
      <c r="C36" s="4">
        <v>132</v>
      </c>
    </row>
    <row r="37" spans="1:3" x14ac:dyDescent="0.25">
      <c r="A37" s="2">
        <v>35</v>
      </c>
      <c r="B37" s="3">
        <v>1.27286580391228E-3</v>
      </c>
      <c r="C37" s="4">
        <v>132</v>
      </c>
    </row>
    <row r="38" spans="1:3" x14ac:dyDescent="0.25">
      <c r="A38" s="2">
        <v>36</v>
      </c>
      <c r="B38" s="3">
        <v>1.2709727743640501E-3</v>
      </c>
      <c r="C38" s="4">
        <v>131</v>
      </c>
    </row>
    <row r="39" spans="1:3" x14ac:dyDescent="0.25">
      <c r="A39" s="2">
        <v>37</v>
      </c>
      <c r="B39" s="3">
        <v>1.2691707815975001E-3</v>
      </c>
      <c r="C39" s="4">
        <v>133</v>
      </c>
    </row>
    <row r="40" spans="1:3" x14ac:dyDescent="0.25">
      <c r="A40" s="2">
        <v>38</v>
      </c>
      <c r="B40" s="3">
        <v>1.2674492318183201E-3</v>
      </c>
      <c r="C40" s="4">
        <v>132</v>
      </c>
    </row>
    <row r="41" spans="1:3" x14ac:dyDescent="0.25">
      <c r="A41" s="2">
        <v>39</v>
      </c>
      <c r="B41" s="3">
        <v>1.26579776406288E-3</v>
      </c>
      <c r="C41" s="4">
        <v>139</v>
      </c>
    </row>
    <row r="42" spans="1:3" x14ac:dyDescent="0.25">
      <c r="A42" s="2">
        <v>40</v>
      </c>
      <c r="B42" s="3">
        <v>1.2642067158594699E-3</v>
      </c>
      <c r="C42" s="4">
        <v>131</v>
      </c>
    </row>
    <row r="43" spans="1:3" x14ac:dyDescent="0.25">
      <c r="A43" s="2">
        <v>41</v>
      </c>
      <c r="B43" s="3">
        <v>1.26267084851861E-3</v>
      </c>
      <c r="C43" s="4">
        <v>132</v>
      </c>
    </row>
    <row r="44" spans="1:3" x14ac:dyDescent="0.25">
      <c r="A44" s="2">
        <v>42</v>
      </c>
      <c r="B44" s="3">
        <v>1.2611822457984101E-3</v>
      </c>
      <c r="C44" s="4">
        <v>135</v>
      </c>
    </row>
    <row r="45" spans="1:3" x14ac:dyDescent="0.25">
      <c r="A45" s="2">
        <v>43</v>
      </c>
      <c r="B45" s="3">
        <v>1.25973904505372E-3</v>
      </c>
      <c r="C45" s="4">
        <v>134</v>
      </c>
    </row>
    <row r="46" spans="1:3" x14ac:dyDescent="0.25">
      <c r="A46" s="2">
        <v>44</v>
      </c>
      <c r="B46" s="3">
        <v>1.2583365896716701E-3</v>
      </c>
      <c r="C46" s="4">
        <v>133</v>
      </c>
    </row>
    <row r="47" spans="1:3" x14ac:dyDescent="0.25">
      <c r="A47" s="2">
        <v>45</v>
      </c>
      <c r="B47" s="3">
        <v>1.2569724349304999E-3</v>
      </c>
      <c r="C47" s="4">
        <v>135</v>
      </c>
    </row>
    <row r="48" spans="1:3" x14ac:dyDescent="0.25">
      <c r="A48" s="2">
        <v>46</v>
      </c>
      <c r="B48" s="3">
        <v>1.25564157497138E-3</v>
      </c>
      <c r="C48" s="4">
        <v>135</v>
      </c>
    </row>
    <row r="49" spans="1:3" x14ac:dyDescent="0.25">
      <c r="A49" s="2">
        <v>47</v>
      </c>
      <c r="B49" s="3">
        <v>1.2543451739475101E-3</v>
      </c>
      <c r="C49" s="4">
        <v>135</v>
      </c>
    </row>
    <row r="50" spans="1:3" x14ac:dyDescent="0.25">
      <c r="A50" s="2">
        <v>48</v>
      </c>
      <c r="B50" s="3">
        <v>1.253078924492E-3</v>
      </c>
      <c r="C50" s="4">
        <v>134</v>
      </c>
    </row>
    <row r="51" spans="1:3" x14ac:dyDescent="0.25">
      <c r="A51" s="2">
        <v>49</v>
      </c>
      <c r="B51" s="3">
        <v>1.2518414296209799E-3</v>
      </c>
      <c r="C51" s="4">
        <v>133</v>
      </c>
    </row>
    <row r="52" spans="1:3" x14ac:dyDescent="0.25">
      <c r="A52" s="2">
        <v>50</v>
      </c>
      <c r="B52" s="3">
        <v>1.2506294297054399E-3</v>
      </c>
      <c r="C52" s="4">
        <v>135</v>
      </c>
    </row>
    <row r="53" spans="1:3" x14ac:dyDescent="0.25">
      <c r="A53" s="2">
        <v>51</v>
      </c>
      <c r="B53" s="3">
        <v>1.2494445545598899E-3</v>
      </c>
      <c r="C53" s="4">
        <v>133</v>
      </c>
    </row>
    <row r="54" spans="1:3" x14ac:dyDescent="0.25">
      <c r="A54" s="2">
        <v>52</v>
      </c>
      <c r="B54" s="3">
        <v>1.2482826132327301E-3</v>
      </c>
      <c r="C54" s="4">
        <v>149</v>
      </c>
    </row>
    <row r="55" spans="1:3" x14ac:dyDescent="0.25">
      <c r="A55" s="2">
        <v>53</v>
      </c>
      <c r="B55" s="3">
        <v>1.2471430236473699E-3</v>
      </c>
      <c r="C55" s="4">
        <v>132</v>
      </c>
    </row>
    <row r="56" spans="1:3" x14ac:dyDescent="0.25">
      <c r="A56" s="2">
        <v>54</v>
      </c>
      <c r="B56" s="3">
        <v>1.24602601863444E-3</v>
      </c>
      <c r="C56" s="4">
        <v>134</v>
      </c>
    </row>
    <row r="57" spans="1:3" x14ac:dyDescent="0.25">
      <c r="A57" s="2">
        <v>55</v>
      </c>
      <c r="B57" s="3">
        <v>1.2449303176253999E-3</v>
      </c>
      <c r="C57" s="4">
        <v>142</v>
      </c>
    </row>
    <row r="58" spans="1:3" x14ac:dyDescent="0.25">
      <c r="A58" s="2">
        <v>56</v>
      </c>
      <c r="B58" s="3">
        <v>1.24385301023722E-3</v>
      </c>
      <c r="C58" s="4">
        <v>147</v>
      </c>
    </row>
    <row r="59" spans="1:3" x14ac:dyDescent="0.25">
      <c r="A59" s="2">
        <v>57</v>
      </c>
      <c r="B59" s="3">
        <v>1.2427947949618099E-3</v>
      </c>
      <c r="C59" s="4">
        <v>145</v>
      </c>
    </row>
    <row r="60" spans="1:3" x14ac:dyDescent="0.25">
      <c r="A60" s="2">
        <v>58</v>
      </c>
      <c r="B60" s="3">
        <v>1.2417545076459601E-3</v>
      </c>
      <c r="C60" s="4">
        <v>147</v>
      </c>
    </row>
    <row r="61" spans="1:3" x14ac:dyDescent="0.25">
      <c r="A61" s="2">
        <v>59</v>
      </c>
      <c r="B61" s="3">
        <v>1.24073214828968E-3</v>
      </c>
      <c r="C61" s="4">
        <v>174</v>
      </c>
    </row>
    <row r="62" spans="1:3" x14ac:dyDescent="0.25">
      <c r="A62" s="2">
        <v>60</v>
      </c>
      <c r="B62" s="3">
        <v>1.2397251557558801E-3</v>
      </c>
      <c r="C62" s="4">
        <v>190</v>
      </c>
    </row>
    <row r="63" spans="1:3" x14ac:dyDescent="0.25">
      <c r="A63" s="2">
        <v>61</v>
      </c>
      <c r="B63" s="3">
        <v>1.2387359747663099E-3</v>
      </c>
      <c r="C63" s="4">
        <v>176</v>
      </c>
    </row>
    <row r="64" spans="1:3" x14ac:dyDescent="0.25">
      <c r="A64" s="2">
        <v>62</v>
      </c>
      <c r="B64" s="3">
        <v>1.2377614621073001E-3</v>
      </c>
      <c r="C64" s="4">
        <v>149</v>
      </c>
    </row>
    <row r="65" spans="1:3" x14ac:dyDescent="0.25">
      <c r="A65" s="2">
        <v>63</v>
      </c>
      <c r="B65" s="3">
        <v>1.2368002207949801E-3</v>
      </c>
      <c r="C65" s="4">
        <v>145</v>
      </c>
    </row>
    <row r="66" spans="1:3" x14ac:dyDescent="0.25">
      <c r="A66" s="2">
        <v>64</v>
      </c>
      <c r="B66" s="3">
        <v>1.23585551045835E-3</v>
      </c>
      <c r="C66" s="4">
        <v>150</v>
      </c>
    </row>
    <row r="67" spans="1:3" x14ac:dyDescent="0.25">
      <c r="A67" s="2">
        <v>65</v>
      </c>
      <c r="B67" s="3">
        <v>1.23492546845227E-3</v>
      </c>
      <c r="C67" s="4">
        <v>170</v>
      </c>
    </row>
    <row r="68" spans="1:3" x14ac:dyDescent="0.25">
      <c r="A68" s="2">
        <v>66</v>
      </c>
      <c r="B68" s="3">
        <v>1.2340069515630601E-3</v>
      </c>
      <c r="C68" s="4">
        <v>133</v>
      </c>
    </row>
    <row r="69" spans="1:3" x14ac:dyDescent="0.25">
      <c r="A69" s="2">
        <v>67</v>
      </c>
      <c r="B69" s="3">
        <v>1.2331019388511801E-3</v>
      </c>
      <c r="C69" s="4">
        <v>140</v>
      </c>
    </row>
    <row r="70" spans="1:3" x14ac:dyDescent="0.25">
      <c r="A70" s="2">
        <v>68</v>
      </c>
      <c r="B70" s="3">
        <v>1.2322097318247E-3</v>
      </c>
      <c r="C70" s="4">
        <v>136</v>
      </c>
    </row>
    <row r="71" spans="1:3" x14ac:dyDescent="0.25">
      <c r="A71" s="2">
        <v>69</v>
      </c>
      <c r="B71" s="3">
        <v>1.23132928274572E-3</v>
      </c>
      <c r="C71" s="4">
        <v>131</v>
      </c>
    </row>
    <row r="72" spans="1:3" x14ac:dyDescent="0.25">
      <c r="A72" s="2">
        <v>70</v>
      </c>
      <c r="B72" s="3">
        <v>1.23046198859811E-3</v>
      </c>
      <c r="C72" s="4">
        <v>132</v>
      </c>
    </row>
    <row r="73" spans="1:3" x14ac:dyDescent="0.25">
      <c r="A73" s="2">
        <v>71</v>
      </c>
      <c r="B73" s="3">
        <v>1.22960505541414E-3</v>
      </c>
      <c r="C73" s="4">
        <v>131</v>
      </c>
    </row>
    <row r="74" spans="1:3" x14ac:dyDescent="0.25">
      <c r="A74" s="2">
        <v>72</v>
      </c>
      <c r="B74" s="3">
        <v>1.2287603458389601E-3</v>
      </c>
      <c r="C74" s="4">
        <v>133</v>
      </c>
    </row>
    <row r="75" spans="1:3" x14ac:dyDescent="0.25">
      <c r="A75" s="2">
        <v>73</v>
      </c>
      <c r="B75" s="3">
        <v>1.22792588081211E-3</v>
      </c>
      <c r="C75" s="4">
        <v>135</v>
      </c>
    </row>
    <row r="76" spans="1:3" x14ac:dyDescent="0.25">
      <c r="A76" s="2">
        <v>74</v>
      </c>
      <c r="B76" s="3">
        <v>1.2271004961803601E-3</v>
      </c>
      <c r="C76" s="4">
        <v>153</v>
      </c>
    </row>
    <row r="77" spans="1:3" x14ac:dyDescent="0.25">
      <c r="A77" s="2">
        <v>75</v>
      </c>
      <c r="B77" s="3">
        <v>1.2262876844033601E-3</v>
      </c>
      <c r="C77" s="4">
        <v>134</v>
      </c>
    </row>
    <row r="78" spans="1:3" x14ac:dyDescent="0.25">
      <c r="A78" s="2">
        <v>76</v>
      </c>
      <c r="B78" s="3">
        <v>1.2254836037755E-3</v>
      </c>
      <c r="C78" s="4">
        <v>134</v>
      </c>
    </row>
    <row r="79" spans="1:3" x14ac:dyDescent="0.25">
      <c r="A79" s="2">
        <v>77</v>
      </c>
      <c r="B79" s="3">
        <v>1.2246886035427501E-3</v>
      </c>
      <c r="C79" s="4">
        <v>133</v>
      </c>
    </row>
    <row r="80" spans="1:3" x14ac:dyDescent="0.25">
      <c r="A80" s="2">
        <v>78</v>
      </c>
      <c r="B80" s="3">
        <v>1.22390477918088E-3</v>
      </c>
      <c r="C80" s="4">
        <v>146</v>
      </c>
    </row>
    <row r="81" spans="1:3" x14ac:dyDescent="0.25">
      <c r="A81" s="2">
        <v>79</v>
      </c>
      <c r="B81" s="3">
        <v>1.2231289874762301E-3</v>
      </c>
      <c r="C81" s="4">
        <v>132</v>
      </c>
    </row>
    <row r="82" spans="1:3" x14ac:dyDescent="0.25">
      <c r="A82" s="2">
        <v>80</v>
      </c>
      <c r="B82" s="3">
        <v>1.22236355673522E-3</v>
      </c>
      <c r="C82" s="4">
        <v>133</v>
      </c>
    </row>
    <row r="83" spans="1:3" x14ac:dyDescent="0.25">
      <c r="A83" s="2">
        <v>81</v>
      </c>
      <c r="B83" s="3">
        <v>1.2216045288369101E-3</v>
      </c>
      <c r="C83" s="4">
        <v>133</v>
      </c>
    </row>
    <row r="84" spans="1:3" x14ac:dyDescent="0.25">
      <c r="A84" s="2">
        <v>82</v>
      </c>
      <c r="B84" s="3">
        <v>1.2208562111482E-3</v>
      </c>
      <c r="C84" s="4">
        <v>133</v>
      </c>
    </row>
    <row r="85" spans="1:3" x14ac:dyDescent="0.25">
      <c r="A85" s="2">
        <v>83</v>
      </c>
      <c r="B85" s="3">
        <v>1.22011452913284E-3</v>
      </c>
      <c r="C85" s="4">
        <v>131</v>
      </c>
    </row>
    <row r="86" spans="1:3" x14ac:dyDescent="0.25">
      <c r="A86" s="2">
        <v>84</v>
      </c>
      <c r="B86" s="3">
        <v>1.2193837901577399E-3</v>
      </c>
      <c r="C86" s="4">
        <v>132</v>
      </c>
    </row>
    <row r="87" spans="1:3" x14ac:dyDescent="0.25">
      <c r="A87" s="2">
        <v>85</v>
      </c>
      <c r="B87" s="3">
        <v>1.2186587555334E-3</v>
      </c>
      <c r="C87" s="4">
        <v>131</v>
      </c>
    </row>
    <row r="88" spans="1:3" x14ac:dyDescent="0.25">
      <c r="A88" s="2">
        <v>86</v>
      </c>
      <c r="B88" s="3">
        <v>1.21794396545738E-3</v>
      </c>
      <c r="C88" s="4">
        <v>131</v>
      </c>
    </row>
    <row r="89" spans="1:3" x14ac:dyDescent="0.25">
      <c r="A89" s="2">
        <v>87</v>
      </c>
      <c r="B89" s="3">
        <v>1.2172355782240601E-3</v>
      </c>
      <c r="C89" s="4">
        <v>131</v>
      </c>
    </row>
    <row r="90" spans="1:3" x14ac:dyDescent="0.25">
      <c r="A90" s="2">
        <v>88</v>
      </c>
      <c r="B90" s="3">
        <v>1.2165346415713399E-3</v>
      </c>
      <c r="C90" s="4">
        <v>133</v>
      </c>
    </row>
    <row r="91" spans="1:3" x14ac:dyDescent="0.25">
      <c r="A91" s="2">
        <v>89</v>
      </c>
      <c r="B91" s="3">
        <v>1.2158434838056599E-3</v>
      </c>
      <c r="C91" s="4">
        <v>133</v>
      </c>
    </row>
    <row r="92" spans="1:3" x14ac:dyDescent="0.25">
      <c r="A92" s="2">
        <v>90</v>
      </c>
      <c r="B92" s="3">
        <v>1.2151570990681601E-3</v>
      </c>
      <c r="C92" s="4">
        <v>131</v>
      </c>
    </row>
    <row r="93" spans="1:3" x14ac:dyDescent="0.25">
      <c r="A93" s="2">
        <v>91</v>
      </c>
      <c r="B93" s="3">
        <v>1.2144804932177099E-3</v>
      </c>
      <c r="C93" s="4">
        <v>132</v>
      </c>
    </row>
    <row r="94" spans="1:3" x14ac:dyDescent="0.25">
      <c r="A94" s="2">
        <v>92</v>
      </c>
      <c r="B94" s="3">
        <v>1.21381157077849E-3</v>
      </c>
      <c r="C94" s="4">
        <v>132</v>
      </c>
    </row>
    <row r="95" spans="1:3" x14ac:dyDescent="0.25">
      <c r="A95" s="2">
        <v>93</v>
      </c>
      <c r="B95" s="3">
        <v>1.2131481198594E-3</v>
      </c>
      <c r="C95" s="4">
        <v>132</v>
      </c>
    </row>
    <row r="96" spans="1:3" x14ac:dyDescent="0.25">
      <c r="A96" s="2">
        <v>94</v>
      </c>
      <c r="B96" s="3">
        <v>1.2124922359362199E-3</v>
      </c>
      <c r="C96" s="4">
        <v>132</v>
      </c>
    </row>
    <row r="97" spans="1:3" x14ac:dyDescent="0.25">
      <c r="A97" s="2">
        <v>95</v>
      </c>
      <c r="B97" s="3">
        <v>1.21184450108558E-3</v>
      </c>
      <c r="C97" s="4">
        <v>133</v>
      </c>
    </row>
    <row r="98" spans="1:3" x14ac:dyDescent="0.25">
      <c r="A98" s="2">
        <v>96</v>
      </c>
      <c r="B98" s="3">
        <v>1.2112017720937701E-3</v>
      </c>
      <c r="C98" s="4">
        <v>132</v>
      </c>
    </row>
    <row r="99" spans="1:3" x14ac:dyDescent="0.25">
      <c r="A99" s="2">
        <v>97</v>
      </c>
      <c r="B99" s="3">
        <v>1.2105676578357801E-3</v>
      </c>
      <c r="C99" s="4">
        <v>133</v>
      </c>
    </row>
    <row r="100" spans="1:3" x14ac:dyDescent="0.25">
      <c r="A100" s="2">
        <v>98</v>
      </c>
      <c r="B100" s="3">
        <v>1.2099407613277401E-3</v>
      </c>
      <c r="C100" s="4">
        <v>131</v>
      </c>
    </row>
    <row r="101" spans="1:3" x14ac:dyDescent="0.25">
      <c r="A101" s="2">
        <v>99</v>
      </c>
      <c r="B101" s="3">
        <v>1.2093199184164401E-3</v>
      </c>
      <c r="C101" s="4">
        <v>132</v>
      </c>
    </row>
    <row r="102" spans="1:3" x14ac:dyDescent="0.25">
      <c r="A102" s="2">
        <v>100</v>
      </c>
      <c r="B102" s="3">
        <v>1.20870559476316E-3</v>
      </c>
      <c r="C102" s="4">
        <v>131</v>
      </c>
    </row>
    <row r="103" spans="1:3" x14ac:dyDescent="0.25">
      <c r="A103" s="2">
        <v>101</v>
      </c>
      <c r="B103" s="3">
        <v>1.2080994201824099E-3</v>
      </c>
      <c r="C103" s="4">
        <v>131</v>
      </c>
    </row>
    <row r="104" spans="1:3" x14ac:dyDescent="0.25">
      <c r="A104" s="2">
        <v>102</v>
      </c>
      <c r="B104" s="3">
        <v>1.20749801862985E-3</v>
      </c>
      <c r="C104" s="4">
        <v>132</v>
      </c>
    </row>
    <row r="105" spans="1:3" x14ac:dyDescent="0.25">
      <c r="A105" s="2">
        <v>103</v>
      </c>
      <c r="B105" s="3">
        <v>1.2069048825651401E-3</v>
      </c>
      <c r="C105" s="4">
        <v>155</v>
      </c>
    </row>
    <row r="106" spans="1:3" x14ac:dyDescent="0.25">
      <c r="A106" s="2">
        <v>104</v>
      </c>
      <c r="B106" s="3">
        <v>1.2063166359439501E-3</v>
      </c>
      <c r="C106" s="4">
        <v>134</v>
      </c>
    </row>
    <row r="107" spans="1:3" x14ac:dyDescent="0.25">
      <c r="A107" s="2">
        <v>105</v>
      </c>
      <c r="B107" s="3">
        <v>1.20573630556464E-3</v>
      </c>
      <c r="C107" s="4">
        <v>132</v>
      </c>
    </row>
    <row r="108" spans="1:3" x14ac:dyDescent="0.25">
      <c r="A108" s="2">
        <v>106</v>
      </c>
      <c r="B108" s="3">
        <v>1.2051617959514299E-3</v>
      </c>
      <c r="C108" s="4">
        <v>133</v>
      </c>
    </row>
    <row r="109" spans="1:3" x14ac:dyDescent="0.25">
      <c r="A109" s="2">
        <v>107</v>
      </c>
      <c r="B109" s="3">
        <v>1.2045927578583401E-3</v>
      </c>
      <c r="C109" s="4">
        <v>133</v>
      </c>
    </row>
    <row r="110" spans="1:3" x14ac:dyDescent="0.25">
      <c r="A110" s="2">
        <v>108</v>
      </c>
      <c r="B110" s="3">
        <v>1.20403058826923E-3</v>
      </c>
      <c r="C110" s="4">
        <v>132</v>
      </c>
    </row>
    <row r="111" spans="1:3" x14ac:dyDescent="0.25">
      <c r="A111" s="2">
        <v>109</v>
      </c>
      <c r="B111" s="3">
        <v>1.2034758692607301E-3</v>
      </c>
      <c r="C111" s="4">
        <v>132</v>
      </c>
    </row>
    <row r="112" spans="1:3" x14ac:dyDescent="0.25">
      <c r="A112" s="2">
        <v>110</v>
      </c>
      <c r="B112" s="3">
        <v>1.20292487554252E-3</v>
      </c>
      <c r="C112" s="4">
        <v>170</v>
      </c>
    </row>
    <row r="113" spans="1:3" x14ac:dyDescent="0.25">
      <c r="A113" s="2">
        <v>111</v>
      </c>
      <c r="B113" s="3">
        <v>1.20238168165088E-3</v>
      </c>
      <c r="C113" s="4">
        <v>133</v>
      </c>
    </row>
    <row r="114" spans="1:3" x14ac:dyDescent="0.25">
      <c r="A114" s="2">
        <v>112</v>
      </c>
      <c r="B114" s="3">
        <v>1.2018445413559699E-3</v>
      </c>
      <c r="C114" s="4">
        <v>136</v>
      </c>
    </row>
    <row r="115" spans="1:3" x14ac:dyDescent="0.25">
      <c r="A115" s="2">
        <v>113</v>
      </c>
      <c r="B115" s="3">
        <v>1.2013135710731101E-3</v>
      </c>
      <c r="C115" s="4">
        <v>137</v>
      </c>
    </row>
    <row r="116" spans="1:3" x14ac:dyDescent="0.25">
      <c r="A116" s="2">
        <v>114</v>
      </c>
      <c r="B116" s="3">
        <v>1.2007866753265301E-3</v>
      </c>
      <c r="C116" s="4">
        <v>140</v>
      </c>
    </row>
    <row r="117" spans="1:3" x14ac:dyDescent="0.25">
      <c r="A117" s="2">
        <v>115</v>
      </c>
      <c r="B117" s="3">
        <v>1.2002659495919899E-3</v>
      </c>
      <c r="C117" s="4">
        <v>135</v>
      </c>
    </row>
    <row r="118" spans="1:3" x14ac:dyDescent="0.25">
      <c r="A118" s="2">
        <v>116</v>
      </c>
      <c r="B118" s="3">
        <v>1.19975442066789E-3</v>
      </c>
      <c r="C118" s="4">
        <v>135</v>
      </c>
    </row>
    <row r="119" spans="1:3" x14ac:dyDescent="0.25">
      <c r="A119" s="2">
        <v>117</v>
      </c>
      <c r="B119" s="3">
        <v>1.1992447543889299E-3</v>
      </c>
      <c r="C119" s="4">
        <v>135</v>
      </c>
    </row>
    <row r="120" spans="1:3" x14ac:dyDescent="0.25">
      <c r="A120" s="2">
        <v>118</v>
      </c>
      <c r="B120" s="3">
        <v>1.19874125812203E-3</v>
      </c>
      <c r="C120" s="4">
        <v>135</v>
      </c>
    </row>
    <row r="121" spans="1:3" x14ac:dyDescent="0.25">
      <c r="A121" s="2">
        <v>119</v>
      </c>
      <c r="B121" s="3">
        <v>1.19824381545186E-3</v>
      </c>
      <c r="C121" s="4">
        <v>140</v>
      </c>
    </row>
    <row r="122" spans="1:3" x14ac:dyDescent="0.25">
      <c r="A122" s="2">
        <v>120</v>
      </c>
      <c r="B122" s="3">
        <v>1.1977534741163299E-3</v>
      </c>
      <c r="C122" s="4">
        <v>135</v>
      </c>
    </row>
    <row r="123" spans="1:3" x14ac:dyDescent="0.25">
      <c r="A123" s="2">
        <v>121</v>
      </c>
      <c r="B123" s="3">
        <v>1.1972662759944801E-3</v>
      </c>
      <c r="C123" s="4">
        <v>135</v>
      </c>
    </row>
    <row r="124" spans="1:3" x14ac:dyDescent="0.25">
      <c r="A124" s="2">
        <v>122</v>
      </c>
      <c r="B124" s="3">
        <v>1.1967846658080799E-3</v>
      </c>
      <c r="C124" s="4">
        <v>134</v>
      </c>
    </row>
    <row r="125" spans="1:3" x14ac:dyDescent="0.25">
      <c r="A125" s="2">
        <v>123</v>
      </c>
      <c r="B125" s="3">
        <v>1.19630864355713E-3</v>
      </c>
      <c r="C125" s="4">
        <v>132</v>
      </c>
    </row>
    <row r="126" spans="1:3" x14ac:dyDescent="0.25">
      <c r="A126" s="2">
        <v>124</v>
      </c>
      <c r="B126" s="3">
        <v>1.1958390241488799E-3</v>
      </c>
      <c r="C126" s="4">
        <v>133</v>
      </c>
    </row>
    <row r="127" spans="1:3" x14ac:dyDescent="0.25">
      <c r="A127" s="2">
        <v>125</v>
      </c>
      <c r="B127" s="3">
        <v>1.1953744105994699E-3</v>
      </c>
      <c r="C127" s="4">
        <v>135</v>
      </c>
    </row>
    <row r="128" spans="1:3" x14ac:dyDescent="0.25">
      <c r="A128" s="2">
        <v>126</v>
      </c>
      <c r="B128" s="3">
        <v>1.19491363875568E-3</v>
      </c>
      <c r="C128" s="4">
        <v>133</v>
      </c>
    </row>
    <row r="129" spans="1:3" x14ac:dyDescent="0.25">
      <c r="A129" s="2">
        <v>127</v>
      </c>
      <c r="B129" s="3">
        <v>1.1944584548473399E-3</v>
      </c>
      <c r="C129" s="4">
        <v>133</v>
      </c>
    </row>
    <row r="130" spans="1:3" x14ac:dyDescent="0.25">
      <c r="A130" s="2">
        <v>128</v>
      </c>
      <c r="B130" s="3">
        <v>1.19400769472122E-3</v>
      </c>
      <c r="C130" s="4">
        <v>131</v>
      </c>
    </row>
    <row r="131" spans="1:3" x14ac:dyDescent="0.25">
      <c r="A131" s="2">
        <v>129</v>
      </c>
      <c r="B131" s="3">
        <v>1.1935626389458799E-3</v>
      </c>
      <c r="C131" s="4">
        <v>135</v>
      </c>
    </row>
    <row r="132" spans="1:3" x14ac:dyDescent="0.25">
      <c r="A132" s="2">
        <v>130</v>
      </c>
      <c r="B132" s="3">
        <v>1.1931209592148701E-3</v>
      </c>
      <c r="C132" s="4">
        <v>132</v>
      </c>
    </row>
    <row r="133" spans="1:3" x14ac:dyDescent="0.25">
      <c r="A133" s="2">
        <v>131</v>
      </c>
      <c r="B133" s="3">
        <v>1.1926859151572E-3</v>
      </c>
      <c r="C133" s="4">
        <v>132</v>
      </c>
    </row>
    <row r="134" spans="1:3" x14ac:dyDescent="0.25">
      <c r="A134" s="2">
        <v>132</v>
      </c>
      <c r="B134" s="3">
        <v>1.1922551784664399E-3</v>
      </c>
      <c r="C134" s="4">
        <v>133</v>
      </c>
    </row>
    <row r="135" spans="1:3" x14ac:dyDescent="0.25">
      <c r="A135" s="2">
        <v>133</v>
      </c>
      <c r="B135" s="3">
        <v>1.19182956404984E-3</v>
      </c>
      <c r="C135" s="4">
        <v>133</v>
      </c>
    </row>
    <row r="136" spans="1:3" x14ac:dyDescent="0.25">
      <c r="A136" s="2">
        <v>134</v>
      </c>
      <c r="B136" s="3">
        <v>1.1914074420929001E-3</v>
      </c>
      <c r="C136" s="4">
        <v>132</v>
      </c>
    </row>
    <row r="137" spans="1:3" x14ac:dyDescent="0.25">
      <c r="A137" s="2">
        <v>135</v>
      </c>
      <c r="B137" s="3">
        <v>1.1909907916560799E-3</v>
      </c>
      <c r="C137" s="4">
        <v>132</v>
      </c>
    </row>
    <row r="138" spans="1:3" x14ac:dyDescent="0.25">
      <c r="A138" s="2">
        <v>136</v>
      </c>
      <c r="B138" s="3">
        <v>1.1905785650014899E-3</v>
      </c>
      <c r="C138" s="4">
        <v>130</v>
      </c>
    </row>
    <row r="139" spans="1:3" x14ac:dyDescent="0.25">
      <c r="A139" s="2">
        <v>137</v>
      </c>
      <c r="B139" s="3">
        <v>1.1901706457138101E-3</v>
      </c>
      <c r="C139" s="4">
        <v>132</v>
      </c>
    </row>
    <row r="140" spans="1:3" x14ac:dyDescent="0.25">
      <c r="A140" s="2">
        <v>138</v>
      </c>
      <c r="B140" s="3">
        <v>1.18976586963981E-3</v>
      </c>
      <c r="C140" s="4">
        <v>132</v>
      </c>
    </row>
    <row r="141" spans="1:3" x14ac:dyDescent="0.25">
      <c r="A141" s="2">
        <v>139</v>
      </c>
      <c r="B141" s="3">
        <v>1.1893665650859499E-3</v>
      </c>
      <c r="C141" s="4">
        <v>133</v>
      </c>
    </row>
    <row r="142" spans="1:3" x14ac:dyDescent="0.25">
      <c r="A142" s="2">
        <v>140</v>
      </c>
      <c r="B142" s="3">
        <v>1.18897098582238E-3</v>
      </c>
      <c r="C142" s="4">
        <v>133</v>
      </c>
    </row>
    <row r="143" spans="1:3" x14ac:dyDescent="0.25">
      <c r="A143" s="2">
        <v>141</v>
      </c>
      <c r="B143" s="3">
        <v>1.1885808780789399E-3</v>
      </c>
      <c r="C143" s="4">
        <v>132</v>
      </c>
    </row>
    <row r="144" spans="1:3" x14ac:dyDescent="0.25">
      <c r="A144" s="2">
        <v>142</v>
      </c>
      <c r="B144" s="3">
        <v>1.18819414637983E-3</v>
      </c>
      <c r="C144" s="4">
        <v>132</v>
      </c>
    </row>
    <row r="145" spans="1:3" x14ac:dyDescent="0.25">
      <c r="A145" s="2">
        <v>143</v>
      </c>
      <c r="B145" s="3">
        <v>1.18781079072505E-3</v>
      </c>
      <c r="C145" s="4">
        <v>132</v>
      </c>
    </row>
    <row r="146" spans="1:3" x14ac:dyDescent="0.25">
      <c r="A146" s="2">
        <v>144</v>
      </c>
      <c r="B146" s="3">
        <v>1.1874329065904E-3</v>
      </c>
      <c r="C146" s="4">
        <v>132</v>
      </c>
    </row>
    <row r="147" spans="1:3" x14ac:dyDescent="0.25">
      <c r="A147" s="2">
        <v>145</v>
      </c>
      <c r="B147" s="3">
        <v>1.1870572343468701E-3</v>
      </c>
      <c r="C147" s="4">
        <v>131</v>
      </c>
    </row>
    <row r="148" spans="1:3" x14ac:dyDescent="0.25">
      <c r="A148" s="2">
        <v>146</v>
      </c>
      <c r="B148" s="3">
        <v>1.1866873828694201E-3</v>
      </c>
      <c r="C148" s="4">
        <v>131</v>
      </c>
    </row>
    <row r="149" spans="1:3" x14ac:dyDescent="0.25">
      <c r="A149" s="2">
        <v>147</v>
      </c>
      <c r="B149" s="3">
        <v>1.1863190447911601E-3</v>
      </c>
      <c r="C149" s="4">
        <v>134</v>
      </c>
    </row>
    <row r="150" spans="1:3" x14ac:dyDescent="0.25">
      <c r="A150" s="2">
        <v>148</v>
      </c>
      <c r="B150" s="3">
        <v>1.1859557125717399E-3</v>
      </c>
      <c r="C150" s="4">
        <v>131</v>
      </c>
    </row>
    <row r="151" spans="1:3" x14ac:dyDescent="0.25">
      <c r="A151" s="2">
        <v>149</v>
      </c>
      <c r="B151" s="3">
        <v>1.18559668771923E-3</v>
      </c>
      <c r="C151" s="4">
        <v>133</v>
      </c>
    </row>
    <row r="152" spans="1:3" x14ac:dyDescent="0.25">
      <c r="A152" s="2">
        <v>150</v>
      </c>
      <c r="B152" s="3">
        <v>1.1852405732497599E-3</v>
      </c>
      <c r="C152" s="4">
        <v>131</v>
      </c>
    </row>
    <row r="153" spans="1:3" x14ac:dyDescent="0.25">
      <c r="A153" s="2">
        <v>151</v>
      </c>
      <c r="B153" s="3">
        <v>1.1848888825625201E-3</v>
      </c>
      <c r="C153" s="4">
        <v>131</v>
      </c>
    </row>
    <row r="154" spans="1:3" x14ac:dyDescent="0.25">
      <c r="A154" s="2">
        <v>152</v>
      </c>
      <c r="B154" s="3">
        <v>1.1845404515042901E-3</v>
      </c>
      <c r="C154" s="4">
        <v>132</v>
      </c>
    </row>
    <row r="155" spans="1:3" x14ac:dyDescent="0.25">
      <c r="A155" s="2">
        <v>153</v>
      </c>
      <c r="B155" s="3">
        <v>1.1841948144137901E-3</v>
      </c>
      <c r="C155" s="4">
        <v>131</v>
      </c>
    </row>
    <row r="156" spans="1:3" x14ac:dyDescent="0.25">
      <c r="A156" s="2">
        <v>154</v>
      </c>
      <c r="B156" s="3">
        <v>1.1838533682748699E-3</v>
      </c>
      <c r="C156" s="4">
        <v>133</v>
      </c>
    </row>
    <row r="157" spans="1:3" x14ac:dyDescent="0.25">
      <c r="A157" s="2">
        <v>155</v>
      </c>
      <c r="B157" s="3">
        <v>1.1835132027044901E-3</v>
      </c>
      <c r="C157" s="4">
        <v>146</v>
      </c>
    </row>
    <row r="158" spans="1:3" x14ac:dyDescent="0.25">
      <c r="A158" s="2">
        <v>156</v>
      </c>
      <c r="B158" s="3">
        <v>1.18317850865424E-3</v>
      </c>
      <c r="C158" s="4">
        <v>133</v>
      </c>
    </row>
    <row r="159" spans="1:3" x14ac:dyDescent="0.25">
      <c r="A159" s="2">
        <v>157</v>
      </c>
      <c r="B159" s="3">
        <v>1.1828477727249299E-3</v>
      </c>
      <c r="C159" s="4">
        <v>133</v>
      </c>
    </row>
    <row r="160" spans="1:3" x14ac:dyDescent="0.25">
      <c r="A160" s="2">
        <v>158</v>
      </c>
      <c r="B160" s="3">
        <v>1.1825185501947999E-3</v>
      </c>
      <c r="C160" s="4">
        <v>131</v>
      </c>
    </row>
    <row r="161" spans="1:3" x14ac:dyDescent="0.25">
      <c r="A161" s="2">
        <v>159</v>
      </c>
      <c r="B161" s="3">
        <v>1.1821922380477201E-3</v>
      </c>
      <c r="C161" s="4">
        <v>132</v>
      </c>
    </row>
    <row r="162" spans="1:3" x14ac:dyDescent="0.25">
      <c r="A162" s="2">
        <v>160</v>
      </c>
      <c r="B162" s="3">
        <v>1.1818708153441501E-3</v>
      </c>
      <c r="C162" s="4">
        <v>131</v>
      </c>
    </row>
    <row r="163" spans="1:3" x14ac:dyDescent="0.25">
      <c r="A163" s="2">
        <v>161</v>
      </c>
      <c r="B163" s="3">
        <v>1.1815510224550999E-3</v>
      </c>
      <c r="C163" s="4">
        <v>134</v>
      </c>
    </row>
    <row r="164" spans="1:3" x14ac:dyDescent="0.25">
      <c r="A164" s="2">
        <v>162</v>
      </c>
      <c r="B164" s="3">
        <v>1.18123611900955E-3</v>
      </c>
      <c r="C164" s="4">
        <v>134</v>
      </c>
    </row>
    <row r="165" spans="1:3" x14ac:dyDescent="0.25">
      <c r="A165" s="2">
        <v>163</v>
      </c>
      <c r="B165" s="3">
        <v>1.1809217976406199E-3</v>
      </c>
      <c r="C165" s="4">
        <v>133</v>
      </c>
    </row>
    <row r="166" spans="1:3" x14ac:dyDescent="0.25">
      <c r="A166" s="2">
        <v>164</v>
      </c>
      <c r="B166" s="3">
        <v>1.18061201646924E-3</v>
      </c>
      <c r="C166" s="4">
        <v>131</v>
      </c>
    </row>
    <row r="167" spans="1:3" x14ac:dyDescent="0.25">
      <c r="A167" s="2">
        <v>165</v>
      </c>
      <c r="B167" s="3">
        <v>1.1803046800196199E-3</v>
      </c>
      <c r="C167" s="4">
        <v>132</v>
      </c>
    </row>
    <row r="168" spans="1:3" x14ac:dyDescent="0.25">
      <c r="A168" s="2">
        <v>166</v>
      </c>
      <c r="B168" s="3">
        <v>1.1800008360296501E-3</v>
      </c>
      <c r="C168" s="4">
        <v>132</v>
      </c>
    </row>
    <row r="169" spans="1:3" x14ac:dyDescent="0.25">
      <c r="A169" s="2">
        <v>167</v>
      </c>
      <c r="B169" s="3">
        <v>1.1796988546848299E-3</v>
      </c>
      <c r="C169" s="4">
        <v>132</v>
      </c>
    </row>
    <row r="170" spans="1:3" x14ac:dyDescent="0.25">
      <c r="A170" s="2">
        <v>168</v>
      </c>
      <c r="B170" s="3">
        <v>1.1793996673077299E-3</v>
      </c>
      <c r="C170" s="4">
        <v>132</v>
      </c>
    </row>
    <row r="171" spans="1:3" x14ac:dyDescent="0.25">
      <c r="A171" s="2">
        <v>169</v>
      </c>
      <c r="B171" s="3">
        <v>1.1791028082370799E-3</v>
      </c>
      <c r="C171" s="4">
        <v>132</v>
      </c>
    </row>
    <row r="172" spans="1:3" x14ac:dyDescent="0.25">
      <c r="A172" s="2">
        <v>170</v>
      </c>
      <c r="B172" s="3">
        <v>1.1788093252107501E-3</v>
      </c>
      <c r="C172" s="4">
        <v>133</v>
      </c>
    </row>
    <row r="173" spans="1:3" x14ac:dyDescent="0.25">
      <c r="A173" s="2">
        <v>171</v>
      </c>
      <c r="B173" s="3">
        <v>1.1785185197368301E-3</v>
      </c>
      <c r="C173" s="4">
        <v>134</v>
      </c>
    </row>
    <row r="174" spans="1:3" x14ac:dyDescent="0.25">
      <c r="A174" s="2">
        <v>172</v>
      </c>
      <c r="B174" s="3">
        <v>1.1782287620008E-3</v>
      </c>
      <c r="C174" s="4">
        <v>130</v>
      </c>
    </row>
    <row r="175" spans="1:3" x14ac:dyDescent="0.25">
      <c r="A175" s="2">
        <v>173</v>
      </c>
      <c r="B175" s="3">
        <v>1.1779431952163601E-3</v>
      </c>
      <c r="C175" s="4">
        <v>133</v>
      </c>
    </row>
    <row r="176" spans="1:3" x14ac:dyDescent="0.25">
      <c r="A176" s="2">
        <v>174</v>
      </c>
      <c r="B176" s="3">
        <v>1.17765937466174E-3</v>
      </c>
      <c r="C176" s="4">
        <v>132</v>
      </c>
    </row>
    <row r="177" spans="1:3" x14ac:dyDescent="0.25">
      <c r="A177" s="2">
        <v>175</v>
      </c>
      <c r="B177" s="3">
        <v>1.17737788241357E-3</v>
      </c>
      <c r="C177" s="4">
        <v>132</v>
      </c>
    </row>
    <row r="178" spans="1:3" x14ac:dyDescent="0.25">
      <c r="A178" s="2">
        <v>176</v>
      </c>
      <c r="B178" s="3">
        <v>1.17709999904037E-3</v>
      </c>
      <c r="C178" s="4">
        <v>131</v>
      </c>
    </row>
    <row r="179" spans="1:3" x14ac:dyDescent="0.25">
      <c r="A179" s="2">
        <v>177</v>
      </c>
      <c r="B179" s="3">
        <v>1.17682362906635E-3</v>
      </c>
      <c r="C179" s="4">
        <v>134</v>
      </c>
    </row>
    <row r="180" spans="1:3" x14ac:dyDescent="0.25">
      <c r="A180" s="2">
        <v>178</v>
      </c>
      <c r="B180" s="3">
        <v>1.1765490053221601E-3</v>
      </c>
      <c r="C180" s="4">
        <v>132</v>
      </c>
    </row>
    <row r="181" spans="1:3" x14ac:dyDescent="0.25">
      <c r="A181" s="2">
        <v>179</v>
      </c>
      <c r="B181" s="3">
        <v>1.17627647705376E-3</v>
      </c>
      <c r="C181" s="4">
        <v>160</v>
      </c>
    </row>
    <row r="182" spans="1:3" x14ac:dyDescent="0.25">
      <c r="A182" s="2">
        <v>180</v>
      </c>
      <c r="B182" s="3">
        <v>1.17600697558373E-3</v>
      </c>
      <c r="C182" s="4">
        <v>135</v>
      </c>
    </row>
    <row r="183" spans="1:3" x14ac:dyDescent="0.25">
      <c r="A183" s="2">
        <v>181</v>
      </c>
      <c r="B183" s="3">
        <v>1.17573922034353E-3</v>
      </c>
      <c r="C183" s="4">
        <v>133</v>
      </c>
    </row>
    <row r="184" spans="1:3" x14ac:dyDescent="0.25">
      <c r="A184" s="2">
        <v>182</v>
      </c>
      <c r="B184" s="3">
        <v>1.17547297850251E-3</v>
      </c>
      <c r="C184" s="4">
        <v>132</v>
      </c>
    </row>
    <row r="185" spans="1:3" x14ac:dyDescent="0.25">
      <c r="A185" s="2">
        <v>183</v>
      </c>
      <c r="B185" s="3">
        <v>1.1752096470445401E-3</v>
      </c>
      <c r="C185" s="4">
        <v>135</v>
      </c>
    </row>
    <row r="186" spans="1:3" x14ac:dyDescent="0.25">
      <c r="A186" s="2">
        <v>184</v>
      </c>
      <c r="B186" s="3">
        <v>1.17494724690914E-3</v>
      </c>
      <c r="C186" s="4">
        <v>131</v>
      </c>
    </row>
    <row r="187" spans="1:3" x14ac:dyDescent="0.25">
      <c r="A187" s="2">
        <v>185</v>
      </c>
      <c r="B187" s="3">
        <v>1.1746872914955E-3</v>
      </c>
      <c r="C187" s="4">
        <v>134</v>
      </c>
    </row>
    <row r="188" spans="1:3" x14ac:dyDescent="0.25">
      <c r="A188" s="2">
        <v>186</v>
      </c>
      <c r="B188" s="3">
        <v>1.17442931514233E-3</v>
      </c>
      <c r="C188" s="4">
        <v>133</v>
      </c>
    </row>
    <row r="189" spans="1:3" x14ac:dyDescent="0.25">
      <c r="A189" s="2">
        <v>187</v>
      </c>
      <c r="B189" s="3">
        <v>1.17417250294238E-3</v>
      </c>
      <c r="C189" s="4">
        <v>132</v>
      </c>
    </row>
    <row r="190" spans="1:3" x14ac:dyDescent="0.25">
      <c r="A190" s="2">
        <v>188</v>
      </c>
      <c r="B190" s="3">
        <v>1.17391848471016E-3</v>
      </c>
      <c r="C190" s="4">
        <v>132</v>
      </c>
    </row>
    <row r="191" spans="1:3" x14ac:dyDescent="0.25">
      <c r="A191" s="2">
        <v>189</v>
      </c>
      <c r="B191" s="3">
        <v>1.17366597987711E-3</v>
      </c>
      <c r="C191" s="4">
        <v>132</v>
      </c>
    </row>
    <row r="192" spans="1:3" x14ac:dyDescent="0.25">
      <c r="A192" s="2">
        <v>190</v>
      </c>
      <c r="B192" s="3">
        <v>1.1734156869351901E-3</v>
      </c>
      <c r="C192" s="4">
        <v>132</v>
      </c>
    </row>
    <row r="193" spans="1:3" x14ac:dyDescent="0.25">
      <c r="A193" s="2">
        <v>191</v>
      </c>
      <c r="B193" s="3">
        <v>1.17316597606987E-3</v>
      </c>
      <c r="C193" s="4">
        <v>132</v>
      </c>
    </row>
    <row r="194" spans="1:3" x14ac:dyDescent="0.25">
      <c r="A194" s="2">
        <v>192</v>
      </c>
      <c r="B194" s="3">
        <v>1.17292033974081E-3</v>
      </c>
      <c r="C194" s="4">
        <v>140</v>
      </c>
    </row>
    <row r="195" spans="1:3" x14ac:dyDescent="0.25">
      <c r="A195" s="2">
        <v>193</v>
      </c>
      <c r="B195" s="3">
        <v>1.1726749362424001E-3</v>
      </c>
      <c r="C195" s="4">
        <v>133</v>
      </c>
    </row>
    <row r="196" spans="1:3" x14ac:dyDescent="0.25">
      <c r="A196" s="2">
        <v>194</v>
      </c>
      <c r="B196" s="3">
        <v>1.17243186105043E-3</v>
      </c>
      <c r="C196" s="4">
        <v>132</v>
      </c>
    </row>
    <row r="197" spans="1:3" x14ac:dyDescent="0.25">
      <c r="A197" s="2">
        <v>195</v>
      </c>
      <c r="B197" s="3">
        <v>1.17218971718103E-3</v>
      </c>
      <c r="C197" s="4">
        <v>132</v>
      </c>
    </row>
    <row r="198" spans="1:3" x14ac:dyDescent="0.25">
      <c r="A198" s="2">
        <v>196</v>
      </c>
      <c r="B198" s="3">
        <v>1.1719522299245E-3</v>
      </c>
      <c r="C198" s="4">
        <v>131</v>
      </c>
    </row>
    <row r="199" spans="1:3" x14ac:dyDescent="0.25">
      <c r="A199" s="2">
        <v>197</v>
      </c>
      <c r="B199" s="3">
        <v>1.1717146262526499E-3</v>
      </c>
      <c r="C199" s="4">
        <v>132</v>
      </c>
    </row>
    <row r="200" spans="1:3" x14ac:dyDescent="0.25">
      <c r="A200" s="2">
        <v>198</v>
      </c>
      <c r="B200" s="3">
        <v>1.17147958371788E-3</v>
      </c>
      <c r="C200" s="4">
        <v>132</v>
      </c>
    </row>
    <row r="201" spans="1:3" x14ac:dyDescent="0.25">
      <c r="A201" s="2">
        <v>199</v>
      </c>
      <c r="B201" s="3">
        <v>1.1712482664734099E-3</v>
      </c>
      <c r="C201" s="4">
        <v>161</v>
      </c>
    </row>
    <row r="202" spans="1:3" x14ac:dyDescent="0.25">
      <c r="A202" s="2">
        <v>200</v>
      </c>
      <c r="B202" s="3">
        <v>1.17101892828941E-3</v>
      </c>
      <c r="C202" s="4">
        <v>132</v>
      </c>
    </row>
    <row r="203" spans="1:3" x14ac:dyDescent="0.25">
      <c r="A203" s="2">
        <v>201</v>
      </c>
      <c r="B203" s="3">
        <v>1.1707907542586301E-3</v>
      </c>
      <c r="C203" s="4">
        <v>133</v>
      </c>
    </row>
    <row r="204" spans="1:3" x14ac:dyDescent="0.25">
      <c r="A204" s="2">
        <v>202</v>
      </c>
      <c r="B204" s="3">
        <v>1.17056642193347E-3</v>
      </c>
      <c r="C204" s="4">
        <v>132</v>
      </c>
    </row>
    <row r="205" spans="1:3" x14ac:dyDescent="0.25">
      <c r="A205" s="2">
        <v>203</v>
      </c>
      <c r="B205" s="3">
        <v>1.17034395225346E-3</v>
      </c>
      <c r="C205" s="4">
        <v>132</v>
      </c>
    </row>
    <row r="206" spans="1:3" x14ac:dyDescent="0.25">
      <c r="A206" s="2">
        <v>204</v>
      </c>
      <c r="B206" s="3">
        <v>1.1701243929565001E-3</v>
      </c>
      <c r="C206" s="4">
        <v>132</v>
      </c>
    </row>
    <row r="207" spans="1:3" x14ac:dyDescent="0.25">
      <c r="A207" s="2">
        <v>205</v>
      </c>
      <c r="B207" s="3">
        <v>1.16990844253451E-3</v>
      </c>
      <c r="C207" s="4">
        <v>132</v>
      </c>
    </row>
    <row r="208" spans="1:3" x14ac:dyDescent="0.25">
      <c r="A208" s="2">
        <v>206</v>
      </c>
      <c r="B208" s="3">
        <v>1.1696929577737999E-3</v>
      </c>
      <c r="C208" s="4">
        <v>131</v>
      </c>
    </row>
    <row r="209" spans="1:3" x14ac:dyDescent="0.25">
      <c r="A209" s="2">
        <v>207</v>
      </c>
      <c r="B209" s="3">
        <v>1.1694811983034E-3</v>
      </c>
      <c r="C209" s="4">
        <v>133</v>
      </c>
    </row>
    <row r="210" spans="1:3" x14ac:dyDescent="0.25">
      <c r="A210" s="2">
        <v>208</v>
      </c>
      <c r="B210" s="3">
        <v>1.16927223280072E-3</v>
      </c>
      <c r="C210" s="4">
        <v>132</v>
      </c>
    </row>
    <row r="211" spans="1:3" x14ac:dyDescent="0.25">
      <c r="A211" s="2">
        <v>209</v>
      </c>
      <c r="B211" s="3">
        <v>1.1690654791891601E-3</v>
      </c>
      <c r="C211" s="4">
        <v>132</v>
      </c>
    </row>
    <row r="212" spans="1:3" x14ac:dyDescent="0.25">
      <c r="A212" s="2">
        <v>210</v>
      </c>
      <c r="B212" s="3">
        <v>1.16886186879128E-3</v>
      </c>
      <c r="C212" s="4">
        <v>132</v>
      </c>
    </row>
    <row r="213" spans="1:3" x14ac:dyDescent="0.25">
      <c r="A213" s="2">
        <v>211</v>
      </c>
      <c r="B213" s="3">
        <v>1.1686598882079101E-3</v>
      </c>
      <c r="C213" s="4">
        <v>132</v>
      </c>
    </row>
    <row r="214" spans="1:3" x14ac:dyDescent="0.25">
      <c r="A214" s="2">
        <v>212</v>
      </c>
      <c r="B214" s="3">
        <v>1.1684608180075899E-3</v>
      </c>
      <c r="C214" s="4">
        <v>132</v>
      </c>
    </row>
    <row r="215" spans="1:3" x14ac:dyDescent="0.25">
      <c r="A215" s="2">
        <v>213</v>
      </c>
      <c r="B215" s="3">
        <v>1.1682647746056301E-3</v>
      </c>
      <c r="C215" s="4">
        <v>133</v>
      </c>
    </row>
    <row r="216" spans="1:3" x14ac:dyDescent="0.25">
      <c r="A216" s="2">
        <v>214</v>
      </c>
      <c r="B216" s="3">
        <v>1.16806977894157E-3</v>
      </c>
      <c r="C216" s="4">
        <v>135</v>
      </c>
    </row>
    <row r="217" spans="1:3" x14ac:dyDescent="0.25">
      <c r="A217" s="2">
        <v>215</v>
      </c>
      <c r="B217" s="3">
        <v>1.16787699516863E-3</v>
      </c>
      <c r="C217" s="4">
        <v>143</v>
      </c>
    </row>
    <row r="218" spans="1:3" x14ac:dyDescent="0.25">
      <c r="A218" s="2">
        <v>216</v>
      </c>
      <c r="B218" s="3">
        <v>1.1676872381940499E-3</v>
      </c>
      <c r="C218" s="4">
        <v>133</v>
      </c>
    </row>
    <row r="219" spans="1:3" x14ac:dyDescent="0.25">
      <c r="A219" s="2">
        <v>217</v>
      </c>
      <c r="B219" s="3">
        <v>1.1674981797113999E-3</v>
      </c>
      <c r="C219" s="4">
        <v>132</v>
      </c>
    </row>
    <row r="220" spans="1:3" x14ac:dyDescent="0.25">
      <c r="A220" s="2">
        <v>218</v>
      </c>
      <c r="B220" s="3">
        <v>1.1673124972730901E-3</v>
      </c>
      <c r="C220" s="4">
        <v>132</v>
      </c>
    </row>
    <row r="221" spans="1:3" x14ac:dyDescent="0.25">
      <c r="A221" s="2">
        <v>219</v>
      </c>
      <c r="B221" s="3">
        <v>1.1671259999275201E-3</v>
      </c>
      <c r="C221" s="4">
        <v>132</v>
      </c>
    </row>
    <row r="222" spans="1:3" x14ac:dyDescent="0.25">
      <c r="A222" s="2">
        <v>220</v>
      </c>
      <c r="B222" s="3">
        <v>1.16694392636418E-3</v>
      </c>
      <c r="C222" s="4">
        <v>142</v>
      </c>
    </row>
    <row r="223" spans="1:3" x14ac:dyDescent="0.25">
      <c r="A223" s="2">
        <v>221</v>
      </c>
      <c r="B223" s="3">
        <v>1.1667640646919599E-3</v>
      </c>
      <c r="C223" s="4">
        <v>132</v>
      </c>
    </row>
    <row r="224" spans="1:3" x14ac:dyDescent="0.25">
      <c r="A224" s="2">
        <v>222</v>
      </c>
      <c r="B224" s="3">
        <v>1.1665832716971599E-3</v>
      </c>
      <c r="C224" s="4">
        <v>134</v>
      </c>
    </row>
    <row r="225" spans="1:3" x14ac:dyDescent="0.25">
      <c r="A225" s="2">
        <v>223</v>
      </c>
      <c r="B225" s="3">
        <v>1.16640562191606E-3</v>
      </c>
      <c r="C225" s="4">
        <v>133</v>
      </c>
    </row>
    <row r="226" spans="1:3" x14ac:dyDescent="0.25">
      <c r="A226" s="2">
        <v>224</v>
      </c>
      <c r="B226" s="3">
        <v>1.1662277393043E-3</v>
      </c>
      <c r="C226" s="4">
        <v>133</v>
      </c>
    </row>
    <row r="227" spans="1:3" x14ac:dyDescent="0.25">
      <c r="A227" s="2">
        <v>225</v>
      </c>
      <c r="B227" s="3">
        <v>1.1660540476441401E-3</v>
      </c>
      <c r="C227" s="4">
        <v>132</v>
      </c>
    </row>
    <row r="228" spans="1:3" x14ac:dyDescent="0.25">
      <c r="A228" s="2">
        <v>226</v>
      </c>
      <c r="B228" s="3">
        <v>1.1658800067380101E-3</v>
      </c>
      <c r="C228" s="4">
        <v>132</v>
      </c>
    </row>
    <row r="229" spans="1:3" x14ac:dyDescent="0.25">
      <c r="A229" s="2">
        <v>227</v>
      </c>
      <c r="B229" s="3">
        <v>1.1657077120617E-3</v>
      </c>
      <c r="C229" s="4">
        <v>132</v>
      </c>
    </row>
    <row r="230" spans="1:3" x14ac:dyDescent="0.25">
      <c r="A230" s="2">
        <v>228</v>
      </c>
      <c r="B230" s="3">
        <v>1.1655370471998999E-3</v>
      </c>
      <c r="C230" s="4">
        <v>133</v>
      </c>
    </row>
    <row r="231" spans="1:3" x14ac:dyDescent="0.25">
      <c r="A231" s="2">
        <v>229</v>
      </c>
      <c r="B231" s="3">
        <v>1.1653658002615001E-3</v>
      </c>
      <c r="C231" s="4">
        <v>135</v>
      </c>
    </row>
    <row r="232" spans="1:3" x14ac:dyDescent="0.25">
      <c r="A232" s="2">
        <v>230</v>
      </c>
      <c r="B232" s="3">
        <v>1.1651965323835601E-3</v>
      </c>
      <c r="C232" s="4">
        <v>133</v>
      </c>
    </row>
    <row r="233" spans="1:3" x14ac:dyDescent="0.25">
      <c r="A233" s="2">
        <v>231</v>
      </c>
      <c r="B233" s="3">
        <v>1.16502959281206E-3</v>
      </c>
      <c r="C233" s="4">
        <v>132</v>
      </c>
    </row>
    <row r="234" spans="1:3" x14ac:dyDescent="0.25">
      <c r="A234" s="2">
        <v>232</v>
      </c>
      <c r="B234" s="3">
        <v>1.1648619547486301E-3</v>
      </c>
      <c r="C234" s="4">
        <v>133</v>
      </c>
    </row>
    <row r="235" spans="1:3" x14ac:dyDescent="0.25">
      <c r="A235" s="2">
        <v>233</v>
      </c>
      <c r="B235" s="3">
        <v>1.1646951315924499E-3</v>
      </c>
      <c r="C235" s="4">
        <v>133</v>
      </c>
    </row>
    <row r="236" spans="1:3" x14ac:dyDescent="0.25">
      <c r="A236" s="2">
        <v>234</v>
      </c>
      <c r="B236" s="3">
        <v>1.16453040391207E-3</v>
      </c>
      <c r="C236" s="4">
        <v>135</v>
      </c>
    </row>
    <row r="237" spans="1:3" x14ac:dyDescent="0.25">
      <c r="A237" s="2">
        <v>235</v>
      </c>
      <c r="B237" s="3">
        <v>1.16436555981636E-3</v>
      </c>
      <c r="C237" s="4">
        <v>135</v>
      </c>
    </row>
    <row r="238" spans="1:3" x14ac:dyDescent="0.25">
      <c r="A238" s="2">
        <v>236</v>
      </c>
      <c r="B238" s="3">
        <v>1.16420269478112E-3</v>
      </c>
      <c r="C238" s="4">
        <v>135</v>
      </c>
    </row>
    <row r="239" spans="1:3" x14ac:dyDescent="0.25">
      <c r="A239" s="2">
        <v>237</v>
      </c>
      <c r="B239" s="3">
        <v>1.1640404118225E-3</v>
      </c>
      <c r="C239" s="4">
        <v>136</v>
      </c>
    </row>
    <row r="240" spans="1:3" x14ac:dyDescent="0.25">
      <c r="A240" s="2">
        <v>238</v>
      </c>
      <c r="B240" s="3">
        <v>1.16387906018645E-3</v>
      </c>
      <c r="C240" s="4">
        <v>135</v>
      </c>
    </row>
    <row r="241" spans="1:3" x14ac:dyDescent="0.25">
      <c r="A241" s="2">
        <v>239</v>
      </c>
      <c r="B241" s="3">
        <v>1.1637182906269999E-3</v>
      </c>
      <c r="C241" s="4">
        <v>133</v>
      </c>
    </row>
    <row r="242" spans="1:3" x14ac:dyDescent="0.25">
      <c r="A242" s="2">
        <v>240</v>
      </c>
      <c r="B242" s="3">
        <v>1.1635574046522401E-3</v>
      </c>
      <c r="C242" s="4">
        <v>135</v>
      </c>
    </row>
    <row r="243" spans="1:3" x14ac:dyDescent="0.25">
      <c r="A243" s="2">
        <v>241</v>
      </c>
      <c r="B243" s="3">
        <v>1.1633983813226199E-3</v>
      </c>
      <c r="C243" s="4">
        <v>134</v>
      </c>
    </row>
    <row r="244" spans="1:3" x14ac:dyDescent="0.25">
      <c r="A244" s="2">
        <v>242</v>
      </c>
      <c r="B244" s="3">
        <v>1.1632392415776799E-3</v>
      </c>
      <c r="C244" s="4">
        <v>133</v>
      </c>
    </row>
    <row r="245" spans="1:3" x14ac:dyDescent="0.25">
      <c r="A245" s="2">
        <v>243</v>
      </c>
      <c r="B245" s="3">
        <v>1.1630821973085399E-3</v>
      </c>
      <c r="C245" s="4">
        <v>149</v>
      </c>
    </row>
    <row r="246" spans="1:3" x14ac:dyDescent="0.25">
      <c r="A246" s="2">
        <v>244</v>
      </c>
      <c r="B246" s="3">
        <v>1.1629242217168199E-3</v>
      </c>
      <c r="C246" s="4">
        <v>159</v>
      </c>
    </row>
    <row r="247" spans="1:3" x14ac:dyDescent="0.25">
      <c r="A247" s="2">
        <v>245</v>
      </c>
      <c r="B247" s="3">
        <v>1.16276927292347E-3</v>
      </c>
      <c r="C247" s="4">
        <v>136</v>
      </c>
    </row>
    <row r="248" spans="1:3" x14ac:dyDescent="0.25">
      <c r="A248" s="2">
        <v>246</v>
      </c>
      <c r="B248" s="3">
        <v>1.1626140912994699E-3</v>
      </c>
      <c r="C248" s="4">
        <v>134</v>
      </c>
    </row>
    <row r="249" spans="1:3" x14ac:dyDescent="0.25">
      <c r="A249" s="2">
        <v>247</v>
      </c>
      <c r="B249" s="3">
        <v>1.1624587932601599E-3</v>
      </c>
      <c r="C249" s="4">
        <v>136</v>
      </c>
    </row>
    <row r="250" spans="1:3" x14ac:dyDescent="0.25">
      <c r="A250" s="2">
        <v>248</v>
      </c>
      <c r="B250" s="3">
        <v>1.16230500862002E-3</v>
      </c>
      <c r="C250" s="4">
        <v>135</v>
      </c>
    </row>
    <row r="251" spans="1:3" x14ac:dyDescent="0.25">
      <c r="A251" s="2">
        <v>249</v>
      </c>
      <c r="B251" s="3">
        <v>1.1621518060564999E-3</v>
      </c>
      <c r="C251" s="4">
        <v>133</v>
      </c>
    </row>
    <row r="252" spans="1:3" x14ac:dyDescent="0.25">
      <c r="A252" s="2">
        <v>250</v>
      </c>
      <c r="B252" s="3">
        <v>1.1620003497228E-3</v>
      </c>
      <c r="C252" s="4">
        <v>134</v>
      </c>
    </row>
    <row r="253" spans="1:3" x14ac:dyDescent="0.25">
      <c r="A253" s="2">
        <v>251</v>
      </c>
      <c r="B253" s="3">
        <v>1.1618477292358899E-3</v>
      </c>
      <c r="C253" s="4">
        <v>171</v>
      </c>
    </row>
    <row r="254" spans="1:3" x14ac:dyDescent="0.25">
      <c r="A254" s="2">
        <v>252</v>
      </c>
      <c r="B254" s="3">
        <v>1.16169848479331E-3</v>
      </c>
      <c r="C254" s="4">
        <v>135</v>
      </c>
    </row>
    <row r="255" spans="1:3" x14ac:dyDescent="0.25">
      <c r="A255" s="2">
        <v>253</v>
      </c>
      <c r="B255" s="3">
        <v>1.16154842544347E-3</v>
      </c>
      <c r="C255" s="4">
        <v>134</v>
      </c>
    </row>
    <row r="256" spans="1:3" x14ac:dyDescent="0.25">
      <c r="A256" s="2">
        <v>254</v>
      </c>
      <c r="B256" s="3">
        <v>1.1614006944000699E-3</v>
      </c>
      <c r="C256" s="4">
        <v>134</v>
      </c>
    </row>
    <row r="257" spans="1:3" x14ac:dyDescent="0.25">
      <c r="A257" s="2">
        <v>255</v>
      </c>
      <c r="B257" s="3">
        <v>1.16125319618732E-3</v>
      </c>
      <c r="C257" s="4">
        <v>134</v>
      </c>
    </row>
    <row r="258" spans="1:3" x14ac:dyDescent="0.25">
      <c r="A258" s="2">
        <v>256</v>
      </c>
      <c r="B258" s="3">
        <v>1.16110511589795E-3</v>
      </c>
      <c r="C258" s="4">
        <v>131</v>
      </c>
    </row>
    <row r="259" spans="1:3" x14ac:dyDescent="0.25">
      <c r="A259" s="2">
        <v>257</v>
      </c>
      <c r="B259" s="3">
        <v>1.16096041165292E-3</v>
      </c>
      <c r="C259" s="4">
        <v>132</v>
      </c>
    </row>
    <row r="260" spans="1:3" x14ac:dyDescent="0.25">
      <c r="A260" s="2">
        <v>258</v>
      </c>
      <c r="B260" s="3">
        <v>1.16081489250064E-3</v>
      </c>
      <c r="C260" s="4">
        <v>136</v>
      </c>
    </row>
    <row r="261" spans="1:3" x14ac:dyDescent="0.25">
      <c r="A261" s="2">
        <v>259</v>
      </c>
      <c r="B261" s="3">
        <v>1.1606714688241499E-3</v>
      </c>
      <c r="C261" s="4">
        <v>144</v>
      </c>
    </row>
    <row r="262" spans="1:3" x14ac:dyDescent="0.25">
      <c r="A262" s="2">
        <v>260</v>
      </c>
      <c r="B262" s="3">
        <v>1.16052920930088E-3</v>
      </c>
      <c r="C262" s="4">
        <v>143</v>
      </c>
    </row>
    <row r="263" spans="1:3" x14ac:dyDescent="0.25">
      <c r="A263" s="2">
        <v>261</v>
      </c>
      <c r="B263" s="3">
        <v>1.16038764826953E-3</v>
      </c>
      <c r="C263" s="4">
        <v>146</v>
      </c>
    </row>
    <row r="264" spans="1:3" x14ac:dyDescent="0.25">
      <c r="A264" s="2">
        <v>262</v>
      </c>
      <c r="B264" s="3">
        <v>1.16024701856077E-3</v>
      </c>
      <c r="C264" s="4">
        <v>143</v>
      </c>
    </row>
    <row r="265" spans="1:3" x14ac:dyDescent="0.25">
      <c r="A265" s="2">
        <v>263</v>
      </c>
      <c r="B265" s="3">
        <v>1.1601068545132899E-3</v>
      </c>
      <c r="C265" s="4">
        <v>156</v>
      </c>
    </row>
    <row r="266" spans="1:3" x14ac:dyDescent="0.25">
      <c r="A266" s="2">
        <v>264</v>
      </c>
      <c r="B266" s="3">
        <v>1.1599669232964501E-3</v>
      </c>
      <c r="C266" s="4">
        <v>153</v>
      </c>
    </row>
    <row r="267" spans="1:3" x14ac:dyDescent="0.25">
      <c r="A267" s="2">
        <v>265</v>
      </c>
      <c r="B267" s="3">
        <v>1.15982815623283E-3</v>
      </c>
      <c r="C267" s="4">
        <v>146</v>
      </c>
    </row>
    <row r="268" spans="1:3" x14ac:dyDescent="0.25">
      <c r="A268" s="2">
        <v>266</v>
      </c>
      <c r="B268" s="3">
        <v>1.1596912518143699E-3</v>
      </c>
      <c r="C268" s="4">
        <v>142</v>
      </c>
    </row>
    <row r="269" spans="1:3" x14ac:dyDescent="0.25">
      <c r="A269" s="2">
        <v>267</v>
      </c>
      <c r="B269" s="3">
        <v>1.15955527871847E-3</v>
      </c>
      <c r="C269" s="4">
        <v>148</v>
      </c>
    </row>
    <row r="270" spans="1:3" x14ac:dyDescent="0.25">
      <c r="A270" s="2">
        <v>268</v>
      </c>
      <c r="B270" s="3">
        <v>1.15942093543708E-3</v>
      </c>
      <c r="C270" s="4">
        <v>140</v>
      </c>
    </row>
    <row r="271" spans="1:3" x14ac:dyDescent="0.25">
      <c r="A271" s="2">
        <v>269</v>
      </c>
      <c r="B271" s="3">
        <v>1.15928635932505E-3</v>
      </c>
      <c r="C271" s="4">
        <v>139</v>
      </c>
    </row>
    <row r="272" spans="1:3" x14ac:dyDescent="0.25">
      <c r="A272" s="2">
        <v>270</v>
      </c>
      <c r="B272" s="3">
        <v>1.15915318019688E-3</v>
      </c>
      <c r="C272" s="4">
        <v>136</v>
      </c>
    </row>
    <row r="273" spans="1:3" x14ac:dyDescent="0.25">
      <c r="A273" s="2">
        <v>271</v>
      </c>
      <c r="B273" s="3">
        <v>1.15902058314532E-3</v>
      </c>
      <c r="C273" s="4">
        <v>139</v>
      </c>
    </row>
    <row r="274" spans="1:3" x14ac:dyDescent="0.25">
      <c r="A274" s="2">
        <v>272</v>
      </c>
      <c r="B274" s="3">
        <v>1.1588892666623001E-3</v>
      </c>
      <c r="C274" s="4">
        <v>165</v>
      </c>
    </row>
    <row r="275" spans="1:3" x14ac:dyDescent="0.25">
      <c r="A275" s="2">
        <v>273</v>
      </c>
      <c r="B275" s="3">
        <v>1.1587578337639601E-3</v>
      </c>
      <c r="C275" s="4">
        <v>153</v>
      </c>
    </row>
    <row r="276" spans="1:3" x14ac:dyDescent="0.25">
      <c r="A276" s="2">
        <v>274</v>
      </c>
      <c r="B276" s="3">
        <v>1.15862826351076E-3</v>
      </c>
      <c r="C276" s="4">
        <v>214</v>
      </c>
    </row>
    <row r="277" spans="1:3" x14ac:dyDescent="0.25">
      <c r="A277" s="2">
        <v>275</v>
      </c>
      <c r="B277" s="3">
        <v>1.1584984604269301E-3</v>
      </c>
      <c r="C277" s="4">
        <v>198</v>
      </c>
    </row>
    <row r="278" spans="1:3" x14ac:dyDescent="0.25">
      <c r="A278" s="2">
        <v>276</v>
      </c>
      <c r="B278" s="3">
        <v>1.1583707528188801E-3</v>
      </c>
      <c r="C278" s="4">
        <v>142</v>
      </c>
    </row>
    <row r="279" spans="1:3" x14ac:dyDescent="0.25">
      <c r="A279" s="2">
        <v>277</v>
      </c>
      <c r="B279" s="3">
        <v>1.1582439765334099E-3</v>
      </c>
      <c r="C279" s="4">
        <v>142</v>
      </c>
    </row>
    <row r="280" spans="1:3" x14ac:dyDescent="0.25">
      <c r="A280" s="2">
        <v>278</v>
      </c>
      <c r="B280" s="3">
        <v>1.15811731666327E-3</v>
      </c>
      <c r="C280" s="4">
        <v>140</v>
      </c>
    </row>
    <row r="281" spans="1:3" x14ac:dyDescent="0.25">
      <c r="A281" s="2">
        <v>279</v>
      </c>
      <c r="B281" s="3">
        <v>1.15798937622458E-3</v>
      </c>
      <c r="C281" s="4">
        <v>137</v>
      </c>
    </row>
    <row r="282" spans="1:3" x14ac:dyDescent="0.25">
      <c r="A282" s="2">
        <v>280</v>
      </c>
      <c r="B282" s="3">
        <v>1.1578644625842599E-3</v>
      </c>
      <c r="C282" s="4">
        <v>135</v>
      </c>
    </row>
    <row r="283" spans="1:3" x14ac:dyDescent="0.25">
      <c r="A283" s="2">
        <v>281</v>
      </c>
      <c r="B283" s="3">
        <v>1.15774117875844E-3</v>
      </c>
      <c r="C283" s="4">
        <v>136</v>
      </c>
    </row>
    <row r="284" spans="1:3" x14ac:dyDescent="0.25">
      <c r="A284" s="2">
        <v>282</v>
      </c>
      <c r="B284" s="3">
        <v>1.1576174292713399E-3</v>
      </c>
      <c r="C284" s="4">
        <v>135</v>
      </c>
    </row>
    <row r="285" spans="1:3" x14ac:dyDescent="0.25">
      <c r="A285" s="2">
        <v>283</v>
      </c>
      <c r="B285" s="3">
        <v>1.1574932141229499E-3</v>
      </c>
      <c r="C285" s="4">
        <v>135</v>
      </c>
    </row>
    <row r="286" spans="1:3" x14ac:dyDescent="0.25">
      <c r="A286" s="2">
        <v>284</v>
      </c>
      <c r="B286" s="3">
        <v>1.1573727242648599E-3</v>
      </c>
      <c r="C286" s="4">
        <v>135</v>
      </c>
    </row>
    <row r="287" spans="1:3" x14ac:dyDescent="0.25">
      <c r="A287" s="2">
        <v>285</v>
      </c>
      <c r="B287" s="3">
        <v>1.1572504881769399E-3</v>
      </c>
      <c r="C287" s="4">
        <v>149</v>
      </c>
    </row>
    <row r="288" spans="1:3" x14ac:dyDescent="0.25">
      <c r="A288" s="2">
        <v>286</v>
      </c>
      <c r="B288" s="3">
        <v>1.15713011473417E-3</v>
      </c>
      <c r="C288" s="4">
        <v>135</v>
      </c>
    </row>
    <row r="289" spans="1:3" x14ac:dyDescent="0.25">
      <c r="A289" s="2">
        <v>287</v>
      </c>
      <c r="B289" s="3">
        <v>1.1570095084607599E-3</v>
      </c>
      <c r="C289" s="4">
        <v>135</v>
      </c>
    </row>
    <row r="290" spans="1:3" x14ac:dyDescent="0.25">
      <c r="A290" s="2">
        <v>288</v>
      </c>
      <c r="B290" s="3">
        <v>1.15688994992524E-3</v>
      </c>
      <c r="C290" s="4">
        <v>135</v>
      </c>
    </row>
    <row r="291" spans="1:3" x14ac:dyDescent="0.25">
      <c r="A291" s="2">
        <v>289</v>
      </c>
      <c r="B291" s="3">
        <v>1.15677074063569E-3</v>
      </c>
      <c r="C291" s="4">
        <v>134</v>
      </c>
    </row>
    <row r="292" spans="1:3" x14ac:dyDescent="0.25">
      <c r="A292" s="2">
        <v>290</v>
      </c>
      <c r="B292" s="3">
        <v>1.15665339399129E-3</v>
      </c>
      <c r="C292" s="4">
        <v>133</v>
      </c>
    </row>
    <row r="293" spans="1:3" x14ac:dyDescent="0.25">
      <c r="A293" s="2">
        <v>291</v>
      </c>
      <c r="B293" s="3">
        <v>1.15653546527028E-3</v>
      </c>
      <c r="C293" s="4">
        <v>133</v>
      </c>
    </row>
    <row r="294" spans="1:3" x14ac:dyDescent="0.25">
      <c r="A294" s="2">
        <v>292</v>
      </c>
      <c r="B294" s="3">
        <v>1.1564181186258799E-3</v>
      </c>
      <c r="C294" s="4">
        <v>140</v>
      </c>
    </row>
    <row r="295" spans="1:3" x14ac:dyDescent="0.25">
      <c r="A295" s="2">
        <v>293</v>
      </c>
      <c r="B295" s="3">
        <v>1.1563019361346999E-3</v>
      </c>
      <c r="C295" s="4">
        <v>136</v>
      </c>
    </row>
    <row r="296" spans="1:3" x14ac:dyDescent="0.25">
      <c r="A296" s="2">
        <v>294</v>
      </c>
      <c r="B296" s="3">
        <v>1.15618563722819E-3</v>
      </c>
      <c r="C296" s="4">
        <v>140</v>
      </c>
    </row>
    <row r="297" spans="1:3" x14ac:dyDescent="0.25">
      <c r="A297" s="2">
        <v>295</v>
      </c>
      <c r="B297" s="3">
        <v>1.15607003681362E-3</v>
      </c>
      <c r="C297" s="4">
        <v>139</v>
      </c>
    </row>
    <row r="298" spans="1:3" x14ac:dyDescent="0.25">
      <c r="A298" s="2">
        <v>296</v>
      </c>
      <c r="B298" s="3">
        <v>1.1559571139514401E-3</v>
      </c>
      <c r="C298" s="4">
        <v>136</v>
      </c>
    </row>
    <row r="299" spans="1:3" x14ac:dyDescent="0.25">
      <c r="A299" s="2">
        <v>297</v>
      </c>
      <c r="B299" s="3">
        <v>1.1558430269360499E-3</v>
      </c>
      <c r="C299" s="4">
        <v>138</v>
      </c>
    </row>
    <row r="300" spans="1:3" x14ac:dyDescent="0.25">
      <c r="A300" s="2">
        <v>298</v>
      </c>
      <c r="B300" s="3">
        <v>1.15572870709002E-3</v>
      </c>
      <c r="C300" s="4">
        <v>136</v>
      </c>
    </row>
    <row r="301" spans="1:3" x14ac:dyDescent="0.25">
      <c r="A301" s="2">
        <v>299</v>
      </c>
      <c r="B301" s="3">
        <v>1.15561578422785E-3</v>
      </c>
      <c r="C301" s="4">
        <v>137</v>
      </c>
    </row>
    <row r="302" spans="1:3" x14ac:dyDescent="0.25">
      <c r="A302" s="2">
        <v>300</v>
      </c>
      <c r="B302" s="3">
        <v>1.1555040255188901E-3</v>
      </c>
      <c r="C302" s="4">
        <v>136</v>
      </c>
    </row>
    <row r="303" spans="1:3" x14ac:dyDescent="0.25">
      <c r="A303" s="2">
        <v>301</v>
      </c>
      <c r="B303" s="3">
        <v>1.1553909862414E-3</v>
      </c>
      <c r="C303" s="4">
        <v>133</v>
      </c>
    </row>
    <row r="304" spans="1:3" x14ac:dyDescent="0.25">
      <c r="A304" s="2">
        <v>302</v>
      </c>
      <c r="B304" s="3">
        <v>1.15528120659292E-3</v>
      </c>
      <c r="C304" s="4">
        <v>133</v>
      </c>
    </row>
    <row r="305" spans="1:3" x14ac:dyDescent="0.25">
      <c r="A305" s="2">
        <v>303</v>
      </c>
      <c r="B305" s="3">
        <v>1.1551708448678301E-3</v>
      </c>
      <c r="C305" s="4">
        <v>133</v>
      </c>
    </row>
    <row r="306" spans="1:3" x14ac:dyDescent="0.25">
      <c r="A306" s="2">
        <v>304</v>
      </c>
      <c r="B306" s="3">
        <v>1.1550596682354799E-3</v>
      </c>
      <c r="C306" s="4">
        <v>134</v>
      </c>
    </row>
    <row r="307" spans="1:3" x14ac:dyDescent="0.25">
      <c r="A307" s="2">
        <v>305</v>
      </c>
      <c r="B307" s="3">
        <v>1.1549501214176399E-3</v>
      </c>
      <c r="C307" s="4">
        <v>137</v>
      </c>
    </row>
    <row r="308" spans="1:3" x14ac:dyDescent="0.25">
      <c r="A308" s="2">
        <v>306</v>
      </c>
      <c r="B308" s="3">
        <v>1.15484045818448E-3</v>
      </c>
      <c r="C308" s="4">
        <v>138</v>
      </c>
    </row>
    <row r="309" spans="1:3" x14ac:dyDescent="0.25">
      <c r="A309" s="2">
        <v>307</v>
      </c>
      <c r="B309" s="3">
        <v>1.1547333560884001E-3</v>
      </c>
      <c r="C309" s="4">
        <v>138</v>
      </c>
    </row>
    <row r="310" spans="1:3" x14ac:dyDescent="0.25">
      <c r="A310" s="2">
        <v>308</v>
      </c>
      <c r="B310" s="3">
        <v>1.1546247405931399E-3</v>
      </c>
      <c r="C310" s="4">
        <v>136</v>
      </c>
    </row>
    <row r="311" spans="1:3" x14ac:dyDescent="0.25">
      <c r="A311" s="2">
        <v>309</v>
      </c>
      <c r="B311" s="3">
        <v>1.1545169400051199E-3</v>
      </c>
      <c r="C311" s="4">
        <v>138</v>
      </c>
    </row>
    <row r="312" spans="1:3" x14ac:dyDescent="0.25">
      <c r="A312" s="2">
        <v>310</v>
      </c>
      <c r="B312" s="3">
        <v>1.1544096050784E-3</v>
      </c>
      <c r="C312" s="4">
        <v>133</v>
      </c>
    </row>
    <row r="313" spans="1:3" x14ac:dyDescent="0.25">
      <c r="A313" s="2">
        <v>311</v>
      </c>
      <c r="B313" s="3">
        <v>1.1543041327968201E-3</v>
      </c>
      <c r="C313" s="4">
        <v>146</v>
      </c>
    </row>
    <row r="314" spans="1:3" x14ac:dyDescent="0.25">
      <c r="A314" s="2">
        <v>312</v>
      </c>
      <c r="B314" s="3">
        <v>1.1541974963620301E-3</v>
      </c>
      <c r="C314" s="4">
        <v>168</v>
      </c>
    </row>
    <row r="315" spans="1:3" x14ac:dyDescent="0.25">
      <c r="A315" s="2">
        <v>313</v>
      </c>
      <c r="B315" s="3">
        <v>1.1540914420038501E-3</v>
      </c>
      <c r="C315" s="4">
        <v>137</v>
      </c>
    </row>
    <row r="316" spans="1:3" x14ac:dyDescent="0.25">
      <c r="A316" s="2">
        <v>314</v>
      </c>
      <c r="B316" s="3">
        <v>1.15398562047631E-3</v>
      </c>
      <c r="C316" s="4">
        <v>148</v>
      </c>
    </row>
    <row r="317" spans="1:3" x14ac:dyDescent="0.25">
      <c r="A317" s="2">
        <v>315</v>
      </c>
      <c r="B317" s="3">
        <v>1.15388096310198E-3</v>
      </c>
      <c r="C317" s="4">
        <v>137</v>
      </c>
    </row>
    <row r="318" spans="1:3" x14ac:dyDescent="0.25">
      <c r="A318" s="2">
        <v>316</v>
      </c>
      <c r="B318" s="3">
        <v>1.1537779355421699E-3</v>
      </c>
      <c r="C318" s="4">
        <v>135</v>
      </c>
    </row>
    <row r="319" spans="1:3" x14ac:dyDescent="0.25">
      <c r="A319" s="2">
        <v>317</v>
      </c>
      <c r="B319" s="3">
        <v>1.1536726960912299E-3</v>
      </c>
      <c r="C319" s="4">
        <v>137</v>
      </c>
    </row>
    <row r="320" spans="1:3" x14ac:dyDescent="0.25">
      <c r="A320" s="2">
        <v>318</v>
      </c>
      <c r="B320" s="3">
        <v>1.1535703670233499E-3</v>
      </c>
      <c r="C320" s="4">
        <v>135</v>
      </c>
    </row>
    <row r="321" spans="1:3" x14ac:dyDescent="0.25">
      <c r="A321" s="2">
        <v>319</v>
      </c>
      <c r="B321" s="3">
        <v>1.1534671066328901E-3</v>
      </c>
      <c r="C321" s="4">
        <v>135</v>
      </c>
    </row>
    <row r="322" spans="1:3" x14ac:dyDescent="0.25">
      <c r="A322" s="2">
        <v>320</v>
      </c>
      <c r="B322" s="3">
        <v>1.1533653596416101E-3</v>
      </c>
      <c r="C322" s="4">
        <v>133</v>
      </c>
    </row>
    <row r="323" spans="1:3" x14ac:dyDescent="0.25">
      <c r="A323" s="2">
        <v>321</v>
      </c>
      <c r="B323" s="3">
        <v>1.1532631469890499E-3</v>
      </c>
      <c r="C323" s="4">
        <v>133</v>
      </c>
    </row>
    <row r="324" spans="1:3" x14ac:dyDescent="0.25">
      <c r="A324" s="2">
        <v>322</v>
      </c>
      <c r="B324" s="3">
        <v>1.1531613999977699E-3</v>
      </c>
      <c r="C324" s="4">
        <v>135</v>
      </c>
    </row>
    <row r="325" spans="1:3" x14ac:dyDescent="0.25">
      <c r="A325" s="2">
        <v>323</v>
      </c>
      <c r="B325" s="3">
        <v>1.1530608171597099E-3</v>
      </c>
      <c r="C325" s="4">
        <v>136</v>
      </c>
    </row>
    <row r="326" spans="1:3" x14ac:dyDescent="0.25">
      <c r="A326" s="2">
        <v>324</v>
      </c>
      <c r="B326" s="3">
        <v>1.1529596522450399E-3</v>
      </c>
      <c r="C326" s="4">
        <v>135</v>
      </c>
    </row>
    <row r="327" spans="1:3" x14ac:dyDescent="0.25">
      <c r="A327" s="2">
        <v>325</v>
      </c>
      <c r="B327" s="3">
        <v>1.15285941865295E-3</v>
      </c>
      <c r="C327" s="4">
        <v>133</v>
      </c>
    </row>
    <row r="328" spans="1:3" x14ac:dyDescent="0.25">
      <c r="A328" s="2">
        <v>326</v>
      </c>
      <c r="B328" s="3">
        <v>1.1527593014761799E-3</v>
      </c>
      <c r="C328" s="4">
        <v>134</v>
      </c>
    </row>
    <row r="329" spans="1:3" x14ac:dyDescent="0.25">
      <c r="A329" s="2">
        <v>327</v>
      </c>
      <c r="B329" s="3">
        <v>1.15266034845263E-3</v>
      </c>
      <c r="C329" s="4">
        <v>139</v>
      </c>
    </row>
    <row r="330" spans="1:3" x14ac:dyDescent="0.25">
      <c r="A330" s="2">
        <v>328</v>
      </c>
      <c r="B330" s="3">
        <v>1.15256081335247E-3</v>
      </c>
      <c r="C330" s="4">
        <v>160</v>
      </c>
    </row>
    <row r="331" spans="1:3" x14ac:dyDescent="0.25">
      <c r="A331" s="2">
        <v>329</v>
      </c>
      <c r="B331" s="3">
        <v>1.1524620931595601E-3</v>
      </c>
      <c r="C331" s="4">
        <v>141</v>
      </c>
    </row>
    <row r="332" spans="1:3" x14ac:dyDescent="0.25">
      <c r="A332" s="2">
        <v>330</v>
      </c>
      <c r="B332" s="3">
        <v>1.1523634893819701E-3</v>
      </c>
      <c r="C332" s="4">
        <v>136</v>
      </c>
    </row>
    <row r="333" spans="1:3" x14ac:dyDescent="0.25">
      <c r="A333" s="2">
        <v>331</v>
      </c>
      <c r="B333" s="3">
        <v>1.15226663183421E-3</v>
      </c>
      <c r="C333" s="4">
        <v>133</v>
      </c>
    </row>
    <row r="334" spans="1:3" x14ac:dyDescent="0.25">
      <c r="A334" s="2">
        <v>332</v>
      </c>
      <c r="B334" s="3">
        <v>1.1521687265485499E-3</v>
      </c>
      <c r="C334" s="4">
        <v>135</v>
      </c>
    </row>
    <row r="335" spans="1:3" x14ac:dyDescent="0.25">
      <c r="A335" s="2">
        <v>333</v>
      </c>
      <c r="B335" s="3">
        <v>1.1520715197548301E-3</v>
      </c>
      <c r="C335" s="4">
        <v>152</v>
      </c>
    </row>
    <row r="336" spans="1:3" x14ac:dyDescent="0.25">
      <c r="A336" s="2">
        <v>334</v>
      </c>
      <c r="B336" s="3">
        <v>1.1519758263602901E-3</v>
      </c>
      <c r="C336" s="4">
        <v>134</v>
      </c>
    </row>
    <row r="337" spans="1:3" x14ac:dyDescent="0.25">
      <c r="A337" s="2">
        <v>335</v>
      </c>
      <c r="B337" s="3">
        <v>1.1518793180584901E-3</v>
      </c>
      <c r="C337" s="4">
        <v>137</v>
      </c>
    </row>
    <row r="338" spans="1:3" x14ac:dyDescent="0.25">
      <c r="A338" s="2">
        <v>336</v>
      </c>
      <c r="B338" s="3">
        <v>1.15178292617202E-3</v>
      </c>
      <c r="C338" s="4">
        <v>154</v>
      </c>
    </row>
    <row r="339" spans="1:3" x14ac:dyDescent="0.25">
      <c r="A339" s="2">
        <v>337</v>
      </c>
      <c r="B339" s="3">
        <v>1.1516882805153699E-3</v>
      </c>
      <c r="C339" s="4">
        <v>145</v>
      </c>
    </row>
    <row r="340" spans="1:3" x14ac:dyDescent="0.25">
      <c r="A340" s="2">
        <v>338</v>
      </c>
      <c r="B340" s="3">
        <v>1.1515924707055101E-3</v>
      </c>
      <c r="C340" s="4">
        <v>141</v>
      </c>
    </row>
    <row r="341" spans="1:3" x14ac:dyDescent="0.25">
      <c r="A341" s="2">
        <v>339</v>
      </c>
      <c r="B341" s="3">
        <v>1.15149782504886E-3</v>
      </c>
      <c r="C341" s="4">
        <v>142</v>
      </c>
    </row>
    <row r="342" spans="1:3" x14ac:dyDescent="0.25">
      <c r="A342" s="2">
        <v>340</v>
      </c>
      <c r="B342" s="3">
        <v>1.1514029465615699E-3</v>
      </c>
      <c r="C342" s="4">
        <v>136</v>
      </c>
    </row>
    <row r="343" spans="1:3" x14ac:dyDescent="0.25">
      <c r="A343" s="2">
        <v>341</v>
      </c>
      <c r="B343" s="3">
        <v>1.1513092322274999E-3</v>
      </c>
      <c r="C343" s="4">
        <v>136</v>
      </c>
    </row>
    <row r="344" spans="1:3" x14ac:dyDescent="0.25">
      <c r="A344" s="2">
        <v>342</v>
      </c>
      <c r="B344" s="3">
        <v>1.1512158671393999E-3</v>
      </c>
      <c r="C344" s="4">
        <v>172</v>
      </c>
    </row>
    <row r="345" spans="1:3" x14ac:dyDescent="0.25">
      <c r="A345" s="2">
        <v>343</v>
      </c>
      <c r="B345" s="3">
        <v>1.1511227348819401E-3</v>
      </c>
      <c r="C345" s="4">
        <v>136</v>
      </c>
    </row>
    <row r="346" spans="1:3" x14ac:dyDescent="0.25">
      <c r="A346" s="2">
        <v>344</v>
      </c>
      <c r="B346" s="3">
        <v>1.15102925337851E-3</v>
      </c>
      <c r="C346" s="4">
        <v>155</v>
      </c>
    </row>
    <row r="347" spans="1:3" x14ac:dyDescent="0.25">
      <c r="A347" s="2">
        <v>345</v>
      </c>
      <c r="B347" s="3">
        <v>1.1509362375363701E-3</v>
      </c>
      <c r="C347" s="4">
        <v>133</v>
      </c>
    </row>
    <row r="348" spans="1:3" x14ac:dyDescent="0.25">
      <c r="A348" s="2">
        <v>346</v>
      </c>
      <c r="B348" s="3">
        <v>1.1508434545248699E-3</v>
      </c>
      <c r="C348" s="4">
        <v>134</v>
      </c>
    </row>
    <row r="349" spans="1:3" x14ac:dyDescent="0.25">
      <c r="A349" s="2">
        <v>347</v>
      </c>
      <c r="B349" s="3">
        <v>1.15075253415853E-3</v>
      </c>
      <c r="C349" s="4">
        <v>134</v>
      </c>
    </row>
    <row r="350" spans="1:3" x14ac:dyDescent="0.25">
      <c r="A350" s="2">
        <v>348</v>
      </c>
      <c r="B350" s="3">
        <v>1.1506601003930001E-3</v>
      </c>
      <c r="C350" s="4">
        <v>132</v>
      </c>
    </row>
    <row r="351" spans="1:3" x14ac:dyDescent="0.25">
      <c r="A351" s="2">
        <v>349</v>
      </c>
      <c r="B351" s="3">
        <v>1.15056778304279E-3</v>
      </c>
      <c r="C351" s="4">
        <v>134</v>
      </c>
    </row>
    <row r="352" spans="1:3" x14ac:dyDescent="0.25">
      <c r="A352" s="2">
        <v>350</v>
      </c>
      <c r="B352" s="3">
        <v>1.1504786089062699E-3</v>
      </c>
      <c r="C352" s="4">
        <v>151</v>
      </c>
    </row>
    <row r="353" spans="1:3" x14ac:dyDescent="0.25">
      <c r="A353" s="2">
        <v>351</v>
      </c>
      <c r="B353" s="3">
        <v>1.1503875721246E-3</v>
      </c>
      <c r="C353" s="4">
        <v>141</v>
      </c>
    </row>
    <row r="354" spans="1:3" x14ac:dyDescent="0.25">
      <c r="A354" s="2">
        <v>352</v>
      </c>
      <c r="B354" s="3">
        <v>1.1502972338348601E-3</v>
      </c>
      <c r="C354" s="4">
        <v>134</v>
      </c>
    </row>
    <row r="355" spans="1:3" x14ac:dyDescent="0.25">
      <c r="A355" s="2">
        <v>353</v>
      </c>
      <c r="B355" s="3">
        <v>1.1502067791297999E-3</v>
      </c>
      <c r="C355" s="4">
        <v>134</v>
      </c>
    </row>
    <row r="356" spans="1:3" x14ac:dyDescent="0.25">
      <c r="A356" s="2">
        <v>354</v>
      </c>
      <c r="B356" s="3">
        <v>1.1501176049932801E-3</v>
      </c>
      <c r="C356" s="4">
        <v>133</v>
      </c>
    </row>
    <row r="357" spans="1:3" x14ac:dyDescent="0.25">
      <c r="A357" s="2">
        <v>355</v>
      </c>
      <c r="B357" s="3">
        <v>1.15002819802612E-3</v>
      </c>
      <c r="C357" s="4">
        <v>132</v>
      </c>
    </row>
    <row r="358" spans="1:3" x14ac:dyDescent="0.25">
      <c r="A358" s="2">
        <v>356</v>
      </c>
      <c r="B358" s="3">
        <v>1.1499396059662099E-3</v>
      </c>
      <c r="C358" s="4">
        <v>132</v>
      </c>
    </row>
    <row r="359" spans="1:3" x14ac:dyDescent="0.25">
      <c r="A359" s="2">
        <v>357</v>
      </c>
      <c r="B359" s="3">
        <v>1.1498517123982299E-3</v>
      </c>
      <c r="C359" s="4">
        <v>133</v>
      </c>
    </row>
    <row r="360" spans="1:3" x14ac:dyDescent="0.25">
      <c r="A360" s="2">
        <v>358</v>
      </c>
      <c r="B360" s="3">
        <v>1.14976183976978E-3</v>
      </c>
      <c r="C360" s="4">
        <v>133</v>
      </c>
    </row>
    <row r="361" spans="1:3" x14ac:dyDescent="0.25">
      <c r="A361" s="2">
        <v>359</v>
      </c>
      <c r="B361" s="3">
        <v>1.14967487752438E-3</v>
      </c>
      <c r="C361" s="4">
        <v>136</v>
      </c>
    </row>
    <row r="362" spans="1:3" x14ac:dyDescent="0.25">
      <c r="A362" s="2">
        <v>360</v>
      </c>
      <c r="B362" s="3">
        <v>1.14958628546447E-3</v>
      </c>
      <c r="C362" s="4">
        <v>136</v>
      </c>
    </row>
    <row r="363" spans="1:3" x14ac:dyDescent="0.25">
      <c r="A363" s="2">
        <v>361</v>
      </c>
      <c r="B363" s="3">
        <v>1.14949932321906E-3</v>
      </c>
      <c r="C363" s="4">
        <v>135</v>
      </c>
    </row>
    <row r="364" spans="1:3" x14ac:dyDescent="0.25">
      <c r="A364" s="2">
        <v>362</v>
      </c>
      <c r="B364" s="3">
        <v>1.14941247738898E-3</v>
      </c>
      <c r="C364" s="4">
        <v>135</v>
      </c>
    </row>
    <row r="365" spans="1:3" x14ac:dyDescent="0.25">
      <c r="A365" s="2">
        <v>363</v>
      </c>
      <c r="B365" s="3">
        <v>1.14932633005083E-3</v>
      </c>
      <c r="C365" s="4">
        <v>133</v>
      </c>
    </row>
    <row r="366" spans="1:3" x14ac:dyDescent="0.25">
      <c r="A366" s="2">
        <v>364</v>
      </c>
      <c r="B366" s="3">
        <v>1.14923843648285E-3</v>
      </c>
      <c r="C366" s="4">
        <v>133</v>
      </c>
    </row>
    <row r="367" spans="1:3" x14ac:dyDescent="0.25">
      <c r="A367" s="2">
        <v>365</v>
      </c>
      <c r="B367" s="3">
        <v>1.1491529876366301E-3</v>
      </c>
      <c r="C367" s="4">
        <v>160</v>
      </c>
    </row>
    <row r="368" spans="1:3" x14ac:dyDescent="0.25">
      <c r="A368" s="2">
        <v>366</v>
      </c>
      <c r="B368" s="3">
        <v>1.14906660746783E-3</v>
      </c>
      <c r="C368" s="4">
        <v>134</v>
      </c>
    </row>
    <row r="369" spans="1:3" x14ac:dyDescent="0.25">
      <c r="A369" s="2">
        <v>367</v>
      </c>
      <c r="B369" s="3">
        <v>1.14898243919015E-3</v>
      </c>
      <c r="C369" s="4">
        <v>133</v>
      </c>
    </row>
    <row r="370" spans="1:3" x14ac:dyDescent="0.25">
      <c r="A370" s="2">
        <v>368</v>
      </c>
      <c r="B370" s="3">
        <v>1.1488964082673201E-3</v>
      </c>
      <c r="C370" s="4">
        <v>133</v>
      </c>
    </row>
    <row r="371" spans="1:3" x14ac:dyDescent="0.25">
      <c r="A371" s="2">
        <v>369</v>
      </c>
      <c r="B371" s="3">
        <v>1.1488114250823901E-3</v>
      </c>
      <c r="C371" s="4">
        <v>133</v>
      </c>
    </row>
    <row r="372" spans="1:3" x14ac:dyDescent="0.25">
      <c r="A372" s="2">
        <v>370</v>
      </c>
      <c r="B372" s="3">
        <v>1.1487270239740599E-3</v>
      </c>
      <c r="C372" s="4">
        <v>133</v>
      </c>
    </row>
    <row r="373" spans="1:3" x14ac:dyDescent="0.25">
      <c r="A373" s="2">
        <v>371</v>
      </c>
      <c r="B373" s="3">
        <v>1.14864320494235E-3</v>
      </c>
      <c r="C373" s="4">
        <v>132</v>
      </c>
    </row>
    <row r="374" spans="1:3" x14ac:dyDescent="0.25">
      <c r="A374" s="2">
        <v>372</v>
      </c>
      <c r="B374" s="3">
        <v>1.14855915307999E-3</v>
      </c>
      <c r="C374" s="4">
        <v>132</v>
      </c>
    </row>
    <row r="375" spans="1:3" x14ac:dyDescent="0.25">
      <c r="A375" s="2">
        <v>373</v>
      </c>
      <c r="B375" s="3">
        <v>1.14847498480231E-3</v>
      </c>
      <c r="C375" s="4">
        <v>133</v>
      </c>
    </row>
    <row r="376" spans="1:3" x14ac:dyDescent="0.25">
      <c r="A376" s="2">
        <v>374</v>
      </c>
      <c r="B376" s="3">
        <v>1.1483929120004201E-3</v>
      </c>
      <c r="C376" s="4">
        <v>133</v>
      </c>
    </row>
    <row r="377" spans="1:3" x14ac:dyDescent="0.25">
      <c r="A377" s="2">
        <v>375</v>
      </c>
      <c r="B377" s="3">
        <v>1.1483079288154799E-3</v>
      </c>
      <c r="C377" s="4">
        <v>133</v>
      </c>
    </row>
    <row r="378" spans="1:3" x14ac:dyDescent="0.25">
      <c r="A378" s="2">
        <v>376</v>
      </c>
      <c r="B378" s="3">
        <v>1.14822702016681E-3</v>
      </c>
      <c r="C378" s="4">
        <v>132</v>
      </c>
    </row>
    <row r="379" spans="1:3" x14ac:dyDescent="0.25">
      <c r="A379" s="2">
        <v>377</v>
      </c>
      <c r="B379" s="3">
        <v>1.1481432011351E-3</v>
      </c>
      <c r="C379" s="4">
        <v>132</v>
      </c>
    </row>
    <row r="380" spans="1:3" x14ac:dyDescent="0.25">
      <c r="A380" s="2">
        <v>378</v>
      </c>
      <c r="B380" s="3">
        <v>1.1480615939945E-3</v>
      </c>
      <c r="C380" s="4">
        <v>131</v>
      </c>
    </row>
    <row r="381" spans="1:3" x14ac:dyDescent="0.25">
      <c r="A381" s="2">
        <v>379</v>
      </c>
      <c r="B381" s="3">
        <v>1.1479798704385801E-3</v>
      </c>
      <c r="C381" s="4">
        <v>147</v>
      </c>
    </row>
    <row r="382" spans="1:3" x14ac:dyDescent="0.25">
      <c r="A382" s="2">
        <v>380</v>
      </c>
      <c r="B382" s="3">
        <v>1.1478977976366899E-3</v>
      </c>
      <c r="C382" s="4">
        <v>132</v>
      </c>
    </row>
    <row r="383" spans="1:3" x14ac:dyDescent="0.25">
      <c r="A383" s="2">
        <v>381</v>
      </c>
      <c r="B383" s="3">
        <v>1.14781688898802E-3</v>
      </c>
      <c r="C383" s="4">
        <v>132</v>
      </c>
    </row>
    <row r="384" spans="1:3" x14ac:dyDescent="0.25">
      <c r="A384" s="2">
        <v>382</v>
      </c>
      <c r="B384" s="3">
        <v>1.14773539826274E-3</v>
      </c>
      <c r="C384" s="4">
        <v>132</v>
      </c>
    </row>
    <row r="385" spans="1:3" x14ac:dyDescent="0.25">
      <c r="A385" s="2">
        <v>383</v>
      </c>
      <c r="B385" s="3">
        <v>1.14765460602939E-3</v>
      </c>
      <c r="C385" s="4">
        <v>132</v>
      </c>
    </row>
    <row r="386" spans="1:3" x14ac:dyDescent="0.25">
      <c r="A386" s="2">
        <v>384</v>
      </c>
      <c r="B386" s="3">
        <v>1.14757474511862E-3</v>
      </c>
      <c r="C386" s="4">
        <v>131</v>
      </c>
    </row>
    <row r="387" spans="1:3" x14ac:dyDescent="0.25">
      <c r="A387" s="2">
        <v>385</v>
      </c>
      <c r="B387" s="3">
        <v>1.14749500062317E-3</v>
      </c>
      <c r="C387" s="4">
        <v>132</v>
      </c>
    </row>
    <row r="388" spans="1:3" x14ac:dyDescent="0.25">
      <c r="A388" s="2">
        <v>386</v>
      </c>
      <c r="B388" s="3">
        <v>1.1474143248051401E-3</v>
      </c>
      <c r="C388" s="4">
        <v>132</v>
      </c>
    </row>
    <row r="389" spans="1:3" x14ac:dyDescent="0.25">
      <c r="A389" s="2">
        <v>387</v>
      </c>
      <c r="B389" s="3">
        <v>1.1473363265395199E-3</v>
      </c>
      <c r="C389" s="4">
        <v>133</v>
      </c>
    </row>
    <row r="390" spans="1:3" x14ac:dyDescent="0.25">
      <c r="A390" s="2">
        <v>388</v>
      </c>
      <c r="B390" s="3">
        <v>1.14725576713681E-3</v>
      </c>
      <c r="C390" s="4">
        <v>144</v>
      </c>
    </row>
    <row r="391" spans="1:3" x14ac:dyDescent="0.25">
      <c r="A391" s="2">
        <v>389</v>
      </c>
      <c r="B391" s="3">
        <v>1.14717613905668E-3</v>
      </c>
      <c r="C391" s="4">
        <v>133</v>
      </c>
    </row>
    <row r="392" spans="1:3" x14ac:dyDescent="0.25">
      <c r="A392" s="2">
        <v>390</v>
      </c>
      <c r="B392" s="3">
        <v>1.1470982572063799E-3</v>
      </c>
      <c r="C392" s="4">
        <v>131</v>
      </c>
    </row>
    <row r="393" spans="1:3" x14ac:dyDescent="0.25">
      <c r="A393" s="2">
        <v>391</v>
      </c>
      <c r="B393" s="3">
        <v>1.1470194440335001E-3</v>
      </c>
      <c r="C393" s="4">
        <v>131</v>
      </c>
    </row>
    <row r="394" spans="1:3" x14ac:dyDescent="0.25">
      <c r="A394" s="2">
        <v>392</v>
      </c>
      <c r="B394" s="3">
        <v>1.14694039802998E-3</v>
      </c>
      <c r="C394" s="4">
        <v>131</v>
      </c>
    </row>
    <row r="395" spans="1:3" x14ac:dyDescent="0.25">
      <c r="A395" s="2">
        <v>393</v>
      </c>
      <c r="B395" s="3">
        <v>1.1468632146716101E-3</v>
      </c>
      <c r="C395" s="4">
        <v>131</v>
      </c>
    </row>
    <row r="396" spans="1:3" x14ac:dyDescent="0.25">
      <c r="A396" s="2">
        <v>394</v>
      </c>
      <c r="B396" s="3">
        <v>1.14678672980517E-3</v>
      </c>
      <c r="C396" s="4">
        <v>133</v>
      </c>
    </row>
    <row r="397" spans="1:3" x14ac:dyDescent="0.25">
      <c r="A397" s="2">
        <v>395</v>
      </c>
      <c r="B397" s="3">
        <v>1.1467094300314799E-3</v>
      </c>
      <c r="C397" s="4">
        <v>134</v>
      </c>
    </row>
    <row r="398" spans="1:3" x14ac:dyDescent="0.25">
      <c r="A398" s="2">
        <v>396</v>
      </c>
      <c r="B398" s="3">
        <v>1.14663224667311E-3</v>
      </c>
      <c r="C398" s="4">
        <v>132</v>
      </c>
    </row>
    <row r="399" spans="1:3" x14ac:dyDescent="0.25">
      <c r="A399" s="2">
        <v>397</v>
      </c>
      <c r="B399" s="3">
        <v>1.1465566931292399E-3</v>
      </c>
      <c r="C399" s="4">
        <v>132</v>
      </c>
    </row>
    <row r="400" spans="1:3" x14ac:dyDescent="0.25">
      <c r="A400" s="2">
        <v>398</v>
      </c>
      <c r="B400" s="3">
        <v>1.14648090675473E-3</v>
      </c>
      <c r="C400" s="4">
        <v>132</v>
      </c>
    </row>
    <row r="401" spans="1:3" x14ac:dyDescent="0.25">
      <c r="A401" s="2">
        <v>399</v>
      </c>
      <c r="B401" s="3">
        <v>1.14640488754958E-3</v>
      </c>
      <c r="C401" s="4">
        <v>131</v>
      </c>
    </row>
    <row r="402" spans="1:3" x14ac:dyDescent="0.25">
      <c r="A402" s="2">
        <v>400</v>
      </c>
      <c r="B402" s="3">
        <v>1.14632968325168E-3</v>
      </c>
      <c r="C402" s="4">
        <v>132</v>
      </c>
    </row>
    <row r="403" spans="1:3" x14ac:dyDescent="0.25">
      <c r="A403" s="2">
        <v>401</v>
      </c>
      <c r="B403" s="3">
        <v>1.1462534312158799E-3</v>
      </c>
      <c r="C403" s="4">
        <v>133</v>
      </c>
    </row>
    <row r="404" spans="1:3" x14ac:dyDescent="0.25">
      <c r="A404" s="2">
        <v>402</v>
      </c>
      <c r="B404" s="3">
        <v>1.14617857616395E-3</v>
      </c>
      <c r="C404" s="4">
        <v>133</v>
      </c>
    </row>
    <row r="405" spans="1:3" x14ac:dyDescent="0.25">
      <c r="A405" s="2">
        <v>403</v>
      </c>
      <c r="B405" s="3">
        <v>1.1461041867733E-3</v>
      </c>
      <c r="C405" s="4">
        <v>133</v>
      </c>
    </row>
    <row r="406" spans="1:3" x14ac:dyDescent="0.25">
      <c r="A406" s="2">
        <v>404</v>
      </c>
      <c r="B406" s="3">
        <v>1.1460296809673301E-3</v>
      </c>
      <c r="C406" s="4">
        <v>133</v>
      </c>
    </row>
    <row r="407" spans="1:3" x14ac:dyDescent="0.25">
      <c r="A407" s="2">
        <v>405</v>
      </c>
      <c r="B407" s="3">
        <v>1.1459564557299001E-3</v>
      </c>
      <c r="C407" s="4">
        <v>132</v>
      </c>
    </row>
    <row r="408" spans="1:3" x14ac:dyDescent="0.25">
      <c r="A408" s="2">
        <v>406</v>
      </c>
      <c r="B408" s="3">
        <v>1.14588194992393E-3</v>
      </c>
      <c r="C408" s="4">
        <v>131</v>
      </c>
    </row>
    <row r="409" spans="1:3" x14ac:dyDescent="0.25">
      <c r="A409" s="2">
        <v>407</v>
      </c>
      <c r="B409" s="3">
        <v>1.1458098888397199E-3</v>
      </c>
      <c r="C409" s="4">
        <v>147</v>
      </c>
    </row>
    <row r="410" spans="1:3" x14ac:dyDescent="0.25">
      <c r="A410" s="2">
        <v>408</v>
      </c>
      <c r="B410" s="3">
        <v>1.14573619794101E-3</v>
      </c>
      <c r="C410" s="4">
        <v>143</v>
      </c>
    </row>
    <row r="411" spans="1:3" x14ac:dyDescent="0.25">
      <c r="A411" s="2">
        <v>409</v>
      </c>
      <c r="B411" s="3">
        <v>1.14566378761083E-3</v>
      </c>
      <c r="C411" s="4">
        <v>136</v>
      </c>
    </row>
    <row r="412" spans="1:3" x14ac:dyDescent="0.25">
      <c r="A412" s="2">
        <v>410</v>
      </c>
      <c r="B412" s="3">
        <v>1.1455913772806499E-3</v>
      </c>
      <c r="C412" s="4">
        <v>131</v>
      </c>
    </row>
    <row r="413" spans="1:3" x14ac:dyDescent="0.25">
      <c r="A413" s="2">
        <v>411</v>
      </c>
      <c r="B413" s="3">
        <v>1.1455190833657999E-3</v>
      </c>
      <c r="C413" s="4">
        <v>133</v>
      </c>
    </row>
    <row r="414" spans="1:3" x14ac:dyDescent="0.25">
      <c r="A414" s="2">
        <v>412</v>
      </c>
      <c r="B414" s="3">
        <v>1.14544678945094E-3</v>
      </c>
      <c r="C414" s="4">
        <v>131</v>
      </c>
    </row>
    <row r="415" spans="1:3" x14ac:dyDescent="0.25">
      <c r="A415" s="2">
        <v>413</v>
      </c>
      <c r="B415" s="3">
        <v>1.14537531044334E-3</v>
      </c>
      <c r="C415" s="4">
        <v>159</v>
      </c>
    </row>
    <row r="416" spans="1:3" x14ac:dyDescent="0.25">
      <c r="A416" s="2">
        <v>414</v>
      </c>
      <c r="B416" s="3">
        <v>1.14530499558896E-3</v>
      </c>
      <c r="C416" s="4">
        <v>161</v>
      </c>
    </row>
    <row r="417" spans="1:3" x14ac:dyDescent="0.25">
      <c r="A417" s="2">
        <v>415</v>
      </c>
      <c r="B417" s="3">
        <v>1.14523491356522E-3</v>
      </c>
      <c r="C417" s="4">
        <v>131</v>
      </c>
    </row>
    <row r="418" spans="1:3" x14ac:dyDescent="0.25">
      <c r="A418" s="2">
        <v>416</v>
      </c>
      <c r="B418" s="3">
        <v>1.14516378380358E-3</v>
      </c>
      <c r="C418" s="4">
        <v>141</v>
      </c>
    </row>
    <row r="419" spans="1:3" x14ac:dyDescent="0.25">
      <c r="A419" s="2">
        <v>417</v>
      </c>
      <c r="B419" s="3">
        <v>1.1450939346104899E-3</v>
      </c>
      <c r="C419" s="4">
        <v>131</v>
      </c>
    </row>
    <row r="420" spans="1:3" x14ac:dyDescent="0.25">
      <c r="A420" s="2">
        <v>418</v>
      </c>
      <c r="B420" s="3">
        <v>1.1450250167399599E-3</v>
      </c>
      <c r="C420" s="4">
        <v>132</v>
      </c>
    </row>
    <row r="421" spans="1:3" x14ac:dyDescent="0.25">
      <c r="A421" s="2">
        <v>419</v>
      </c>
      <c r="B421" s="3">
        <v>1.1449547018855799E-3</v>
      </c>
      <c r="C421" s="4">
        <v>131</v>
      </c>
    </row>
    <row r="422" spans="1:3" x14ac:dyDescent="0.25">
      <c r="A422" s="2">
        <v>420</v>
      </c>
      <c r="B422" s="3">
        <v>1.1448869481682799E-3</v>
      </c>
      <c r="C422" s="4">
        <v>130</v>
      </c>
    </row>
    <row r="423" spans="1:3" x14ac:dyDescent="0.25">
      <c r="A423" s="2">
        <v>421</v>
      </c>
      <c r="B423" s="3">
        <v>1.1448177974671099E-3</v>
      </c>
      <c r="C423" s="4">
        <v>132</v>
      </c>
    </row>
    <row r="424" spans="1:3" x14ac:dyDescent="0.25">
      <c r="A424" s="2">
        <v>422</v>
      </c>
      <c r="B424" s="3">
        <v>1.1447505094111E-3</v>
      </c>
      <c r="C424" s="4">
        <v>131</v>
      </c>
    </row>
    <row r="425" spans="1:3" x14ac:dyDescent="0.25">
      <c r="A425" s="2">
        <v>423</v>
      </c>
      <c r="B425" s="3">
        <v>1.1446817079559001E-3</v>
      </c>
      <c r="C425" s="4">
        <v>135</v>
      </c>
    </row>
    <row r="426" spans="1:3" x14ac:dyDescent="0.25">
      <c r="A426" s="2">
        <v>424</v>
      </c>
      <c r="B426" s="3">
        <v>1.1446145363151999E-3</v>
      </c>
      <c r="C426" s="4">
        <v>133</v>
      </c>
    </row>
    <row r="427" spans="1:3" x14ac:dyDescent="0.25">
      <c r="A427" s="2">
        <v>425</v>
      </c>
      <c r="B427" s="3">
        <v>1.1445470154285401E-3</v>
      </c>
      <c r="C427" s="4">
        <v>133</v>
      </c>
    </row>
    <row r="428" spans="1:3" x14ac:dyDescent="0.25">
      <c r="A428" s="2">
        <v>426</v>
      </c>
      <c r="B428" s="3">
        <v>1.14447984378785E-3</v>
      </c>
      <c r="C428" s="4">
        <v>132</v>
      </c>
    </row>
    <row r="429" spans="1:3" x14ac:dyDescent="0.25">
      <c r="A429" s="2">
        <v>427</v>
      </c>
      <c r="B429" s="3">
        <v>1.1444137198850499E-3</v>
      </c>
      <c r="C429" s="4">
        <v>132</v>
      </c>
    </row>
    <row r="430" spans="1:3" x14ac:dyDescent="0.25">
      <c r="A430" s="2">
        <v>428</v>
      </c>
      <c r="B430" s="3">
        <v>1.1443479452282199E-3</v>
      </c>
      <c r="C430" s="4">
        <v>133</v>
      </c>
    </row>
    <row r="431" spans="1:3" x14ac:dyDescent="0.25">
      <c r="A431" s="2">
        <v>429</v>
      </c>
      <c r="B431" s="3">
        <v>1.14428182132542E-3</v>
      </c>
      <c r="C431" s="4">
        <v>132</v>
      </c>
    </row>
    <row r="432" spans="1:3" x14ac:dyDescent="0.25">
      <c r="A432" s="2">
        <v>430</v>
      </c>
      <c r="B432" s="3">
        <v>1.14421627949923E-3</v>
      </c>
      <c r="C432" s="4">
        <v>132</v>
      </c>
    </row>
    <row r="433" spans="1:3" x14ac:dyDescent="0.25">
      <c r="A433" s="2">
        <v>431</v>
      </c>
      <c r="B433" s="3">
        <v>1.14415178541094E-3</v>
      </c>
      <c r="C433" s="4">
        <v>134</v>
      </c>
    </row>
    <row r="434" spans="1:3" x14ac:dyDescent="0.25">
      <c r="A434" s="2">
        <v>432</v>
      </c>
      <c r="B434" s="3">
        <v>1.14408775698394E-3</v>
      </c>
      <c r="C434" s="4">
        <v>131</v>
      </c>
    </row>
    <row r="435" spans="1:3" x14ac:dyDescent="0.25">
      <c r="A435" s="2">
        <v>433</v>
      </c>
      <c r="B435" s="3">
        <v>1.14402349572629E-3</v>
      </c>
      <c r="C435" s="4">
        <v>132</v>
      </c>
    </row>
    <row r="436" spans="1:3" x14ac:dyDescent="0.25">
      <c r="A436" s="2">
        <v>434</v>
      </c>
      <c r="B436" s="3">
        <v>1.1439595837146E-3</v>
      </c>
      <c r="C436" s="4">
        <v>132</v>
      </c>
    </row>
    <row r="437" spans="1:3" x14ac:dyDescent="0.25">
      <c r="A437" s="2">
        <v>435</v>
      </c>
      <c r="B437" s="3">
        <v>1.14389637019485E-3</v>
      </c>
      <c r="C437" s="4">
        <v>132</v>
      </c>
    </row>
    <row r="438" spans="1:3" x14ac:dyDescent="0.25">
      <c r="A438" s="2">
        <v>436</v>
      </c>
      <c r="B438" s="3">
        <v>1.143834204413E-3</v>
      </c>
      <c r="C438" s="4">
        <v>131</v>
      </c>
    </row>
    <row r="439" spans="1:3" x14ac:dyDescent="0.25">
      <c r="A439" s="2">
        <v>437</v>
      </c>
      <c r="B439" s="3">
        <v>1.1437698267400299E-3</v>
      </c>
      <c r="C439" s="4">
        <v>131</v>
      </c>
    </row>
    <row r="440" spans="1:3" x14ac:dyDescent="0.25">
      <c r="A440" s="2">
        <v>438</v>
      </c>
      <c r="B440" s="3">
        <v>1.14370847586542E-3</v>
      </c>
      <c r="C440" s="4">
        <v>133</v>
      </c>
    </row>
    <row r="441" spans="1:3" x14ac:dyDescent="0.25">
      <c r="A441" s="2">
        <v>439</v>
      </c>
      <c r="B441" s="3">
        <v>1.14364654291421E-3</v>
      </c>
      <c r="C441" s="4">
        <v>142</v>
      </c>
    </row>
    <row r="442" spans="1:3" x14ac:dyDescent="0.25">
      <c r="A442" s="2">
        <v>440</v>
      </c>
      <c r="B442" s="3">
        <v>1.14358426071703E-3</v>
      </c>
      <c r="C442" s="4">
        <v>133</v>
      </c>
    </row>
    <row r="443" spans="1:3" x14ac:dyDescent="0.25">
      <c r="A443" s="2">
        <v>441</v>
      </c>
      <c r="B443" s="3">
        <v>1.1435248889029E-3</v>
      </c>
      <c r="C443" s="4">
        <v>131</v>
      </c>
    </row>
    <row r="444" spans="1:3" x14ac:dyDescent="0.25">
      <c r="A444" s="2">
        <v>442</v>
      </c>
      <c r="B444" s="3">
        <v>1.1434645857661999E-3</v>
      </c>
      <c r="C444" s="4">
        <v>131</v>
      </c>
    </row>
    <row r="445" spans="1:3" x14ac:dyDescent="0.25">
      <c r="A445" s="2">
        <v>443</v>
      </c>
      <c r="B445" s="3">
        <v>1.1434040497988499E-3</v>
      </c>
      <c r="C445" s="4">
        <v>131</v>
      </c>
    </row>
    <row r="446" spans="1:3" x14ac:dyDescent="0.25">
      <c r="A446" s="2">
        <v>444</v>
      </c>
      <c r="B446" s="3">
        <v>1.1433443287387499E-3</v>
      </c>
      <c r="C446" s="4">
        <v>130</v>
      </c>
    </row>
    <row r="447" spans="1:3" x14ac:dyDescent="0.25">
      <c r="A447" s="2">
        <v>445</v>
      </c>
      <c r="B447" s="3">
        <v>1.14328507333994E-3</v>
      </c>
      <c r="C447" s="4">
        <v>132</v>
      </c>
    </row>
    <row r="448" spans="1:3" x14ac:dyDescent="0.25">
      <c r="A448" s="2">
        <v>446</v>
      </c>
      <c r="B448" s="3">
        <v>1.1432264000177401E-3</v>
      </c>
      <c r="C448" s="4">
        <v>135</v>
      </c>
    </row>
    <row r="449" spans="1:3" x14ac:dyDescent="0.25">
      <c r="A449" s="2">
        <v>447</v>
      </c>
      <c r="B449" s="3">
        <v>1.1431676102802201E-3</v>
      </c>
      <c r="C449" s="4">
        <v>133</v>
      </c>
    </row>
    <row r="450" spans="1:3" x14ac:dyDescent="0.25">
      <c r="A450" s="2">
        <v>448</v>
      </c>
      <c r="B450" s="3">
        <v>1.14311010111123E-3</v>
      </c>
      <c r="C450" s="4">
        <v>133</v>
      </c>
    </row>
    <row r="451" spans="1:3" x14ac:dyDescent="0.25">
      <c r="A451" s="2">
        <v>449</v>
      </c>
      <c r="B451" s="3">
        <v>1.1430515442043499E-3</v>
      </c>
      <c r="C451" s="4">
        <v>132</v>
      </c>
    </row>
    <row r="452" spans="1:3" x14ac:dyDescent="0.25">
      <c r="A452" s="2">
        <v>450</v>
      </c>
      <c r="B452" s="3">
        <v>1.14299543201923E-3</v>
      </c>
      <c r="C452" s="4">
        <v>134</v>
      </c>
    </row>
    <row r="453" spans="1:3" x14ac:dyDescent="0.25">
      <c r="A453" s="2">
        <v>451</v>
      </c>
      <c r="B453" s="3">
        <v>1.1429376900196099E-3</v>
      </c>
      <c r="C453" s="4">
        <v>135</v>
      </c>
    </row>
    <row r="454" spans="1:3" x14ac:dyDescent="0.25">
      <c r="A454" s="2">
        <v>452</v>
      </c>
      <c r="B454" s="3">
        <v>1.1428822763264201E-3</v>
      </c>
      <c r="C454" s="4">
        <v>135</v>
      </c>
    </row>
    <row r="455" spans="1:3" x14ac:dyDescent="0.25">
      <c r="A455" s="2">
        <v>453</v>
      </c>
      <c r="B455" s="3">
        <v>1.14282651338726E-3</v>
      </c>
      <c r="C455" s="4">
        <v>135</v>
      </c>
    </row>
    <row r="456" spans="1:3" x14ac:dyDescent="0.25">
      <c r="A456" s="2">
        <v>454</v>
      </c>
      <c r="B456" s="3">
        <v>1.14277144894004E-3</v>
      </c>
      <c r="C456" s="4">
        <v>134</v>
      </c>
    </row>
    <row r="457" spans="1:3" x14ac:dyDescent="0.25">
      <c r="A457" s="2">
        <v>455</v>
      </c>
      <c r="B457" s="3">
        <v>1.1427162680774899E-3</v>
      </c>
      <c r="C457" s="4">
        <v>133</v>
      </c>
    </row>
    <row r="458" spans="1:3" x14ac:dyDescent="0.25">
      <c r="A458" s="2">
        <v>456</v>
      </c>
      <c r="B458" s="3">
        <v>1.14266283344477E-3</v>
      </c>
      <c r="C458" s="4">
        <v>132</v>
      </c>
    </row>
    <row r="459" spans="1:3" x14ac:dyDescent="0.25">
      <c r="A459" s="2">
        <v>457</v>
      </c>
      <c r="B459" s="3">
        <v>1.14260776899755E-3</v>
      </c>
      <c r="C459" s="4">
        <v>132</v>
      </c>
    </row>
    <row r="460" spans="1:3" x14ac:dyDescent="0.25">
      <c r="A460" s="2">
        <v>458</v>
      </c>
      <c r="B460" s="3">
        <v>1.1425546836108E-3</v>
      </c>
      <c r="C460" s="4">
        <v>132</v>
      </c>
    </row>
    <row r="461" spans="1:3" x14ac:dyDescent="0.25">
      <c r="A461" s="2">
        <v>459</v>
      </c>
      <c r="B461" s="3">
        <v>1.1425015982240399E-3</v>
      </c>
      <c r="C461" s="4">
        <v>132</v>
      </c>
    </row>
    <row r="462" spans="1:3" x14ac:dyDescent="0.25">
      <c r="A462" s="2">
        <v>460</v>
      </c>
      <c r="B462" s="3">
        <v>1.1424490949138999E-3</v>
      </c>
      <c r="C462" s="4">
        <v>131</v>
      </c>
    </row>
    <row r="463" spans="1:3" x14ac:dyDescent="0.25">
      <c r="A463" s="2">
        <v>461</v>
      </c>
      <c r="B463" s="3">
        <v>1.14239705726504E-3</v>
      </c>
      <c r="C463" s="4">
        <v>135</v>
      </c>
    </row>
    <row r="464" spans="1:3" x14ac:dyDescent="0.25">
      <c r="A464" s="2">
        <v>462</v>
      </c>
      <c r="B464" s="3">
        <v>1.1423456016928001E-3</v>
      </c>
      <c r="C464" s="4">
        <v>131</v>
      </c>
    </row>
    <row r="465" spans="1:3" x14ac:dyDescent="0.25">
      <c r="A465" s="2">
        <v>463</v>
      </c>
      <c r="B465" s="3">
        <v>1.1422949610278E-3</v>
      </c>
      <c r="C465" s="4">
        <v>134</v>
      </c>
    </row>
    <row r="466" spans="1:3" x14ac:dyDescent="0.25">
      <c r="A466" s="2">
        <v>464</v>
      </c>
      <c r="B466" s="3">
        <v>1.1422436218708799E-3</v>
      </c>
      <c r="C466" s="4">
        <v>131</v>
      </c>
    </row>
    <row r="467" spans="1:3" x14ac:dyDescent="0.25">
      <c r="A467" s="2">
        <v>465</v>
      </c>
      <c r="B467" s="3">
        <v>1.1421948438510301E-3</v>
      </c>
      <c r="C467" s="4">
        <v>131</v>
      </c>
    </row>
    <row r="468" spans="1:3" x14ac:dyDescent="0.25">
      <c r="A468" s="2">
        <v>466</v>
      </c>
      <c r="B468" s="3">
        <v>1.14214397035539E-3</v>
      </c>
      <c r="C468" s="4">
        <v>132</v>
      </c>
    </row>
    <row r="469" spans="1:3" x14ac:dyDescent="0.25">
      <c r="A469" s="2">
        <v>467</v>
      </c>
      <c r="B469" s="3">
        <v>1.1420949595049E-3</v>
      </c>
      <c r="C469" s="4">
        <v>132</v>
      </c>
    </row>
    <row r="470" spans="1:3" x14ac:dyDescent="0.25">
      <c r="A470" s="2">
        <v>468</v>
      </c>
      <c r="B470" s="3">
        <v>1.1420469963923101E-3</v>
      </c>
      <c r="C470" s="4">
        <v>131</v>
      </c>
    </row>
    <row r="471" spans="1:3" x14ac:dyDescent="0.25">
      <c r="A471" s="2">
        <v>469</v>
      </c>
      <c r="B471" s="3">
        <v>1.1419982183724601E-3</v>
      </c>
      <c r="C471" s="4">
        <v>141</v>
      </c>
    </row>
    <row r="472" spans="1:3" x14ac:dyDescent="0.25">
      <c r="A472" s="2">
        <v>470</v>
      </c>
      <c r="B472" s="3">
        <v>1.14195176865906E-3</v>
      </c>
      <c r="C472" s="4">
        <v>133</v>
      </c>
    </row>
    <row r="473" spans="1:3" x14ac:dyDescent="0.25">
      <c r="A473" s="2">
        <v>471</v>
      </c>
      <c r="B473" s="3">
        <v>1.1419043876230699E-3</v>
      </c>
      <c r="C473" s="4">
        <v>132</v>
      </c>
    </row>
    <row r="474" spans="1:3" x14ac:dyDescent="0.25">
      <c r="A474" s="2">
        <v>472</v>
      </c>
      <c r="B474" s="3">
        <v>1.1418581707403101E-3</v>
      </c>
      <c r="C474" s="4">
        <v>131</v>
      </c>
    </row>
    <row r="475" spans="1:3" x14ac:dyDescent="0.25">
      <c r="A475" s="2">
        <v>473</v>
      </c>
      <c r="B475" s="3">
        <v>1.1418112553656099E-3</v>
      </c>
      <c r="C475" s="4">
        <v>133</v>
      </c>
    </row>
    <row r="476" spans="1:3" x14ac:dyDescent="0.25">
      <c r="A476" s="2">
        <v>474</v>
      </c>
      <c r="B476" s="3">
        <v>1.1417653877288101E-3</v>
      </c>
      <c r="C476" s="4">
        <v>131</v>
      </c>
    </row>
    <row r="477" spans="1:3" x14ac:dyDescent="0.25">
      <c r="A477" s="2">
        <v>475</v>
      </c>
      <c r="B477" s="3">
        <v>1.14172231405973E-3</v>
      </c>
      <c r="C477" s="4">
        <v>132</v>
      </c>
    </row>
    <row r="478" spans="1:3" x14ac:dyDescent="0.25">
      <c r="A478" s="2">
        <v>476</v>
      </c>
      <c r="B478" s="3">
        <v>1.1416769120842201E-3</v>
      </c>
      <c r="C478" s="4">
        <v>134</v>
      </c>
    </row>
    <row r="479" spans="1:3" x14ac:dyDescent="0.25">
      <c r="A479" s="2">
        <v>477</v>
      </c>
      <c r="B479" s="3">
        <v>1.14163325633854E-3</v>
      </c>
      <c r="C479" s="4">
        <v>132</v>
      </c>
    </row>
    <row r="480" spans="1:3" x14ac:dyDescent="0.25">
      <c r="A480" s="2">
        <v>478</v>
      </c>
      <c r="B480" s="3">
        <v>1.1415899498388199E-3</v>
      </c>
      <c r="C480" s="4">
        <v>133</v>
      </c>
    </row>
    <row r="481" spans="1:3" x14ac:dyDescent="0.25">
      <c r="A481" s="2">
        <v>479</v>
      </c>
      <c r="B481" s="3">
        <v>1.1415468761697401E-3</v>
      </c>
      <c r="C481" s="4">
        <v>132</v>
      </c>
    </row>
    <row r="482" spans="1:3" x14ac:dyDescent="0.25">
      <c r="A482" s="2">
        <v>480</v>
      </c>
      <c r="B482" s="3">
        <v>1.14150473382324E-3</v>
      </c>
      <c r="C482" s="4">
        <v>131</v>
      </c>
    </row>
    <row r="483" spans="1:3" x14ac:dyDescent="0.25">
      <c r="A483" s="2">
        <v>481</v>
      </c>
      <c r="B483" s="3">
        <v>1.1414638720452801E-3</v>
      </c>
      <c r="C483" s="4">
        <v>132</v>
      </c>
    </row>
    <row r="484" spans="1:3" x14ac:dyDescent="0.25">
      <c r="A484" s="2">
        <v>482</v>
      </c>
      <c r="B484" s="3">
        <v>1.14142219536006E-3</v>
      </c>
      <c r="C484" s="4">
        <v>132</v>
      </c>
    </row>
    <row r="485" spans="1:3" x14ac:dyDescent="0.25">
      <c r="A485" s="2">
        <v>483</v>
      </c>
      <c r="B485" s="3">
        <v>1.1413827305659699E-3</v>
      </c>
      <c r="C485" s="4">
        <v>133</v>
      </c>
    </row>
    <row r="486" spans="1:3" x14ac:dyDescent="0.25">
      <c r="A486" s="2">
        <v>484</v>
      </c>
      <c r="B486" s="3">
        <v>1.14134303294122E-3</v>
      </c>
      <c r="C486" s="4">
        <v>133</v>
      </c>
    </row>
    <row r="487" spans="1:3" x14ac:dyDescent="0.25">
      <c r="A487" s="2">
        <v>485</v>
      </c>
      <c r="B487" s="3">
        <v>1.14130403380841E-3</v>
      </c>
      <c r="C487" s="4">
        <v>133</v>
      </c>
    </row>
    <row r="488" spans="1:3" x14ac:dyDescent="0.25">
      <c r="A488" s="2">
        <v>486</v>
      </c>
      <c r="B488" s="3">
        <v>1.14126515109092E-3</v>
      </c>
      <c r="C488" s="4">
        <v>133</v>
      </c>
    </row>
    <row r="489" spans="1:3" x14ac:dyDescent="0.25">
      <c r="A489" s="2">
        <v>487</v>
      </c>
      <c r="B489" s="3">
        <v>1.1412269668653601E-3</v>
      </c>
      <c r="C489" s="4">
        <v>132</v>
      </c>
    </row>
    <row r="490" spans="1:3" x14ac:dyDescent="0.25">
      <c r="A490" s="2">
        <v>488</v>
      </c>
      <c r="B490" s="3">
        <v>1.14118971396238E-3</v>
      </c>
      <c r="C490" s="4">
        <v>133</v>
      </c>
    </row>
    <row r="491" spans="1:3" x14ac:dyDescent="0.25">
      <c r="A491" s="2">
        <v>489</v>
      </c>
      <c r="B491" s="3">
        <v>1.14115339238197E-3</v>
      </c>
      <c r="C491" s="4">
        <v>133</v>
      </c>
    </row>
    <row r="492" spans="1:3" x14ac:dyDescent="0.25">
      <c r="A492" s="2">
        <v>490</v>
      </c>
      <c r="B492" s="3">
        <v>1.1411168379709101E-3</v>
      </c>
      <c r="C492" s="4">
        <v>131</v>
      </c>
    </row>
    <row r="493" spans="1:3" x14ac:dyDescent="0.25">
      <c r="A493" s="2">
        <v>491</v>
      </c>
      <c r="B493" s="3">
        <v>1.1410822626203301E-3</v>
      </c>
      <c r="C493" s="4">
        <v>133</v>
      </c>
    </row>
    <row r="494" spans="1:3" x14ac:dyDescent="0.25">
      <c r="A494" s="2">
        <v>492</v>
      </c>
      <c r="B494" s="3">
        <v>1.14104733802378E-3</v>
      </c>
      <c r="C494" s="4">
        <v>131</v>
      </c>
    </row>
    <row r="495" spans="1:3" x14ac:dyDescent="0.25">
      <c r="A495" s="2">
        <v>493</v>
      </c>
      <c r="B495" s="3">
        <v>1.14101357758045E-3</v>
      </c>
      <c r="C495" s="4">
        <v>132</v>
      </c>
    </row>
    <row r="496" spans="1:3" x14ac:dyDescent="0.25">
      <c r="A496" s="2">
        <v>494</v>
      </c>
      <c r="B496" s="3">
        <v>1.1409799335524401E-3</v>
      </c>
      <c r="C496" s="4">
        <v>134</v>
      </c>
    </row>
    <row r="497" spans="1:3" x14ac:dyDescent="0.25">
      <c r="A497" s="2">
        <v>495</v>
      </c>
      <c r="B497" s="3">
        <v>1.1409473372623301E-3</v>
      </c>
      <c r="C497" s="4">
        <v>131</v>
      </c>
    </row>
    <row r="498" spans="1:3" x14ac:dyDescent="0.25">
      <c r="A498" s="2">
        <v>496</v>
      </c>
      <c r="B498" s="3">
        <v>1.1409152066335099E-3</v>
      </c>
      <c r="C498" s="4">
        <v>133</v>
      </c>
    </row>
    <row r="499" spans="1:3" x14ac:dyDescent="0.25">
      <c r="A499" s="2">
        <v>497</v>
      </c>
      <c r="B499" s="3">
        <v>1.1408848222345101E-3</v>
      </c>
      <c r="C499" s="4">
        <v>132</v>
      </c>
    </row>
    <row r="500" spans="1:3" x14ac:dyDescent="0.25">
      <c r="A500" s="2">
        <v>498</v>
      </c>
      <c r="B500" s="3">
        <v>1.1408549034967999E-3</v>
      </c>
      <c r="C500" s="4">
        <v>133</v>
      </c>
    </row>
    <row r="501" spans="1:3" x14ac:dyDescent="0.25">
      <c r="A501" s="2">
        <v>499</v>
      </c>
      <c r="B501" s="3">
        <v>1.1408239370212E-3</v>
      </c>
      <c r="C501" s="4">
        <v>132</v>
      </c>
    </row>
    <row r="502" spans="1:3" x14ac:dyDescent="0.25">
      <c r="A502" s="2" t="s">
        <v>1</v>
      </c>
      <c r="B502" s="3">
        <v>1.1862186174839732E-3</v>
      </c>
      <c r="C502" s="4">
        <v>136.47399999999999</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1004"/>
  <sheetViews>
    <sheetView zoomScale="85" zoomScaleNormal="85" workbookViewId="0">
      <selection activeCell="A54" sqref="A54"/>
    </sheetView>
  </sheetViews>
  <sheetFormatPr defaultRowHeight="15" x14ac:dyDescent="0.25"/>
  <cols>
    <col min="1" max="1" width="13.28515625" customWidth="1"/>
    <col min="2" max="2" width="21.5703125" bestFit="1" customWidth="1"/>
    <col min="3" max="3" width="24.140625" bestFit="1" customWidth="1"/>
    <col min="4" max="4" width="20.28515625" bestFit="1" customWidth="1"/>
  </cols>
  <sheetData>
    <row r="1" spans="1:8" x14ac:dyDescent="0.25">
      <c r="A1" s="1" t="s">
        <v>0</v>
      </c>
      <c r="B1" t="s">
        <v>24</v>
      </c>
      <c r="C1" t="s">
        <v>25</v>
      </c>
      <c r="D1" t="s">
        <v>26</v>
      </c>
      <c r="G1" t="s">
        <v>393</v>
      </c>
      <c r="H1" s="5">
        <f>GETPIVOTDATA("Average of ERRORTRS",$A$1)</f>
        <v>8.8458523312412093E-2</v>
      </c>
    </row>
    <row r="2" spans="1:8" x14ac:dyDescent="0.25">
      <c r="A2" s="2">
        <v>0</v>
      </c>
      <c r="B2" s="22">
        <v>0.18378771468996999</v>
      </c>
      <c r="C2" s="22">
        <v>0.18378771468996999</v>
      </c>
      <c r="D2" s="15">
        <v>0</v>
      </c>
    </row>
    <row r="3" spans="1:8" x14ac:dyDescent="0.25">
      <c r="A3" s="2">
        <v>1</v>
      </c>
      <c r="B3" s="22">
        <v>0.13925305716693398</v>
      </c>
      <c r="C3" s="22">
        <v>0.13925305716693398</v>
      </c>
      <c r="D3" s="15">
        <v>0</v>
      </c>
    </row>
    <row r="4" spans="1:8" x14ac:dyDescent="0.25">
      <c r="A4" s="2">
        <v>2</v>
      </c>
      <c r="B4" s="22">
        <v>0.10737086348235605</v>
      </c>
      <c r="C4" s="22">
        <v>0.10737086348235605</v>
      </c>
      <c r="D4" s="15">
        <v>0</v>
      </c>
    </row>
    <row r="5" spans="1:8" x14ac:dyDescent="0.25">
      <c r="A5" s="2">
        <v>3</v>
      </c>
      <c r="B5" s="22">
        <v>-0.18481776118278503</v>
      </c>
      <c r="C5" s="22">
        <v>-0.18481776118278503</v>
      </c>
      <c r="D5" s="15">
        <v>0</v>
      </c>
    </row>
    <row r="6" spans="1:8" x14ac:dyDescent="0.25">
      <c r="A6" s="2">
        <v>4</v>
      </c>
      <c r="B6" s="22">
        <v>0.15894504543393848</v>
      </c>
      <c r="C6" s="22">
        <v>0.15894504543393848</v>
      </c>
      <c r="D6" s="15">
        <v>0</v>
      </c>
    </row>
    <row r="7" spans="1:8" x14ac:dyDescent="0.25">
      <c r="A7" s="2">
        <v>5</v>
      </c>
      <c r="B7" s="22">
        <v>0.16924447380006313</v>
      </c>
      <c r="C7" s="22">
        <v>0.16924447380006313</v>
      </c>
      <c r="D7" s="15">
        <v>0</v>
      </c>
    </row>
    <row r="8" spans="1:8" x14ac:dyDescent="0.25">
      <c r="A8" s="2">
        <v>6</v>
      </c>
      <c r="B8" s="22">
        <v>0.1423552030697465</v>
      </c>
      <c r="C8" s="22">
        <v>0.1423552030697465</v>
      </c>
      <c r="D8" s="15">
        <v>0</v>
      </c>
    </row>
    <row r="9" spans="1:8" x14ac:dyDescent="0.25">
      <c r="A9" s="2">
        <v>7</v>
      </c>
      <c r="B9" s="22">
        <v>0.10378079880028963</v>
      </c>
      <c r="C9" s="22">
        <v>0.10378079880028963</v>
      </c>
      <c r="D9" s="15">
        <v>0</v>
      </c>
    </row>
    <row r="10" spans="1:8" x14ac:dyDescent="0.25">
      <c r="A10" s="2">
        <v>8</v>
      </c>
      <c r="B10" s="22">
        <v>-0.21246988773345957</v>
      </c>
      <c r="C10" s="22">
        <v>-0.21246988773345957</v>
      </c>
      <c r="D10" s="15">
        <v>0</v>
      </c>
    </row>
    <row r="11" spans="1:8" x14ac:dyDescent="0.25">
      <c r="A11" s="2">
        <v>9</v>
      </c>
      <c r="B11" s="22">
        <v>0.10384080223739152</v>
      </c>
      <c r="C11" s="22">
        <v>0.10384080223739152</v>
      </c>
      <c r="D11" s="15">
        <v>0</v>
      </c>
    </row>
    <row r="12" spans="1:8" x14ac:dyDescent="0.25">
      <c r="A12" s="2">
        <v>10</v>
      </c>
      <c r="B12" s="22">
        <v>0.16941735148429868</v>
      </c>
      <c r="C12" s="22">
        <v>0.16941735148429868</v>
      </c>
      <c r="D12" s="15">
        <v>0</v>
      </c>
    </row>
    <row r="13" spans="1:8" x14ac:dyDescent="0.25">
      <c r="A13" s="2">
        <v>11</v>
      </c>
      <c r="B13" s="22">
        <v>0.14438968151807788</v>
      </c>
      <c r="C13" s="22">
        <v>0.14438968151807788</v>
      </c>
      <c r="D13" s="15">
        <v>0</v>
      </c>
    </row>
    <row r="14" spans="1:8" x14ac:dyDescent="0.25">
      <c r="A14" s="2">
        <v>12</v>
      </c>
      <c r="B14" s="22">
        <v>0.11396010220050808</v>
      </c>
      <c r="C14" s="22">
        <v>0.11396010220050808</v>
      </c>
      <c r="D14" s="15">
        <v>0</v>
      </c>
    </row>
    <row r="15" spans="1:8" x14ac:dyDescent="0.25">
      <c r="A15" s="2">
        <v>13</v>
      </c>
      <c r="B15" s="22">
        <v>-0.12662037387490271</v>
      </c>
      <c r="C15" s="22">
        <v>-0.12662037387490271</v>
      </c>
      <c r="D15" s="15">
        <v>0</v>
      </c>
    </row>
    <row r="16" spans="1:8" x14ac:dyDescent="0.25">
      <c r="A16" s="2">
        <v>14</v>
      </c>
      <c r="B16" s="22">
        <v>0.13056854121387004</v>
      </c>
      <c r="C16" s="22">
        <v>0.13056854121387004</v>
      </c>
      <c r="D16" s="15">
        <v>0</v>
      </c>
    </row>
    <row r="17" spans="1:4" x14ac:dyDescent="0.25">
      <c r="A17" s="2">
        <v>15</v>
      </c>
      <c r="B17" s="22">
        <v>0.16623195223510268</v>
      </c>
      <c r="C17" s="22">
        <v>0.12049419851973649</v>
      </c>
      <c r="D17" s="15">
        <v>7.9665090423077317E-2</v>
      </c>
    </row>
    <row r="18" spans="1:4" x14ac:dyDescent="0.25">
      <c r="A18" s="2">
        <v>16</v>
      </c>
      <c r="B18" s="22">
        <v>5.2280125394463584E-2</v>
      </c>
      <c r="C18" s="22">
        <v>7.7926838211715269E-2</v>
      </c>
      <c r="D18" s="15">
        <v>8.2442551292478961E-2</v>
      </c>
    </row>
    <row r="19" spans="1:4" x14ac:dyDescent="0.25">
      <c r="A19" s="2">
        <v>17</v>
      </c>
      <c r="B19" s="22">
        <v>8.9721767231822014E-2</v>
      </c>
      <c r="C19" s="22">
        <v>0.10110291344972207</v>
      </c>
      <c r="D19" s="15">
        <v>9.8818313983065148E-2</v>
      </c>
    </row>
    <row r="20" spans="1:4" x14ac:dyDescent="0.25">
      <c r="A20" s="2">
        <v>18</v>
      </c>
      <c r="B20" s="22">
        <v>0.16017867568880326</v>
      </c>
      <c r="C20" s="22">
        <v>0.15129444990307087</v>
      </c>
      <c r="D20" s="15">
        <v>8.5813187807798466E-2</v>
      </c>
    </row>
    <row r="21" spans="1:4" x14ac:dyDescent="0.25">
      <c r="A21" s="2">
        <v>19</v>
      </c>
      <c r="B21" s="22">
        <v>0.1992756253108382</v>
      </c>
      <c r="C21" s="22">
        <v>0.18533371686935421</v>
      </c>
      <c r="D21" s="15">
        <v>0.10762114245444535</v>
      </c>
    </row>
    <row r="22" spans="1:4" x14ac:dyDescent="0.25">
      <c r="A22" s="2">
        <v>20</v>
      </c>
      <c r="B22" s="22">
        <v>0.201669604331255</v>
      </c>
      <c r="C22" s="22">
        <v>0.20438121184706687</v>
      </c>
      <c r="D22" s="15">
        <v>0.10072791576385505</v>
      </c>
    </row>
    <row r="23" spans="1:4" x14ac:dyDescent="0.25">
      <c r="A23" s="2">
        <v>21</v>
      </c>
      <c r="B23" s="22">
        <v>0.26460165865719315</v>
      </c>
      <c r="C23" s="22">
        <v>0.21226564012467861</v>
      </c>
      <c r="D23" s="15">
        <v>0.11468207687139509</v>
      </c>
    </row>
    <row r="24" spans="1:4" x14ac:dyDescent="0.25">
      <c r="A24" s="2">
        <v>22</v>
      </c>
      <c r="B24" s="22">
        <v>0.21953117679804562</v>
      </c>
      <c r="C24" s="22">
        <v>0.16916189566254608</v>
      </c>
      <c r="D24" s="15">
        <v>0.12940188553184256</v>
      </c>
    </row>
    <row r="25" spans="1:4" x14ac:dyDescent="0.25">
      <c r="A25" s="2">
        <v>23</v>
      </c>
      <c r="B25" s="22">
        <v>0.20736187808215614</v>
      </c>
      <c r="C25" s="22">
        <v>0.12228676519589503</v>
      </c>
      <c r="D25" s="15">
        <v>0.11233762063784528</v>
      </c>
    </row>
    <row r="26" spans="1:4" x14ac:dyDescent="0.25">
      <c r="A26" s="2">
        <v>24</v>
      </c>
      <c r="B26" s="22">
        <v>0.13742176443338394</v>
      </c>
      <c r="C26" s="22">
        <v>9.9858472455525843E-2</v>
      </c>
      <c r="D26" s="15">
        <v>8.4453372802818102E-2</v>
      </c>
    </row>
    <row r="27" spans="1:4" x14ac:dyDescent="0.25">
      <c r="A27" s="2">
        <v>25</v>
      </c>
      <c r="B27" s="22">
        <v>8.9014882966876027E-2</v>
      </c>
      <c r="C27" s="22">
        <v>0.10001627416349949</v>
      </c>
      <c r="D27" s="15">
        <v>0.14269875637255597</v>
      </c>
    </row>
    <row r="28" spans="1:4" x14ac:dyDescent="0.25">
      <c r="A28" s="2">
        <v>26</v>
      </c>
      <c r="B28" s="22">
        <v>0.16662303842604156</v>
      </c>
      <c r="C28" s="22">
        <v>0.15381582546979197</v>
      </c>
      <c r="D28" s="15">
        <v>0.10508613456040623</v>
      </c>
    </row>
    <row r="29" spans="1:4" x14ac:dyDescent="0.25">
      <c r="A29" s="2">
        <v>27</v>
      </c>
      <c r="B29" s="22">
        <v>0.17881821282207955</v>
      </c>
      <c r="C29" s="22">
        <v>0.20380719862878313</v>
      </c>
      <c r="D29" s="15">
        <v>9.5351826399564674E-2</v>
      </c>
    </row>
    <row r="30" spans="1:4" x14ac:dyDescent="0.25">
      <c r="A30" s="2">
        <v>28</v>
      </c>
      <c r="B30" s="22">
        <v>0.20680823754519215</v>
      </c>
      <c r="C30" s="22">
        <v>0.21742534935474395</v>
      </c>
      <c r="D30" s="15">
        <v>0.12540391553193328</v>
      </c>
    </row>
    <row r="31" spans="1:4" x14ac:dyDescent="0.25">
      <c r="A31" s="2">
        <v>29</v>
      </c>
      <c r="B31" s="22">
        <v>0.15138599053025253</v>
      </c>
      <c r="C31" s="22">
        <v>0.22845296561718004</v>
      </c>
      <c r="D31" s="15">
        <v>0.10942273437976842</v>
      </c>
    </row>
    <row r="32" spans="1:4" x14ac:dyDescent="0.25">
      <c r="A32" s="2">
        <v>30</v>
      </c>
      <c r="B32" s="22">
        <v>0.19680855758488183</v>
      </c>
      <c r="C32" s="22">
        <v>0.23809726946055906</v>
      </c>
      <c r="D32" s="15">
        <v>0.12703503668308253</v>
      </c>
    </row>
    <row r="33" spans="1:4" x14ac:dyDescent="0.25">
      <c r="A33" s="2">
        <v>31</v>
      </c>
      <c r="B33" s="22">
        <v>0.14612066522240635</v>
      </c>
      <c r="C33" s="22">
        <v>0.22534364573657512</v>
      </c>
      <c r="D33" s="15">
        <v>0.17588182874023914</v>
      </c>
    </row>
    <row r="34" spans="1:4" x14ac:dyDescent="0.25">
      <c r="A34" s="2">
        <v>32</v>
      </c>
      <c r="B34" s="22">
        <v>0.15075120925903324</v>
      </c>
      <c r="C34" s="22">
        <v>0.15163532905280583</v>
      </c>
      <c r="D34" s="15">
        <v>0.12313313372433184</v>
      </c>
    </row>
    <row r="35" spans="1:4" x14ac:dyDescent="0.25">
      <c r="A35" s="2">
        <v>33</v>
      </c>
      <c r="B35" s="22">
        <v>0.12954567484557628</v>
      </c>
      <c r="C35" s="22">
        <v>9.998702369630344E-2</v>
      </c>
      <c r="D35" s="15">
        <v>8.2270764186978262E-2</v>
      </c>
    </row>
    <row r="36" spans="1:4" x14ac:dyDescent="0.25">
      <c r="A36" s="2">
        <v>34</v>
      </c>
      <c r="B36" s="22">
        <v>3.7552091479301407E-2</v>
      </c>
      <c r="C36" s="22">
        <v>6.4491591206751797E-2</v>
      </c>
      <c r="D36" s="15">
        <v>0.11811623650137333</v>
      </c>
    </row>
    <row r="37" spans="1:4" x14ac:dyDescent="0.25">
      <c r="A37" s="2">
        <v>35</v>
      </c>
      <c r="B37" s="22">
        <v>2.9206720925867558E-2</v>
      </c>
      <c r="C37" s="22">
        <v>6.3919660029932809E-2</v>
      </c>
      <c r="D37" s="15">
        <v>0.17932712049223481</v>
      </c>
    </row>
    <row r="38" spans="1:4" x14ac:dyDescent="0.25">
      <c r="A38" s="2">
        <v>36</v>
      </c>
      <c r="B38" s="22">
        <v>0.11513383798301211</v>
      </c>
      <c r="C38" s="22">
        <v>0.10876205340027809</v>
      </c>
      <c r="D38" s="15">
        <v>0.10680146701633927</v>
      </c>
    </row>
    <row r="39" spans="1:4" x14ac:dyDescent="0.25">
      <c r="A39" s="2">
        <v>37</v>
      </c>
      <c r="B39" s="22">
        <v>7.2756467200815744E-2</v>
      </c>
      <c r="C39" s="22">
        <v>0.18581059873104094</v>
      </c>
      <c r="D39" s="15">
        <v>0.12818031292408696</v>
      </c>
    </row>
    <row r="40" spans="1:4" x14ac:dyDescent="0.25">
      <c r="A40" s="2">
        <v>38</v>
      </c>
      <c r="B40" s="22">
        <v>0.22328636683523637</v>
      </c>
      <c r="C40" s="22">
        <v>0.22130518723279247</v>
      </c>
      <c r="D40" s="15">
        <v>0.20149326566606751</v>
      </c>
    </row>
    <row r="41" spans="1:4" x14ac:dyDescent="0.25">
      <c r="A41" s="2">
        <v>39</v>
      </c>
      <c r="B41" s="22">
        <v>0.34841552823781968</v>
      </c>
      <c r="C41" s="22">
        <v>0.25441549737006414</v>
      </c>
      <c r="D41" s="15">
        <v>0.14452936071902522</v>
      </c>
    </row>
    <row r="42" spans="1:4" x14ac:dyDescent="0.25">
      <c r="A42" s="2">
        <v>40</v>
      </c>
      <c r="B42" s="22">
        <v>0.27463116645812991</v>
      </c>
      <c r="C42" s="22">
        <v>0.23634665757417675</v>
      </c>
      <c r="D42" s="15">
        <v>0.10043236091732981</v>
      </c>
    </row>
    <row r="43" spans="1:4" x14ac:dyDescent="0.25">
      <c r="A43" s="2">
        <v>41</v>
      </c>
      <c r="B43" s="22">
        <v>0.17794808074831955</v>
      </c>
      <c r="C43" s="22">
        <v>0.19968807604163888</v>
      </c>
      <c r="D43" s="15">
        <v>7.2129433415830141E-2</v>
      </c>
    </row>
    <row r="44" spans="1:4" x14ac:dyDescent="0.25">
      <c r="A44" s="2">
        <v>42</v>
      </c>
      <c r="B44" s="22">
        <v>0.15661627221852553</v>
      </c>
      <c r="C44" s="22">
        <v>0.18138251886703077</v>
      </c>
      <c r="D44" s="15">
        <v>8.4377760766074145E-2</v>
      </c>
    </row>
    <row r="45" spans="1:4" x14ac:dyDescent="0.25">
      <c r="A45" s="2">
        <v>43</v>
      </c>
      <c r="B45" s="22">
        <v>0.2570964574813841</v>
      </c>
      <c r="C45" s="22">
        <v>0.17132558205630627</v>
      </c>
      <c r="D45" s="15">
        <v>0.11032774841878565</v>
      </c>
    </row>
    <row r="46" spans="1:4" x14ac:dyDescent="0.25">
      <c r="A46" s="2">
        <v>44</v>
      </c>
      <c r="B46" s="22">
        <v>0.22821667306125165</v>
      </c>
      <c r="C46" s="22">
        <v>0.13705077706836161</v>
      </c>
      <c r="D46" s="15">
        <v>0.10494073876179769</v>
      </c>
    </row>
    <row r="47" spans="1:4" x14ac:dyDescent="0.25">
      <c r="A47" s="2">
        <v>45</v>
      </c>
      <c r="B47" s="22">
        <v>0.17388235460966828</v>
      </c>
      <c r="C47" s="22">
        <v>0.10353046674281359</v>
      </c>
      <c r="D47" s="15">
        <v>0.10751166604459286</v>
      </c>
    </row>
    <row r="48" spans="1:4" x14ac:dyDescent="0.25">
      <c r="A48" s="2">
        <v>46</v>
      </c>
      <c r="B48" s="22">
        <v>0.12087843604385851</v>
      </c>
      <c r="C48" s="22">
        <v>9.707277941051877E-2</v>
      </c>
      <c r="D48" s="15">
        <v>4.6630556904710962E-2</v>
      </c>
    </row>
    <row r="49" spans="1:4" x14ac:dyDescent="0.25">
      <c r="A49" s="2">
        <v>47</v>
      </c>
      <c r="B49" s="22">
        <v>0.14733243845403182</v>
      </c>
      <c r="C49" s="22">
        <v>0.12196348141878843</v>
      </c>
      <c r="D49" s="15">
        <v>5.5863334052264603E-2</v>
      </c>
    </row>
    <row r="50" spans="1:4" x14ac:dyDescent="0.25">
      <c r="A50" s="2">
        <v>48</v>
      </c>
      <c r="B50" s="22">
        <v>0.13473176248371599</v>
      </c>
      <c r="C50" s="22">
        <v>0.16154326796531676</v>
      </c>
      <c r="D50" s="15">
        <v>0.10299297682940955</v>
      </c>
    </row>
    <row r="51" spans="1:4" x14ac:dyDescent="0.25">
      <c r="A51" s="2">
        <v>49</v>
      </c>
      <c r="B51" s="22">
        <v>0.16905311569571499</v>
      </c>
      <c r="C51" s="22">
        <v>0.1969144467264414</v>
      </c>
      <c r="D51" s="15">
        <v>0.12270676307380193</v>
      </c>
    </row>
    <row r="52" spans="1:4" x14ac:dyDescent="0.25">
      <c r="A52" s="2">
        <v>50</v>
      </c>
      <c r="B52" s="22">
        <v>0.31561392173171043</v>
      </c>
      <c r="C52" s="22">
        <v>0.22831189688295109</v>
      </c>
      <c r="D52" s="15">
        <v>0.1354448633268476</v>
      </c>
    </row>
    <row r="53" spans="1:4" x14ac:dyDescent="0.25">
      <c r="A53" s="2">
        <v>51</v>
      </c>
      <c r="B53" s="22">
        <v>0.17795173823833466</v>
      </c>
      <c r="C53" s="22">
        <v>0.2195350850000978</v>
      </c>
      <c r="D53" s="15">
        <v>0.12799885068088773</v>
      </c>
    </row>
    <row r="54" spans="1:4" x14ac:dyDescent="0.25">
      <c r="A54" s="2">
        <v>52</v>
      </c>
      <c r="B54" s="22">
        <v>0.14550149440765384</v>
      </c>
      <c r="C54" s="22">
        <v>0.18084359392523755</v>
      </c>
      <c r="D54" s="15">
        <v>4.059752002358432E-2</v>
      </c>
    </row>
    <row r="55" spans="1:4" x14ac:dyDescent="0.25">
      <c r="A55" s="2">
        <v>53</v>
      </c>
      <c r="B55" s="22">
        <v>0.21369595229625701</v>
      </c>
      <c r="C55" s="22">
        <v>0.20254704207181939</v>
      </c>
      <c r="D55" s="15">
        <v>6.0269992053508879E-2</v>
      </c>
    </row>
    <row r="56" spans="1:4" x14ac:dyDescent="0.25">
      <c r="A56" s="2">
        <v>54</v>
      </c>
      <c r="B56" s="22">
        <v>0.20734496414661416</v>
      </c>
      <c r="C56" s="22">
        <v>0.21609467267990107</v>
      </c>
      <c r="D56" s="15">
        <v>6.2962076067924339E-2</v>
      </c>
    </row>
    <row r="57" spans="1:4" x14ac:dyDescent="0.25">
      <c r="A57" s="2">
        <v>55</v>
      </c>
      <c r="B57" s="22">
        <v>0.29798279404640182</v>
      </c>
      <c r="C57" s="22">
        <v>0.18836865648627293</v>
      </c>
      <c r="D57" s="15">
        <v>0.12055609896779051</v>
      </c>
    </row>
    <row r="58" spans="1:4" x14ac:dyDescent="0.25">
      <c r="A58" s="2">
        <v>56</v>
      </c>
      <c r="B58" s="22">
        <v>0.1724007584154604</v>
      </c>
      <c r="C58" s="22">
        <v>0.11882738610729575</v>
      </c>
      <c r="D58" s="15">
        <v>0.11459328075870875</v>
      </c>
    </row>
    <row r="59" spans="1:4" x14ac:dyDescent="0.25">
      <c r="A59" s="2">
        <v>57</v>
      </c>
      <c r="B59" s="22">
        <v>0.10351642668247237</v>
      </c>
      <c r="C59" s="22">
        <v>7.6046207547187772E-2</v>
      </c>
      <c r="D59" s="15">
        <v>0.15239330902695644</v>
      </c>
    </row>
    <row r="60" spans="1:4" x14ac:dyDescent="0.25">
      <c r="A60" s="2">
        <v>58</v>
      </c>
      <c r="B60" s="22">
        <v>0.23216965198516831</v>
      </c>
      <c r="C60" s="22">
        <v>9.7295332048088448E-2</v>
      </c>
      <c r="D60" s="15">
        <v>0.19747215686365954</v>
      </c>
    </row>
    <row r="61" spans="1:4" x14ac:dyDescent="0.25">
      <c r="A61" s="2">
        <v>59</v>
      </c>
      <c r="B61" s="22">
        <v>9.5579843968153042E-2</v>
      </c>
      <c r="C61" s="22">
        <v>0.13134364075958718</v>
      </c>
      <c r="D61" s="15">
        <v>9.7681744024157732E-2</v>
      </c>
    </row>
    <row r="62" spans="1:4" x14ac:dyDescent="0.25">
      <c r="A62" s="2">
        <v>60</v>
      </c>
      <c r="B62" s="22">
        <v>0.21082758903503418</v>
      </c>
      <c r="C62" s="22">
        <v>0.17871095761656741</v>
      </c>
      <c r="D62" s="15">
        <v>8.8903061300516201E-2</v>
      </c>
    </row>
    <row r="63" spans="1:4" x14ac:dyDescent="0.25">
      <c r="A63" s="2">
        <v>61</v>
      </c>
      <c r="B63" s="22">
        <v>0.23332158550620088</v>
      </c>
      <c r="C63" s="22">
        <v>0.2222701847553254</v>
      </c>
      <c r="D63" s="15">
        <v>8.3184372633695519E-2</v>
      </c>
    </row>
    <row r="64" spans="1:4" x14ac:dyDescent="0.25">
      <c r="A64" s="2">
        <v>62</v>
      </c>
      <c r="B64" s="22">
        <v>0.36158233433961867</v>
      </c>
      <c r="C64" s="22">
        <v>0.2534444667398929</v>
      </c>
      <c r="D64" s="15">
        <v>0.16013310179114359</v>
      </c>
    </row>
    <row r="65" spans="1:4" x14ac:dyDescent="0.25">
      <c r="A65" s="2">
        <v>63</v>
      </c>
      <c r="B65" s="22">
        <v>0.28392301090061672</v>
      </c>
      <c r="C65" s="22">
        <v>0.2166812196373939</v>
      </c>
      <c r="D65" s="15">
        <v>0.14240973927080641</v>
      </c>
    </row>
    <row r="66" spans="1:4" x14ac:dyDescent="0.25">
      <c r="A66" s="2">
        <v>64</v>
      </c>
      <c r="B66" s="22">
        <v>0.18663793802261358</v>
      </c>
      <c r="C66" s="22">
        <v>0.11941919950768345</v>
      </c>
      <c r="D66" s="15">
        <v>7.2385948617011434E-2</v>
      </c>
    </row>
    <row r="67" spans="1:4" x14ac:dyDescent="0.25">
      <c r="A67" s="2">
        <v>65</v>
      </c>
      <c r="B67" s="22">
        <v>0.13161980696022518</v>
      </c>
      <c r="C67" s="22">
        <v>8.5940605960786412E-2</v>
      </c>
      <c r="D67" s="15">
        <v>4.567920099943875E-2</v>
      </c>
    </row>
    <row r="68" spans="1:4" x14ac:dyDescent="0.25">
      <c r="A68" s="2">
        <v>66</v>
      </c>
      <c r="B68" s="22">
        <v>0.11081347949802878</v>
      </c>
      <c r="C68" s="22">
        <v>8.5060879308730367E-2</v>
      </c>
      <c r="D68" s="15">
        <v>4.0092453826218837E-2</v>
      </c>
    </row>
    <row r="69" spans="1:4" x14ac:dyDescent="0.25">
      <c r="A69" s="2">
        <v>67</v>
      </c>
      <c r="B69" s="22">
        <v>8.4234796836972298E-2</v>
      </c>
      <c r="C69" s="22">
        <v>0.14592936933040629</v>
      </c>
      <c r="D69" s="15">
        <v>7.1822750195861013E-2</v>
      </c>
    </row>
    <row r="70" spans="1:4" x14ac:dyDescent="0.25">
      <c r="A70" s="2">
        <v>68</v>
      </c>
      <c r="B70" s="22">
        <v>0.20365148708224301</v>
      </c>
      <c r="C70" s="22">
        <v>0.20394953414797778</v>
      </c>
      <c r="D70" s="15">
        <v>0.13039956837892519</v>
      </c>
    </row>
    <row r="71" spans="1:4" x14ac:dyDescent="0.25">
      <c r="A71" s="2">
        <v>69</v>
      </c>
      <c r="B71" s="22">
        <v>0.15259947888553138</v>
      </c>
      <c r="C71" s="22">
        <v>0.20791666358709332</v>
      </c>
      <c r="D71" s="15">
        <v>0.10272874869406232</v>
      </c>
    </row>
    <row r="72" spans="1:4" x14ac:dyDescent="0.25">
      <c r="A72" s="2">
        <v>70</v>
      </c>
      <c r="B72" s="22">
        <v>0.11602756157517422</v>
      </c>
      <c r="C72" s="22">
        <v>0.20550373271107683</v>
      </c>
      <c r="D72" s="15">
        <v>8.9476171135902588E-2</v>
      </c>
    </row>
    <row r="73" spans="1:4" x14ac:dyDescent="0.25">
      <c r="A73" s="2">
        <v>71</v>
      </c>
      <c r="B73" s="22">
        <v>0.12268579602241511</v>
      </c>
      <c r="C73" s="22">
        <v>0.18219968602061276</v>
      </c>
      <c r="D73" s="15">
        <v>6.4195435494184466E-2</v>
      </c>
    </row>
    <row r="74" spans="1:4" x14ac:dyDescent="0.25">
      <c r="A74" s="2">
        <v>72</v>
      </c>
      <c r="B74" s="22">
        <v>0.13358554728329181</v>
      </c>
      <c r="C74" s="22">
        <v>0.1539537569507958</v>
      </c>
      <c r="D74" s="15">
        <v>4.9121820740401799E-2</v>
      </c>
    </row>
    <row r="75" spans="1:4" x14ac:dyDescent="0.25">
      <c r="A75" s="2">
        <v>73</v>
      </c>
      <c r="B75" s="22">
        <v>2.3867166042327921E-2</v>
      </c>
      <c r="C75" s="22">
        <v>0.1018376473337412</v>
      </c>
      <c r="D75" s="15">
        <v>0.12219089306890962</v>
      </c>
    </row>
    <row r="76" spans="1:4" x14ac:dyDescent="0.25">
      <c r="A76" s="2">
        <v>74</v>
      </c>
      <c r="B76" s="22">
        <v>-6.9332629442215004E-3</v>
      </c>
      <c r="C76" s="22">
        <v>8.3786107506602842E-2</v>
      </c>
      <c r="D76" s="15">
        <v>0.11534322639927255</v>
      </c>
    </row>
    <row r="77" spans="1:4" x14ac:dyDescent="0.25">
      <c r="A77" s="2">
        <v>75</v>
      </c>
      <c r="B77" s="22">
        <v>0.19626353271305558</v>
      </c>
      <c r="C77" s="22">
        <v>0.14124294575303792</v>
      </c>
      <c r="D77" s="15">
        <v>0.12006910927593706</v>
      </c>
    </row>
    <row r="78" spans="1:4" x14ac:dyDescent="0.25">
      <c r="A78" s="2">
        <v>76</v>
      </c>
      <c r="B78" s="22">
        <v>0.11455750800669184</v>
      </c>
      <c r="C78" s="22">
        <v>0.19259860813617688</v>
      </c>
      <c r="D78" s="15">
        <v>0.11503994427621363</v>
      </c>
    </row>
    <row r="79" spans="1:4" x14ac:dyDescent="0.25">
      <c r="A79" s="2">
        <v>77</v>
      </c>
      <c r="B79" s="22">
        <v>0.17388009503483781</v>
      </c>
      <c r="C79" s="22">
        <v>0.22732401564717275</v>
      </c>
      <c r="D79" s="15">
        <v>0.11452760696411139</v>
      </c>
    </row>
    <row r="80" spans="1:4" x14ac:dyDescent="0.25">
      <c r="A80" s="2">
        <v>78</v>
      </c>
      <c r="B80" s="22">
        <v>0.14184134602546689</v>
      </c>
      <c r="C80" s="22">
        <v>0.2505876637995243</v>
      </c>
      <c r="D80" s="15">
        <v>0.13635275438427921</v>
      </c>
    </row>
    <row r="81" spans="1:4" x14ac:dyDescent="0.25">
      <c r="A81" s="2">
        <v>79</v>
      </c>
      <c r="B81" s="22">
        <v>0.29267276376485818</v>
      </c>
      <c r="C81" s="22">
        <v>0.2395978607237339</v>
      </c>
      <c r="D81" s="15">
        <v>9.116476848721497E-2</v>
      </c>
    </row>
    <row r="82" spans="1:4" x14ac:dyDescent="0.25">
      <c r="A82" s="2">
        <v>80</v>
      </c>
      <c r="B82" s="22">
        <v>0.26944725215435034</v>
      </c>
      <c r="C82" s="22">
        <v>0.23287797383964048</v>
      </c>
      <c r="D82" s="15">
        <v>0.17515991441905482</v>
      </c>
    </row>
    <row r="83" spans="1:4" x14ac:dyDescent="0.25">
      <c r="A83" s="2">
        <v>81</v>
      </c>
      <c r="B83" s="22">
        <v>0.1840314328670502</v>
      </c>
      <c r="C83" s="22">
        <v>0.18435415700078003</v>
      </c>
      <c r="D83" s="15">
        <v>0.17800447419285789</v>
      </c>
    </row>
    <row r="84" spans="1:4" x14ac:dyDescent="0.25">
      <c r="A84" s="2">
        <v>82</v>
      </c>
      <c r="B84" s="22">
        <v>0.23084849715232858</v>
      </c>
      <c r="C84" s="22">
        <v>0.18599668592214585</v>
      </c>
      <c r="D84" s="15">
        <v>0.19026527255773534</v>
      </c>
    </row>
    <row r="85" spans="1:4" x14ac:dyDescent="0.25">
      <c r="A85" s="2">
        <v>83</v>
      </c>
      <c r="B85" s="22">
        <v>0.15403874777257437</v>
      </c>
      <c r="C85" s="22">
        <v>0.21916507482528677</v>
      </c>
      <c r="D85" s="15">
        <v>0.14110771156847463</v>
      </c>
    </row>
    <row r="86" spans="1:4" x14ac:dyDescent="0.25">
      <c r="A86" s="2">
        <v>84</v>
      </c>
      <c r="B86" s="22">
        <v>0.3232180282473564</v>
      </c>
      <c r="C86" s="22">
        <v>0.26041388511657726</v>
      </c>
      <c r="D86" s="15">
        <v>0.23427692204713818</v>
      </c>
    </row>
    <row r="87" spans="1:4" x14ac:dyDescent="0.25">
      <c r="A87" s="2">
        <v>85</v>
      </c>
      <c r="B87" s="22">
        <v>0.47798137217760095</v>
      </c>
      <c r="C87" s="22">
        <v>0.28295609951019279</v>
      </c>
      <c r="D87" s="15">
        <v>0.20464173406362543</v>
      </c>
    </row>
    <row r="88" spans="1:4" x14ac:dyDescent="0.25">
      <c r="A88" s="2">
        <v>86</v>
      </c>
      <c r="B88" s="22">
        <v>0.25580107159912596</v>
      </c>
      <c r="C88" s="22">
        <v>0.20063404738903051</v>
      </c>
      <c r="D88" s="15">
        <v>0.11342498399317238</v>
      </c>
    </row>
    <row r="89" spans="1:4" x14ac:dyDescent="0.25">
      <c r="A89" s="2">
        <v>87</v>
      </c>
      <c r="B89" s="22">
        <v>0.22169920504093171</v>
      </c>
      <c r="C89" s="22">
        <v>0.13758023795671753</v>
      </c>
      <c r="D89" s="15">
        <v>9.4459857372567235E-2</v>
      </c>
    </row>
    <row r="90" spans="1:4" x14ac:dyDescent="0.25">
      <c r="A90" s="2">
        <v>88</v>
      </c>
      <c r="B90" s="22">
        <v>0.22342058420181274</v>
      </c>
      <c r="C90" s="22">
        <v>0.12144354336196553</v>
      </c>
      <c r="D90" s="15">
        <v>0.10600133783882479</v>
      </c>
    </row>
    <row r="91" spans="1:4" x14ac:dyDescent="0.25">
      <c r="A91" s="2">
        <v>89</v>
      </c>
      <c r="B91" s="22">
        <v>0.16164620518684392</v>
      </c>
      <c r="C91" s="22">
        <v>0.11949284803122276</v>
      </c>
      <c r="D91" s="15">
        <v>7.9927841015160025E-2</v>
      </c>
    </row>
    <row r="92" spans="1:4" x14ac:dyDescent="0.25">
      <c r="A92" s="2">
        <v>90</v>
      </c>
      <c r="B92" s="22">
        <v>0.18376785516738883</v>
      </c>
      <c r="C92" s="22">
        <v>0.16465121619403372</v>
      </c>
      <c r="D92" s="15">
        <v>9.4271244481205996E-2</v>
      </c>
    </row>
    <row r="93" spans="1:4" x14ac:dyDescent="0.25">
      <c r="A93" s="2">
        <v>91</v>
      </c>
      <c r="B93" s="22">
        <v>0.34802629351615899</v>
      </c>
      <c r="C93" s="22">
        <v>0.21482319310307516</v>
      </c>
      <c r="D93" s="15">
        <v>0.13320310041308389</v>
      </c>
    </row>
    <row r="94" spans="1:4" x14ac:dyDescent="0.25">
      <c r="A94" s="2">
        <v>92</v>
      </c>
      <c r="B94" s="22">
        <v>0.23309766724705691</v>
      </c>
      <c r="C94" s="22">
        <v>0.18897129893302916</v>
      </c>
      <c r="D94" s="15">
        <v>9.085547551512721E-2</v>
      </c>
    </row>
    <row r="95" spans="1:4" x14ac:dyDescent="0.25">
      <c r="A95" s="2">
        <v>93</v>
      </c>
      <c r="B95" s="22">
        <v>0.11101117432117476</v>
      </c>
      <c r="C95" s="22">
        <v>0.15234162732958806</v>
      </c>
      <c r="D95" s="15">
        <v>8.3546813577413628E-2</v>
      </c>
    </row>
    <row r="96" spans="1:4" x14ac:dyDescent="0.25">
      <c r="A96" s="2">
        <v>94</v>
      </c>
      <c r="B96" s="22">
        <v>9.3607602268457366E-2</v>
      </c>
      <c r="C96" s="22">
        <v>0.15846704393625249</v>
      </c>
      <c r="D96" s="15">
        <v>8.8022080063819799E-2</v>
      </c>
    </row>
    <row r="97" spans="1:4" x14ac:dyDescent="0.25">
      <c r="A97" s="2">
        <v>95</v>
      </c>
      <c r="B97" s="22">
        <v>0.16448627859354026</v>
      </c>
      <c r="C97" s="22">
        <v>0.18533199504017822</v>
      </c>
      <c r="D97" s="15">
        <v>8.1663284450769452E-2</v>
      </c>
    </row>
    <row r="98" spans="1:4" x14ac:dyDescent="0.25">
      <c r="A98" s="2">
        <v>96</v>
      </c>
      <c r="B98" s="22">
        <v>0.33183847069740285</v>
      </c>
      <c r="C98" s="22">
        <v>0.1962091721594334</v>
      </c>
      <c r="D98" s="15">
        <v>0.17898737564682959</v>
      </c>
    </row>
    <row r="99" spans="1:4" x14ac:dyDescent="0.25">
      <c r="A99" s="2">
        <v>97</v>
      </c>
      <c r="B99" s="22">
        <v>0.10379062220454216</v>
      </c>
      <c r="C99" s="22">
        <v>0.15169732309877876</v>
      </c>
      <c r="D99" s="15">
        <v>9.745706282556052E-2</v>
      </c>
    </row>
    <row r="100" spans="1:4" x14ac:dyDescent="0.25">
      <c r="A100" s="2">
        <v>98</v>
      </c>
      <c r="B100" s="22">
        <v>0.12101895734667775</v>
      </c>
      <c r="C100" s="22">
        <v>0.10757349049672497</v>
      </c>
      <c r="D100" s="15">
        <v>8.4044411312788697E-2</v>
      </c>
    </row>
    <row r="101" spans="1:4" x14ac:dyDescent="0.25">
      <c r="A101" s="2">
        <v>99</v>
      </c>
      <c r="B101" s="22">
        <v>0.19453512132167816</v>
      </c>
      <c r="C101" s="22">
        <v>0.12815525904297845</v>
      </c>
      <c r="D101" s="15">
        <v>0.10453412830829616</v>
      </c>
    </row>
    <row r="102" spans="1:4" x14ac:dyDescent="0.25">
      <c r="A102" s="2">
        <v>100</v>
      </c>
      <c r="B102" s="22">
        <v>0.1635589316487312</v>
      </c>
      <c r="C102" s="22">
        <v>0.15664778649806971</v>
      </c>
      <c r="D102" s="15">
        <v>7.2705157101154091E-2</v>
      </c>
    </row>
    <row r="103" spans="1:4" x14ac:dyDescent="0.25">
      <c r="A103" s="2">
        <v>101</v>
      </c>
      <c r="B103" s="22">
        <v>0.21882432848215089</v>
      </c>
      <c r="C103" s="22">
        <v>0.16556366942822939</v>
      </c>
      <c r="D103" s="15">
        <v>9.3972196057438714E-2</v>
      </c>
    </row>
    <row r="104" spans="1:4" x14ac:dyDescent="0.25">
      <c r="A104" s="2">
        <v>102</v>
      </c>
      <c r="B104" s="22">
        <v>0.17096802331507208</v>
      </c>
      <c r="C104" s="22">
        <v>0.17178717106580738</v>
      </c>
      <c r="D104" s="15">
        <v>0.11573769412934776</v>
      </c>
    </row>
    <row r="105" spans="1:4" x14ac:dyDescent="0.25">
      <c r="A105" s="2">
        <v>103</v>
      </c>
      <c r="B105" s="22">
        <v>0.24063396006822591</v>
      </c>
      <c r="C105" s="22">
        <v>0.19717554003000259</v>
      </c>
      <c r="D105" s="15">
        <v>0.13628797233104689</v>
      </c>
    </row>
    <row r="106" spans="1:4" x14ac:dyDescent="0.25">
      <c r="A106" s="2">
        <v>104</v>
      </c>
      <c r="B106" s="22">
        <v>0.26005806326866149</v>
      </c>
      <c r="C106" s="22">
        <v>0.21324591785669331</v>
      </c>
      <c r="D106" s="15">
        <v>0.15139122754335416</v>
      </c>
    </row>
    <row r="107" spans="1:4" x14ac:dyDescent="0.25">
      <c r="A107" s="2">
        <v>105</v>
      </c>
      <c r="B107" s="22">
        <v>0.27774630188941962</v>
      </c>
      <c r="C107" s="22">
        <v>0.2162750735878943</v>
      </c>
      <c r="D107" s="15">
        <v>0.14322861582040786</v>
      </c>
    </row>
    <row r="108" spans="1:4" x14ac:dyDescent="0.25">
      <c r="A108" s="2">
        <v>106</v>
      </c>
      <c r="B108" s="22">
        <v>9.0463146567344679E-2</v>
      </c>
      <c r="C108" s="22">
        <v>0.19348954781889913</v>
      </c>
      <c r="D108" s="15">
        <v>0.16169713810086261</v>
      </c>
    </row>
    <row r="109" spans="1:4" x14ac:dyDescent="0.25">
      <c r="A109" s="2">
        <v>107</v>
      </c>
      <c r="B109" s="22">
        <v>0.2007034152746201</v>
      </c>
      <c r="C109" s="22">
        <v>0.20999115779995914</v>
      </c>
      <c r="D109" s="15">
        <v>0.12675003185868286</v>
      </c>
    </row>
    <row r="110" spans="1:4" x14ac:dyDescent="0.25">
      <c r="A110" s="2">
        <v>108</v>
      </c>
      <c r="B110" s="22">
        <v>0.26183088272809962</v>
      </c>
      <c r="C110" s="22">
        <v>0.21971091553568836</v>
      </c>
      <c r="D110" s="15">
        <v>0.10470618382096304</v>
      </c>
    </row>
    <row r="111" spans="1:4" x14ac:dyDescent="0.25">
      <c r="A111" s="2">
        <v>109</v>
      </c>
      <c r="B111" s="22">
        <v>0.17005111128091804</v>
      </c>
      <c r="C111" s="22">
        <v>0.15133138840610633</v>
      </c>
      <c r="D111" s="15">
        <v>9.9256095089367544E-2</v>
      </c>
    </row>
    <row r="112" spans="1:4" x14ac:dyDescent="0.25">
      <c r="A112" s="2">
        <v>110</v>
      </c>
      <c r="B112" s="22">
        <v>0.19005024135112752</v>
      </c>
      <c r="C112" s="22">
        <v>9.9973192438483363E-2</v>
      </c>
      <c r="D112" s="15">
        <v>9.8504205420613195E-2</v>
      </c>
    </row>
    <row r="113" spans="1:4" x14ac:dyDescent="0.25">
      <c r="A113" s="2">
        <v>111</v>
      </c>
      <c r="B113" s="22">
        <v>-2.6887946575880041E-2</v>
      </c>
      <c r="C113" s="22">
        <v>2.0126869529485791E-2</v>
      </c>
      <c r="D113" s="15">
        <v>0.26053638309240335</v>
      </c>
    </row>
    <row r="114" spans="1:4" x14ac:dyDescent="0.25">
      <c r="A114" s="2">
        <v>112</v>
      </c>
      <c r="B114" s="22">
        <v>-0.10508997589349747</v>
      </c>
      <c r="C114" s="22">
        <v>3.2325147092342479E-2</v>
      </c>
      <c r="D114" s="15">
        <v>0.23685771077871326</v>
      </c>
    </row>
    <row r="115" spans="1:4" x14ac:dyDescent="0.25">
      <c r="A115" s="2">
        <v>113</v>
      </c>
      <c r="B115" s="22">
        <v>0.16670153029262999</v>
      </c>
      <c r="C115" s="22">
        <v>0.1738118536770345</v>
      </c>
      <c r="D115" s="15">
        <v>8.5298191383481103E-2</v>
      </c>
    </row>
    <row r="116" spans="1:4" x14ac:dyDescent="0.25">
      <c r="A116" s="2">
        <v>114</v>
      </c>
      <c r="B116" s="22">
        <v>0.1607237339019775</v>
      </c>
      <c r="C116" s="22">
        <v>0.21305035799741739</v>
      </c>
      <c r="D116" s="15">
        <v>7.5385762751102481E-2</v>
      </c>
    </row>
    <row r="117" spans="1:4" x14ac:dyDescent="0.25">
      <c r="A117" s="2">
        <v>115</v>
      </c>
      <c r="B117" s="22">
        <v>0.2478659972548484</v>
      </c>
      <c r="C117" s="22">
        <v>0.21821046173572539</v>
      </c>
      <c r="D117" s="15">
        <v>7.52281963825224E-2</v>
      </c>
    </row>
    <row r="118" spans="1:4" x14ac:dyDescent="0.25">
      <c r="A118" s="2">
        <v>116</v>
      </c>
      <c r="B118" s="22">
        <v>0.15738449096679685</v>
      </c>
      <c r="C118" s="22">
        <v>0.20403025783598419</v>
      </c>
      <c r="D118" s="15">
        <v>8.884603418409831E-2</v>
      </c>
    </row>
    <row r="119" spans="1:4" x14ac:dyDescent="0.25">
      <c r="A119" s="2">
        <v>117</v>
      </c>
      <c r="B119" s="22">
        <v>0.18284779414534555</v>
      </c>
      <c r="C119" s="22">
        <v>0.15928735882043843</v>
      </c>
      <c r="D119" s="15">
        <v>4.4695208221673659E-2</v>
      </c>
    </row>
    <row r="120" spans="1:4" x14ac:dyDescent="0.25">
      <c r="A120" s="2">
        <v>118</v>
      </c>
      <c r="B120" s="22">
        <v>0.14238423891365531</v>
      </c>
      <c r="C120" s="22">
        <v>0.16998378783464435</v>
      </c>
      <c r="D120" s="15">
        <v>7.9820788279175908E-2</v>
      </c>
    </row>
    <row r="121" spans="1:4" x14ac:dyDescent="0.25">
      <c r="A121" s="2">
        <v>119</v>
      </c>
      <c r="B121" s="22">
        <v>0.26470263898372648</v>
      </c>
      <c r="C121" s="22">
        <v>0.19254846498370182</v>
      </c>
      <c r="D121" s="15">
        <v>8.4580511599779057E-2</v>
      </c>
    </row>
    <row r="122" spans="1:4" x14ac:dyDescent="0.25">
      <c r="A122" s="2">
        <v>120</v>
      </c>
      <c r="B122" s="22">
        <v>0.25714456215500825</v>
      </c>
      <c r="C122" s="22">
        <v>0.1937318973243238</v>
      </c>
      <c r="D122" s="15">
        <v>8.3694925904273826E-2</v>
      </c>
    </row>
    <row r="123" spans="1:4" x14ac:dyDescent="0.25">
      <c r="A123" s="2">
        <v>121</v>
      </c>
      <c r="B123" s="22">
        <v>0.17176997885107989</v>
      </c>
      <c r="C123" s="22">
        <v>0.17637658938765513</v>
      </c>
      <c r="D123" s="15">
        <v>8.1449511647224276E-2</v>
      </c>
    </row>
    <row r="124" spans="1:4" x14ac:dyDescent="0.25">
      <c r="A124" s="2">
        <v>122</v>
      </c>
      <c r="B124" s="22">
        <v>0.21606249213218676</v>
      </c>
      <c r="C124" s="22">
        <v>0.16775096803903586</v>
      </c>
      <c r="D124" s="15">
        <v>5.5682007968425665E-2</v>
      </c>
    </row>
    <row r="125" spans="1:4" x14ac:dyDescent="0.25">
      <c r="A125" s="2">
        <v>123</v>
      </c>
      <c r="B125" s="22">
        <v>0.20092846304178233</v>
      </c>
      <c r="C125" s="22">
        <v>0.16228870004415522</v>
      </c>
      <c r="D125" s="15">
        <v>6.7567896842956429E-2</v>
      </c>
    </row>
    <row r="126" spans="1:4" x14ac:dyDescent="0.25">
      <c r="A126" s="2">
        <v>124</v>
      </c>
      <c r="B126" s="22">
        <v>3.6219567805528631E-2</v>
      </c>
      <c r="C126" s="22">
        <v>0.16012282520532603</v>
      </c>
      <c r="D126" s="15">
        <v>0.1466618634760378</v>
      </c>
    </row>
    <row r="127" spans="1:4" x14ac:dyDescent="0.25">
      <c r="A127" s="2">
        <v>125</v>
      </c>
      <c r="B127" s="22">
        <v>0.17535551041364669</v>
      </c>
      <c r="C127" s="22">
        <v>0.18919904045760619</v>
      </c>
      <c r="D127" s="15">
        <v>0.1316091690212487</v>
      </c>
    </row>
    <row r="128" spans="1:4" x14ac:dyDescent="0.25">
      <c r="A128" s="2">
        <v>126</v>
      </c>
      <c r="B128" s="22">
        <v>0.31112214177846914</v>
      </c>
      <c r="C128" s="22">
        <v>0.22109170816838747</v>
      </c>
      <c r="D128" s="15">
        <v>0.15756477601826202</v>
      </c>
    </row>
    <row r="129" spans="1:4" x14ac:dyDescent="0.25">
      <c r="A129" s="2">
        <v>127</v>
      </c>
      <c r="B129" s="22">
        <v>0.18460002839565282</v>
      </c>
      <c r="C129" s="22">
        <v>0.14345992114394904</v>
      </c>
      <c r="D129" s="15">
        <v>0.19358478393405687</v>
      </c>
    </row>
    <row r="130" spans="1:4" x14ac:dyDescent="0.25">
      <c r="A130" s="2">
        <v>128</v>
      </c>
      <c r="B130" s="22">
        <v>-4.838966205716189E-3</v>
      </c>
      <c r="C130" s="22">
        <v>7.6874413341283768E-2</v>
      </c>
      <c r="D130" s="15">
        <v>0.15969354547560202</v>
      </c>
    </row>
    <row r="131" spans="1:4" x14ac:dyDescent="0.25">
      <c r="A131" s="2">
        <v>129</v>
      </c>
      <c r="B131" s="22">
        <v>0.17379116490483273</v>
      </c>
      <c r="C131" s="22">
        <v>9.2840930074453348E-2</v>
      </c>
      <c r="D131" s="15">
        <v>0.11367527991533259</v>
      </c>
    </row>
    <row r="132" spans="1:4" x14ac:dyDescent="0.25">
      <c r="A132" s="2">
        <v>130</v>
      </c>
      <c r="B132" s="22">
        <v>4.2606443911790762E-2</v>
      </c>
      <c r="C132" s="22">
        <v>4.2811345681548221E-2</v>
      </c>
      <c r="D132" s="15">
        <v>0.18252934329211695</v>
      </c>
    </row>
    <row r="133" spans="1:4" x14ac:dyDescent="0.25">
      <c r="A133" s="2">
        <v>131</v>
      </c>
      <c r="B133" s="22">
        <v>-0.15880393683910371</v>
      </c>
      <c r="C133" s="22">
        <v>5.196731463074683E-2</v>
      </c>
      <c r="D133" s="15">
        <v>0.30161433890461942</v>
      </c>
    </row>
    <row r="134" spans="1:4" x14ac:dyDescent="0.25">
      <c r="A134" s="2">
        <v>132</v>
      </c>
      <c r="B134" s="22">
        <v>0.16226481758058078</v>
      </c>
      <c r="C134" s="22">
        <v>0.18990178629755966</v>
      </c>
      <c r="D134" s="15">
        <v>0.1407099720090626</v>
      </c>
    </row>
    <row r="135" spans="1:4" x14ac:dyDescent="0.25">
      <c r="A135" s="2">
        <v>133</v>
      </c>
      <c r="B135" s="22">
        <v>0.21791003569960607</v>
      </c>
      <c r="C135" s="22">
        <v>0.24396365508437151</v>
      </c>
      <c r="D135" s="15">
        <v>0.17288574576377885</v>
      </c>
    </row>
    <row r="136" spans="1:4" x14ac:dyDescent="0.25">
      <c r="A136" s="2">
        <v>134</v>
      </c>
      <c r="B136" s="22">
        <v>0.28124090880155583</v>
      </c>
      <c r="C136" s="22">
        <v>0.23348065838217741</v>
      </c>
      <c r="D136" s="15">
        <v>9.3922502547502631E-2</v>
      </c>
    </row>
    <row r="137" spans="1:4" x14ac:dyDescent="0.25">
      <c r="A137" s="2">
        <v>135</v>
      </c>
      <c r="B137" s="22">
        <v>0.18541341461241242</v>
      </c>
      <c r="C137" s="22">
        <v>0.24575090818107137</v>
      </c>
      <c r="D137" s="15">
        <v>0.10953055992722516</v>
      </c>
    </row>
    <row r="138" spans="1:4" x14ac:dyDescent="0.25">
      <c r="A138" s="2">
        <v>136</v>
      </c>
      <c r="B138" s="22">
        <v>0.2111840859055519</v>
      </c>
      <c r="C138" s="22">
        <v>0.20182168669998651</v>
      </c>
      <c r="D138" s="15">
        <v>5.0062414631247595E-2</v>
      </c>
    </row>
    <row r="139" spans="1:4" x14ac:dyDescent="0.25">
      <c r="A139" s="2">
        <v>137</v>
      </c>
      <c r="B139" s="22">
        <v>0.14853098765015604</v>
      </c>
      <c r="C139" s="22">
        <v>0.17374797835946068</v>
      </c>
      <c r="D139" s="15">
        <v>5.2817155420780047E-2</v>
      </c>
    </row>
    <row r="140" spans="1:4" x14ac:dyDescent="0.25">
      <c r="A140" s="2">
        <v>138</v>
      </c>
      <c r="B140" s="22">
        <v>0.14349407441914069</v>
      </c>
      <c r="C140" s="22">
        <v>0.16533961072564121</v>
      </c>
      <c r="D140" s="15">
        <v>7.8817217424511851E-2</v>
      </c>
    </row>
    <row r="141" spans="1:4" x14ac:dyDescent="0.25">
      <c r="A141" s="2">
        <v>139</v>
      </c>
      <c r="B141" s="22">
        <v>0.24296055287122731</v>
      </c>
      <c r="C141" s="22">
        <v>0.18918630033731459</v>
      </c>
      <c r="D141" s="15">
        <v>6.6901837289333493E-2</v>
      </c>
    </row>
    <row r="142" spans="1:4" x14ac:dyDescent="0.25">
      <c r="A142" s="2">
        <v>140</v>
      </c>
      <c r="B142" s="22">
        <v>0.17990795560181136</v>
      </c>
      <c r="C142" s="22">
        <v>0.17741657644510272</v>
      </c>
      <c r="D142" s="15">
        <v>9.1102659329771934E-2</v>
      </c>
    </row>
    <row r="143" spans="1:4" x14ac:dyDescent="0.25">
      <c r="A143" s="2">
        <v>141</v>
      </c>
      <c r="B143" s="22">
        <v>0.14420206174254407</v>
      </c>
      <c r="C143" s="22">
        <v>0.13496437780559062</v>
      </c>
      <c r="D143" s="15">
        <v>4.895588047802453E-2</v>
      </c>
    </row>
    <row r="144" spans="1:4" x14ac:dyDescent="0.25">
      <c r="A144" s="2">
        <v>142</v>
      </c>
      <c r="B144" s="22">
        <v>0.17154826223850256</v>
      </c>
      <c r="C144" s="22">
        <v>0.14239465855062014</v>
      </c>
      <c r="D144" s="15">
        <v>7.3878753557801394E-2</v>
      </c>
    </row>
    <row r="145" spans="1:4" x14ac:dyDescent="0.25">
      <c r="A145" s="2">
        <v>143</v>
      </c>
      <c r="B145" s="22">
        <v>0.15538635253906247</v>
      </c>
      <c r="C145" s="22">
        <v>0.15030551273375747</v>
      </c>
      <c r="D145" s="15">
        <v>6.6180563159286873E-2</v>
      </c>
    </row>
    <row r="146" spans="1:4" x14ac:dyDescent="0.25">
      <c r="A146" s="2">
        <v>144</v>
      </c>
      <c r="B146" s="22">
        <v>0.22596488520503027</v>
      </c>
      <c r="C146" s="22">
        <v>0.13139767376705999</v>
      </c>
      <c r="D146" s="15">
        <v>0.11203755335882279</v>
      </c>
    </row>
    <row r="147" spans="1:4" x14ac:dyDescent="0.25">
      <c r="A147" s="2">
        <v>145</v>
      </c>
      <c r="B147" s="22">
        <v>0.24572428911924366</v>
      </c>
      <c r="C147" s="22">
        <v>0.10169432433322079</v>
      </c>
      <c r="D147" s="15">
        <v>0.14402996478602287</v>
      </c>
    </row>
    <row r="148" spans="1:4" x14ac:dyDescent="0.25">
      <c r="A148" s="2">
        <v>146</v>
      </c>
      <c r="B148" s="22">
        <v>0.12714658454060554</v>
      </c>
      <c r="C148" s="22">
        <v>7.7507014572620422E-2</v>
      </c>
      <c r="D148" s="15">
        <v>8.5641580820083454E-2</v>
      </c>
    </row>
    <row r="149" spans="1:4" x14ac:dyDescent="0.25">
      <c r="A149" s="2">
        <v>147</v>
      </c>
      <c r="B149" s="22">
        <v>8.532388061285015E-2</v>
      </c>
      <c r="C149" s="22">
        <v>0.10487280404195183</v>
      </c>
      <c r="D149" s="15">
        <v>6.6316574905067649E-2</v>
      </c>
    </row>
    <row r="150" spans="1:4" x14ac:dyDescent="0.25">
      <c r="A150" s="2">
        <v>148</v>
      </c>
      <c r="B150" s="22">
        <v>0.13265927582979195</v>
      </c>
      <c r="C150" s="22">
        <v>0.18233195841312394</v>
      </c>
      <c r="D150" s="15">
        <v>8.1282706558704398E-2</v>
      </c>
    </row>
    <row r="151" spans="1:4" x14ac:dyDescent="0.25">
      <c r="A151" s="2">
        <v>149</v>
      </c>
      <c r="B151" s="22">
        <v>0.30995455980300907</v>
      </c>
      <c r="C151" s="22">
        <v>0.23266412094235425</v>
      </c>
      <c r="D151" s="15">
        <v>0.18593068048357969</v>
      </c>
    </row>
    <row r="152" spans="1:4" x14ac:dyDescent="0.25">
      <c r="A152" s="2">
        <v>150</v>
      </c>
      <c r="B152" s="22">
        <v>0.26153492778539639</v>
      </c>
      <c r="C152" s="22">
        <v>0.2469713360071181</v>
      </c>
      <c r="D152" s="15">
        <v>0.11139995604753491</v>
      </c>
    </row>
    <row r="153" spans="1:4" x14ac:dyDescent="0.25">
      <c r="A153" s="2">
        <v>151</v>
      </c>
      <c r="B153" s="22">
        <v>0.24268070012331</v>
      </c>
      <c r="C153" s="22">
        <v>0.2544075354933738</v>
      </c>
      <c r="D153" s="15">
        <v>0.13268955945968611</v>
      </c>
    </row>
    <row r="154" spans="1:4" x14ac:dyDescent="0.25">
      <c r="A154" s="2">
        <v>152</v>
      </c>
      <c r="B154" s="22">
        <v>0.25666237324476232</v>
      </c>
      <c r="C154" s="22">
        <v>0.22306078076362615</v>
      </c>
      <c r="D154" s="15">
        <v>0.10603360086679463</v>
      </c>
    </row>
    <row r="155" spans="1:4" x14ac:dyDescent="0.25">
      <c r="A155" s="2">
        <v>153</v>
      </c>
      <c r="B155" s="22">
        <v>0.20431917607784267</v>
      </c>
      <c r="C155" s="22">
        <v>0.11226539202034469</v>
      </c>
      <c r="D155" s="15">
        <v>0.17646150700747948</v>
      </c>
    </row>
    <row r="156" spans="1:4" x14ac:dyDescent="0.25">
      <c r="A156" s="2">
        <v>154</v>
      </c>
      <c r="B156" s="22">
        <v>4.6621613949537219E-2</v>
      </c>
      <c r="C156" s="22">
        <v>2.1936565823853026E-2</v>
      </c>
      <c r="D156" s="15">
        <v>0.17203251775354161</v>
      </c>
    </row>
    <row r="157" spans="1:4" x14ac:dyDescent="0.25">
      <c r="A157" s="2">
        <v>155</v>
      </c>
      <c r="B157" s="22">
        <v>-0.14553521275520323</v>
      </c>
      <c r="C157" s="22">
        <v>-4.1313283890485733E-2</v>
      </c>
      <c r="D157" s="15">
        <v>0.2384795390069486</v>
      </c>
    </row>
    <row r="158" spans="1:4" x14ac:dyDescent="0.25">
      <c r="A158" s="2">
        <v>156</v>
      </c>
      <c r="B158" s="22">
        <v>8.9465714991086365E-4</v>
      </c>
      <c r="C158" s="22">
        <v>7.9068243503562234E-4</v>
      </c>
      <c r="D158" s="15">
        <v>0.24968308843672266</v>
      </c>
    </row>
    <row r="159" spans="1:4" x14ac:dyDescent="0.25">
      <c r="A159" s="2">
        <v>157</v>
      </c>
      <c r="B159" s="22">
        <v>0.19186359867453553</v>
      </c>
      <c r="C159" s="22">
        <v>0.15474248770624405</v>
      </c>
      <c r="D159" s="15">
        <v>9.2941020242869835E-2</v>
      </c>
    </row>
    <row r="160" spans="1:4" x14ac:dyDescent="0.25">
      <c r="A160" s="2">
        <v>158</v>
      </c>
      <c r="B160" s="22">
        <v>0.18605728223919879</v>
      </c>
      <c r="C160" s="22">
        <v>0.19385228529572476</v>
      </c>
      <c r="D160" s="15">
        <v>5.1165869832038788E-2</v>
      </c>
    </row>
    <row r="161" spans="1:4" x14ac:dyDescent="0.25">
      <c r="A161" s="2">
        <v>159</v>
      </c>
      <c r="B161" s="22">
        <v>0.14110977500677116</v>
      </c>
      <c r="C161" s="22">
        <v>0.21827280223369588</v>
      </c>
      <c r="D161" s="15">
        <v>0.11095541864633554</v>
      </c>
    </row>
    <row r="162" spans="1:4" x14ac:dyDescent="0.25">
      <c r="A162" s="2">
        <v>160</v>
      </c>
      <c r="B162" s="22">
        <v>0.34267819300293922</v>
      </c>
      <c r="C162" s="22">
        <v>0.28078482933342475</v>
      </c>
      <c r="D162" s="15">
        <v>0.18137835077941405</v>
      </c>
    </row>
    <row r="163" spans="1:4" x14ac:dyDescent="0.25">
      <c r="A163" s="2">
        <v>161</v>
      </c>
      <c r="B163" s="22">
        <v>0.41868834942579258</v>
      </c>
      <c r="C163" s="22">
        <v>0.2775102455168964</v>
      </c>
      <c r="D163" s="15">
        <v>0.17018046639859649</v>
      </c>
    </row>
    <row r="164" spans="1:4" x14ac:dyDescent="0.25">
      <c r="A164" s="2">
        <v>162</v>
      </c>
      <c r="B164" s="22">
        <v>0.12409289851784713</v>
      </c>
      <c r="C164" s="22">
        <v>0.15806001126766214</v>
      </c>
      <c r="D164" s="15">
        <v>0.143382490426302</v>
      </c>
    </row>
    <row r="165" spans="1:4" x14ac:dyDescent="0.25">
      <c r="A165" s="2">
        <v>163</v>
      </c>
      <c r="B165" s="22">
        <v>6.4692239463329401E-2</v>
      </c>
      <c r="C165" s="22">
        <v>8.8543159374967234E-2</v>
      </c>
      <c r="D165" s="15">
        <v>0.12933409302495424</v>
      </c>
    </row>
    <row r="166" spans="1:4" x14ac:dyDescent="0.25">
      <c r="A166" s="2">
        <v>164</v>
      </c>
      <c r="B166" s="22">
        <v>0.12843241915106782</v>
      </c>
      <c r="C166" s="22">
        <v>0.10944772325456147</v>
      </c>
      <c r="D166" s="15">
        <v>0.1478678103536368</v>
      </c>
    </row>
    <row r="167" spans="1:4" x14ac:dyDescent="0.25">
      <c r="A167" s="2">
        <v>165</v>
      </c>
      <c r="B167" s="22">
        <v>0.25632176697254183</v>
      </c>
      <c r="C167" s="22">
        <v>0.1361674890853464</v>
      </c>
      <c r="D167" s="15">
        <v>0.13680612882599244</v>
      </c>
    </row>
    <row r="168" spans="1:4" x14ac:dyDescent="0.25">
      <c r="A168" s="2">
        <v>166</v>
      </c>
      <c r="B168" s="22">
        <v>0.16929129958152764</v>
      </c>
      <c r="C168" s="22">
        <v>0.12249699197709567</v>
      </c>
      <c r="D168" s="15">
        <v>0.14686916805803771</v>
      </c>
    </row>
    <row r="169" spans="1:4" x14ac:dyDescent="0.25">
      <c r="A169" s="2">
        <v>167</v>
      </c>
      <c r="B169" s="22">
        <v>6.9304553419351489E-2</v>
      </c>
      <c r="C169" s="22">
        <v>9.1637082677334475E-2</v>
      </c>
      <c r="D169" s="15">
        <v>0.11136336391791697</v>
      </c>
    </row>
    <row r="170" spans="1:4" x14ac:dyDescent="0.25">
      <c r="A170" s="2">
        <v>168</v>
      </c>
      <c r="B170" s="22">
        <v>0.15097482204437257</v>
      </c>
      <c r="C170" s="22">
        <v>0.12344644255936141</v>
      </c>
      <c r="D170" s="15">
        <v>0.1332063626497984</v>
      </c>
    </row>
    <row r="171" spans="1:4" x14ac:dyDescent="0.25">
      <c r="A171" s="2">
        <v>169</v>
      </c>
      <c r="B171" s="22">
        <v>0.16412921324372284</v>
      </c>
      <c r="C171" s="22">
        <v>0.14830874204635619</v>
      </c>
      <c r="D171" s="15">
        <v>8.2765791565180047E-2</v>
      </c>
    </row>
    <row r="172" spans="1:4" x14ac:dyDescent="0.25">
      <c r="A172" s="2">
        <v>170</v>
      </c>
      <c r="B172" s="22">
        <v>0.14209399372339249</v>
      </c>
      <c r="C172" s="22">
        <v>0.13849610313773147</v>
      </c>
      <c r="D172" s="15">
        <v>8.6878993362188406E-2</v>
      </c>
    </row>
    <row r="173" spans="1:4" x14ac:dyDescent="0.25">
      <c r="A173" s="2">
        <v>171</v>
      </c>
      <c r="B173" s="22">
        <v>0.14832549244165422</v>
      </c>
      <c r="C173" s="22">
        <v>0.13188239848241207</v>
      </c>
      <c r="D173" s="15">
        <v>5.5642792303115217E-2</v>
      </c>
    </row>
    <row r="174" spans="1:4" x14ac:dyDescent="0.25">
      <c r="A174" s="2">
        <v>172</v>
      </c>
      <c r="B174" s="22">
        <v>0.13457085564732557</v>
      </c>
      <c r="C174" s="22">
        <v>0.15065971091389652</v>
      </c>
      <c r="D174" s="15">
        <v>0.10952951759099967</v>
      </c>
    </row>
    <row r="175" spans="1:4" x14ac:dyDescent="0.25">
      <c r="A175" s="2">
        <v>173</v>
      </c>
      <c r="B175" s="22">
        <v>0.23929394558072095</v>
      </c>
      <c r="C175" s="22">
        <v>0.18944155275821689</v>
      </c>
      <c r="D175" s="15">
        <v>0.14861099347472181</v>
      </c>
    </row>
    <row r="176" spans="1:4" x14ac:dyDescent="0.25">
      <c r="A176" s="2">
        <v>174</v>
      </c>
      <c r="B176" s="22">
        <v>0.23770371824502945</v>
      </c>
      <c r="C176" s="22">
        <v>0.2116301506757737</v>
      </c>
      <c r="D176" s="15">
        <v>0.1893895879387858</v>
      </c>
    </row>
    <row r="177" spans="1:4" x14ac:dyDescent="0.25">
      <c r="A177" s="2">
        <v>175</v>
      </c>
      <c r="B177" s="22">
        <v>5.1971638202667071E-2</v>
      </c>
      <c r="C177" s="22">
        <v>0.20193670839071279</v>
      </c>
      <c r="D177" s="15">
        <v>0.20509939938783656</v>
      </c>
    </row>
    <row r="178" spans="1:4" x14ac:dyDescent="0.25">
      <c r="A178" s="2">
        <v>176</v>
      </c>
      <c r="B178" s="22">
        <v>0.31852980405092252</v>
      </c>
      <c r="C178" s="22">
        <v>0.22006583809852601</v>
      </c>
      <c r="D178" s="15">
        <v>0.1842368647456169</v>
      </c>
    </row>
    <row r="179" spans="1:4" x14ac:dyDescent="0.25">
      <c r="A179" s="2">
        <v>177</v>
      </c>
      <c r="B179" s="22">
        <v>0.21300525516271582</v>
      </c>
      <c r="C179" s="22">
        <v>0.21371297240257273</v>
      </c>
      <c r="D179" s="15">
        <v>9.2864842712879161E-2</v>
      </c>
    </row>
    <row r="180" spans="1:4" x14ac:dyDescent="0.25">
      <c r="A180" s="2">
        <v>178</v>
      </c>
      <c r="B180" s="22">
        <v>0.16971375867724411</v>
      </c>
      <c r="C180" s="22">
        <v>0.15138889476656908</v>
      </c>
      <c r="D180" s="15">
        <v>0.11068421304225917</v>
      </c>
    </row>
    <row r="181" spans="1:4" x14ac:dyDescent="0.25">
      <c r="A181" s="2">
        <v>179</v>
      </c>
      <c r="B181" s="22">
        <v>0.11596509665250758</v>
      </c>
      <c r="C181" s="22">
        <v>0.10943485349416734</v>
      </c>
      <c r="D181" s="15">
        <v>0.11396501660346976</v>
      </c>
    </row>
    <row r="182" spans="1:4" x14ac:dyDescent="0.25">
      <c r="A182" s="2">
        <v>180</v>
      </c>
      <c r="B182" s="22">
        <v>-8.0035748332738896E-2</v>
      </c>
      <c r="C182" s="22">
        <v>9.970987085253008E-2</v>
      </c>
      <c r="D182" s="15">
        <v>0.26946943532675521</v>
      </c>
    </row>
    <row r="183" spans="1:4" x14ac:dyDescent="0.25">
      <c r="A183" s="2">
        <v>181</v>
      </c>
      <c r="B183" s="22">
        <v>0.22155175842344771</v>
      </c>
      <c r="C183" s="22">
        <v>0.11812834646552794</v>
      </c>
      <c r="D183" s="15">
        <v>0.16680418383330106</v>
      </c>
    </row>
    <row r="184" spans="1:4" x14ac:dyDescent="0.25">
      <c r="A184" s="2">
        <v>182</v>
      </c>
      <c r="B184" s="22">
        <v>0.21233664751052869</v>
      </c>
      <c r="C184" s="22">
        <v>0.16065682424232353</v>
      </c>
      <c r="D184" s="15">
        <v>7.9854874033481127E-2</v>
      </c>
    </row>
    <row r="185" spans="1:4" x14ac:dyDescent="0.25">
      <c r="A185" s="2">
        <v>183</v>
      </c>
      <c r="B185" s="22">
        <v>0.14476697295904151</v>
      </c>
      <c r="C185" s="22">
        <v>0.16978827863931667</v>
      </c>
      <c r="D185" s="15">
        <v>9.8921035230159632E-2</v>
      </c>
    </row>
    <row r="186" spans="1:4" x14ac:dyDescent="0.25">
      <c r="A186" s="2">
        <v>184</v>
      </c>
      <c r="B186" s="22">
        <v>0.14799047112464905</v>
      </c>
      <c r="C186" s="22">
        <v>0.16460629478096958</v>
      </c>
      <c r="D186" s="15">
        <v>7.0681967586279065E-2</v>
      </c>
    </row>
    <row r="187" spans="1:4" x14ac:dyDescent="0.25">
      <c r="A187" s="2">
        <v>185</v>
      </c>
      <c r="B187" s="22">
        <v>0.12541690021753321</v>
      </c>
      <c r="C187" s="22">
        <v>0.18143739402294162</v>
      </c>
      <c r="D187" s="15">
        <v>6.6365869343280787E-2</v>
      </c>
    </row>
    <row r="188" spans="1:4" x14ac:dyDescent="0.25">
      <c r="A188" s="2">
        <v>186</v>
      </c>
      <c r="B188" s="22">
        <v>0.19457524940371518</v>
      </c>
      <c r="C188" s="22">
        <v>0.19628225639462463</v>
      </c>
      <c r="D188" s="15">
        <v>6.5019339323043754E-2</v>
      </c>
    </row>
    <row r="189" spans="1:4" x14ac:dyDescent="0.25">
      <c r="A189" s="2">
        <v>187</v>
      </c>
      <c r="B189" s="22">
        <v>0.15323528796434402</v>
      </c>
      <c r="C189" s="22">
        <v>0.19541968703269971</v>
      </c>
      <c r="D189" s="15">
        <v>5.618295967578886E-2</v>
      </c>
    </row>
    <row r="190" spans="1:4" x14ac:dyDescent="0.25">
      <c r="A190" s="2">
        <v>188</v>
      </c>
      <c r="B190" s="22">
        <v>0.19230919331312185</v>
      </c>
      <c r="C190" s="22">
        <v>0.20123451426625261</v>
      </c>
      <c r="D190" s="15">
        <v>5.3354253619909309E-2</v>
      </c>
    </row>
    <row r="191" spans="1:4" x14ac:dyDescent="0.25">
      <c r="A191" s="2">
        <v>189</v>
      </c>
      <c r="B191" s="22">
        <v>0.25525552034378057</v>
      </c>
      <c r="C191" s="22">
        <v>0.20732328519225121</v>
      </c>
      <c r="D191" s="15">
        <v>7.5681061297655158E-2</v>
      </c>
    </row>
    <row r="192" spans="1:4" x14ac:dyDescent="0.25">
      <c r="A192" s="2">
        <v>190</v>
      </c>
      <c r="B192" s="22">
        <v>0.20492435097694414</v>
      </c>
      <c r="C192" s="22">
        <v>0.17320931479334822</v>
      </c>
      <c r="D192" s="15">
        <v>5.8231852203607694E-2</v>
      </c>
    </row>
    <row r="193" spans="1:4" x14ac:dyDescent="0.25">
      <c r="A193" s="2">
        <v>191</v>
      </c>
      <c r="B193" s="22">
        <v>0.14408044293522837</v>
      </c>
      <c r="C193" s="22">
        <v>0.13147419868037108</v>
      </c>
      <c r="D193" s="15">
        <v>5.4143489804118893E-2</v>
      </c>
    </row>
    <row r="194" spans="1:4" x14ac:dyDescent="0.25">
      <c r="A194" s="2">
        <v>192</v>
      </c>
      <c r="B194" s="22">
        <v>0.19500392824411375</v>
      </c>
      <c r="C194" s="22">
        <v>0.1121351581532509</v>
      </c>
      <c r="D194" s="15">
        <v>9.0641403524205272E-2</v>
      </c>
    </row>
    <row r="195" spans="1:4" x14ac:dyDescent="0.25">
      <c r="A195" s="2">
        <v>193</v>
      </c>
      <c r="B195" s="22">
        <v>0.12825816981494428</v>
      </c>
      <c r="C195" s="22">
        <v>0.10947352740913636</v>
      </c>
      <c r="D195" s="15">
        <v>0.10199639294296478</v>
      </c>
    </row>
    <row r="196" spans="1:4" x14ac:dyDescent="0.25">
      <c r="A196" s="2">
        <v>194</v>
      </c>
      <c r="B196" s="22">
        <v>0.13911723047494881</v>
      </c>
      <c r="C196" s="22">
        <v>0.14879996702074993</v>
      </c>
      <c r="D196" s="15">
        <v>0.13998061642050758</v>
      </c>
    </row>
    <row r="197" spans="1:4" x14ac:dyDescent="0.25">
      <c r="A197" s="2">
        <v>195</v>
      </c>
      <c r="B197" s="22">
        <v>0.12751017995178698</v>
      </c>
      <c r="C197" s="22">
        <v>0.1987371779978275</v>
      </c>
      <c r="D197" s="15">
        <v>0.1271511573344469</v>
      </c>
    </row>
    <row r="198" spans="1:4" x14ac:dyDescent="0.25">
      <c r="A198" s="2">
        <v>196</v>
      </c>
      <c r="B198" s="22">
        <v>0.26902108490467069</v>
      </c>
      <c r="C198" s="22">
        <v>0.23589719608426113</v>
      </c>
      <c r="D198" s="15">
        <v>0.13293625488877306</v>
      </c>
    </row>
    <row r="199" spans="1:4" x14ac:dyDescent="0.25">
      <c r="A199" s="2">
        <v>197</v>
      </c>
      <c r="B199" s="22">
        <v>0.26843940466642385</v>
      </c>
      <c r="C199" s="22">
        <v>0.25167242810130119</v>
      </c>
      <c r="D199" s="15">
        <v>0.14161142036318788</v>
      </c>
    </row>
    <row r="200" spans="1:4" x14ac:dyDescent="0.25">
      <c r="A200" s="2">
        <v>198</v>
      </c>
      <c r="B200" s="22">
        <v>0.14154174774885167</v>
      </c>
      <c r="C200" s="22">
        <v>0.21142047196626662</v>
      </c>
      <c r="D200" s="15">
        <v>0.160536041855812</v>
      </c>
    </row>
    <row r="201" spans="1:4" x14ac:dyDescent="0.25">
      <c r="A201" s="2">
        <v>199</v>
      </c>
      <c r="B201" s="22">
        <v>0.18517639786005016</v>
      </c>
      <c r="C201" s="22">
        <v>0.14413527064025403</v>
      </c>
      <c r="D201" s="15">
        <v>0.12673765234649204</v>
      </c>
    </row>
    <row r="202" spans="1:4" x14ac:dyDescent="0.25">
      <c r="A202" s="2">
        <v>200</v>
      </c>
      <c r="B202" s="22">
        <v>0.10021886304020866</v>
      </c>
      <c r="C202" s="22">
        <v>9.0419354476034663E-2</v>
      </c>
      <c r="D202" s="15">
        <v>6.2156841345131331E-2</v>
      </c>
    </row>
    <row r="203" spans="1:4" x14ac:dyDescent="0.25">
      <c r="A203" s="2">
        <v>201</v>
      </c>
      <c r="B203" s="22">
        <v>0.14384528174996378</v>
      </c>
      <c r="C203" s="22">
        <v>8.346472643315786E-2</v>
      </c>
      <c r="D203" s="15">
        <v>8.147799782454973E-2</v>
      </c>
    </row>
    <row r="204" spans="1:4" x14ac:dyDescent="0.25">
      <c r="A204" s="2">
        <v>202</v>
      </c>
      <c r="B204" s="22">
        <v>0.11785717532038689</v>
      </c>
      <c r="C204" s="22">
        <v>0.10963770803064096</v>
      </c>
      <c r="D204" s="15">
        <v>7.2949089296162006E-2</v>
      </c>
    </row>
    <row r="205" spans="1:4" x14ac:dyDescent="0.25">
      <c r="A205" s="2">
        <v>203</v>
      </c>
      <c r="B205" s="22">
        <v>0.12359821721911426</v>
      </c>
      <c r="C205" s="22">
        <v>0.16796590276062484</v>
      </c>
      <c r="D205" s="15">
        <v>0.14256524331867701</v>
      </c>
    </row>
    <row r="206" spans="1:4" x14ac:dyDescent="0.25">
      <c r="A206" s="2">
        <v>204</v>
      </c>
      <c r="B206" s="22">
        <v>0.1682729497551918</v>
      </c>
      <c r="C206" s="22">
        <v>0.21754017323255539</v>
      </c>
      <c r="D206" s="15">
        <v>6.6257140040397566E-2</v>
      </c>
    </row>
    <row r="207" spans="1:4" x14ac:dyDescent="0.25">
      <c r="A207" s="2">
        <v>205</v>
      </c>
      <c r="B207" s="22">
        <v>0.21966247782111167</v>
      </c>
      <c r="C207" s="22">
        <v>0.23607776090502736</v>
      </c>
      <c r="D207" s="15">
        <v>7.1088701486587524E-2</v>
      </c>
    </row>
    <row r="208" spans="1:4" x14ac:dyDescent="0.25">
      <c r="A208" s="2">
        <v>206</v>
      </c>
      <c r="B208" s="22">
        <v>0.18966386392712584</v>
      </c>
      <c r="C208" s="22">
        <v>0.22353284843266011</v>
      </c>
      <c r="D208" s="15">
        <v>4.8368446156382632E-2</v>
      </c>
    </row>
    <row r="209" spans="1:4" x14ac:dyDescent="0.25">
      <c r="A209" s="2">
        <v>207</v>
      </c>
      <c r="B209" s="22">
        <v>0.1732002578675747</v>
      </c>
      <c r="C209" s="22">
        <v>0.18319959938526159</v>
      </c>
      <c r="D209" s="15">
        <v>5.2749819308519276E-2</v>
      </c>
    </row>
    <row r="210" spans="1:4" x14ac:dyDescent="0.25">
      <c r="A210" s="2">
        <v>208</v>
      </c>
      <c r="B210" s="22">
        <v>1.3523718714713978E-2</v>
      </c>
      <c r="C210" s="22">
        <v>0.14660583958029741</v>
      </c>
      <c r="D210" s="15">
        <v>0.1809756122529505</v>
      </c>
    </row>
    <row r="211" spans="1:4" x14ac:dyDescent="0.25">
      <c r="A211" s="2">
        <v>209</v>
      </c>
      <c r="B211" s="22">
        <v>0.18798099420964709</v>
      </c>
      <c r="C211" s="22">
        <v>0.14891468957066539</v>
      </c>
      <c r="D211" s="15">
        <v>8.4447973594069442E-2</v>
      </c>
    </row>
    <row r="212" spans="1:4" x14ac:dyDescent="0.25">
      <c r="A212" s="2">
        <v>210</v>
      </c>
      <c r="B212" s="22">
        <v>0.17165982984006395</v>
      </c>
      <c r="C212" s="22">
        <v>0.16778702437877663</v>
      </c>
      <c r="D212" s="15">
        <v>4.3982919678091974E-2</v>
      </c>
    </row>
    <row r="213" spans="1:4" x14ac:dyDescent="0.25">
      <c r="A213" s="2">
        <v>211</v>
      </c>
      <c r="B213" s="22">
        <v>0.17587187290191644</v>
      </c>
      <c r="C213" s="22">
        <v>0.1618511954322458</v>
      </c>
      <c r="D213" s="15">
        <v>4.7098388336598782E-2</v>
      </c>
    </row>
    <row r="214" spans="1:4" x14ac:dyDescent="0.25">
      <c r="A214" s="2">
        <v>212</v>
      </c>
      <c r="B214" s="22">
        <v>0.14173342771828168</v>
      </c>
      <c r="C214" s="22">
        <v>0.16909779049456125</v>
      </c>
      <c r="D214" s="15">
        <v>7.0760416984558178E-2</v>
      </c>
    </row>
    <row r="215" spans="1:4" x14ac:dyDescent="0.25">
      <c r="A215" s="2">
        <v>213</v>
      </c>
      <c r="B215" s="22">
        <v>0.22159595005214211</v>
      </c>
      <c r="C215" s="22">
        <v>0.18677382580935956</v>
      </c>
      <c r="D215" s="15">
        <v>5.916579961776719E-2</v>
      </c>
    </row>
    <row r="216" spans="1:4" x14ac:dyDescent="0.25">
      <c r="A216" s="2">
        <v>214</v>
      </c>
      <c r="B216" s="22">
        <v>0.21203895434737211</v>
      </c>
      <c r="C216" s="22">
        <v>0.17790556810796262</v>
      </c>
      <c r="D216" s="15">
        <v>5.0922450050711665E-2</v>
      </c>
    </row>
    <row r="217" spans="1:4" x14ac:dyDescent="0.25">
      <c r="A217" s="2">
        <v>215</v>
      </c>
      <c r="B217" s="22">
        <v>0.17207635231316093</v>
      </c>
      <c r="C217" s="22">
        <v>0.17297365590929972</v>
      </c>
      <c r="D217" s="15">
        <v>6.4932580664753964E-2</v>
      </c>
    </row>
    <row r="218" spans="1:4" x14ac:dyDescent="0.25">
      <c r="A218" s="2">
        <v>216</v>
      </c>
      <c r="B218" s="22">
        <v>0.18331841863691814</v>
      </c>
      <c r="C218" s="22">
        <v>0.19840237572789193</v>
      </c>
      <c r="D218" s="15">
        <v>0.12164135314524158</v>
      </c>
    </row>
    <row r="219" spans="1:4" x14ac:dyDescent="0.25">
      <c r="A219" s="2">
        <v>217</v>
      </c>
      <c r="B219" s="22">
        <v>0.33359755128622082</v>
      </c>
      <c r="C219" s="22">
        <v>0.22154377847909917</v>
      </c>
      <c r="D219" s="15">
        <v>0.15014892518520381</v>
      </c>
    </row>
    <row r="220" spans="1:4" x14ac:dyDescent="0.25">
      <c r="A220" s="2">
        <v>218</v>
      </c>
      <c r="B220" s="22">
        <v>0.19774243757128721</v>
      </c>
      <c r="C220" s="22">
        <v>0.22000824138522135</v>
      </c>
      <c r="D220" s="15">
        <v>0.14620937183499325</v>
      </c>
    </row>
    <row r="221" spans="1:4" x14ac:dyDescent="0.25">
      <c r="A221" s="2">
        <v>219</v>
      </c>
      <c r="B221" s="22">
        <v>0.17493435963988296</v>
      </c>
      <c r="C221" s="22">
        <v>0.21718376949429508</v>
      </c>
      <c r="D221" s="15">
        <v>5.6412944197654732E-2</v>
      </c>
    </row>
    <row r="222" spans="1:4" x14ac:dyDescent="0.25">
      <c r="A222" s="2">
        <v>220</v>
      </c>
      <c r="B222" s="22">
        <v>0.29304294064641001</v>
      </c>
      <c r="C222" s="22">
        <v>0.22438860088586798</v>
      </c>
      <c r="D222" s="15">
        <v>0.12692433372139938</v>
      </c>
    </row>
    <row r="223" spans="1:4" x14ac:dyDescent="0.25">
      <c r="A223" s="2">
        <v>221</v>
      </c>
      <c r="B223" s="22">
        <v>0.2066050902009009</v>
      </c>
      <c r="C223" s="22">
        <v>0.20159220322966559</v>
      </c>
      <c r="D223" s="15">
        <v>0.16542474702000631</v>
      </c>
    </row>
    <row r="224" spans="1:4" x14ac:dyDescent="0.25">
      <c r="A224" s="2">
        <v>222</v>
      </c>
      <c r="B224" s="22">
        <v>0.1470598816871643</v>
      </c>
      <c r="C224" s="22">
        <v>0.16147334426641463</v>
      </c>
      <c r="D224" s="15">
        <v>6.623535752296443E-2</v>
      </c>
    </row>
    <row r="225" spans="1:4" x14ac:dyDescent="0.25">
      <c r="A225" s="2">
        <v>223</v>
      </c>
      <c r="B225" s="22">
        <v>0.22349511757493024</v>
      </c>
      <c r="C225" s="22">
        <v>0.17834047861397262</v>
      </c>
      <c r="D225" s="15">
        <v>6.0992469266057024E-2</v>
      </c>
    </row>
    <row r="226" spans="1:4" x14ac:dyDescent="0.25">
      <c r="A226" s="2">
        <v>224</v>
      </c>
      <c r="B226" s="22">
        <v>0.13695583380758766</v>
      </c>
      <c r="C226" s="22">
        <v>0.16354824006557483</v>
      </c>
      <c r="D226" s="15">
        <v>0.11303910203278042</v>
      </c>
    </row>
    <row r="227" spans="1:4" x14ac:dyDescent="0.25">
      <c r="A227" s="2">
        <v>225</v>
      </c>
      <c r="B227" s="22">
        <v>0.15564258135855197</v>
      </c>
      <c r="C227" s="22">
        <v>0.14798899069428434</v>
      </c>
      <c r="D227" s="15">
        <v>0.11625655777752394</v>
      </c>
    </row>
    <row r="228" spans="1:4" x14ac:dyDescent="0.25">
      <c r="A228" s="2">
        <v>226</v>
      </c>
      <c r="B228" s="22">
        <v>0.24812059551477419</v>
      </c>
      <c r="C228" s="22">
        <v>0.15000746641308063</v>
      </c>
      <c r="D228" s="15">
        <v>0.11981271412223582</v>
      </c>
    </row>
    <row r="229" spans="1:4" x14ac:dyDescent="0.25">
      <c r="A229" s="2">
        <v>227</v>
      </c>
      <c r="B229" s="22">
        <v>0.15111740119755257</v>
      </c>
      <c r="C229" s="22">
        <v>0.14002435849979517</v>
      </c>
      <c r="D229" s="15">
        <v>0.10115511799231162</v>
      </c>
    </row>
    <row r="230" spans="1:4" x14ac:dyDescent="0.25">
      <c r="A230" s="2">
        <v>228</v>
      </c>
      <c r="B230" s="22">
        <v>7.6545979082584301E-2</v>
      </c>
      <c r="C230" s="22">
        <v>0.15446569625928533</v>
      </c>
      <c r="D230" s="15">
        <v>8.3318045779015054E-2</v>
      </c>
    </row>
    <row r="231" spans="1:4" x14ac:dyDescent="0.25">
      <c r="A231" s="2">
        <v>229</v>
      </c>
      <c r="B231" s="22">
        <v>0.23519222214818006</v>
      </c>
      <c r="C231" s="22">
        <v>0.1855902090668678</v>
      </c>
      <c r="D231" s="15">
        <v>0.12700840011239048</v>
      </c>
    </row>
    <row r="232" spans="1:4" x14ac:dyDescent="0.25">
      <c r="A232" s="2">
        <v>230</v>
      </c>
      <c r="B232" s="22">
        <v>0.21553494594991213</v>
      </c>
      <c r="C232" s="22">
        <v>0.1994200624525547</v>
      </c>
      <c r="D232" s="15">
        <v>8.0609593912959368E-2</v>
      </c>
    </row>
    <row r="233" spans="1:4" x14ac:dyDescent="0.25">
      <c r="A233" s="2">
        <v>231</v>
      </c>
      <c r="B233" s="22">
        <v>0.18117748051881805</v>
      </c>
      <c r="C233" s="22">
        <v>0.17437941581010818</v>
      </c>
      <c r="D233" s="15">
        <v>5.9392446279525522E-2</v>
      </c>
    </row>
    <row r="234" spans="1:4" x14ac:dyDescent="0.25">
      <c r="A234" s="2">
        <v>232</v>
      </c>
      <c r="B234" s="22">
        <v>0.15158791020512591</v>
      </c>
      <c r="C234" s="22">
        <v>0.17015981115400786</v>
      </c>
      <c r="D234" s="15">
        <v>4.9994545802474137E-2</v>
      </c>
    </row>
    <row r="235" spans="1:4" x14ac:dyDescent="0.25">
      <c r="A235" s="2">
        <v>233</v>
      </c>
      <c r="B235" s="22">
        <v>0.17112117111682895</v>
      </c>
      <c r="C235" s="22">
        <v>0.17806380800902827</v>
      </c>
      <c r="D235" s="15">
        <v>3.9195729419588876E-2</v>
      </c>
    </row>
    <row r="236" spans="1:4" x14ac:dyDescent="0.25">
      <c r="A236" s="2">
        <v>234</v>
      </c>
      <c r="B236" s="22">
        <v>0.21409424841403971</v>
      </c>
      <c r="C236" s="22">
        <v>0.19294328242540351</v>
      </c>
      <c r="D236" s="15">
        <v>4.9041695892810801E-2</v>
      </c>
    </row>
    <row r="237" spans="1:4" x14ac:dyDescent="0.25">
      <c r="A237" s="2">
        <v>235</v>
      </c>
      <c r="B237" s="22">
        <v>0.22213075645267971</v>
      </c>
      <c r="C237" s="22">
        <v>0.19357377588748942</v>
      </c>
      <c r="D237" s="15">
        <v>3.6863927915692291E-2</v>
      </c>
    </row>
    <row r="238" spans="1:4" x14ac:dyDescent="0.25">
      <c r="A238" s="2">
        <v>236</v>
      </c>
      <c r="B238" s="22">
        <v>0.22223339453339577</v>
      </c>
      <c r="C238" s="22">
        <v>0.19283765852451323</v>
      </c>
      <c r="D238" s="15">
        <v>5.6462987512350141E-2</v>
      </c>
    </row>
    <row r="239" spans="1:4" x14ac:dyDescent="0.25">
      <c r="A239" s="2">
        <v>237</v>
      </c>
      <c r="B239" s="22">
        <v>0.20025864727795115</v>
      </c>
      <c r="C239" s="22">
        <v>0.19620980098843574</v>
      </c>
      <c r="D239" s="15">
        <v>5.9543095901608355E-2</v>
      </c>
    </row>
    <row r="240" spans="1:4" x14ac:dyDescent="0.25">
      <c r="A240" s="2">
        <v>238</v>
      </c>
      <c r="B240" s="22">
        <v>0.13814941495656968</v>
      </c>
      <c r="C240" s="22">
        <v>0.2065860703587532</v>
      </c>
      <c r="D240" s="15">
        <v>6.8436655402183508E-2</v>
      </c>
    </row>
    <row r="241" spans="1:4" x14ac:dyDescent="0.25">
      <c r="A241" s="2">
        <v>239</v>
      </c>
      <c r="B241" s="22">
        <v>0.18804285079240796</v>
      </c>
      <c r="C241" s="22">
        <v>0.22255069911479958</v>
      </c>
      <c r="D241" s="15">
        <v>4.650382548570646E-2</v>
      </c>
    </row>
    <row r="242" spans="1:4" x14ac:dyDescent="0.25">
      <c r="A242" s="2">
        <v>240</v>
      </c>
      <c r="B242" s="22">
        <v>0.20926263108849522</v>
      </c>
      <c r="C242" s="22">
        <v>0.22507657930254948</v>
      </c>
      <c r="D242" s="15">
        <v>5.5587056279182367E-2</v>
      </c>
    </row>
    <row r="243" spans="1:4" x14ac:dyDescent="0.25">
      <c r="A243" s="2">
        <v>241</v>
      </c>
      <c r="B243" s="22">
        <v>0.216985396295786</v>
      </c>
      <c r="C243" s="22">
        <v>0.21005824431777009</v>
      </c>
      <c r="D243" s="15">
        <v>7.3019878566265115E-2</v>
      </c>
    </row>
    <row r="244" spans="1:4" x14ac:dyDescent="0.25">
      <c r="A244" s="2">
        <v>242</v>
      </c>
      <c r="B244" s="22">
        <v>0.34836920499801644</v>
      </c>
      <c r="C244" s="22">
        <v>0.17262305319309246</v>
      </c>
      <c r="D244" s="15">
        <v>0.18407488465309144</v>
      </c>
    </row>
    <row r="245" spans="1:4" x14ac:dyDescent="0.25">
      <c r="A245" s="2">
        <v>243</v>
      </c>
      <c r="B245" s="22">
        <v>0.20085919871926311</v>
      </c>
      <c r="C245" s="22">
        <v>0.121351101063192</v>
      </c>
      <c r="D245" s="15">
        <v>0.14066284988075495</v>
      </c>
    </row>
    <row r="246" spans="1:4" x14ac:dyDescent="0.25">
      <c r="A246" s="2">
        <v>244</v>
      </c>
      <c r="B246" s="22">
        <v>-3.4527452290058172E-2</v>
      </c>
      <c r="C246" s="22">
        <v>4.7842204011976662E-2</v>
      </c>
      <c r="D246" s="15">
        <v>0.16108452174812565</v>
      </c>
    </row>
    <row r="247" spans="1:4" x14ac:dyDescent="0.25">
      <c r="A247" s="2">
        <v>245</v>
      </c>
      <c r="B247" s="22">
        <v>0.1205421701073647</v>
      </c>
      <c r="C247" s="22">
        <v>6.762318108230829E-2</v>
      </c>
      <c r="D247" s="15">
        <v>0.15645605046302088</v>
      </c>
    </row>
    <row r="248" spans="1:4" x14ac:dyDescent="0.25">
      <c r="A248" s="2">
        <v>246</v>
      </c>
      <c r="B248" s="22">
        <v>0.22581510320305814</v>
      </c>
      <c r="C248" s="22">
        <v>0.13970520179718732</v>
      </c>
      <c r="D248" s="15">
        <v>0.10757363680750118</v>
      </c>
    </row>
    <row r="249" spans="1:4" x14ac:dyDescent="0.25">
      <c r="A249" s="2">
        <v>247</v>
      </c>
      <c r="B249" s="22">
        <v>0.24552011340856547</v>
      </c>
      <c r="C249" s="22">
        <v>0.15678063295781625</v>
      </c>
      <c r="D249" s="15">
        <v>0.13472528643906106</v>
      </c>
    </row>
    <row r="250" spans="1:4" x14ac:dyDescent="0.25">
      <c r="A250" s="2">
        <v>248</v>
      </c>
      <c r="B250" s="22">
        <v>0.13724059276282791</v>
      </c>
      <c r="C250" s="22">
        <v>0.17163036614656449</v>
      </c>
      <c r="D250" s="15">
        <v>7.6762584224343247E-2</v>
      </c>
    </row>
    <row r="251" spans="1:4" x14ac:dyDescent="0.25">
      <c r="A251" s="2">
        <v>249</v>
      </c>
      <c r="B251" s="22">
        <v>4.4698670133948314E-2</v>
      </c>
      <c r="C251" s="22">
        <v>0.20901616811752319</v>
      </c>
      <c r="D251" s="15">
        <v>0.16933650113642212</v>
      </c>
    </row>
    <row r="252" spans="1:4" x14ac:dyDescent="0.25">
      <c r="A252" s="2">
        <v>250</v>
      </c>
      <c r="B252" s="22">
        <v>0.33987064212560653</v>
      </c>
      <c r="C252" s="22">
        <v>0.26068795397877675</v>
      </c>
      <c r="D252" s="15">
        <v>0.16842511370778063</v>
      </c>
    </row>
    <row r="253" spans="1:4" x14ac:dyDescent="0.25">
      <c r="A253" s="2">
        <v>251</v>
      </c>
      <c r="B253" s="22">
        <v>0.40422430410981169</v>
      </c>
      <c r="C253" s="22">
        <v>0.28450691848993309</v>
      </c>
      <c r="D253" s="15">
        <v>0.21132888570427899</v>
      </c>
    </row>
    <row r="254" spans="1:4" x14ac:dyDescent="0.25">
      <c r="A254" s="2">
        <v>252</v>
      </c>
      <c r="B254" s="22">
        <v>0.14252935871481903</v>
      </c>
      <c r="C254" s="22">
        <v>0.21753098592162132</v>
      </c>
      <c r="D254" s="15">
        <v>8.7950676679611275E-2</v>
      </c>
    </row>
    <row r="255" spans="1:4" x14ac:dyDescent="0.25">
      <c r="A255" s="2">
        <v>253</v>
      </c>
      <c r="B255" s="22">
        <v>0.14677055738866324</v>
      </c>
      <c r="C255" s="22">
        <v>0.12436876099091024</v>
      </c>
      <c r="D255" s="15">
        <v>4.8961693909950518E-2</v>
      </c>
    </row>
    <row r="256" spans="1:4" x14ac:dyDescent="0.25">
      <c r="A256" s="2">
        <v>254</v>
      </c>
      <c r="B256" s="22">
        <v>0.1442015327513218</v>
      </c>
      <c r="C256" s="22">
        <v>9.3760769907385175E-2</v>
      </c>
      <c r="D256" s="15">
        <v>5.2797811385244052E-2</v>
      </c>
    </row>
    <row r="257" spans="1:4" x14ac:dyDescent="0.25">
      <c r="A257" s="2">
        <v>255</v>
      </c>
      <c r="B257" s="22">
        <v>9.4797788560390492E-2</v>
      </c>
      <c r="C257" s="22">
        <v>9.4301653816364711E-2</v>
      </c>
      <c r="D257" s="15">
        <v>3.8539208634756475E-2</v>
      </c>
    </row>
    <row r="258" spans="1:4" x14ac:dyDescent="0.25">
      <c r="A258" s="2">
        <v>256</v>
      </c>
      <c r="B258" s="22">
        <v>0.13790186047554021</v>
      </c>
      <c r="C258" s="22">
        <v>0.12745667360723029</v>
      </c>
      <c r="D258" s="15">
        <v>5.7988307252526461E-2</v>
      </c>
    </row>
    <row r="259" spans="1:4" x14ac:dyDescent="0.25">
      <c r="A259" s="2">
        <v>257</v>
      </c>
      <c r="B259" s="22">
        <v>0.2107075840234757</v>
      </c>
      <c r="C259" s="22">
        <v>0.16855348423123359</v>
      </c>
      <c r="D259" s="15">
        <v>5.9747552126646106E-2</v>
      </c>
    </row>
    <row r="260" spans="1:4" x14ac:dyDescent="0.25">
      <c r="A260" s="2">
        <v>258</v>
      </c>
      <c r="B260" s="22">
        <v>0.15505415275692944</v>
      </c>
      <c r="C260" s="22">
        <v>0.1562704265117644</v>
      </c>
      <c r="D260" s="15">
        <v>7.4397648125886839E-2</v>
      </c>
    </row>
    <row r="261" spans="1:4" x14ac:dyDescent="0.25">
      <c r="A261" s="2">
        <v>259</v>
      </c>
      <c r="B261" s="22">
        <v>0.15862380154430866</v>
      </c>
      <c r="C261" s="22">
        <v>0.13410587981343261</v>
      </c>
      <c r="D261" s="15">
        <v>5.4578183963894897E-2</v>
      </c>
    </row>
    <row r="262" spans="1:4" x14ac:dyDescent="0.25">
      <c r="A262" s="2">
        <v>260</v>
      </c>
      <c r="B262" s="22">
        <v>0.11893149539828303</v>
      </c>
      <c r="C262" s="22">
        <v>0.15399816110730183</v>
      </c>
      <c r="D262" s="15">
        <v>5.3089542686939148E-2</v>
      </c>
    </row>
    <row r="263" spans="1:4" x14ac:dyDescent="0.25">
      <c r="A263" s="2">
        <v>261</v>
      </c>
      <c r="B263" s="22">
        <v>0.20456043370068092</v>
      </c>
      <c r="C263" s="22">
        <v>0.17841509282588958</v>
      </c>
      <c r="D263" s="15">
        <v>4.8918782547116298E-2</v>
      </c>
    </row>
    <row r="264" spans="1:4" x14ac:dyDescent="0.25">
      <c r="A264" s="2">
        <v>262</v>
      </c>
      <c r="B264" s="22">
        <v>0.23208576440811149</v>
      </c>
      <c r="C264" s="22">
        <v>0.19942644983530045</v>
      </c>
      <c r="D264" s="15">
        <v>4.9080590903758887E-2</v>
      </c>
    </row>
    <row r="265" spans="1:4" x14ac:dyDescent="0.25">
      <c r="A265" s="2">
        <v>263</v>
      </c>
      <c r="B265" s="22">
        <v>0.20570942796766759</v>
      </c>
      <c r="C265" s="22">
        <v>0.19214611202478415</v>
      </c>
      <c r="D265" s="15">
        <v>4.9321280792355551E-2</v>
      </c>
    </row>
    <row r="266" spans="1:4" x14ac:dyDescent="0.25">
      <c r="A266" s="2">
        <v>264</v>
      </c>
      <c r="B266" s="22">
        <v>0.23465688452124586</v>
      </c>
      <c r="C266" s="22">
        <v>0.16362488158047203</v>
      </c>
      <c r="D266" s="15">
        <v>7.1032002940773845E-2</v>
      </c>
    </row>
    <row r="267" spans="1:4" x14ac:dyDescent="0.25">
      <c r="A267" s="2">
        <v>265</v>
      </c>
      <c r="B267" s="22">
        <v>0.24954468980431557</v>
      </c>
      <c r="C267" s="22">
        <v>0.16520496532320969</v>
      </c>
      <c r="D267" s="15">
        <v>0.11176088601350805</v>
      </c>
    </row>
    <row r="268" spans="1:4" x14ac:dyDescent="0.25">
      <c r="A268" s="2">
        <v>266</v>
      </c>
      <c r="B268" s="22">
        <v>0.1442826539278029</v>
      </c>
      <c r="C268" s="22">
        <v>0.1688680842518806</v>
      </c>
      <c r="D268" s="15">
        <v>0.12660914808511747</v>
      </c>
    </row>
    <row r="269" spans="1:4" x14ac:dyDescent="0.25">
      <c r="A269" s="2">
        <v>267</v>
      </c>
      <c r="B269" s="22">
        <v>8.8025232404470397E-2</v>
      </c>
      <c r="C269" s="22">
        <v>0.18086112365126611</v>
      </c>
      <c r="D269" s="15">
        <v>0.11084648072719565</v>
      </c>
    </row>
    <row r="270" spans="1:4" x14ac:dyDescent="0.25">
      <c r="A270" s="2">
        <v>268</v>
      </c>
      <c r="B270" s="22">
        <v>0.14144516661763182</v>
      </c>
      <c r="C270" s="22">
        <v>0.20710811540484425</v>
      </c>
      <c r="D270" s="15">
        <v>7.8237603604793385E-2</v>
      </c>
    </row>
    <row r="271" spans="1:4" x14ac:dyDescent="0.25">
      <c r="A271" s="2">
        <v>269</v>
      </c>
      <c r="B271" s="22">
        <v>0.24032393172383332</v>
      </c>
      <c r="C271" s="22">
        <v>0.21442275419831286</v>
      </c>
      <c r="D271" s="15">
        <v>8.1425034999847629E-2</v>
      </c>
    </row>
    <row r="272" spans="1:4" x14ac:dyDescent="0.25">
      <c r="A272" s="2">
        <v>270</v>
      </c>
      <c r="B272" s="22">
        <v>0.15057891309261306</v>
      </c>
      <c r="C272" s="22">
        <v>0.18428657762706283</v>
      </c>
      <c r="D272" s="15">
        <v>0.1209071379154919</v>
      </c>
    </row>
    <row r="273" spans="1:4" x14ac:dyDescent="0.25">
      <c r="A273" s="2">
        <v>271</v>
      </c>
      <c r="B273" s="22">
        <v>0.1111021347343923</v>
      </c>
      <c r="C273" s="22">
        <v>0.10808387100696563</v>
      </c>
      <c r="D273" s="15">
        <v>7.3575872927904323E-2</v>
      </c>
    </row>
    <row r="274" spans="1:4" x14ac:dyDescent="0.25">
      <c r="A274" s="2">
        <v>272</v>
      </c>
      <c r="B274" s="22">
        <v>1.5863588452339157E-2</v>
      </c>
      <c r="C274" s="22">
        <v>7.2266994277015328E-2</v>
      </c>
      <c r="D274" s="15">
        <v>8.9383056154474644E-2</v>
      </c>
    </row>
    <row r="275" spans="1:4" x14ac:dyDescent="0.25">
      <c r="A275" s="2">
        <v>273</v>
      </c>
      <c r="B275" s="22">
        <v>7.602442279458059E-2</v>
      </c>
      <c r="C275" s="22">
        <v>0.10266213994473217</v>
      </c>
      <c r="D275" s="15">
        <v>9.9151187576353522E-2</v>
      </c>
    </row>
    <row r="276" spans="1:4" x14ac:dyDescent="0.25">
      <c r="A276" s="2">
        <v>274</v>
      </c>
      <c r="B276" s="22">
        <v>0.13611696660518646</v>
      </c>
      <c r="C276" s="22">
        <v>0.14831817857921117</v>
      </c>
      <c r="D276" s="15">
        <v>6.8725631013512492E-2</v>
      </c>
    </row>
    <row r="277" spans="1:4" x14ac:dyDescent="0.25">
      <c r="A277" s="2">
        <v>275</v>
      </c>
      <c r="B277" s="22">
        <v>0.21655789762735367</v>
      </c>
      <c r="C277" s="22">
        <v>0.18075895234942432</v>
      </c>
      <c r="D277" s="15">
        <v>9.958109185099609E-2</v>
      </c>
    </row>
    <row r="278" spans="1:4" x14ac:dyDescent="0.25">
      <c r="A278" s="2">
        <v>276</v>
      </c>
      <c r="B278" s="22">
        <v>0.19026603922247881</v>
      </c>
      <c r="C278" s="22">
        <v>0.19553722888231287</v>
      </c>
      <c r="D278" s="15">
        <v>8.5588494688272537E-2</v>
      </c>
    </row>
    <row r="279" spans="1:4" x14ac:dyDescent="0.25">
      <c r="A279" s="2">
        <v>277</v>
      </c>
      <c r="B279" s="22">
        <v>0.21824700385332113</v>
      </c>
      <c r="C279" s="22">
        <v>0.20109742358326921</v>
      </c>
      <c r="D279" s="15">
        <v>8.4584660083055568E-2</v>
      </c>
    </row>
    <row r="280" spans="1:4" x14ac:dyDescent="0.25">
      <c r="A280" s="2">
        <v>278</v>
      </c>
      <c r="B280" s="22">
        <v>0.23359161466360093</v>
      </c>
      <c r="C280" s="22">
        <v>0.21584653258323669</v>
      </c>
      <c r="D280" s="15">
        <v>7.9271502792835208E-2</v>
      </c>
    </row>
    <row r="281" spans="1:4" x14ac:dyDescent="0.25">
      <c r="A281" s="2">
        <v>279</v>
      </c>
      <c r="B281" s="22">
        <v>0.21034769043326387</v>
      </c>
      <c r="C281" s="22">
        <v>0.21987698078155521</v>
      </c>
      <c r="D281" s="15">
        <v>5.3325986117124545E-2</v>
      </c>
    </row>
    <row r="282" spans="1:4" x14ac:dyDescent="0.25">
      <c r="A282" s="2">
        <v>280</v>
      </c>
      <c r="B282" s="22">
        <v>0.25693853870034228</v>
      </c>
      <c r="C282" s="22">
        <v>0.22459240406751632</v>
      </c>
      <c r="D282" s="15">
        <v>5.7092040032148586E-2</v>
      </c>
    </row>
    <row r="283" spans="1:4" x14ac:dyDescent="0.25">
      <c r="A283" s="2">
        <v>281</v>
      </c>
      <c r="B283" s="22">
        <v>0.21243617832660661</v>
      </c>
      <c r="C283" s="22">
        <v>0.19970714226365088</v>
      </c>
      <c r="D283" s="15">
        <v>3.7037528306245911E-2</v>
      </c>
    </row>
    <row r="284" spans="1:4" x14ac:dyDescent="0.25">
      <c r="A284" s="2">
        <v>282</v>
      </c>
      <c r="B284" s="22">
        <v>0.20051364675164204</v>
      </c>
      <c r="C284" s="22">
        <v>0.17165750972926624</v>
      </c>
      <c r="D284" s="15">
        <v>4.0879278257489021E-2</v>
      </c>
    </row>
    <row r="285" spans="1:4" x14ac:dyDescent="0.25">
      <c r="A285" s="2">
        <v>283</v>
      </c>
      <c r="B285" s="22">
        <v>0.19310052990913401</v>
      </c>
      <c r="C285" s="22">
        <v>0.14103071503341186</v>
      </c>
      <c r="D285" s="15">
        <v>7.5418026372790464E-2</v>
      </c>
    </row>
    <row r="286" spans="1:4" x14ac:dyDescent="0.25">
      <c r="A286" s="2">
        <v>284</v>
      </c>
      <c r="B286" s="22">
        <v>0.17362195327877986</v>
      </c>
      <c r="C286" s="22">
        <v>0.12375156208872791</v>
      </c>
      <c r="D286" s="15">
        <v>7.9921308159828078E-2</v>
      </c>
    </row>
    <row r="287" spans="1:4" x14ac:dyDescent="0.25">
      <c r="A287" s="2">
        <v>285</v>
      </c>
      <c r="B287" s="22">
        <v>0.12459111250936987</v>
      </c>
      <c r="C287" s="22">
        <v>0.12262902259826658</v>
      </c>
      <c r="D287" s="15">
        <v>3.6773335561156306E-2</v>
      </c>
    </row>
    <row r="288" spans="1:4" x14ac:dyDescent="0.25">
      <c r="A288" s="2">
        <v>286</v>
      </c>
      <c r="B288" s="22">
        <v>0.13414361402392394</v>
      </c>
      <c r="C288" s="22">
        <v>0.142090193927288</v>
      </c>
      <c r="D288" s="15">
        <v>7.3060411959886704E-2</v>
      </c>
    </row>
    <row r="289" spans="1:4" x14ac:dyDescent="0.25">
      <c r="A289" s="2">
        <v>287</v>
      </c>
      <c r="B289" s="22">
        <v>0.17889427542686462</v>
      </c>
      <c r="C289" s="22">
        <v>0.17635533735156078</v>
      </c>
      <c r="D289" s="15">
        <v>4.7296775132417618E-2</v>
      </c>
    </row>
    <row r="290" spans="1:4" x14ac:dyDescent="0.25">
      <c r="A290" s="2">
        <v>288</v>
      </c>
      <c r="B290" s="22">
        <v>0.18384639956057069</v>
      </c>
      <c r="C290" s="22">
        <v>0.19147906303405748</v>
      </c>
      <c r="D290" s="15">
        <v>5.0218050554394725E-2</v>
      </c>
    </row>
    <row r="291" spans="1:4" x14ac:dyDescent="0.25">
      <c r="A291" s="2">
        <v>289</v>
      </c>
      <c r="B291" s="22">
        <v>0.14847800731658936</v>
      </c>
      <c r="C291" s="22">
        <v>0.19706808775663381</v>
      </c>
      <c r="D291" s="15">
        <v>8.2150538265705036E-2</v>
      </c>
    </row>
    <row r="292" spans="1:4" x14ac:dyDescent="0.25">
      <c r="A292" s="2">
        <v>290</v>
      </c>
      <c r="B292" s="22">
        <v>0.18040482923388471</v>
      </c>
      <c r="C292" s="22">
        <v>0.21485121846199054</v>
      </c>
      <c r="D292" s="15">
        <v>8.9765041321516123E-2</v>
      </c>
    </row>
    <row r="293" spans="1:4" x14ac:dyDescent="0.25">
      <c r="A293" s="2">
        <v>291</v>
      </c>
      <c r="B293" s="22">
        <v>0.22625031955540181</v>
      </c>
      <c r="C293" s="22">
        <v>0.24261990487575527</v>
      </c>
      <c r="D293" s="15">
        <v>9.0903614833950971E-2</v>
      </c>
    </row>
    <row r="294" spans="1:4" x14ac:dyDescent="0.25">
      <c r="A294" s="2">
        <v>292</v>
      </c>
      <c r="B294" s="22">
        <v>0.29979003965854634</v>
      </c>
      <c r="C294" s="22">
        <v>0.23242318257689468</v>
      </c>
      <c r="D294" s="15">
        <v>8.5668753832578701E-2</v>
      </c>
    </row>
    <row r="295" spans="1:4" x14ac:dyDescent="0.25">
      <c r="A295" s="2">
        <v>293</v>
      </c>
      <c r="B295" s="22">
        <v>0.21398680806159978</v>
      </c>
      <c r="C295" s="22">
        <v>0.17772666253149499</v>
      </c>
      <c r="D295" s="15">
        <v>7.3059640452265637E-2</v>
      </c>
    </row>
    <row r="296" spans="1:4" x14ac:dyDescent="0.25">
      <c r="A296" s="2">
        <v>294</v>
      </c>
      <c r="B296" s="22">
        <v>0.19732045680284491</v>
      </c>
      <c r="C296" s="22">
        <v>0.14359444379806524</v>
      </c>
      <c r="D296" s="15">
        <v>8.1960508227348197E-2</v>
      </c>
    </row>
    <row r="297" spans="1:4" x14ac:dyDescent="0.25">
      <c r="A297" s="2">
        <v>295</v>
      </c>
      <c r="B297" s="22">
        <v>0.14992044121026979</v>
      </c>
      <c r="C297" s="22">
        <v>0.13092624880373477</v>
      </c>
      <c r="D297" s="15">
        <v>5.6321461126208228E-2</v>
      </c>
    </row>
    <row r="298" spans="1:4" x14ac:dyDescent="0.25">
      <c r="A298" s="2">
        <v>296</v>
      </c>
      <c r="B298" s="22">
        <v>0.17567438036203389</v>
      </c>
      <c r="C298" s="22">
        <v>9.5537107298150695E-2</v>
      </c>
      <c r="D298" s="15">
        <v>0.10261299996636819</v>
      </c>
    </row>
    <row r="299" spans="1:4" x14ac:dyDescent="0.25">
      <c r="A299" s="2">
        <v>297</v>
      </c>
      <c r="B299" s="22">
        <v>0.11540452092885978</v>
      </c>
      <c r="C299" s="22">
        <v>0.10855759182013577</v>
      </c>
      <c r="D299" s="15">
        <v>7.5937871215864997E-2</v>
      </c>
    </row>
    <row r="300" spans="1:4" x14ac:dyDescent="0.25">
      <c r="A300" s="2">
        <v>298</v>
      </c>
      <c r="B300" s="22">
        <v>0.19219081923365586</v>
      </c>
      <c r="C300" s="22">
        <v>0.13609692137688395</v>
      </c>
      <c r="D300" s="15">
        <v>6.319140512496231E-2</v>
      </c>
    </row>
    <row r="301" spans="1:4" x14ac:dyDescent="0.25">
      <c r="A301" s="2">
        <v>299</v>
      </c>
      <c r="B301" s="22">
        <v>0.22051976434886447</v>
      </c>
      <c r="C301" s="22">
        <v>0.17676638364791869</v>
      </c>
      <c r="D301" s="15">
        <v>6.4870310202241072E-2</v>
      </c>
    </row>
    <row r="302" spans="1:4" x14ac:dyDescent="0.25">
      <c r="A302" s="2">
        <v>300</v>
      </c>
      <c r="B302" s="22">
        <v>0.2134920582175254</v>
      </c>
      <c r="C302" s="22">
        <v>0.18291522935032861</v>
      </c>
      <c r="D302" s="15">
        <v>7.1279396861791203E-2</v>
      </c>
    </row>
    <row r="303" spans="1:4" x14ac:dyDescent="0.25">
      <c r="A303" s="2">
        <v>301</v>
      </c>
      <c r="B303" s="22">
        <v>0.2003749579191208</v>
      </c>
      <c r="C303" s="22">
        <v>0.18002749904990195</v>
      </c>
      <c r="D303" s="15">
        <v>7.0111184567213145E-2</v>
      </c>
    </row>
    <row r="304" spans="1:4" x14ac:dyDescent="0.25">
      <c r="A304" s="2">
        <v>302</v>
      </c>
      <c r="B304" s="22">
        <v>0.17516042590141295</v>
      </c>
      <c r="C304" s="22">
        <v>0.16058260723948478</v>
      </c>
      <c r="D304" s="15">
        <v>5.1870211213827067E-2</v>
      </c>
    </row>
    <row r="305" spans="1:4" x14ac:dyDescent="0.25">
      <c r="A305" s="2">
        <v>303</v>
      </c>
      <c r="B305" s="22">
        <v>0.14793082363903517</v>
      </c>
      <c r="C305" s="22">
        <v>0.13753699585795412</v>
      </c>
      <c r="D305" s="15">
        <v>3.9911245182156475E-2</v>
      </c>
    </row>
    <row r="306" spans="1:4" x14ac:dyDescent="0.25">
      <c r="A306" s="2">
        <v>304</v>
      </c>
      <c r="B306" s="22">
        <v>0.22076712623238559</v>
      </c>
      <c r="C306" s="22">
        <v>0.16394667588174344</v>
      </c>
      <c r="D306" s="15">
        <v>7.2639248892664973E-2</v>
      </c>
    </row>
    <row r="307" spans="1:4" x14ac:dyDescent="0.25">
      <c r="A307" s="2">
        <v>305</v>
      </c>
      <c r="B307" s="22">
        <v>0.19699608609080319</v>
      </c>
      <c r="C307" s="22">
        <v>0.16891819164156913</v>
      </c>
      <c r="D307" s="15">
        <v>5.8743405342102081E-2</v>
      </c>
    </row>
    <row r="308" spans="1:4" x14ac:dyDescent="0.25">
      <c r="A308" s="2">
        <v>306</v>
      </c>
      <c r="B308" s="22">
        <v>0.16513920649886135</v>
      </c>
      <c r="C308" s="22">
        <v>0.16323303803801531</v>
      </c>
      <c r="D308" s="15">
        <v>4.4670709967613229E-2</v>
      </c>
    </row>
    <row r="309" spans="1:4" x14ac:dyDescent="0.25">
      <c r="A309" s="2">
        <v>307</v>
      </c>
      <c r="B309" s="22">
        <v>0.12696347385644915</v>
      </c>
      <c r="C309" s="22">
        <v>0.145911280065775</v>
      </c>
      <c r="D309" s="15">
        <v>8.097236081957826E-2</v>
      </c>
    </row>
    <row r="310" spans="1:4" x14ac:dyDescent="0.25">
      <c r="A310" s="2">
        <v>308</v>
      </c>
      <c r="B310" s="22">
        <v>0.19152739867568014</v>
      </c>
      <c r="C310" s="22">
        <v>0.1385455008596182</v>
      </c>
      <c r="D310" s="15">
        <v>0.11066600419580927</v>
      </c>
    </row>
    <row r="311" spans="1:4" x14ac:dyDescent="0.25">
      <c r="A311" s="2">
        <v>309</v>
      </c>
      <c r="B311" s="22">
        <v>0.24877239614725116</v>
      </c>
      <c r="C311" s="22">
        <v>0.11147781107574713</v>
      </c>
      <c r="D311" s="15">
        <v>0.13818149324506523</v>
      </c>
    </row>
    <row r="312" spans="1:4" x14ac:dyDescent="0.25">
      <c r="A312" s="2">
        <v>310</v>
      </c>
      <c r="B312" s="22">
        <v>-0.36303914934396736</v>
      </c>
      <c r="C312" s="22">
        <v>6.8287572264671303E-2</v>
      </c>
      <c r="D312" s="15">
        <v>0.45935492515563975</v>
      </c>
    </row>
    <row r="313" spans="1:4" x14ac:dyDescent="0.25">
      <c r="A313" s="2">
        <v>311</v>
      </c>
      <c r="B313" s="22">
        <v>0.16017949357628825</v>
      </c>
      <c r="C313" s="22">
        <v>0.11198036633431915</v>
      </c>
      <c r="D313" s="15">
        <v>5.0407339259982087E-2</v>
      </c>
    </row>
    <row r="314" spans="1:4" x14ac:dyDescent="0.25">
      <c r="A314" s="2">
        <v>312</v>
      </c>
      <c r="B314" s="22">
        <v>0.22601009011268616</v>
      </c>
      <c r="C314" s="22">
        <v>0.19875638112425803</v>
      </c>
      <c r="D314" s="15">
        <v>9.6983612328767857E-2</v>
      </c>
    </row>
    <row r="315" spans="1:4" x14ac:dyDescent="0.25">
      <c r="A315" s="2">
        <v>313</v>
      </c>
      <c r="B315" s="22">
        <v>0.30194123089313513</v>
      </c>
      <c r="C315" s="22">
        <v>0.18561266176402585</v>
      </c>
      <c r="D315" s="15">
        <v>0.12728489302098742</v>
      </c>
    </row>
    <row r="316" spans="1:4" x14ac:dyDescent="0.25">
      <c r="A316" s="2">
        <v>314</v>
      </c>
      <c r="B316" s="22">
        <v>8.9073720574379053E-2</v>
      </c>
      <c r="C316" s="22">
        <v>0.16060869228094804</v>
      </c>
      <c r="D316" s="15">
        <v>0.11471040677279221</v>
      </c>
    </row>
    <row r="317" spans="1:4" x14ac:dyDescent="0.25">
      <c r="A317" s="2">
        <v>315</v>
      </c>
      <c r="B317" s="22">
        <v>7.7653732895851119E-2</v>
      </c>
      <c r="C317" s="22">
        <v>0.16835201308131215</v>
      </c>
      <c r="D317" s="15">
        <v>0.10790253505110745</v>
      </c>
    </row>
    <row r="318" spans="1:4" x14ac:dyDescent="0.25">
      <c r="A318" s="2">
        <v>316</v>
      </c>
      <c r="B318" s="22">
        <v>0.1987229686230422</v>
      </c>
      <c r="C318" s="22">
        <v>0.17823840826749807</v>
      </c>
      <c r="D318" s="15">
        <v>9.1313609853386976E-2</v>
      </c>
    </row>
    <row r="319" spans="1:4" x14ac:dyDescent="0.25">
      <c r="A319" s="2">
        <v>317</v>
      </c>
      <c r="B319" s="22">
        <v>0.17472911030054078</v>
      </c>
      <c r="C319" s="22">
        <v>0.13760422207415102</v>
      </c>
      <c r="D319" s="15">
        <v>7.0899584516882719E-2</v>
      </c>
    </row>
    <row r="320" spans="1:4" x14ac:dyDescent="0.25">
      <c r="A320" s="2">
        <v>318</v>
      </c>
      <c r="B320" s="22">
        <v>0.19537809342145918</v>
      </c>
      <c r="C320" s="22">
        <v>0.10701037961989643</v>
      </c>
      <c r="D320" s="15">
        <v>9.8968217708170353E-2</v>
      </c>
    </row>
    <row r="321" spans="1:4" x14ac:dyDescent="0.25">
      <c r="A321" s="2">
        <v>319</v>
      </c>
      <c r="B321" s="22">
        <v>0.14687127918004986</v>
      </c>
      <c r="C321" s="22">
        <v>9.2679904773831312E-2</v>
      </c>
      <c r="D321" s="15">
        <v>7.3975424095988257E-2</v>
      </c>
    </row>
    <row r="322" spans="1:4" x14ac:dyDescent="0.25">
      <c r="A322" s="2">
        <v>320</v>
      </c>
      <c r="B322" s="22">
        <v>0.10421619489789</v>
      </c>
      <c r="C322" s="22">
        <v>9.001518525183197E-2</v>
      </c>
      <c r="D322" s="15">
        <v>5.4516667500138373E-2</v>
      </c>
    </row>
    <row r="323" spans="1:4" x14ac:dyDescent="0.25">
      <c r="A323" s="2">
        <v>321</v>
      </c>
      <c r="B323" s="22">
        <v>5.0546169281005752E-3</v>
      </c>
      <c r="C323" s="22">
        <v>0.13243670202791696</v>
      </c>
      <c r="D323" s="15">
        <v>0.17597403936088091</v>
      </c>
    </row>
    <row r="324" spans="1:4" x14ac:dyDescent="0.25">
      <c r="A324" s="2">
        <v>322</v>
      </c>
      <c r="B324" s="22">
        <v>0.14085219353437411</v>
      </c>
      <c r="C324" s="22">
        <v>0.16913679167628298</v>
      </c>
      <c r="D324" s="15">
        <v>0.1280653201043607</v>
      </c>
    </row>
    <row r="325" spans="1:4" x14ac:dyDescent="0.25">
      <c r="A325" s="2">
        <v>323</v>
      </c>
      <c r="B325" s="22">
        <v>0.21151960492134098</v>
      </c>
      <c r="C325" s="22">
        <v>0.18678306490182886</v>
      </c>
      <c r="D325" s="15">
        <v>7.7549980580806518E-2</v>
      </c>
    </row>
    <row r="326" spans="1:4" x14ac:dyDescent="0.25">
      <c r="A326" s="2">
        <v>324</v>
      </c>
      <c r="B326" s="22">
        <v>0.17037446275353443</v>
      </c>
      <c r="C326" s="22">
        <v>0.19797995835542684</v>
      </c>
      <c r="D326" s="15">
        <v>4.5640387386083399E-2</v>
      </c>
    </row>
    <row r="327" spans="1:4" x14ac:dyDescent="0.25">
      <c r="A327" s="2">
        <v>325</v>
      </c>
      <c r="B327" s="22">
        <v>0.18052083402872096</v>
      </c>
      <c r="C327" s="22">
        <v>0.17759940773248661</v>
      </c>
      <c r="D327" s="15">
        <v>3.0623187124728939E-2</v>
      </c>
    </row>
    <row r="328" spans="1:4" x14ac:dyDescent="0.25">
      <c r="A328" s="2">
        <v>326</v>
      </c>
      <c r="B328" s="22">
        <v>0.16660955697298041</v>
      </c>
      <c r="C328" s="22">
        <v>0.14376912415027615</v>
      </c>
      <c r="D328" s="15">
        <v>4.2693179845809767E-2</v>
      </c>
    </row>
    <row r="329" spans="1:4" x14ac:dyDescent="0.25">
      <c r="A329" s="2">
        <v>327</v>
      </c>
      <c r="B329" s="22">
        <v>0.13358669057488448</v>
      </c>
      <c r="C329" s="22">
        <v>0.1211304455995558</v>
      </c>
      <c r="D329" s="15">
        <v>3.4237522631883774E-2</v>
      </c>
    </row>
    <row r="330" spans="1:4" x14ac:dyDescent="0.25">
      <c r="A330" s="2">
        <v>328</v>
      </c>
      <c r="B330" s="22">
        <v>0.1028957948088646</v>
      </c>
      <c r="C330" s="22">
        <v>9.6622459590435E-2</v>
      </c>
      <c r="D330" s="15">
        <v>4.4772996008396244E-2</v>
      </c>
    </row>
    <row r="331" spans="1:4" x14ac:dyDescent="0.25">
      <c r="A331" s="2">
        <v>329</v>
      </c>
      <c r="B331" s="22">
        <v>0.10109714269638055</v>
      </c>
      <c r="C331" s="22">
        <v>9.1657130443491025E-2</v>
      </c>
      <c r="D331" s="15">
        <v>6.0302393115125509E-2</v>
      </c>
    </row>
    <row r="332" spans="1:4" x14ac:dyDescent="0.25">
      <c r="A332" s="2">
        <v>330</v>
      </c>
      <c r="B332" s="22">
        <v>9.6589111909270331E-2</v>
      </c>
      <c r="C332" s="22">
        <v>0.12401641570031643</v>
      </c>
      <c r="D332" s="15">
        <v>7.2379378601908587E-2</v>
      </c>
    </row>
    <row r="333" spans="1:4" x14ac:dyDescent="0.25">
      <c r="A333" s="2">
        <v>331</v>
      </c>
      <c r="B333" s="22">
        <v>0.15613824576139443</v>
      </c>
      <c r="C333" s="22">
        <v>0.17670819535851473</v>
      </c>
      <c r="D333" s="15">
        <v>6.4251779764890618E-2</v>
      </c>
    </row>
    <row r="334" spans="1:4" x14ac:dyDescent="0.25">
      <c r="A334" s="2">
        <v>332</v>
      </c>
      <c r="B334" s="22">
        <v>0.1600203342735767</v>
      </c>
      <c r="C334" s="22">
        <v>0.21284631937742216</v>
      </c>
      <c r="D334" s="15">
        <v>7.7380874007940331E-2</v>
      </c>
    </row>
    <row r="335" spans="1:4" x14ac:dyDescent="0.25">
      <c r="A335" s="2">
        <v>333</v>
      </c>
      <c r="B335" s="22">
        <v>0.21014280989766126</v>
      </c>
      <c r="C335" s="22">
        <v>0.23075991645455365</v>
      </c>
      <c r="D335" s="15">
        <v>8.0138072371482766E-2</v>
      </c>
    </row>
    <row r="336" spans="1:4" x14ac:dyDescent="0.25">
      <c r="A336" s="2">
        <v>334</v>
      </c>
      <c r="B336" s="22">
        <v>0.2052805256098508</v>
      </c>
      <c r="C336" s="22">
        <v>0.22369334325194354</v>
      </c>
      <c r="D336" s="15">
        <v>6.593332700431348E-2</v>
      </c>
    </row>
    <row r="337" spans="1:4" x14ac:dyDescent="0.25">
      <c r="A337" s="2">
        <v>335</v>
      </c>
      <c r="B337" s="22">
        <v>0.1552099965512751</v>
      </c>
      <c r="C337" s="22">
        <v>0.17027937471866597</v>
      </c>
      <c r="D337" s="15">
        <v>3.8558425754308664E-2</v>
      </c>
    </row>
    <row r="338" spans="1:4" x14ac:dyDescent="0.25">
      <c r="A338" s="2">
        <v>336</v>
      </c>
      <c r="B338" s="22">
        <v>8.7133619561791414E-2</v>
      </c>
      <c r="C338" s="22">
        <v>0.11883408017456532</v>
      </c>
      <c r="D338" s="15">
        <v>6.5700829029083169E-2</v>
      </c>
    </row>
    <row r="339" spans="1:4" x14ac:dyDescent="0.25">
      <c r="A339" s="2">
        <v>337</v>
      </c>
      <c r="B339" s="22">
        <v>0.10626988373696802</v>
      </c>
      <c r="C339" s="22">
        <v>9.2447953578084663E-2</v>
      </c>
      <c r="D339" s="15">
        <v>9.4370544981211474E-2</v>
      </c>
    </row>
    <row r="340" spans="1:4" x14ac:dyDescent="0.25">
      <c r="A340" s="2">
        <v>338</v>
      </c>
      <c r="B340" s="22">
        <v>0.14657756686210632</v>
      </c>
      <c r="C340" s="22">
        <v>9.8493780940771075E-2</v>
      </c>
      <c r="D340" s="15">
        <v>0.13020807877182949</v>
      </c>
    </row>
    <row r="341" spans="1:4" x14ac:dyDescent="0.25">
      <c r="A341" s="2">
        <v>339</v>
      </c>
      <c r="B341" s="22">
        <v>2.9973421990871309E-2</v>
      </c>
      <c r="C341" s="22">
        <v>9.2135694064199955E-2</v>
      </c>
      <c r="D341" s="15">
        <v>0.11447112094610931</v>
      </c>
    </row>
    <row r="342" spans="1:4" x14ac:dyDescent="0.25">
      <c r="A342" s="2">
        <v>340</v>
      </c>
      <c r="B342" s="22">
        <v>4.6051227673888272E-2</v>
      </c>
      <c r="C342" s="22">
        <v>0.12372322119772439</v>
      </c>
      <c r="D342" s="15">
        <v>8.019492700695989E-2</v>
      </c>
    </row>
    <row r="343" spans="1:4" x14ac:dyDescent="0.25">
      <c r="A343" s="2">
        <v>341</v>
      </c>
      <c r="B343" s="22">
        <v>0.19268316552042958</v>
      </c>
      <c r="C343" s="22">
        <v>0.19163283556699739</v>
      </c>
      <c r="D343" s="15">
        <v>7.1499379724264192E-2</v>
      </c>
    </row>
    <row r="344" spans="1:4" x14ac:dyDescent="0.25">
      <c r="A344" s="2">
        <v>342</v>
      </c>
      <c r="B344" s="22">
        <v>0.21510190740227692</v>
      </c>
      <c r="C344" s="22">
        <v>0.2189743220806124</v>
      </c>
      <c r="D344" s="15">
        <v>6.3269675523042662E-2</v>
      </c>
    </row>
    <row r="345" spans="1:4" x14ac:dyDescent="0.25">
      <c r="A345" s="2">
        <v>343</v>
      </c>
      <c r="B345" s="22">
        <v>0.17919076830148689</v>
      </c>
      <c r="C345" s="22">
        <v>0.21935723870992674</v>
      </c>
      <c r="D345" s="15">
        <v>0.11113125085830659</v>
      </c>
    </row>
    <row r="346" spans="1:4" x14ac:dyDescent="0.25">
      <c r="A346" s="2">
        <v>344</v>
      </c>
      <c r="B346" s="22">
        <v>0.1215967774391173</v>
      </c>
      <c r="C346" s="22">
        <v>0.20151897519826867</v>
      </c>
      <c r="D346" s="15">
        <v>0.12072537094354614</v>
      </c>
    </row>
    <row r="347" spans="1:4" x14ac:dyDescent="0.25">
      <c r="A347" s="2">
        <v>345</v>
      </c>
      <c r="B347" s="22">
        <v>0.24202216491103168</v>
      </c>
      <c r="C347" s="22">
        <v>0.18382158204913135</v>
      </c>
      <c r="D347" s="15">
        <v>7.7270317077636694E-2</v>
      </c>
    </row>
    <row r="348" spans="1:4" x14ac:dyDescent="0.25">
      <c r="A348" s="2">
        <v>346</v>
      </c>
      <c r="B348" s="22">
        <v>0.21410102099180225</v>
      </c>
      <c r="C348" s="22">
        <v>0.17984022647142389</v>
      </c>
      <c r="D348" s="15">
        <v>8.7270238995552168E-2</v>
      </c>
    </row>
    <row r="349" spans="1:4" x14ac:dyDescent="0.25">
      <c r="A349" s="2">
        <v>347</v>
      </c>
      <c r="B349" s="22">
        <v>0.17414675503969196</v>
      </c>
      <c r="C349" s="22">
        <v>0.15634813159704208</v>
      </c>
      <c r="D349" s="15">
        <v>5.9938648343086307E-2</v>
      </c>
    </row>
    <row r="350" spans="1:4" x14ac:dyDescent="0.25">
      <c r="A350" s="2">
        <v>348</v>
      </c>
      <c r="B350" s="22">
        <v>0.1685352303087711</v>
      </c>
      <c r="C350" s="22">
        <v>0.14614578112959858</v>
      </c>
      <c r="D350" s="15">
        <v>6.8787266314029455E-2</v>
      </c>
    </row>
    <row r="351" spans="1:4" x14ac:dyDescent="0.25">
      <c r="A351" s="2">
        <v>349</v>
      </c>
      <c r="B351" s="22">
        <v>0.16153186336159706</v>
      </c>
      <c r="C351" s="22">
        <v>0.13845845460891731</v>
      </c>
      <c r="D351" s="15">
        <v>5.7425659149885157E-2</v>
      </c>
    </row>
    <row r="352" spans="1:4" x14ac:dyDescent="0.25">
      <c r="A352" s="2">
        <v>350</v>
      </c>
      <c r="B352" s="22">
        <v>0.12844564728438865</v>
      </c>
      <c r="C352" s="22">
        <v>0.12297144010663041</v>
      </c>
      <c r="D352" s="15">
        <v>4.0718350186944141E-2</v>
      </c>
    </row>
    <row r="353" spans="1:4" x14ac:dyDescent="0.25">
      <c r="A353" s="2">
        <v>351</v>
      </c>
      <c r="B353" s="22">
        <v>0.16988982111215589</v>
      </c>
      <c r="C353" s="22">
        <v>0.10170695350971068</v>
      </c>
      <c r="D353" s="15">
        <v>0.11822325123939652</v>
      </c>
    </row>
    <row r="354" spans="1:4" x14ac:dyDescent="0.25">
      <c r="A354" s="2">
        <v>352</v>
      </c>
      <c r="B354" s="22">
        <v>0.17550559677183625</v>
      </c>
      <c r="C354" s="22">
        <v>7.0913957804441471E-2</v>
      </c>
      <c r="D354" s="15">
        <v>0.10830399207770831</v>
      </c>
    </row>
    <row r="355" spans="1:4" x14ac:dyDescent="0.25">
      <c r="A355" s="2">
        <v>353</v>
      </c>
      <c r="B355" s="22">
        <v>7.0884922519326099E-2</v>
      </c>
      <c r="C355" s="22">
        <v>6.3944769930094417E-2</v>
      </c>
      <c r="D355" s="15">
        <v>4.6122325304895684E-2</v>
      </c>
    </row>
    <row r="356" spans="1:4" x14ac:dyDescent="0.25">
      <c r="A356" s="2">
        <v>354</v>
      </c>
      <c r="B356" s="22">
        <v>5.7430265843868268E-2</v>
      </c>
      <c r="C356" s="22">
        <v>0.11667438475415112</v>
      </c>
      <c r="D356" s="15">
        <v>6.6197444777935766E-2</v>
      </c>
    </row>
    <row r="357" spans="1:4" x14ac:dyDescent="0.25">
      <c r="A357" s="2">
        <v>355</v>
      </c>
      <c r="B357" s="22">
        <v>0.14933103248476978</v>
      </c>
      <c r="C357" s="22">
        <v>0.18134591802954672</v>
      </c>
      <c r="D357" s="15">
        <v>6.7390172183513522E-2</v>
      </c>
    </row>
    <row r="358" spans="1:4" x14ac:dyDescent="0.25">
      <c r="A358" s="2">
        <v>356</v>
      </c>
      <c r="B358" s="22">
        <v>0.23318889811635019</v>
      </c>
      <c r="C358" s="22">
        <v>0.22448404729366297</v>
      </c>
      <c r="D358" s="15">
        <v>7.120076045393961E-2</v>
      </c>
    </row>
    <row r="359" spans="1:4" x14ac:dyDescent="0.25">
      <c r="A359" s="2">
        <v>357</v>
      </c>
      <c r="B359" s="22">
        <v>0.25239468440413482</v>
      </c>
      <c r="C359" s="22">
        <v>0.23409099653363227</v>
      </c>
      <c r="D359" s="15">
        <v>4.5219413936138271E-2</v>
      </c>
    </row>
    <row r="360" spans="1:4" x14ac:dyDescent="0.25">
      <c r="A360" s="2">
        <v>358</v>
      </c>
      <c r="B360" s="22">
        <v>0.17800054140388949</v>
      </c>
      <c r="C360" s="22">
        <v>0.1944460943341256</v>
      </c>
      <c r="D360" s="15">
        <v>3.5300084576010707E-2</v>
      </c>
    </row>
    <row r="361" spans="1:4" x14ac:dyDescent="0.25">
      <c r="A361" s="2">
        <v>359</v>
      </c>
      <c r="B361" s="22">
        <v>0.11254299916327</v>
      </c>
      <c r="C361" s="22">
        <v>0.11248861961066718</v>
      </c>
      <c r="D361" s="15">
        <v>6.3433025032281834E-2</v>
      </c>
    </row>
    <row r="362" spans="1:4" x14ac:dyDescent="0.25">
      <c r="A362" s="2">
        <v>360</v>
      </c>
      <c r="B362" s="22">
        <v>0.10864496752619743</v>
      </c>
      <c r="C362" s="22">
        <v>7.2456519119441468E-2</v>
      </c>
      <c r="D362" s="15">
        <v>9.041709396988154E-2</v>
      </c>
    </row>
    <row r="363" spans="1:4" x14ac:dyDescent="0.25">
      <c r="A363" s="2">
        <v>361</v>
      </c>
      <c r="B363" s="22">
        <v>5.3291286528110368E-2</v>
      </c>
      <c r="C363" s="22">
        <v>4.6321899490430959E-2</v>
      </c>
      <c r="D363" s="15">
        <v>8.1348728528246289E-2</v>
      </c>
    </row>
    <row r="364" spans="1:4" x14ac:dyDescent="0.25">
      <c r="A364" s="2">
        <v>362</v>
      </c>
      <c r="B364" s="22">
        <v>-4.8931966722011624E-2</v>
      </c>
      <c r="C364" s="22">
        <v>4.0105028636753595E-2</v>
      </c>
      <c r="D364" s="15">
        <v>0.12297432441264396</v>
      </c>
    </row>
    <row r="365" spans="1:4" x14ac:dyDescent="0.25">
      <c r="A365" s="2">
        <v>363</v>
      </c>
      <c r="B365" s="22">
        <v>5.2521982789039655E-2</v>
      </c>
      <c r="C365" s="22">
        <v>9.8892697505652855E-2</v>
      </c>
      <c r="D365" s="15">
        <v>0.15009895246475941</v>
      </c>
    </row>
    <row r="366" spans="1:4" x14ac:dyDescent="0.25">
      <c r="A366" s="2">
        <v>364</v>
      </c>
      <c r="B366" s="22">
        <v>0.14237949550151824</v>
      </c>
      <c r="C366" s="22">
        <v>0.14402977004647252</v>
      </c>
      <c r="D366" s="15">
        <v>0.13070634976029388</v>
      </c>
    </row>
    <row r="367" spans="1:4" x14ac:dyDescent="0.25">
      <c r="A367" s="2">
        <v>365</v>
      </c>
      <c r="B367" s="22">
        <v>7.40207955241204E-2</v>
      </c>
      <c r="C367" s="22">
        <v>0.16102099418640156</v>
      </c>
      <c r="D367" s="15">
        <v>0.12208026796579356</v>
      </c>
    </row>
    <row r="368" spans="1:4" x14ac:dyDescent="0.25">
      <c r="A368" s="2">
        <v>366</v>
      </c>
      <c r="B368" s="22">
        <v>0.1248895451426506</v>
      </c>
      <c r="C368" s="22">
        <v>0.17211392894387265</v>
      </c>
      <c r="D368" s="15">
        <v>0.13534177318215349</v>
      </c>
    </row>
    <row r="369" spans="1:4" x14ac:dyDescent="0.25">
      <c r="A369" s="2">
        <v>367</v>
      </c>
      <c r="B369" s="22">
        <v>0.14301805496215825</v>
      </c>
      <c r="C369" s="22">
        <v>0.18990561254322511</v>
      </c>
      <c r="D369" s="15">
        <v>9.6210097149014448E-2</v>
      </c>
    </row>
    <row r="370" spans="1:4" x14ac:dyDescent="0.25">
      <c r="A370" s="2">
        <v>368</v>
      </c>
      <c r="B370" s="22">
        <v>0.22338627353310603</v>
      </c>
      <c r="C370" s="22">
        <v>0.18732282817363738</v>
      </c>
      <c r="D370" s="15">
        <v>0.17071452960371961</v>
      </c>
    </row>
    <row r="371" spans="1:4" x14ac:dyDescent="0.25">
      <c r="A371" s="2">
        <v>369</v>
      </c>
      <c r="B371" s="22">
        <v>5.9086855500936467E-2</v>
      </c>
      <c r="C371" s="22">
        <v>0.1693662017583846</v>
      </c>
      <c r="D371" s="15">
        <v>0.1102793462574481</v>
      </c>
    </row>
    <row r="372" spans="1:4" x14ac:dyDescent="0.25">
      <c r="A372" s="2">
        <v>370</v>
      </c>
      <c r="B372" s="22">
        <v>0.12664485275745385</v>
      </c>
      <c r="C372" s="22">
        <v>0.16319332402199524</v>
      </c>
      <c r="D372" s="15">
        <v>0.10408407468348742</v>
      </c>
    </row>
    <row r="373" spans="1:4" x14ac:dyDescent="0.25">
      <c r="A373" s="2">
        <v>371</v>
      </c>
      <c r="B373" s="22">
        <v>0.18633641079068192</v>
      </c>
      <c r="C373" s="22">
        <v>0.19340189248323442</v>
      </c>
      <c r="D373" s="15">
        <v>7.2711629420518703E-2</v>
      </c>
    </row>
    <row r="374" spans="1:4" x14ac:dyDescent="0.25">
      <c r="A374" s="2">
        <v>372</v>
      </c>
      <c r="B374" s="22">
        <v>0.20348165445029745</v>
      </c>
      <c r="C374" s="22">
        <v>0.1923922896385192</v>
      </c>
      <c r="D374" s="15">
        <v>8.5821769014000959E-2</v>
      </c>
    </row>
    <row r="375" spans="1:4" x14ac:dyDescent="0.25">
      <c r="A375" s="2">
        <v>373</v>
      </c>
      <c r="B375" s="22">
        <v>0.14676966369152084</v>
      </c>
      <c r="C375" s="22">
        <v>0.16354056596755978</v>
      </c>
      <c r="D375" s="15">
        <v>6.4585202932357769E-2</v>
      </c>
    </row>
    <row r="376" spans="1:4" x14ac:dyDescent="0.25">
      <c r="A376" s="2">
        <v>374</v>
      </c>
      <c r="B376" s="22">
        <v>0.13024655580520622</v>
      </c>
      <c r="C376" s="22">
        <v>0.11836976334452623</v>
      </c>
      <c r="D376" s="15">
        <v>8.3435372263192947E-2</v>
      </c>
    </row>
    <row r="377" spans="1:4" x14ac:dyDescent="0.25">
      <c r="A377" s="2">
        <v>375</v>
      </c>
      <c r="B377" s="22">
        <v>0.10807414576411248</v>
      </c>
      <c r="C377" s="22">
        <v>7.5608210591599334E-2</v>
      </c>
      <c r="D377" s="15">
        <v>9.3581873597577317E-2</v>
      </c>
    </row>
    <row r="378" spans="1:4" x14ac:dyDescent="0.25">
      <c r="A378" s="2">
        <v>376</v>
      </c>
      <c r="B378" s="22">
        <v>0.1111690420657397</v>
      </c>
      <c r="C378" s="22">
        <v>6.3911801390349923E-2</v>
      </c>
      <c r="D378" s="15">
        <v>5.7275431416928771E-2</v>
      </c>
    </row>
    <row r="379" spans="1:4" x14ac:dyDescent="0.25">
      <c r="A379" s="2">
        <v>377</v>
      </c>
      <c r="B379" s="22">
        <v>9.6453663706779463E-2</v>
      </c>
      <c r="C379" s="22">
        <v>5.8846977259963774E-2</v>
      </c>
      <c r="D379" s="15">
        <v>6.456472286954501E-2</v>
      </c>
    </row>
    <row r="380" spans="1:4" x14ac:dyDescent="0.25">
      <c r="A380" s="2">
        <v>378</v>
      </c>
      <c r="B380" s="22">
        <v>1.8900576606392848E-2</v>
      </c>
      <c r="C380" s="22">
        <v>0.12936358428560196</v>
      </c>
      <c r="D380" s="15">
        <v>0.13112066271714876</v>
      </c>
    </row>
    <row r="381" spans="1:4" x14ac:dyDescent="0.25">
      <c r="A381" s="2">
        <v>379</v>
      </c>
      <c r="B381" s="22">
        <v>0.13110785931348795</v>
      </c>
      <c r="C381" s="22">
        <v>0.20748511999845509</v>
      </c>
      <c r="D381" s="15">
        <v>0.10715380907058716</v>
      </c>
    </row>
    <row r="382" spans="1:4" x14ac:dyDescent="0.25">
      <c r="A382" s="2">
        <v>380</v>
      </c>
      <c r="B382" s="22">
        <v>0.25484989657998086</v>
      </c>
      <c r="C382" s="22">
        <v>0.25629969164729133</v>
      </c>
      <c r="D382" s="15">
        <v>0.11302525550127036</v>
      </c>
    </row>
    <row r="383" spans="1:4" x14ac:dyDescent="0.25">
      <c r="A383" s="2">
        <v>381</v>
      </c>
      <c r="B383" s="22">
        <v>0.23956618942320343</v>
      </c>
      <c r="C383" s="22">
        <v>0.26375325545668588</v>
      </c>
      <c r="D383" s="15">
        <v>5.3688977286219505E-2</v>
      </c>
    </row>
    <row r="384" spans="1:4" x14ac:dyDescent="0.25">
      <c r="A384" s="2">
        <v>382</v>
      </c>
      <c r="B384" s="22">
        <v>0.26397303342819212</v>
      </c>
      <c r="C384" s="22">
        <v>0.25563478991389277</v>
      </c>
      <c r="D384" s="15">
        <v>3.7129186838865222E-2</v>
      </c>
    </row>
    <row r="385" spans="1:4" x14ac:dyDescent="0.25">
      <c r="A385" s="2">
        <v>383</v>
      </c>
      <c r="B385" s="22">
        <v>0.1873241744935511</v>
      </c>
      <c r="C385" s="22">
        <v>0.19689991027116771</v>
      </c>
      <c r="D385" s="15">
        <v>0.12729232087731346</v>
      </c>
    </row>
    <row r="386" spans="1:4" x14ac:dyDescent="0.25">
      <c r="A386" s="2">
        <v>384</v>
      </c>
      <c r="B386" s="22">
        <v>6.1336195468902566E-2</v>
      </c>
      <c r="C386" s="22">
        <v>9.7839348763227418E-2</v>
      </c>
      <c r="D386" s="15">
        <v>0.11452598199248318</v>
      </c>
    </row>
    <row r="387" spans="1:4" x14ac:dyDescent="0.25">
      <c r="A387" s="2">
        <v>385</v>
      </c>
      <c r="B387" s="22">
        <v>0.12389343678951274</v>
      </c>
      <c r="C387" s="22">
        <v>7.9855820164084407E-2</v>
      </c>
      <c r="D387" s="15">
        <v>0.18831655345857143</v>
      </c>
    </row>
    <row r="388" spans="1:4" x14ac:dyDescent="0.25">
      <c r="A388" s="2">
        <v>386</v>
      </c>
      <c r="B388" s="22">
        <v>0.12955218181014044</v>
      </c>
      <c r="C388" s="22">
        <v>7.4484122730791608E-2</v>
      </c>
      <c r="D388" s="15">
        <v>0.13416049797087898</v>
      </c>
    </row>
    <row r="389" spans="1:4" x14ac:dyDescent="0.25">
      <c r="A389" s="2">
        <v>387</v>
      </c>
      <c r="B389" s="22">
        <v>0.1523809492588043</v>
      </c>
      <c r="C389" s="22">
        <v>6.0978051833808486E-2</v>
      </c>
      <c r="D389" s="15">
        <v>0.16075013857334833</v>
      </c>
    </row>
    <row r="390" spans="1:4" x14ac:dyDescent="0.25">
      <c r="A390" s="2">
        <v>388</v>
      </c>
      <c r="B390" s="22">
        <v>2.0959679782390408E-2</v>
      </c>
      <c r="C390" s="22">
        <v>0.12075319634750495</v>
      </c>
      <c r="D390" s="15">
        <v>0.24686969825997945</v>
      </c>
    </row>
    <row r="391" spans="1:4" x14ac:dyDescent="0.25">
      <c r="A391" s="2">
        <v>389</v>
      </c>
      <c r="B391" s="22">
        <v>0.12699055224657049</v>
      </c>
      <c r="C391" s="22">
        <v>0.20755887627601632</v>
      </c>
      <c r="D391" s="15">
        <v>0.16456247568130491</v>
      </c>
    </row>
    <row r="392" spans="1:4" x14ac:dyDescent="0.25">
      <c r="A392" s="2">
        <v>390</v>
      </c>
      <c r="B392" s="22">
        <v>0.4401955500245095</v>
      </c>
      <c r="C392" s="22">
        <v>0.28081453889608382</v>
      </c>
      <c r="D392" s="15">
        <v>0.21938390731811541</v>
      </c>
    </row>
    <row r="393" spans="1:4" x14ac:dyDescent="0.25">
      <c r="A393" s="2">
        <v>391</v>
      </c>
      <c r="B393" s="22">
        <v>0.2304863449186087</v>
      </c>
      <c r="C393" s="22">
        <v>0.25461262911558152</v>
      </c>
      <c r="D393" s="15">
        <v>9.7591548040509221E-2</v>
      </c>
    </row>
    <row r="394" spans="1:4" x14ac:dyDescent="0.25">
      <c r="A394" s="2">
        <v>392</v>
      </c>
      <c r="B394" s="22">
        <v>0.20465218126773829</v>
      </c>
      <c r="C394" s="22">
        <v>0.21589843332767486</v>
      </c>
      <c r="D394" s="15">
        <v>5.612911283969868E-2</v>
      </c>
    </row>
    <row r="395" spans="1:4" x14ac:dyDescent="0.25">
      <c r="A395" s="2">
        <v>393</v>
      </c>
      <c r="B395" s="22">
        <v>0.17952403798699376</v>
      </c>
      <c r="C395" s="22">
        <v>0.20775008797645578</v>
      </c>
      <c r="D395" s="15">
        <v>5.5768989771604563E-2</v>
      </c>
    </row>
    <row r="396" spans="1:4" x14ac:dyDescent="0.25">
      <c r="A396" s="2">
        <v>394</v>
      </c>
      <c r="B396" s="22">
        <v>0.23379754461348051</v>
      </c>
      <c r="C396" s="22">
        <v>0.18516444042325</v>
      </c>
      <c r="D396" s="15">
        <v>9.3336983397603074E-2</v>
      </c>
    </row>
    <row r="397" spans="1:4" x14ac:dyDescent="0.25">
      <c r="A397" s="2">
        <v>395</v>
      </c>
      <c r="B397" s="22">
        <v>0.20140271298587331</v>
      </c>
      <c r="C397" s="22">
        <v>0.13661675304174417</v>
      </c>
      <c r="D397" s="15">
        <v>9.499488659203062E-2</v>
      </c>
    </row>
    <row r="398" spans="1:4" x14ac:dyDescent="0.25">
      <c r="A398" s="2">
        <v>396</v>
      </c>
      <c r="B398" s="22">
        <v>0.22886532805860033</v>
      </c>
      <c r="C398" s="22">
        <v>0.10392253287136563</v>
      </c>
      <c r="D398" s="15">
        <v>0.12515214756131154</v>
      </c>
    </row>
    <row r="399" spans="1:4" x14ac:dyDescent="0.25">
      <c r="A399" s="2">
        <v>397</v>
      </c>
      <c r="B399" s="22">
        <v>0.10759498625993728</v>
      </c>
      <c r="C399" s="22">
        <v>7.6731317117810199E-2</v>
      </c>
      <c r="D399" s="15">
        <v>4.9323989078402609E-2</v>
      </c>
    </row>
    <row r="400" spans="1:4" x14ac:dyDescent="0.25">
      <c r="A400" s="2">
        <v>398</v>
      </c>
      <c r="B400" s="22">
        <v>3.8631874322891169E-2</v>
      </c>
      <c r="C400" s="22">
        <v>4.1383877862244962E-2</v>
      </c>
      <c r="D400" s="15">
        <v>0.12153856409713641</v>
      </c>
    </row>
    <row r="401" spans="1:4" x14ac:dyDescent="0.25">
      <c r="A401" s="2">
        <v>399</v>
      </c>
      <c r="B401" s="22">
        <v>9.811233654618276E-2</v>
      </c>
      <c r="C401" s="22">
        <v>8.6671461071819195E-2</v>
      </c>
      <c r="D401" s="15">
        <v>0.152602138463408</v>
      </c>
    </row>
    <row r="402" spans="1:4" x14ac:dyDescent="0.25">
      <c r="A402" s="2">
        <v>400</v>
      </c>
      <c r="B402" s="22">
        <v>0.19666094593703751</v>
      </c>
      <c r="C402" s="22">
        <v>0.15872052097693093</v>
      </c>
      <c r="D402" s="15">
        <v>5.1744596939534107E-2</v>
      </c>
    </row>
    <row r="403" spans="1:4" x14ac:dyDescent="0.25">
      <c r="A403" s="2">
        <v>401</v>
      </c>
      <c r="B403" s="22">
        <v>0.21575895100831985</v>
      </c>
      <c r="C403" s="22">
        <v>0.20113569498062117</v>
      </c>
      <c r="D403" s="15">
        <v>5.9326614439487668E-2</v>
      </c>
    </row>
    <row r="404" spans="1:4" x14ac:dyDescent="0.25">
      <c r="A404" s="2">
        <v>402</v>
      </c>
      <c r="B404" s="22">
        <v>0.26187194138765313</v>
      </c>
      <c r="C404" s="22">
        <v>0.22498402148485169</v>
      </c>
      <c r="D404" s="15">
        <v>6.4182227849960319E-2</v>
      </c>
    </row>
    <row r="405" spans="1:4" x14ac:dyDescent="0.25">
      <c r="A405" s="2">
        <v>403</v>
      </c>
      <c r="B405" s="22">
        <v>0.23177821002900606</v>
      </c>
      <c r="C405" s="22">
        <v>0.23760205358266823</v>
      </c>
      <c r="D405" s="15">
        <v>6.3756518438458393E-2</v>
      </c>
    </row>
    <row r="406" spans="1:4" x14ac:dyDescent="0.25">
      <c r="A406" s="2">
        <v>404</v>
      </c>
      <c r="B406" s="22">
        <v>0.33303650617599501</v>
      </c>
      <c r="C406" s="22">
        <v>0.23509667962789541</v>
      </c>
      <c r="D406" s="15">
        <v>0.16643421500921241</v>
      </c>
    </row>
    <row r="407" spans="1:4" x14ac:dyDescent="0.25">
      <c r="A407" s="2">
        <v>405</v>
      </c>
      <c r="B407" s="22">
        <v>0.18374690748751166</v>
      </c>
      <c r="C407" s="22">
        <v>0.19010711312294012</v>
      </c>
      <c r="D407" s="15">
        <v>6.9847795739769999E-2</v>
      </c>
    </row>
    <row r="408" spans="1:4" x14ac:dyDescent="0.25">
      <c r="A408" s="2">
        <v>406</v>
      </c>
      <c r="B408" s="22">
        <v>0.10212757773697392</v>
      </c>
      <c r="C408" s="22">
        <v>0.1197955034673214</v>
      </c>
      <c r="D408" s="15">
        <v>7.4388343468308471E-2</v>
      </c>
    </row>
    <row r="409" spans="1:4" x14ac:dyDescent="0.25">
      <c r="A409" s="2">
        <v>407</v>
      </c>
      <c r="B409" s="22">
        <v>0.122911138087511</v>
      </c>
      <c r="C409" s="22">
        <v>7.1699717082083309E-2</v>
      </c>
      <c r="D409" s="15">
        <v>0.17017562109977005</v>
      </c>
    </row>
    <row r="410" spans="1:4" x14ac:dyDescent="0.25">
      <c r="A410" s="2">
        <v>408</v>
      </c>
      <c r="B410" s="22">
        <v>6.5583179146051468E-2</v>
      </c>
      <c r="C410" s="22">
        <v>4.0898285061121094E-2</v>
      </c>
      <c r="D410" s="15">
        <v>8.3083483576774503E-2</v>
      </c>
    </row>
    <row r="411" spans="1:4" x14ac:dyDescent="0.25">
      <c r="A411" s="2">
        <v>409</v>
      </c>
      <c r="B411" s="22">
        <v>7.4477434158325556E-3</v>
      </c>
      <c r="C411" s="22">
        <v>3.3741442486643826E-2</v>
      </c>
      <c r="D411" s="15">
        <v>9.308639280498035E-2</v>
      </c>
    </row>
    <row r="412" spans="1:4" x14ac:dyDescent="0.25">
      <c r="A412" s="2">
        <v>410</v>
      </c>
      <c r="B412" s="22">
        <v>-5.6572489440441118E-2</v>
      </c>
      <c r="C412" s="22">
        <v>2.4769046157598434E-2</v>
      </c>
      <c r="D412" s="15">
        <v>0.13469379022717476</v>
      </c>
    </row>
    <row r="413" spans="1:4" x14ac:dyDescent="0.25">
      <c r="A413" s="2">
        <v>411</v>
      </c>
      <c r="B413" s="22">
        <v>-5.8993697166442892E-2</v>
      </c>
      <c r="C413" s="22">
        <v>8.107394874095919E-2</v>
      </c>
      <c r="D413" s="15">
        <v>0.2462411701679231</v>
      </c>
    </row>
    <row r="414" spans="1:4" x14ac:dyDescent="0.25">
      <c r="A414" s="2">
        <v>412</v>
      </c>
      <c r="B414" s="22">
        <v>1.212538480758665E-2</v>
      </c>
      <c r="C414" s="22">
        <v>0.19833467379212369</v>
      </c>
      <c r="D414" s="15">
        <v>0.18620928898453706</v>
      </c>
    </row>
    <row r="415" spans="1:4" x14ac:dyDescent="0.25">
      <c r="A415" s="2">
        <v>413</v>
      </c>
      <c r="B415" s="22">
        <v>0.19032525420188903</v>
      </c>
      <c r="C415" s="22">
        <v>0.26126194074749937</v>
      </c>
      <c r="D415" s="15">
        <v>0.1089769490063192</v>
      </c>
    </row>
    <row r="416" spans="1:4" x14ac:dyDescent="0.25">
      <c r="A416" s="2">
        <v>414</v>
      </c>
      <c r="B416" s="22">
        <v>0.22483102604746805</v>
      </c>
      <c r="C416" s="22">
        <v>0.282923439145088</v>
      </c>
      <c r="D416" s="15">
        <v>0.13149351850152013</v>
      </c>
    </row>
    <row r="417" spans="1:4" x14ac:dyDescent="0.25">
      <c r="A417" s="2">
        <v>415</v>
      </c>
      <c r="B417" s="22">
        <v>0.2090442642569541</v>
      </c>
      <c r="C417" s="22">
        <v>0.26177471242845052</v>
      </c>
      <c r="D417" s="15">
        <v>0.12219462282955618</v>
      </c>
    </row>
    <row r="418" spans="1:4" x14ac:dyDescent="0.25">
      <c r="A418" s="2">
        <v>416</v>
      </c>
      <c r="B418" s="22">
        <v>8.6950656771659848E-2</v>
      </c>
      <c r="C418" s="22">
        <v>0.19598708432167763</v>
      </c>
      <c r="D418" s="15">
        <v>0.10903642755001779</v>
      </c>
    </row>
    <row r="419" spans="1:4" x14ac:dyDescent="0.25">
      <c r="A419" s="2">
        <v>417</v>
      </c>
      <c r="B419" s="22">
        <v>7.2679920494556446E-2</v>
      </c>
      <c r="C419" s="22">
        <v>0.1288131214678287</v>
      </c>
      <c r="D419" s="15">
        <v>9.9840483814477826E-2</v>
      </c>
    </row>
    <row r="420" spans="1:4" x14ac:dyDescent="0.25">
      <c r="A420" s="2">
        <v>418</v>
      </c>
      <c r="B420" s="22">
        <v>0.1295007526874544</v>
      </c>
      <c r="C420" s="22">
        <v>9.3184899585321501E-2</v>
      </c>
      <c r="D420" s="15">
        <v>0.10939240013249221</v>
      </c>
    </row>
    <row r="421" spans="1:4" x14ac:dyDescent="0.25">
      <c r="A421" s="2">
        <v>419</v>
      </c>
      <c r="B421" s="22">
        <v>8.8568959385156673E-2</v>
      </c>
      <c r="C421" s="22">
        <v>0.10969237906392673</v>
      </c>
      <c r="D421" s="15">
        <v>0.12071923005860297</v>
      </c>
    </row>
    <row r="422" spans="1:4" x14ac:dyDescent="0.25">
      <c r="A422" s="2">
        <v>420</v>
      </c>
      <c r="B422" s="22">
        <v>0.10275218784809118</v>
      </c>
      <c r="C422" s="22">
        <v>0.16744636148214345</v>
      </c>
      <c r="D422" s="15">
        <v>0.10743953585624699</v>
      </c>
    </row>
    <row r="423" spans="1:4" x14ac:dyDescent="0.25">
      <c r="A423" s="2">
        <v>421</v>
      </c>
      <c r="B423" s="22">
        <v>0.18754427544772617</v>
      </c>
      <c r="C423" s="22">
        <v>0.2144881278276444</v>
      </c>
      <c r="D423" s="15">
        <v>5.2956247702241208E-2</v>
      </c>
    </row>
    <row r="424" spans="1:4" x14ac:dyDescent="0.25">
      <c r="A424" s="2">
        <v>422</v>
      </c>
      <c r="B424" s="22">
        <v>0.17619111537933346</v>
      </c>
      <c r="C424" s="22">
        <v>0.23017404079437273</v>
      </c>
      <c r="D424" s="15">
        <v>9.7339069843292242E-2</v>
      </c>
    </row>
    <row r="425" spans="1:4" x14ac:dyDescent="0.25">
      <c r="A425" s="2">
        <v>423</v>
      </c>
      <c r="B425" s="22">
        <v>0.22541959062218681</v>
      </c>
      <c r="C425" s="22">
        <v>0.22356843501329421</v>
      </c>
      <c r="D425" s="15">
        <v>6.5794325619935826E-2</v>
      </c>
    </row>
    <row r="426" spans="1:4" x14ac:dyDescent="0.25">
      <c r="A426" s="2">
        <v>424</v>
      </c>
      <c r="B426" s="22">
        <v>0.25564464107155793</v>
      </c>
      <c r="C426" s="22">
        <v>0.21765759587287897</v>
      </c>
      <c r="D426" s="15">
        <v>7.2001601010560912E-2</v>
      </c>
    </row>
    <row r="427" spans="1:4" x14ac:dyDescent="0.25">
      <c r="A427" s="2">
        <v>425</v>
      </c>
      <c r="B427" s="22">
        <v>0.1662093479186296</v>
      </c>
      <c r="C427" s="22">
        <v>0.18628253489732732</v>
      </c>
      <c r="D427" s="15">
        <v>0.11815051473677156</v>
      </c>
    </row>
    <row r="428" spans="1:4" x14ac:dyDescent="0.25">
      <c r="A428" s="2">
        <v>426</v>
      </c>
      <c r="B428" s="22">
        <v>0.14794821776449674</v>
      </c>
      <c r="C428" s="22">
        <v>0.16694051139056681</v>
      </c>
      <c r="D428" s="15">
        <v>0.12706816047430033</v>
      </c>
    </row>
    <row r="429" spans="1:4" x14ac:dyDescent="0.25">
      <c r="A429" s="2">
        <v>427</v>
      </c>
      <c r="B429" s="22">
        <v>0.21773047372698792</v>
      </c>
      <c r="C429" s="22">
        <v>0.17744509428739558</v>
      </c>
      <c r="D429" s="15">
        <v>0.12129876539111131</v>
      </c>
    </row>
    <row r="430" spans="1:4" x14ac:dyDescent="0.25">
      <c r="A430" s="2">
        <v>428</v>
      </c>
      <c r="B430" s="22">
        <v>0.23046147823333749</v>
      </c>
      <c r="C430" s="22">
        <v>0.16458792984485635</v>
      </c>
      <c r="D430" s="15">
        <v>0.15531532317399982</v>
      </c>
    </row>
    <row r="431" spans="1:4" x14ac:dyDescent="0.25">
      <c r="A431" s="2">
        <v>429</v>
      </c>
      <c r="B431" s="22">
        <v>0.22059233412146573</v>
      </c>
      <c r="C431" s="22">
        <v>0.15076775252819058</v>
      </c>
      <c r="D431" s="15">
        <v>8.1654030829668031E-2</v>
      </c>
    </row>
    <row r="432" spans="1:4" x14ac:dyDescent="0.25">
      <c r="A432" s="2">
        <v>430</v>
      </c>
      <c r="B432" s="22">
        <v>9.794368818402302E-2</v>
      </c>
      <c r="C432" s="22">
        <v>0.12917587086558333</v>
      </c>
      <c r="D432" s="15">
        <v>0.14553888440132162</v>
      </c>
    </row>
    <row r="433" spans="1:4" x14ac:dyDescent="0.25">
      <c r="A433" s="2">
        <v>431</v>
      </c>
      <c r="B433" s="22">
        <v>0.15222666785120958</v>
      </c>
      <c r="C433" s="22">
        <v>0.14828739762306226</v>
      </c>
      <c r="D433" s="15">
        <v>0.12844991758465749</v>
      </c>
    </row>
    <row r="434" spans="1:4" x14ac:dyDescent="0.25">
      <c r="A434" s="2">
        <v>432</v>
      </c>
      <c r="B434" s="22">
        <v>0.26590960770845395</v>
      </c>
      <c r="C434" s="22">
        <v>0.18004801124334327</v>
      </c>
      <c r="D434" s="15">
        <v>0.1620981425046919</v>
      </c>
    </row>
    <row r="435" spans="1:4" x14ac:dyDescent="0.25">
      <c r="A435" s="2">
        <v>433</v>
      </c>
      <c r="B435" s="22">
        <v>0.15680057220160948</v>
      </c>
      <c r="C435" s="22">
        <v>0.18177172690629964</v>
      </c>
      <c r="D435" s="15">
        <v>0.11368653513491152</v>
      </c>
    </row>
    <row r="436" spans="1:4" x14ac:dyDescent="0.25">
      <c r="A436" s="2">
        <v>434</v>
      </c>
      <c r="B436" s="22">
        <v>0.24797818213701256</v>
      </c>
      <c r="C436" s="22">
        <v>0.20609631016850463</v>
      </c>
      <c r="D436" s="15">
        <v>7.6230152696371081E-2</v>
      </c>
    </row>
    <row r="437" spans="1:4" x14ac:dyDescent="0.25">
      <c r="A437" s="2">
        <v>435</v>
      </c>
      <c r="B437" s="22">
        <v>0.33430207669734963</v>
      </c>
      <c r="C437" s="22">
        <v>0.22601379677653322</v>
      </c>
      <c r="D437" s="15">
        <v>0.12392887845635421</v>
      </c>
    </row>
    <row r="438" spans="1:4" x14ac:dyDescent="0.25">
      <c r="A438" s="2">
        <v>436</v>
      </c>
      <c r="B438" s="22">
        <v>0.20956955701112742</v>
      </c>
      <c r="C438" s="22">
        <v>0.22231579050421718</v>
      </c>
      <c r="D438" s="15">
        <v>9.7073888033628486E-2</v>
      </c>
    </row>
    <row r="439" spans="1:4" x14ac:dyDescent="0.25">
      <c r="A439" s="2">
        <v>437</v>
      </c>
      <c r="B439" s="22">
        <v>0.18386713042855252</v>
      </c>
      <c r="C439" s="22">
        <v>0.21717330440878874</v>
      </c>
      <c r="D439" s="15">
        <v>0.12086591869592647</v>
      </c>
    </row>
    <row r="440" spans="1:4" x14ac:dyDescent="0.25">
      <c r="A440" s="2">
        <v>438</v>
      </c>
      <c r="B440" s="22">
        <v>0.31172289103269568</v>
      </c>
      <c r="C440" s="22">
        <v>0.21037117689847951</v>
      </c>
      <c r="D440" s="15">
        <v>0.11790032833814601</v>
      </c>
    </row>
    <row r="441" spans="1:4" x14ac:dyDescent="0.25">
      <c r="A441" s="2">
        <v>439</v>
      </c>
      <c r="B441" s="22">
        <v>0.24394832253456111</v>
      </c>
      <c r="C441" s="22">
        <v>0.17841467149555673</v>
      </c>
      <c r="D441" s="15">
        <v>9.7935536131262782E-2</v>
      </c>
    </row>
    <row r="442" spans="1:4" x14ac:dyDescent="0.25">
      <c r="A442" s="2">
        <v>440</v>
      </c>
      <c r="B442" s="22">
        <v>5.5863523110747361E-2</v>
      </c>
      <c r="C442" s="22">
        <v>0.16779804117977618</v>
      </c>
      <c r="D442" s="15">
        <v>0.19674987867474558</v>
      </c>
    </row>
    <row r="443" spans="1:4" x14ac:dyDescent="0.25">
      <c r="A443" s="2">
        <v>441</v>
      </c>
      <c r="B443" s="22">
        <v>8.6706385016441526E-2</v>
      </c>
      <c r="C443" s="22">
        <v>0.13979254798032345</v>
      </c>
      <c r="D443" s="15">
        <v>0.17951874299906206</v>
      </c>
    </row>
    <row r="444" spans="1:4" x14ac:dyDescent="0.25">
      <c r="A444" s="2">
        <v>442</v>
      </c>
      <c r="B444" s="22">
        <v>0.13916311226785172</v>
      </c>
      <c r="C444" s="22">
        <v>0.13753000625874842</v>
      </c>
      <c r="D444" s="15">
        <v>9.7142164246179122E-2</v>
      </c>
    </row>
    <row r="445" spans="1:4" x14ac:dyDescent="0.25">
      <c r="A445" s="2">
        <v>443</v>
      </c>
      <c r="B445" s="22">
        <v>0.19080132171511655</v>
      </c>
      <c r="C445" s="22">
        <v>0.15948777794837976</v>
      </c>
      <c r="D445" s="15">
        <v>5.160273537039746E-2</v>
      </c>
    </row>
    <row r="446" spans="1:4" x14ac:dyDescent="0.25">
      <c r="A446" s="2">
        <v>444</v>
      </c>
      <c r="B446" s="22">
        <v>0.13937127143144609</v>
      </c>
      <c r="C446" s="22">
        <v>0.14122270047664653</v>
      </c>
      <c r="D446" s="15">
        <v>0.11820576563477522</v>
      </c>
    </row>
    <row r="447" spans="1:4" x14ac:dyDescent="0.25">
      <c r="A447" s="2">
        <v>445</v>
      </c>
      <c r="B447" s="22">
        <v>0.10305582806468017</v>
      </c>
      <c r="C447" s="22">
        <v>9.4650346785783768E-2</v>
      </c>
      <c r="D447" s="15">
        <v>9.5181040465831604E-2</v>
      </c>
    </row>
    <row r="448" spans="1:4" x14ac:dyDescent="0.25">
      <c r="A448" s="2">
        <v>446</v>
      </c>
      <c r="B448" s="22">
        <v>-5.796175375580799E-2</v>
      </c>
      <c r="C448" s="22">
        <v>9.0813279524445428E-2</v>
      </c>
      <c r="D448" s="15">
        <v>0.16900206916034222</v>
      </c>
    </row>
    <row r="449" spans="1:4" x14ac:dyDescent="0.25">
      <c r="A449" s="2">
        <v>447</v>
      </c>
      <c r="B449" s="22">
        <v>0.17404318265616889</v>
      </c>
      <c r="C449" s="22">
        <v>0.15109228864312155</v>
      </c>
      <c r="D449" s="15">
        <v>7.1213265880942428E-2</v>
      </c>
    </row>
    <row r="450" spans="1:4" x14ac:dyDescent="0.25">
      <c r="A450" s="2">
        <v>448</v>
      </c>
      <c r="B450" s="22">
        <v>0.13314567431807506</v>
      </c>
      <c r="C450" s="22">
        <v>0.18981681764125838</v>
      </c>
      <c r="D450" s="15">
        <v>8.6189714819193006E-2</v>
      </c>
    </row>
    <row r="451" spans="1:4" x14ac:dyDescent="0.25">
      <c r="A451" s="2">
        <v>449</v>
      </c>
      <c r="B451" s="22">
        <v>0.18685257062315949</v>
      </c>
      <c r="C451" s="22">
        <v>0.19661132246255883</v>
      </c>
      <c r="D451" s="15">
        <v>8.501237407326688E-2</v>
      </c>
    </row>
    <row r="452" spans="1:4" x14ac:dyDescent="0.25">
      <c r="A452" s="2">
        <v>450</v>
      </c>
      <c r="B452" s="22">
        <v>0.27767818942666039</v>
      </c>
      <c r="C452" s="22">
        <v>0.21804836094379429</v>
      </c>
      <c r="D452" s="15">
        <v>8.7515958398580493E-2</v>
      </c>
    </row>
    <row r="453" spans="1:4" x14ac:dyDescent="0.25">
      <c r="A453" s="2">
        <v>451</v>
      </c>
      <c r="B453" s="22">
        <v>0.22130817696452137</v>
      </c>
      <c r="C453" s="22">
        <v>0.21323346048593522</v>
      </c>
      <c r="D453" s="15">
        <v>9.8398887366056592E-2</v>
      </c>
    </row>
    <row r="454" spans="1:4" x14ac:dyDescent="0.25">
      <c r="A454" s="2">
        <v>452</v>
      </c>
      <c r="B454" s="22">
        <v>0.22220388725399953</v>
      </c>
      <c r="C454" s="22">
        <v>0.17401703298091892</v>
      </c>
      <c r="D454" s="15">
        <v>6.2038753181695827E-2</v>
      </c>
    </row>
    <row r="455" spans="1:4" x14ac:dyDescent="0.25">
      <c r="A455" s="2">
        <v>453</v>
      </c>
      <c r="B455" s="22">
        <v>0.18440342135727406</v>
      </c>
      <c r="C455" s="22">
        <v>0.14850663430988792</v>
      </c>
      <c r="D455" s="15">
        <v>9.058285877108567E-2</v>
      </c>
    </row>
    <row r="456" spans="1:4" x14ac:dyDescent="0.25">
      <c r="A456" s="2">
        <v>454</v>
      </c>
      <c r="B456" s="22">
        <v>0.2277138240635396</v>
      </c>
      <c r="C456" s="22">
        <v>0.15877128951251521</v>
      </c>
      <c r="D456" s="15">
        <v>0.11550987400114539</v>
      </c>
    </row>
    <row r="457" spans="1:4" x14ac:dyDescent="0.25">
      <c r="A457" s="2">
        <v>455</v>
      </c>
      <c r="B457" s="22">
        <v>0.16283195391297337</v>
      </c>
      <c r="C457" s="22">
        <v>0.16571343019604678</v>
      </c>
      <c r="D457" s="15">
        <v>0.11272582411766066</v>
      </c>
    </row>
    <row r="458" spans="1:4" x14ac:dyDescent="0.25">
      <c r="A458" s="2">
        <v>456</v>
      </c>
      <c r="B458" s="22">
        <v>0.10528477579355229</v>
      </c>
      <c r="C458" s="22">
        <v>0.18444249257445322</v>
      </c>
      <c r="D458" s="15">
        <v>0.13146145418286334</v>
      </c>
    </row>
    <row r="459" spans="1:4" x14ac:dyDescent="0.25">
      <c r="A459" s="2">
        <v>457</v>
      </c>
      <c r="B459" s="22">
        <v>0.2116891562938692</v>
      </c>
      <c r="C459" s="22">
        <v>0.23769713491201405</v>
      </c>
      <c r="D459" s="15">
        <v>0.1463203266263009</v>
      </c>
    </row>
    <row r="460" spans="1:4" x14ac:dyDescent="0.25">
      <c r="A460" s="2">
        <v>458</v>
      </c>
      <c r="B460" s="22">
        <v>0.2543870985507965</v>
      </c>
      <c r="C460" s="22">
        <v>0.23928591310977931</v>
      </c>
      <c r="D460" s="15">
        <v>9.4888469576835596E-2</v>
      </c>
    </row>
    <row r="461" spans="1:4" x14ac:dyDescent="0.25">
      <c r="A461" s="2">
        <v>459</v>
      </c>
      <c r="B461" s="22">
        <v>0.21593606844544397</v>
      </c>
      <c r="C461" s="22">
        <v>0.20697436146438136</v>
      </c>
      <c r="D461" s="15">
        <v>0.12512733303010459</v>
      </c>
    </row>
    <row r="462" spans="1:4" x14ac:dyDescent="0.25">
      <c r="A462" s="2">
        <v>460</v>
      </c>
      <c r="B462" s="22">
        <v>0.14926256090402606</v>
      </c>
      <c r="C462" s="22">
        <v>0.17966006398200987</v>
      </c>
      <c r="D462" s="15">
        <v>8.4512625634669963E-2</v>
      </c>
    </row>
    <row r="463" spans="1:4" x14ac:dyDescent="0.25">
      <c r="A463" s="2">
        <v>461</v>
      </c>
      <c r="B463" s="22">
        <v>0.11319345235824578</v>
      </c>
      <c r="C463" s="22">
        <v>0.15737332887947569</v>
      </c>
      <c r="D463" s="15">
        <v>0.14946747012436373</v>
      </c>
    </row>
    <row r="464" spans="1:4" x14ac:dyDescent="0.25">
      <c r="A464" s="2">
        <v>462</v>
      </c>
      <c r="B464" s="22">
        <v>7.1826112270355319E-2</v>
      </c>
      <c r="C464" s="22">
        <v>0.12696010358631593</v>
      </c>
      <c r="D464" s="15">
        <v>0.11799851544201387</v>
      </c>
    </row>
    <row r="465" spans="1:4" x14ac:dyDescent="0.25">
      <c r="A465" s="2">
        <v>463</v>
      </c>
      <c r="B465" s="22">
        <v>0.1934945385903119</v>
      </c>
      <c r="C465" s="22">
        <v>0.12042548302561051</v>
      </c>
      <c r="D465" s="15">
        <v>8.2735635526478252E-2</v>
      </c>
    </row>
    <row r="466" spans="1:4" x14ac:dyDescent="0.25">
      <c r="A466" s="2">
        <v>464</v>
      </c>
      <c r="B466" s="22">
        <v>0.1153141859918833</v>
      </c>
      <c r="C466" s="22">
        <v>0.12763239610940222</v>
      </c>
      <c r="D466" s="15">
        <v>0.13818234372884022</v>
      </c>
    </row>
    <row r="467" spans="1:4" x14ac:dyDescent="0.25">
      <c r="A467" s="2">
        <v>465</v>
      </c>
      <c r="B467" s="22">
        <v>0.16116203702986237</v>
      </c>
      <c r="C467" s="22">
        <v>0.15468626904621491</v>
      </c>
      <c r="D467" s="15">
        <v>9.5136579616519168E-2</v>
      </c>
    </row>
    <row r="468" spans="1:4" x14ac:dyDescent="0.25">
      <c r="A468" s="2">
        <v>466</v>
      </c>
      <c r="B468" s="22">
        <v>0.21029674038290977</v>
      </c>
      <c r="C468" s="22">
        <v>0.19782984107732784</v>
      </c>
      <c r="D468" s="15">
        <v>4.719662442803392E-2</v>
      </c>
    </row>
    <row r="469" spans="1:4" x14ac:dyDescent="0.25">
      <c r="A469" s="2">
        <v>467</v>
      </c>
      <c r="B469" s="22">
        <v>0.23090112730860707</v>
      </c>
      <c r="C469" s="22">
        <v>0.22956534028053294</v>
      </c>
      <c r="D469" s="15">
        <v>3.22845347225666E-2</v>
      </c>
    </row>
    <row r="470" spans="1:4" x14ac:dyDescent="0.25">
      <c r="A470" s="2">
        <v>468</v>
      </c>
      <c r="B470" s="22">
        <v>0.25220723301172254</v>
      </c>
      <c r="C470" s="22">
        <v>0.21557600498199458</v>
      </c>
      <c r="D470" s="15">
        <v>6.8329612910747489E-2</v>
      </c>
    </row>
    <row r="471" spans="1:4" x14ac:dyDescent="0.25">
      <c r="A471" s="2">
        <v>469</v>
      </c>
      <c r="B471" s="22">
        <v>0.23852205574512478</v>
      </c>
      <c r="C471" s="22">
        <v>0.18832254335284232</v>
      </c>
      <c r="D471" s="15">
        <v>8.7093663960695247E-2</v>
      </c>
    </row>
    <row r="472" spans="1:4" x14ac:dyDescent="0.25">
      <c r="A472" s="2">
        <v>470</v>
      </c>
      <c r="B472" s="22">
        <v>0.25267472267150859</v>
      </c>
      <c r="C472" s="22">
        <v>0.16697312071919443</v>
      </c>
      <c r="D472" s="15">
        <v>8.5701601952314174E-2</v>
      </c>
    </row>
    <row r="473" spans="1:4" x14ac:dyDescent="0.25">
      <c r="A473" s="2">
        <v>471</v>
      </c>
      <c r="B473" s="22">
        <v>0.15003752112388588</v>
      </c>
      <c r="C473" s="22">
        <v>0.14883277770131825</v>
      </c>
      <c r="D473" s="15">
        <v>4.1572003625333212E-2</v>
      </c>
    </row>
    <row r="474" spans="1:4" x14ac:dyDescent="0.25">
      <c r="A474" s="2">
        <v>472</v>
      </c>
      <c r="B474" s="22">
        <v>0.17986468449234946</v>
      </c>
      <c r="C474" s="22">
        <v>0.17027963176369676</v>
      </c>
      <c r="D474" s="15">
        <v>4.8297271132469011E-2</v>
      </c>
    </row>
    <row r="475" spans="1:4" x14ac:dyDescent="0.25">
      <c r="A475" s="2">
        <v>473</v>
      </c>
      <c r="B475" s="22">
        <v>0.21551468558609477</v>
      </c>
      <c r="C475" s="22">
        <v>0.21531548500061032</v>
      </c>
      <c r="D475" s="15">
        <v>5.2567496523260884E-2</v>
      </c>
    </row>
    <row r="476" spans="1:4" x14ac:dyDescent="0.25">
      <c r="A476" s="2">
        <v>474</v>
      </c>
      <c r="B476" s="22">
        <v>0.34133748859167101</v>
      </c>
      <c r="C476" s="22">
        <v>0.22833497673273087</v>
      </c>
      <c r="D476" s="15">
        <v>0.13185548484325421</v>
      </c>
    </row>
    <row r="477" spans="1:4" x14ac:dyDescent="0.25">
      <c r="A477" s="2">
        <v>475</v>
      </c>
      <c r="B477" s="22">
        <v>0.23490915112197391</v>
      </c>
      <c r="C477" s="22">
        <v>0.20801791548728951</v>
      </c>
      <c r="D477" s="15">
        <v>8.6445042118430446E-2</v>
      </c>
    </row>
    <row r="478" spans="1:4" x14ac:dyDescent="0.25">
      <c r="A478" s="2">
        <v>476</v>
      </c>
      <c r="B478" s="22">
        <v>0.2229816049337387</v>
      </c>
      <c r="C478" s="22">
        <v>0.15394436046481122</v>
      </c>
      <c r="D478" s="15">
        <v>7.4416176229715497E-2</v>
      </c>
    </row>
    <row r="479" spans="1:4" x14ac:dyDescent="0.25">
      <c r="A479" s="2">
        <v>477</v>
      </c>
      <c r="B479" s="22">
        <v>0.14267409145832047</v>
      </c>
      <c r="C479" s="22">
        <v>0.12389259338378922</v>
      </c>
      <c r="D479" s="15">
        <v>8.7112303078174289E-2</v>
      </c>
    </row>
    <row r="480" spans="1:4" x14ac:dyDescent="0.25">
      <c r="A480" s="2">
        <v>478</v>
      </c>
      <c r="B480" s="22">
        <v>0.10463259592652327</v>
      </c>
      <c r="C480" s="22">
        <v>0.12440008446574206</v>
      </c>
      <c r="D480" s="15">
        <v>0.12766130119562161</v>
      </c>
    </row>
    <row r="481" spans="1:4" x14ac:dyDescent="0.25">
      <c r="A481" s="2">
        <v>479</v>
      </c>
      <c r="B481" s="22">
        <v>0.20439406409859656</v>
      </c>
      <c r="C481" s="22">
        <v>0.16328103244304645</v>
      </c>
      <c r="D481" s="15">
        <v>9.7812726348638551E-2</v>
      </c>
    </row>
    <row r="482" spans="1:4" x14ac:dyDescent="0.25">
      <c r="A482" s="2">
        <v>480</v>
      </c>
      <c r="B482" s="22">
        <v>0.2543730497360227</v>
      </c>
      <c r="C482" s="22">
        <v>0.20638109669089327</v>
      </c>
      <c r="D482" s="15">
        <v>5.7305488735437338E-2</v>
      </c>
    </row>
    <row r="483" spans="1:4" x14ac:dyDescent="0.25">
      <c r="A483" s="2">
        <v>481</v>
      </c>
      <c r="B483" s="22">
        <v>0.17438948452472686</v>
      </c>
      <c r="C483" s="22">
        <v>0.20745346024632449</v>
      </c>
      <c r="D483" s="15">
        <v>9.8171720653772457E-2</v>
      </c>
    </row>
    <row r="484" spans="1:4" x14ac:dyDescent="0.25">
      <c r="A484" s="2">
        <v>482</v>
      </c>
      <c r="B484" s="22">
        <v>0.14394525848329062</v>
      </c>
      <c r="C484" s="22">
        <v>0.20548952668905257</v>
      </c>
      <c r="D484" s="15">
        <v>7.1912251785397549E-2</v>
      </c>
    </row>
    <row r="485" spans="1:4" x14ac:dyDescent="0.25">
      <c r="A485" s="2">
        <v>483</v>
      </c>
      <c r="B485" s="22">
        <v>0.22636776678264131</v>
      </c>
      <c r="C485" s="22">
        <v>0.20862170904874788</v>
      </c>
      <c r="D485" s="15">
        <v>6.353837586939319E-2</v>
      </c>
    </row>
    <row r="486" spans="1:4" x14ac:dyDescent="0.25">
      <c r="A486" s="2">
        <v>484</v>
      </c>
      <c r="B486" s="22">
        <v>0.17587161809206009</v>
      </c>
      <c r="C486" s="22">
        <v>0.18622272238135343</v>
      </c>
      <c r="D486" s="15">
        <v>6.6388354450464315E-2</v>
      </c>
    </row>
    <row r="487" spans="1:4" x14ac:dyDescent="0.25">
      <c r="A487" s="2">
        <v>485</v>
      </c>
      <c r="B487" s="22">
        <v>0.13054797649383548</v>
      </c>
      <c r="C487" s="22">
        <v>0.16252642199397097</v>
      </c>
      <c r="D487" s="15">
        <v>0.10415213331580149</v>
      </c>
    </row>
    <row r="488" spans="1:4" x14ac:dyDescent="0.25">
      <c r="A488" s="2">
        <v>486</v>
      </c>
      <c r="B488" s="22">
        <v>0.1450213357806206</v>
      </c>
      <c r="C488" s="22">
        <v>0.13647423312067991</v>
      </c>
      <c r="D488" s="15">
        <v>0.10267861858010277</v>
      </c>
    </row>
    <row r="489" spans="1:4" x14ac:dyDescent="0.25">
      <c r="A489" s="2">
        <v>487</v>
      </c>
      <c r="B489" s="22">
        <v>0.15992606952786448</v>
      </c>
      <c r="C489" s="22">
        <v>0.13331470042467128</v>
      </c>
      <c r="D489" s="15">
        <v>7.2277157753706023E-2</v>
      </c>
    </row>
    <row r="490" spans="1:4" x14ac:dyDescent="0.25">
      <c r="A490" s="2">
        <v>488</v>
      </c>
      <c r="B490" s="22">
        <v>9.9334180355072008E-2</v>
      </c>
      <c r="C490" s="22">
        <v>0.15460020080208775</v>
      </c>
      <c r="D490" s="15">
        <v>0.10192474350333211</v>
      </c>
    </row>
    <row r="491" spans="1:4" x14ac:dyDescent="0.25">
      <c r="A491" s="2">
        <v>489</v>
      </c>
      <c r="B491" s="22">
        <v>0.21549599170684805</v>
      </c>
      <c r="C491" s="22">
        <v>0.15811671912670139</v>
      </c>
      <c r="D491" s="15">
        <v>9.4560913741588454E-2</v>
      </c>
    </row>
    <row r="492" spans="1:4" x14ac:dyDescent="0.25">
      <c r="A492" s="2">
        <v>490</v>
      </c>
      <c r="B492" s="22">
        <v>0.1823790311813355</v>
      </c>
      <c r="C492" s="22">
        <v>0.17171248160302627</v>
      </c>
      <c r="D492" s="15">
        <v>9.6940249577164433E-2</v>
      </c>
    </row>
    <row r="493" spans="1:4" x14ac:dyDescent="0.25">
      <c r="A493" s="2">
        <v>491</v>
      </c>
      <c r="B493" s="22">
        <v>0.19867440238595002</v>
      </c>
      <c r="C493" s="22">
        <v>0.17313306517899035</v>
      </c>
      <c r="D493" s="15">
        <v>6.2249456718563877E-2</v>
      </c>
    </row>
    <row r="494" spans="1:4" x14ac:dyDescent="0.25">
      <c r="A494" s="2">
        <v>492</v>
      </c>
      <c r="B494" s="22">
        <v>0.188220614939928</v>
      </c>
      <c r="C494" s="22">
        <v>0.16178178321570169</v>
      </c>
      <c r="D494" s="15">
        <v>6.7034796811640526E-2</v>
      </c>
    </row>
    <row r="495" spans="1:4" x14ac:dyDescent="0.25">
      <c r="A495" s="2">
        <v>493</v>
      </c>
      <c r="B495" s="22">
        <v>0.12674452625215052</v>
      </c>
      <c r="C495" s="22">
        <v>0.14369780626147979</v>
      </c>
      <c r="D495" s="15">
        <v>7.3582880757748964E-2</v>
      </c>
    </row>
    <row r="496" spans="1:4" x14ac:dyDescent="0.25">
      <c r="A496" s="2">
        <v>494</v>
      </c>
      <c r="B496" s="22">
        <v>0.17432869076728824</v>
      </c>
      <c r="C496" s="22">
        <v>0.15039897318929427</v>
      </c>
      <c r="D496" s="15">
        <v>6.1705532111227569E-2</v>
      </c>
    </row>
    <row r="497" spans="1:4" x14ac:dyDescent="0.25">
      <c r="A497" s="2">
        <v>495</v>
      </c>
      <c r="B497" s="22">
        <v>0.18625108599662765</v>
      </c>
      <c r="C497" s="22">
        <v>0.17066937088966366</v>
      </c>
      <c r="D497" s="15">
        <v>4.5542575418949086E-2</v>
      </c>
    </row>
    <row r="498" spans="1:4" x14ac:dyDescent="0.25">
      <c r="A498" s="2">
        <v>496</v>
      </c>
      <c r="B498" s="22">
        <v>0.20472005158662801</v>
      </c>
      <c r="C498" s="22">
        <v>0.16632649600505828</v>
      </c>
      <c r="D498" s="15">
        <v>6.4316006004810217E-2</v>
      </c>
    </row>
    <row r="499" spans="1:4" x14ac:dyDescent="0.25">
      <c r="A499" s="2">
        <v>497</v>
      </c>
      <c r="B499" s="22">
        <v>0.15624297633767131</v>
      </c>
      <c r="C499" s="22">
        <v>0.16003942117094991</v>
      </c>
      <c r="D499" s="15">
        <v>6.3991488516330658E-2</v>
      </c>
    </row>
    <row r="500" spans="1:4" x14ac:dyDescent="0.25">
      <c r="A500" s="2">
        <v>498</v>
      </c>
      <c r="B500" s="22">
        <v>0.15906834639608869</v>
      </c>
      <c r="C500" s="22">
        <v>0.14527081772685041</v>
      </c>
      <c r="D500" s="15">
        <v>9.5928763225674729E-2</v>
      </c>
    </row>
    <row r="501" spans="1:4" x14ac:dyDescent="0.25">
      <c r="A501" s="2">
        <v>499</v>
      </c>
      <c r="B501" s="22">
        <v>0.10906050652265546</v>
      </c>
      <c r="C501" s="22">
        <v>0.13124479427933691</v>
      </c>
      <c r="D501" s="15">
        <v>5.8125361055135639E-2</v>
      </c>
    </row>
    <row r="502" spans="1:4" x14ac:dyDescent="0.25">
      <c r="A502" s="2">
        <v>500</v>
      </c>
      <c r="B502" s="22">
        <v>7.1202812716364833E-2</v>
      </c>
      <c r="C502" s="22">
        <v>0.13615498348226535</v>
      </c>
      <c r="D502" s="15">
        <v>0.14099316456267846</v>
      </c>
    </row>
    <row r="503" spans="1:4" x14ac:dyDescent="0.25">
      <c r="A503" s="2">
        <v>501</v>
      </c>
      <c r="B503" s="22">
        <v>0.12259033024311075</v>
      </c>
      <c r="C503" s="22">
        <v>0.15168586801737555</v>
      </c>
      <c r="D503" s="15">
        <v>0.1115406112745406</v>
      </c>
    </row>
    <row r="504" spans="1:4" x14ac:dyDescent="0.25">
      <c r="A504" s="2">
        <v>502</v>
      </c>
      <c r="B504" s="22">
        <v>0.24688965305686014</v>
      </c>
      <c r="C504" s="22">
        <v>0.17003786806017165</v>
      </c>
      <c r="D504" s="15">
        <v>0.17848271895200035</v>
      </c>
    </row>
    <row r="505" spans="1:4" x14ac:dyDescent="0.25">
      <c r="A505" s="2">
        <v>503</v>
      </c>
      <c r="B505" s="22">
        <v>6.4626903831958835E-2</v>
      </c>
      <c r="C505" s="22">
        <v>0.16761445717420434</v>
      </c>
      <c r="D505" s="15">
        <v>0.11719647811260085</v>
      </c>
    </row>
    <row r="506" spans="1:4" x14ac:dyDescent="0.25">
      <c r="A506" s="2">
        <v>504</v>
      </c>
      <c r="B506" s="22">
        <v>0.18961350992321954</v>
      </c>
      <c r="C506" s="22">
        <v>0.15300336219370364</v>
      </c>
      <c r="D506" s="15">
        <v>8.4858015552162908E-2</v>
      </c>
    </row>
    <row r="507" spans="1:4" x14ac:dyDescent="0.25">
      <c r="A507" s="2">
        <v>505</v>
      </c>
      <c r="B507" s="22">
        <v>0.11176837980747226</v>
      </c>
      <c r="C507" s="22">
        <v>0.1288313344120979</v>
      </c>
      <c r="D507" s="15">
        <v>7.2350586950779075E-2</v>
      </c>
    </row>
    <row r="508" spans="1:4" x14ac:dyDescent="0.25">
      <c r="A508" s="2">
        <v>506</v>
      </c>
      <c r="B508" s="22">
        <v>6.4758792519569817E-3</v>
      </c>
      <c r="C508" s="22">
        <v>0.10078342333436012</v>
      </c>
      <c r="D508" s="15">
        <v>0.12953181788325294</v>
      </c>
    </row>
    <row r="509" spans="1:4" x14ac:dyDescent="0.25">
      <c r="A509" s="2">
        <v>507</v>
      </c>
      <c r="B509" s="22">
        <v>4.1516460850834866E-2</v>
      </c>
      <c r="C509" s="22">
        <v>0.10136952884495262</v>
      </c>
      <c r="D509" s="15">
        <v>0.12888259217143055</v>
      </c>
    </row>
    <row r="510" spans="1:4" x14ac:dyDescent="0.25">
      <c r="A510" s="2">
        <v>508</v>
      </c>
      <c r="B510" s="22">
        <v>0.10565287023782718</v>
      </c>
      <c r="C510" s="22">
        <v>0.13929787352681167</v>
      </c>
      <c r="D510" s="15">
        <v>5.0859225541353248E-2</v>
      </c>
    </row>
    <row r="511" spans="1:4" x14ac:dyDescent="0.25">
      <c r="A511" s="2">
        <v>509</v>
      </c>
      <c r="B511" s="22">
        <v>0.11791277453303342</v>
      </c>
      <c r="C511" s="22">
        <v>0.1931727170944213</v>
      </c>
      <c r="D511" s="15">
        <v>8.5327107459306717E-2</v>
      </c>
    </row>
    <row r="512" spans="1:4" x14ac:dyDescent="0.25">
      <c r="A512" s="2">
        <v>510</v>
      </c>
      <c r="B512" s="22">
        <v>0.19522353559732433</v>
      </c>
      <c r="C512" s="22">
        <v>0.23073270842432966</v>
      </c>
      <c r="D512" s="15">
        <v>7.0478699356317703E-2</v>
      </c>
    </row>
    <row r="513" spans="1:4" x14ac:dyDescent="0.25">
      <c r="A513" s="2">
        <v>511</v>
      </c>
      <c r="B513" s="22">
        <v>0.21217839717864986</v>
      </c>
      <c r="C513" s="22">
        <v>0.24510333463549619</v>
      </c>
      <c r="D513" s="15">
        <v>9.2258300632238346E-2</v>
      </c>
    </row>
    <row r="514" spans="1:4" x14ac:dyDescent="0.25">
      <c r="A514" s="2">
        <v>512</v>
      </c>
      <c r="B514" s="22">
        <v>0.16835022419691079</v>
      </c>
      <c r="C514" s="22">
        <v>0.21172247081995002</v>
      </c>
      <c r="D514" s="15">
        <v>0.1071935802698134</v>
      </c>
    </row>
    <row r="515" spans="1:4" x14ac:dyDescent="0.25">
      <c r="A515" s="2">
        <v>513</v>
      </c>
      <c r="B515" s="22">
        <v>0.16138363480567933</v>
      </c>
      <c r="C515" s="22">
        <v>0.17264408096671119</v>
      </c>
      <c r="D515" s="15">
        <v>6.6340027004480454E-2</v>
      </c>
    </row>
    <row r="516" spans="1:4" x14ac:dyDescent="0.25">
      <c r="A516" s="2">
        <v>514</v>
      </c>
      <c r="B516" s="22">
        <v>0.20921199508011354</v>
      </c>
      <c r="C516" s="22">
        <v>0.17138234972953809</v>
      </c>
      <c r="D516" s="15">
        <v>8.3232414349913714E-2</v>
      </c>
    </row>
    <row r="517" spans="1:4" x14ac:dyDescent="0.25">
      <c r="A517" s="2">
        <v>515</v>
      </c>
      <c r="B517" s="22">
        <v>9.6455841511487964E-2</v>
      </c>
      <c r="C517" s="22">
        <v>0.18269623219966885</v>
      </c>
      <c r="D517" s="15">
        <v>8.9944391697645204E-2</v>
      </c>
    </row>
    <row r="518" spans="1:4" x14ac:dyDescent="0.25">
      <c r="A518" s="2">
        <v>516</v>
      </c>
      <c r="B518" s="22">
        <v>0.31604929789900793</v>
      </c>
      <c r="C518" s="22">
        <v>0.18315552771091453</v>
      </c>
      <c r="D518" s="15">
        <v>0.17516176477074635</v>
      </c>
    </row>
    <row r="519" spans="1:4" x14ac:dyDescent="0.25">
      <c r="A519" s="2">
        <v>517</v>
      </c>
      <c r="B519" s="22">
        <v>0.11967747323214997</v>
      </c>
      <c r="C519" s="22">
        <v>0.16567352227866641</v>
      </c>
      <c r="D519" s="15">
        <v>6.6766765713691639E-2</v>
      </c>
    </row>
    <row r="520" spans="1:4" x14ac:dyDescent="0.25">
      <c r="A520" s="2">
        <v>518</v>
      </c>
      <c r="B520" s="22">
        <v>0.14030402898788444</v>
      </c>
      <c r="C520" s="22">
        <v>0.14298193268477918</v>
      </c>
      <c r="D520" s="15">
        <v>6.0290706530213491E-2</v>
      </c>
    </row>
    <row r="521" spans="1:4" x14ac:dyDescent="0.25">
      <c r="A521" s="2">
        <v>519</v>
      </c>
      <c r="B521" s="22">
        <v>0.12638247311115261</v>
      </c>
      <c r="C521" s="22">
        <v>0.16703249588608751</v>
      </c>
      <c r="D521" s="15">
        <v>0.11871554628014572</v>
      </c>
    </row>
    <row r="522" spans="1:4" x14ac:dyDescent="0.25">
      <c r="A522" s="2">
        <v>520</v>
      </c>
      <c r="B522" s="22">
        <v>0.14642096608877184</v>
      </c>
      <c r="C522" s="22">
        <v>0.1867514573037625</v>
      </c>
      <c r="D522" s="15">
        <v>8.1287292391061722E-2</v>
      </c>
    </row>
    <row r="523" spans="1:4" x14ac:dyDescent="0.25">
      <c r="A523" s="2">
        <v>521</v>
      </c>
      <c r="B523" s="22">
        <v>0.15724810436368003</v>
      </c>
      <c r="C523" s="22">
        <v>0.18595774546265603</v>
      </c>
      <c r="D523" s="15">
        <v>3.5893297195434631E-2</v>
      </c>
    </row>
    <row r="524" spans="1:4" x14ac:dyDescent="0.25">
      <c r="A524" s="2">
        <v>522</v>
      </c>
      <c r="B524" s="22">
        <v>0.18802109658718116</v>
      </c>
      <c r="C524" s="22">
        <v>0.15637278035283103</v>
      </c>
      <c r="D524" s="15">
        <v>4.7658482939004855E-2</v>
      </c>
    </row>
    <row r="525" spans="1:4" x14ac:dyDescent="0.25">
      <c r="A525" s="2">
        <v>523</v>
      </c>
      <c r="B525" s="22">
        <v>0.16530004255473627</v>
      </c>
      <c r="C525" s="22">
        <v>0.1214170160703361</v>
      </c>
      <c r="D525" s="15">
        <v>6.2342161778360571E-2</v>
      </c>
    </row>
    <row r="526" spans="1:4" x14ac:dyDescent="0.25">
      <c r="A526" s="2">
        <v>524</v>
      </c>
      <c r="B526" s="22">
        <v>0.17175124138593664</v>
      </c>
      <c r="C526" s="22">
        <v>9.240397326648217E-2</v>
      </c>
      <c r="D526" s="15">
        <v>0.10854192264378089</v>
      </c>
    </row>
    <row r="527" spans="1:4" x14ac:dyDescent="0.25">
      <c r="A527" s="2">
        <v>525</v>
      </c>
      <c r="B527" s="22">
        <v>0.1127978444099427</v>
      </c>
      <c r="C527" s="22">
        <v>7.1104456484317707E-2</v>
      </c>
      <c r="D527" s="15">
        <v>6.4131759107113009E-2</v>
      </c>
    </row>
    <row r="528" spans="1:4" x14ac:dyDescent="0.25">
      <c r="A528" s="2">
        <v>526</v>
      </c>
      <c r="B528" s="22">
        <v>4.7656012326478876E-2</v>
      </c>
      <c r="C528" s="22">
        <v>0.11336203468963504</v>
      </c>
      <c r="D528" s="15">
        <v>6.664695320650936E-2</v>
      </c>
    </row>
    <row r="529" spans="1:4" x14ac:dyDescent="0.25">
      <c r="A529" s="2">
        <v>527</v>
      </c>
      <c r="B529" s="22">
        <v>0.14448904693126671</v>
      </c>
      <c r="C529" s="22">
        <v>0.18578429743647581</v>
      </c>
      <c r="D529" s="15">
        <v>5.7600697129964872E-2</v>
      </c>
    </row>
    <row r="530" spans="1:4" x14ac:dyDescent="0.25">
      <c r="A530" s="2">
        <v>528</v>
      </c>
      <c r="B530" s="22">
        <v>0.23777163922786698</v>
      </c>
      <c r="C530" s="22">
        <v>0.22917795330286012</v>
      </c>
      <c r="D530" s="15">
        <v>7.6219801604747728E-2</v>
      </c>
    </row>
    <row r="531" spans="1:4" x14ac:dyDescent="0.25">
      <c r="A531" s="2">
        <v>529</v>
      </c>
      <c r="B531" s="22">
        <v>0.36764892041683195</v>
      </c>
      <c r="C531" s="22">
        <v>0.25646828114986431</v>
      </c>
      <c r="D531" s="15">
        <v>0.13082420229911812</v>
      </c>
    </row>
    <row r="532" spans="1:4" x14ac:dyDescent="0.25">
      <c r="A532" s="2">
        <v>530</v>
      </c>
      <c r="B532" s="22">
        <v>0.16077301651239406</v>
      </c>
      <c r="C532" s="22">
        <v>0.26085607111454029</v>
      </c>
      <c r="D532" s="15">
        <v>0.10973605066537861</v>
      </c>
    </row>
    <row r="533" spans="1:4" x14ac:dyDescent="0.25">
      <c r="A533" s="2">
        <v>531</v>
      </c>
      <c r="B533" s="22">
        <v>0.23606076389551159</v>
      </c>
      <c r="C533" s="22">
        <v>0.21780440658330913</v>
      </c>
      <c r="D533" s="15">
        <v>6.8079555034637501E-2</v>
      </c>
    </row>
    <row r="534" spans="1:4" x14ac:dyDescent="0.25">
      <c r="A534" s="2">
        <v>532</v>
      </c>
      <c r="B534" s="22">
        <v>0.18160101547837257</v>
      </c>
      <c r="C534" s="22">
        <v>0.16404934823513034</v>
      </c>
      <c r="D534" s="15">
        <v>5.927742049098015E-2</v>
      </c>
    </row>
    <row r="535" spans="1:4" x14ac:dyDescent="0.25">
      <c r="A535" s="2">
        <v>533</v>
      </c>
      <c r="B535" s="22">
        <v>0.17777834609150903</v>
      </c>
      <c r="C535" s="22">
        <v>0.11466793676372618</v>
      </c>
      <c r="D535" s="15">
        <v>6.4582174667157391E-2</v>
      </c>
    </row>
    <row r="536" spans="1:4" x14ac:dyDescent="0.25">
      <c r="A536" s="2">
        <v>534</v>
      </c>
      <c r="B536" s="22">
        <v>0.15575047396123409</v>
      </c>
      <c r="C536" s="22">
        <v>8.5734741110354645E-2</v>
      </c>
      <c r="D536" s="15">
        <v>8.849608143791568E-2</v>
      </c>
    </row>
    <row r="537" spans="1:4" x14ac:dyDescent="0.25">
      <c r="A537" s="2">
        <v>535</v>
      </c>
      <c r="B537" s="22">
        <v>1.2205458432435907E-2</v>
      </c>
      <c r="C537" s="22">
        <v>7.6613668631762305E-2</v>
      </c>
      <c r="D537" s="15">
        <v>0.12958754273131493</v>
      </c>
    </row>
    <row r="538" spans="1:4" x14ac:dyDescent="0.25">
      <c r="A538" s="2">
        <v>536</v>
      </c>
      <c r="B538" s="22">
        <v>4.9935677647590569E-2</v>
      </c>
      <c r="C538" s="22">
        <v>0.11703151445835829</v>
      </c>
      <c r="D538" s="15">
        <v>0.12837862689048046</v>
      </c>
    </row>
    <row r="539" spans="1:4" x14ac:dyDescent="0.25">
      <c r="A539" s="2">
        <v>537</v>
      </c>
      <c r="B539" s="22">
        <v>0.18353328183293335</v>
      </c>
      <c r="C539" s="22">
        <v>0.17965582162141808</v>
      </c>
      <c r="D539" s="15">
        <v>3.6263485997915276E-2</v>
      </c>
    </row>
    <row r="540" spans="1:4" x14ac:dyDescent="0.25">
      <c r="A540" s="2">
        <v>538</v>
      </c>
      <c r="B540" s="22">
        <v>0.17686378210782991</v>
      </c>
      <c r="C540" s="22">
        <v>0.20469117611646662</v>
      </c>
      <c r="D540" s="15">
        <v>6.6441038250922929E-2</v>
      </c>
    </row>
    <row r="541" spans="1:4" x14ac:dyDescent="0.25">
      <c r="A541" s="2">
        <v>539</v>
      </c>
      <c r="B541" s="22">
        <v>0.16744281128048902</v>
      </c>
      <c r="C541" s="22">
        <v>0.21725311726331711</v>
      </c>
      <c r="D541" s="15">
        <v>6.8263433128595313E-2</v>
      </c>
    </row>
    <row r="542" spans="1:4" x14ac:dyDescent="0.25">
      <c r="A542" s="2">
        <v>540</v>
      </c>
      <c r="B542" s="22">
        <v>0.30554699152708042</v>
      </c>
      <c r="C542" s="22">
        <v>0.20855886712670352</v>
      </c>
      <c r="D542" s="15">
        <v>0.1467962093651296</v>
      </c>
    </row>
    <row r="543" spans="1:4" x14ac:dyDescent="0.25">
      <c r="A543" s="2">
        <v>541</v>
      </c>
      <c r="B543" s="22">
        <v>8.1263083964586175E-2</v>
      </c>
      <c r="C543" s="22">
        <v>0.1818911999464034</v>
      </c>
      <c r="D543" s="15">
        <v>0.111178433150053</v>
      </c>
    </row>
    <row r="544" spans="1:4" x14ac:dyDescent="0.25">
      <c r="A544" s="2">
        <v>542</v>
      </c>
      <c r="B544" s="22">
        <v>0.10898194015026089</v>
      </c>
      <c r="C544" s="22">
        <v>0.15913576856255532</v>
      </c>
      <c r="D544" s="15">
        <v>8.147042319178581E-2</v>
      </c>
    </row>
    <row r="545" spans="1:4" x14ac:dyDescent="0.25">
      <c r="A545" s="2">
        <v>543</v>
      </c>
      <c r="B545" s="22">
        <v>0.19893604889512057</v>
      </c>
      <c r="C545" s="22">
        <v>0.15390864014625549</v>
      </c>
      <c r="D545" s="15">
        <v>7.3573718219995449E-2</v>
      </c>
    </row>
    <row r="546" spans="1:4" x14ac:dyDescent="0.25">
      <c r="A546" s="2">
        <v>544</v>
      </c>
      <c r="B546" s="22">
        <v>0.22170302420854573</v>
      </c>
      <c r="C546" s="22">
        <v>0.15886577032506466</v>
      </c>
      <c r="D546" s="15">
        <v>6.8276955559849847E-2</v>
      </c>
    </row>
    <row r="547" spans="1:4" x14ac:dyDescent="0.25">
      <c r="A547" s="2">
        <v>545</v>
      </c>
      <c r="B547" s="22">
        <v>0.13952858857810499</v>
      </c>
      <c r="C547" s="22">
        <v>0.14053501375019545</v>
      </c>
      <c r="D547" s="15">
        <v>5.5960528552532161E-2</v>
      </c>
    </row>
    <row r="548" spans="1:4" x14ac:dyDescent="0.25">
      <c r="A548" s="2">
        <v>546</v>
      </c>
      <c r="B548" s="22">
        <v>0.16983925849199299</v>
      </c>
      <c r="C548" s="22">
        <v>0.11317875869572169</v>
      </c>
      <c r="D548" s="15">
        <v>8.5438927635550471E-2</v>
      </c>
    </row>
    <row r="549" spans="1:4" x14ac:dyDescent="0.25">
      <c r="A549" s="2">
        <v>547</v>
      </c>
      <c r="B549" s="22">
        <v>0.18713093250989909</v>
      </c>
      <c r="C549" s="22">
        <v>0.11937917172908785</v>
      </c>
      <c r="D549" s="15">
        <v>0.10212674885988227</v>
      </c>
    </row>
    <row r="550" spans="1:4" x14ac:dyDescent="0.25">
      <c r="A550" s="2">
        <v>548</v>
      </c>
      <c r="B550" s="22">
        <v>0.16087948977947239</v>
      </c>
      <c r="C550" s="22">
        <v>0.16950399167835714</v>
      </c>
      <c r="D550" s="15">
        <v>9.8264266923069749E-2</v>
      </c>
    </row>
    <row r="551" spans="1:4" x14ac:dyDescent="0.25">
      <c r="A551" s="2">
        <v>549</v>
      </c>
      <c r="B551" s="22">
        <v>0.20192665755748754</v>
      </c>
      <c r="C551" s="22">
        <v>0.20998480096459379</v>
      </c>
      <c r="D551" s="15">
        <v>0.10117978081107118</v>
      </c>
    </row>
    <row r="552" spans="1:4" x14ac:dyDescent="0.25">
      <c r="A552" s="2">
        <v>550</v>
      </c>
      <c r="B552" s="22">
        <v>0.17110157534480089</v>
      </c>
      <c r="C552" s="22">
        <v>0.22232505753636372</v>
      </c>
      <c r="D552" s="15">
        <v>7.7535893023014252E-2</v>
      </c>
    </row>
    <row r="553" spans="1:4" x14ac:dyDescent="0.25">
      <c r="A553" s="2">
        <v>551</v>
      </c>
      <c r="B553" s="22">
        <v>0.20022538602352147</v>
      </c>
      <c r="C553" s="22">
        <v>0.23486508950591095</v>
      </c>
      <c r="D553" s="15">
        <v>8.8616841286420861E-2</v>
      </c>
    </row>
    <row r="554" spans="1:4" x14ac:dyDescent="0.25">
      <c r="A554" s="2">
        <v>552</v>
      </c>
      <c r="B554" s="22">
        <v>0.24279324412345876</v>
      </c>
      <c r="C554" s="22">
        <v>0.20145717263221735</v>
      </c>
      <c r="D554" s="15">
        <v>6.7158938944339691E-2</v>
      </c>
    </row>
    <row r="555" spans="1:4" x14ac:dyDescent="0.25">
      <c r="A555" s="2">
        <v>553</v>
      </c>
      <c r="B555" s="22">
        <v>0.19323713481426236</v>
      </c>
      <c r="C555" s="22">
        <v>0.11874932167120282</v>
      </c>
      <c r="D555" s="15">
        <v>9.9911392061039758E-2</v>
      </c>
    </row>
    <row r="556" spans="1:4" x14ac:dyDescent="0.25">
      <c r="A556" s="2">
        <v>554</v>
      </c>
      <c r="B556" s="22">
        <v>5.5945425480603994E-2</v>
      </c>
      <c r="C556" s="22">
        <v>5.1898961514234419E-2</v>
      </c>
      <c r="D556" s="15">
        <v>0.14955766946077359</v>
      </c>
    </row>
    <row r="557" spans="1:4" x14ac:dyDescent="0.25">
      <c r="A557" s="2">
        <v>555</v>
      </c>
      <c r="B557" s="22">
        <v>-2.9771003127098034E-2</v>
      </c>
      <c r="C557" s="22">
        <v>5.8190757688134989E-2</v>
      </c>
      <c r="D557" s="15">
        <v>0.14254745757207254</v>
      </c>
    </row>
    <row r="558" spans="1:4" x14ac:dyDescent="0.25">
      <c r="A558" s="2">
        <v>556</v>
      </c>
      <c r="B558" s="22">
        <v>0.1382596239447593</v>
      </c>
      <c r="C558" s="22">
        <v>0.14012698866426937</v>
      </c>
      <c r="D558" s="15">
        <v>0.10327194593846807</v>
      </c>
    </row>
    <row r="559" spans="1:4" x14ac:dyDescent="0.25">
      <c r="A559" s="2">
        <v>557</v>
      </c>
      <c r="B559" s="22">
        <v>0.18562970235943796</v>
      </c>
      <c r="C559" s="22">
        <v>0.1883631721138955</v>
      </c>
      <c r="D559" s="15">
        <v>6.8674591928720358E-2</v>
      </c>
    </row>
    <row r="560" spans="1:4" x14ac:dyDescent="0.25">
      <c r="A560" s="2">
        <v>558</v>
      </c>
      <c r="B560" s="22">
        <v>0.23037096299231044</v>
      </c>
      <c r="C560" s="22">
        <v>0.2057795427739621</v>
      </c>
      <c r="D560" s="15">
        <v>7.5222832337021567E-2</v>
      </c>
    </row>
    <row r="561" spans="1:4" x14ac:dyDescent="0.25">
      <c r="A561" s="2">
        <v>559</v>
      </c>
      <c r="B561" s="22">
        <v>0.12491561919450769</v>
      </c>
      <c r="C561" s="22">
        <v>0.1867465436458588</v>
      </c>
      <c r="D561" s="15">
        <v>6.7156736552715118E-2</v>
      </c>
    </row>
    <row r="562" spans="1:4" x14ac:dyDescent="0.25">
      <c r="A562" s="2">
        <v>560</v>
      </c>
      <c r="B562" s="22">
        <v>0.14671524241566661</v>
      </c>
      <c r="C562" s="22">
        <v>0.16849875524640096</v>
      </c>
      <c r="D562" s="15">
        <v>7.1279056370258387E-2</v>
      </c>
    </row>
    <row r="563" spans="1:4" x14ac:dyDescent="0.25">
      <c r="A563" s="2">
        <v>561</v>
      </c>
      <c r="B563" s="22">
        <v>0.17122383452951898</v>
      </c>
      <c r="C563" s="22">
        <v>0.17796025499701495</v>
      </c>
      <c r="D563" s="15">
        <v>5.2990231290459808E-2</v>
      </c>
    </row>
    <row r="564" spans="1:4" x14ac:dyDescent="0.25">
      <c r="A564" s="2">
        <v>562</v>
      </c>
      <c r="B564" s="22">
        <v>0.27350632846355433</v>
      </c>
      <c r="C564" s="22">
        <v>0.19817872196435923</v>
      </c>
      <c r="D564" s="15">
        <v>0.10214100331068025</v>
      </c>
    </row>
    <row r="565" spans="1:4" x14ac:dyDescent="0.25">
      <c r="A565" s="2">
        <v>563</v>
      </c>
      <c r="B565" s="22">
        <v>0.20777067318558706</v>
      </c>
      <c r="C565" s="22">
        <v>0.19615595191717153</v>
      </c>
      <c r="D565" s="15">
        <v>5.4896623641252494E-2</v>
      </c>
    </row>
    <row r="566" spans="1:4" x14ac:dyDescent="0.25">
      <c r="A566" s="2">
        <v>564</v>
      </c>
      <c r="B566" s="22">
        <v>0.21225460916757574</v>
      </c>
      <c r="C566" s="22">
        <v>0.18766355589032163</v>
      </c>
      <c r="D566" s="15">
        <v>0.14768317714333501</v>
      </c>
    </row>
    <row r="567" spans="1:4" x14ac:dyDescent="0.25">
      <c r="A567" s="2">
        <v>565</v>
      </c>
      <c r="B567" s="22">
        <v>0.14365588128566759</v>
      </c>
      <c r="C567" s="22">
        <v>0.18179258480668073</v>
      </c>
      <c r="D567" s="15">
        <v>9.1469375044107321E-2</v>
      </c>
    </row>
    <row r="568" spans="1:4" x14ac:dyDescent="0.25">
      <c r="A568" s="2">
        <v>566</v>
      </c>
      <c r="B568" s="22">
        <v>0.1262524507939814</v>
      </c>
      <c r="C568" s="22">
        <v>0.17389262765645974</v>
      </c>
      <c r="D568" s="15">
        <v>5.2345626801252251E-2</v>
      </c>
    </row>
    <row r="569" spans="1:4" x14ac:dyDescent="0.25">
      <c r="A569" s="2">
        <v>567</v>
      </c>
      <c r="B569" s="22">
        <v>0.19045231863856313</v>
      </c>
      <c r="C569" s="22">
        <v>0.19265897423028949</v>
      </c>
      <c r="D569" s="15">
        <v>7.196134701371204E-2</v>
      </c>
    </row>
    <row r="570" spans="1:4" x14ac:dyDescent="0.25">
      <c r="A570" s="2">
        <v>568</v>
      </c>
      <c r="B570" s="22">
        <v>0.17820970416069021</v>
      </c>
      <c r="C570" s="22">
        <v>0.18481248840689665</v>
      </c>
      <c r="D570" s="15">
        <v>4.8570077866316022E-2</v>
      </c>
    </row>
    <row r="571" spans="1:4" x14ac:dyDescent="0.25">
      <c r="A571" s="2">
        <v>569</v>
      </c>
      <c r="B571" s="22">
        <v>0.1596351649612188</v>
      </c>
      <c r="C571" s="22">
        <v>0.11166680082678786</v>
      </c>
      <c r="D571" s="15">
        <v>6.8912157788872816E-2</v>
      </c>
    </row>
    <row r="572" spans="1:4" x14ac:dyDescent="0.25">
      <c r="A572" s="2">
        <v>570</v>
      </c>
      <c r="B572" s="22">
        <v>4.8776266351342114E-2</v>
      </c>
      <c r="C572" s="22">
        <v>6.9732275232672544E-2</v>
      </c>
      <c r="D572" s="15">
        <v>9.8819366842508291E-2</v>
      </c>
    </row>
    <row r="573" spans="1:4" x14ac:dyDescent="0.25">
      <c r="A573" s="2">
        <v>571</v>
      </c>
      <c r="B573" s="22">
        <v>9.0960541740059825E-2</v>
      </c>
      <c r="C573" s="22">
        <v>8.3863890171050934E-2</v>
      </c>
      <c r="D573" s="15">
        <v>0.12657699026167396</v>
      </c>
    </row>
    <row r="574" spans="1:4" x14ac:dyDescent="0.25">
      <c r="A574" s="2">
        <v>572</v>
      </c>
      <c r="B574" s="22">
        <v>0.2367596574127675</v>
      </c>
      <c r="C574" s="22">
        <v>0.11412747595459223</v>
      </c>
      <c r="D574" s="15">
        <v>0.12263218145817525</v>
      </c>
    </row>
    <row r="575" spans="1:4" x14ac:dyDescent="0.25">
      <c r="A575" s="2">
        <v>573</v>
      </c>
      <c r="B575" s="22">
        <v>-4.2666606605053104E-3</v>
      </c>
      <c r="C575" s="22">
        <v>0.14006511270999911</v>
      </c>
      <c r="D575" s="15">
        <v>0.19882080629467977</v>
      </c>
    </row>
    <row r="576" spans="1:4" x14ac:dyDescent="0.25">
      <c r="A576" s="2">
        <v>574</v>
      </c>
      <c r="B576" s="22">
        <v>5.9689237922429972E-2</v>
      </c>
      <c r="C576" s="22">
        <v>0.17808704897761338</v>
      </c>
      <c r="D576" s="15">
        <v>0.1759215295314788</v>
      </c>
    </row>
    <row r="577" spans="1:4" x14ac:dyDescent="0.25">
      <c r="A577" s="2">
        <v>575</v>
      </c>
      <c r="B577" s="22">
        <v>0.36095654517412179</v>
      </c>
      <c r="C577" s="22">
        <v>0.27489451617002481</v>
      </c>
      <c r="D577" s="15">
        <v>0.1433787614107131</v>
      </c>
    </row>
    <row r="578" spans="1:4" x14ac:dyDescent="0.25">
      <c r="A578" s="2">
        <v>576</v>
      </c>
      <c r="B578" s="22">
        <v>0.2594227239489556</v>
      </c>
      <c r="C578" s="22">
        <v>0.27304863110184657</v>
      </c>
      <c r="D578" s="15">
        <v>0.19263451620936359</v>
      </c>
    </row>
    <row r="579" spans="1:4" x14ac:dyDescent="0.25">
      <c r="A579" s="2">
        <v>577</v>
      </c>
      <c r="B579" s="22">
        <v>0.13779262676835055</v>
      </c>
      <c r="C579" s="22">
        <v>0.22127959951758386</v>
      </c>
      <c r="D579" s="15">
        <v>8.3486972749233307E-2</v>
      </c>
    </row>
    <row r="580" spans="1:4" x14ac:dyDescent="0.25">
      <c r="A580" s="2">
        <v>578</v>
      </c>
      <c r="B580" s="22">
        <v>0.16345802731812001</v>
      </c>
      <c r="C580" s="22">
        <v>0.19506381154060351</v>
      </c>
      <c r="D580" s="15">
        <v>5.7104698941111531E-2</v>
      </c>
    </row>
    <row r="581" spans="1:4" x14ac:dyDescent="0.25">
      <c r="A581" s="2">
        <v>579</v>
      </c>
      <c r="B581" s="22">
        <v>0.18193491250276572</v>
      </c>
      <c r="C581" s="22">
        <v>0.17243692651391032</v>
      </c>
      <c r="D581" s="15">
        <v>9.8235998302698121E-2</v>
      </c>
    </row>
    <row r="582" spans="1:4" x14ac:dyDescent="0.25">
      <c r="A582" s="2">
        <v>580</v>
      </c>
      <c r="B582" s="22">
        <v>0.19308408051729198</v>
      </c>
      <c r="C582" s="22">
        <v>0.14611765953013664</v>
      </c>
      <c r="D582" s="15">
        <v>8.6465694883372773E-2</v>
      </c>
    </row>
    <row r="583" spans="1:4" x14ac:dyDescent="0.25">
      <c r="A583" s="2">
        <v>581</v>
      </c>
      <c r="B583" s="22">
        <v>0.14871730767190447</v>
      </c>
      <c r="C583" s="22">
        <v>0.12824967708438642</v>
      </c>
      <c r="D583" s="15">
        <v>6.8476252816617483E-2</v>
      </c>
    </row>
    <row r="584" spans="1:4" x14ac:dyDescent="0.25">
      <c r="A584" s="2">
        <v>582</v>
      </c>
      <c r="B584" s="22">
        <v>0.19730963632464404</v>
      </c>
      <c r="C584" s="22">
        <v>0.15412455648183818</v>
      </c>
      <c r="D584" s="15">
        <v>9.5441206544637627E-2</v>
      </c>
    </row>
    <row r="585" spans="1:4" x14ac:dyDescent="0.25">
      <c r="A585" s="2">
        <v>583</v>
      </c>
      <c r="B585" s="22">
        <v>5.9768390655517444E-2</v>
      </c>
      <c r="C585" s="22">
        <v>0.17408100143075</v>
      </c>
      <c r="D585" s="15">
        <v>0.15775372460484513</v>
      </c>
    </row>
    <row r="586" spans="1:4" x14ac:dyDescent="0.25">
      <c r="A586" s="2">
        <v>584</v>
      </c>
      <c r="B586" s="22">
        <v>0.12533060647547239</v>
      </c>
      <c r="C586" s="22">
        <v>0.18500219807028773</v>
      </c>
      <c r="D586" s="15">
        <v>0.11456954963505268</v>
      </c>
    </row>
    <row r="587" spans="1:4" x14ac:dyDescent="0.25">
      <c r="A587" s="2">
        <v>585</v>
      </c>
      <c r="B587" s="22">
        <v>0.17151323109865202</v>
      </c>
      <c r="C587" s="22">
        <v>0.22749494463205341</v>
      </c>
      <c r="D587" s="15">
        <v>5.5981713533401381E-2</v>
      </c>
    </row>
    <row r="588" spans="1:4" x14ac:dyDescent="0.25">
      <c r="A588" s="2">
        <v>586</v>
      </c>
      <c r="B588" s="22">
        <v>0.31858688890933973</v>
      </c>
      <c r="C588" s="22">
        <v>0.24644747450947771</v>
      </c>
      <c r="D588" s="15">
        <v>9.4034274667501472E-2</v>
      </c>
    </row>
    <row r="589" spans="1:4" x14ac:dyDescent="0.25">
      <c r="A589" s="2">
        <v>587</v>
      </c>
      <c r="B589" s="22">
        <v>0.20471092611551275</v>
      </c>
      <c r="C589" s="22">
        <v>0.22264838069677362</v>
      </c>
      <c r="D589" s="15">
        <v>8.3245882391929482E-2</v>
      </c>
    </row>
    <row r="590" spans="1:4" x14ac:dyDescent="0.25">
      <c r="A590" s="2">
        <v>588</v>
      </c>
      <c r="B590" s="22">
        <v>0.16354921162128461</v>
      </c>
      <c r="C590" s="22">
        <v>0.18483088612556461</v>
      </c>
      <c r="D590" s="15">
        <v>0.10225225090980561</v>
      </c>
    </row>
    <row r="591" spans="1:4" x14ac:dyDescent="0.25">
      <c r="A591" s="2">
        <v>589</v>
      </c>
      <c r="B591" s="22">
        <v>0.18814805187284941</v>
      </c>
      <c r="C591" s="22">
        <v>0.1754745364189147</v>
      </c>
      <c r="D591" s="15">
        <v>7.3049184307456078E-2</v>
      </c>
    </row>
    <row r="592" spans="1:4" x14ac:dyDescent="0.25">
      <c r="A592" s="2">
        <v>590</v>
      </c>
      <c r="B592" s="22">
        <v>0.21361279748380188</v>
      </c>
      <c r="C592" s="22">
        <v>0.14980601742863645</v>
      </c>
      <c r="D592" s="15">
        <v>7.4082424119115059E-2</v>
      </c>
    </row>
    <row r="593" spans="1:4" x14ac:dyDescent="0.25">
      <c r="A593" s="2">
        <v>591</v>
      </c>
      <c r="B593" s="22">
        <v>0.14484406150877466</v>
      </c>
      <c r="C593" s="22">
        <v>0.11625292832031844</v>
      </c>
      <c r="D593" s="15">
        <v>5.0129104685038214E-2</v>
      </c>
    </row>
    <row r="594" spans="1:4" x14ac:dyDescent="0.25">
      <c r="A594" s="2">
        <v>592</v>
      </c>
      <c r="B594" s="22">
        <v>0.19934881255030631</v>
      </c>
      <c r="C594" s="22">
        <v>0.11032409481704231</v>
      </c>
      <c r="D594" s="15">
        <v>8.9024717733264008E-2</v>
      </c>
    </row>
    <row r="595" spans="1:4" x14ac:dyDescent="0.25">
      <c r="A595" s="2">
        <v>593</v>
      </c>
      <c r="B595" s="22">
        <v>0.13309433534741394</v>
      </c>
      <c r="C595" s="22">
        <v>0.13297880804166207</v>
      </c>
      <c r="D595" s="15">
        <v>3.1820667255669843E-2</v>
      </c>
    </row>
    <row r="596" spans="1:4" x14ac:dyDescent="0.25">
      <c r="A596" s="2">
        <v>594</v>
      </c>
      <c r="B596" s="22">
        <v>0.19336759597063041</v>
      </c>
      <c r="C596" s="22">
        <v>0.18458389267325409</v>
      </c>
      <c r="D596" s="15">
        <v>8.520848080515861E-2</v>
      </c>
    </row>
    <row r="597" spans="1:4" x14ac:dyDescent="0.25">
      <c r="A597" s="2">
        <v>595</v>
      </c>
      <c r="B597" s="22">
        <v>0.21486275121569637</v>
      </c>
      <c r="C597" s="22">
        <v>0.22532974779605874</v>
      </c>
      <c r="D597" s="15">
        <v>0.12142026349902149</v>
      </c>
    </row>
    <row r="598" spans="1:4" x14ac:dyDescent="0.25">
      <c r="A598" s="2">
        <v>596</v>
      </c>
      <c r="B598" s="22">
        <v>0.34176945686340321</v>
      </c>
      <c r="C598" s="22">
        <v>0.27437058389186869</v>
      </c>
      <c r="D598" s="15">
        <v>0.14255510866642004</v>
      </c>
    </row>
    <row r="599" spans="1:4" x14ac:dyDescent="0.25">
      <c r="A599" s="2">
        <v>597</v>
      </c>
      <c r="B599" s="22">
        <v>0.36334950514137743</v>
      </c>
      <c r="C599" s="22">
        <v>0.28463418632745741</v>
      </c>
      <c r="D599" s="15">
        <v>0.10965829528868207</v>
      </c>
    </row>
    <row r="600" spans="1:4" x14ac:dyDescent="0.25">
      <c r="A600" s="2">
        <v>598</v>
      </c>
      <c r="B600" s="22">
        <v>0.20422008931636809</v>
      </c>
      <c r="C600" s="22">
        <v>0.22650081142783168</v>
      </c>
      <c r="D600" s="15">
        <v>7.0034988969564574E-2</v>
      </c>
    </row>
    <row r="601" spans="1:4" x14ac:dyDescent="0.25">
      <c r="A601" s="2">
        <v>599</v>
      </c>
      <c r="B601" s="22">
        <v>0.17980739921331407</v>
      </c>
      <c r="C601" s="22">
        <v>0.16724724248051645</v>
      </c>
      <c r="D601" s="15">
        <v>0.10750728026032445</v>
      </c>
    </row>
    <row r="602" spans="1:4" x14ac:dyDescent="0.25">
      <c r="A602" s="2">
        <v>600</v>
      </c>
      <c r="B602" s="22">
        <v>0.24652312397956852</v>
      </c>
      <c r="C602" s="22">
        <v>0.14536215465050206</v>
      </c>
      <c r="D602" s="15">
        <v>0.13541423578280945</v>
      </c>
    </row>
    <row r="603" spans="1:4" x14ac:dyDescent="0.25">
      <c r="A603" s="2">
        <v>601</v>
      </c>
      <c r="B603" s="22">
        <v>0.1166536372154949</v>
      </c>
      <c r="C603" s="22">
        <v>0.1281578768044711</v>
      </c>
      <c r="D603" s="15">
        <v>7.4309533834457472E-2</v>
      </c>
    </row>
    <row r="604" spans="1:4" x14ac:dyDescent="0.25">
      <c r="A604" s="2">
        <v>602</v>
      </c>
      <c r="B604" s="22">
        <v>0.18344488292932506</v>
      </c>
      <c r="C604" s="22">
        <v>0.13910499773919588</v>
      </c>
      <c r="D604" s="15">
        <v>7.7102953568100902E-2</v>
      </c>
    </row>
    <row r="605" spans="1:4" x14ac:dyDescent="0.25">
      <c r="A605" s="2">
        <v>603</v>
      </c>
      <c r="B605" s="22">
        <v>0.16742833852767952</v>
      </c>
      <c r="C605" s="22">
        <v>0.15980516746640211</v>
      </c>
      <c r="D605" s="15">
        <v>6.3580147176980809E-2</v>
      </c>
    </row>
    <row r="606" spans="1:4" x14ac:dyDescent="0.25">
      <c r="A606" s="2">
        <v>604</v>
      </c>
      <c r="B606" s="22">
        <v>0.21168939992785449</v>
      </c>
      <c r="C606" s="22">
        <v>0.16784729957580574</v>
      </c>
      <c r="D606" s="15">
        <v>0.10160928741097471</v>
      </c>
    </row>
    <row r="607" spans="1:4" x14ac:dyDescent="0.25">
      <c r="A607" s="2">
        <v>605</v>
      </c>
      <c r="B607" s="22">
        <v>0.14065988957881931</v>
      </c>
      <c r="C607" s="22">
        <v>0.16891325861215592</v>
      </c>
      <c r="D607" s="15">
        <v>0.11019034683704379</v>
      </c>
    </row>
    <row r="608" spans="1:4" x14ac:dyDescent="0.25">
      <c r="A608" s="2">
        <v>606</v>
      </c>
      <c r="B608" s="22">
        <v>0.14614458195865138</v>
      </c>
      <c r="C608" s="22">
        <v>0.16663676947355277</v>
      </c>
      <c r="D608" s="15">
        <v>2.0492187514901387E-2</v>
      </c>
    </row>
    <row r="609" spans="1:4" x14ac:dyDescent="0.25">
      <c r="A609" s="2">
        <v>607</v>
      </c>
      <c r="B609" s="22">
        <v>0.21350068673491479</v>
      </c>
      <c r="C609" s="22">
        <v>0.18377194181084616</v>
      </c>
      <c r="D609" s="15">
        <v>5.4322750866413194E-2</v>
      </c>
    </row>
    <row r="610" spans="1:4" x14ac:dyDescent="0.25">
      <c r="A610" s="2">
        <v>608</v>
      </c>
      <c r="B610" s="22">
        <v>0.19365116879343983</v>
      </c>
      <c r="C610" s="22">
        <v>0.19006332606077192</v>
      </c>
      <c r="D610" s="15">
        <v>5.1258052140474478E-2</v>
      </c>
    </row>
    <row r="611" spans="1:4" x14ac:dyDescent="0.25">
      <c r="A611" s="2">
        <v>609</v>
      </c>
      <c r="B611" s="22">
        <v>0.22548323273658757</v>
      </c>
      <c r="C611" s="22">
        <v>0.17090029269456858</v>
      </c>
      <c r="D611" s="15">
        <v>5.5563731491565772E-2</v>
      </c>
    </row>
    <row r="612" spans="1:4" x14ac:dyDescent="0.25">
      <c r="A612" s="2">
        <v>610</v>
      </c>
      <c r="B612" s="22">
        <v>0.2064468957483768</v>
      </c>
      <c r="C612" s="22">
        <v>0.13795341388322394</v>
      </c>
      <c r="D612" s="15">
        <v>7.4241884937509897E-2</v>
      </c>
    </row>
    <row r="613" spans="1:4" x14ac:dyDescent="0.25">
      <c r="A613" s="2">
        <v>611</v>
      </c>
      <c r="B613" s="22">
        <v>0.13412905484437934</v>
      </c>
      <c r="C613" s="22">
        <v>0.11921305486466731</v>
      </c>
      <c r="D613" s="15">
        <v>3.2584597333334443E-2</v>
      </c>
    </row>
    <row r="614" spans="1:4" x14ac:dyDescent="0.25">
      <c r="A614" s="2">
        <v>612</v>
      </c>
      <c r="B614" s="22">
        <v>0.13078996390104305</v>
      </c>
      <c r="C614" s="22">
        <v>0.12336671818047759</v>
      </c>
      <c r="D614" s="15">
        <v>3.124415408819926E-2</v>
      </c>
    </row>
    <row r="615" spans="1:4" x14ac:dyDescent="0.25">
      <c r="A615" s="2">
        <v>613</v>
      </c>
      <c r="B615" s="22">
        <v>0.17938560694456102</v>
      </c>
      <c r="C615" s="22">
        <v>0.14277982711791987</v>
      </c>
      <c r="D615" s="15">
        <v>3.8123728334903677E-2</v>
      </c>
    </row>
    <row r="616" spans="1:4" x14ac:dyDescent="0.25">
      <c r="A616" s="2">
        <v>614</v>
      </c>
      <c r="B616" s="22">
        <v>0.1898387506604195</v>
      </c>
      <c r="C616" s="22">
        <v>0.15980175659060475</v>
      </c>
      <c r="D616" s="15">
        <v>3.2577530294656896E-2</v>
      </c>
    </row>
    <row r="617" spans="1:4" x14ac:dyDescent="0.25">
      <c r="A617" s="2">
        <v>615</v>
      </c>
      <c r="B617" s="22">
        <v>0.16731142625212675</v>
      </c>
      <c r="C617" s="22">
        <v>0.1641632206737996</v>
      </c>
      <c r="D617" s="15">
        <v>2.520461827516559E-2</v>
      </c>
    </row>
    <row r="618" spans="1:4" x14ac:dyDescent="0.25">
      <c r="A618" s="2">
        <v>616</v>
      </c>
      <c r="B618" s="22">
        <v>0.17230863049626349</v>
      </c>
      <c r="C618" s="22">
        <v>0.1789069123566151</v>
      </c>
      <c r="D618" s="15">
        <v>4.2896527051925787E-2</v>
      </c>
    </row>
    <row r="619" spans="1:4" x14ac:dyDescent="0.25">
      <c r="A619" s="2">
        <v>617</v>
      </c>
      <c r="B619" s="22">
        <v>0.17506068907678141</v>
      </c>
      <c r="C619" s="22">
        <v>0.18784248903393758</v>
      </c>
      <c r="D619" s="15">
        <v>7.2495728358626499E-2</v>
      </c>
    </row>
    <row r="620" spans="1:4" x14ac:dyDescent="0.25">
      <c r="A620" s="2">
        <v>618</v>
      </c>
      <c r="B620" s="22">
        <v>0.23708459325134762</v>
      </c>
      <c r="C620" s="22">
        <v>0.20063658505678178</v>
      </c>
      <c r="D620" s="15">
        <v>8.4891897067427585E-2</v>
      </c>
    </row>
    <row r="621" spans="1:4" x14ac:dyDescent="0.25">
      <c r="A621" s="2">
        <v>619</v>
      </c>
      <c r="B621" s="22">
        <v>0.144963064789772</v>
      </c>
      <c r="C621" s="22">
        <v>0.19238819479942326</v>
      </c>
      <c r="D621" s="15">
        <v>8.024193644523625E-2</v>
      </c>
    </row>
    <row r="622" spans="1:4" x14ac:dyDescent="0.25">
      <c r="A622" s="2">
        <v>620</v>
      </c>
      <c r="B622" s="22">
        <v>0.13784605190157892</v>
      </c>
      <c r="C622" s="22">
        <v>0.1735861122608186</v>
      </c>
      <c r="D622" s="15">
        <v>7.2964029759168686E-2</v>
      </c>
    </row>
    <row r="623" spans="1:4" x14ac:dyDescent="0.25">
      <c r="A623" s="2">
        <v>621</v>
      </c>
      <c r="B623" s="22">
        <v>0.1661173157393932</v>
      </c>
      <c r="C623" s="22">
        <v>0.17583874315023415</v>
      </c>
      <c r="D623" s="15">
        <v>1.899775788187974E-2</v>
      </c>
    </row>
    <row r="624" spans="1:4" x14ac:dyDescent="0.25">
      <c r="A624" s="2">
        <v>622</v>
      </c>
      <c r="B624" s="22">
        <v>0.13321207799017426</v>
      </c>
      <c r="C624" s="22">
        <v>0.14824507422745214</v>
      </c>
      <c r="D624" s="15">
        <v>5.7621548324823468E-2</v>
      </c>
    </row>
    <row r="625" spans="1:4" x14ac:dyDescent="0.25">
      <c r="A625" s="2">
        <v>623</v>
      </c>
      <c r="B625" s="22">
        <v>0.17862138673663139</v>
      </c>
      <c r="C625" s="22">
        <v>0.12145204363914672</v>
      </c>
      <c r="D625" s="15">
        <v>8.0958746434771536E-2</v>
      </c>
    </row>
    <row r="626" spans="1:4" x14ac:dyDescent="0.25">
      <c r="A626" s="2">
        <v>624</v>
      </c>
      <c r="B626" s="22">
        <v>9.1668540239334045E-2</v>
      </c>
      <c r="C626" s="22">
        <v>0.1077111381688155</v>
      </c>
      <c r="D626" s="15">
        <v>9.9867003934923759E-2</v>
      </c>
    </row>
    <row r="627" spans="1:4" x14ac:dyDescent="0.25">
      <c r="A627" s="2">
        <v>625</v>
      </c>
      <c r="B627" s="22">
        <v>0.13025404214859013</v>
      </c>
      <c r="C627" s="22">
        <v>0.12810411209939046</v>
      </c>
      <c r="D627" s="15">
        <v>6.7639051575679482E-2</v>
      </c>
    </row>
    <row r="628" spans="1:4" x14ac:dyDescent="0.25">
      <c r="A628" s="2">
        <v>626</v>
      </c>
      <c r="B628" s="22">
        <v>0.11055388301610947</v>
      </c>
      <c r="C628" s="22">
        <v>0.15260111503303037</v>
      </c>
      <c r="D628" s="15">
        <v>6.946231313049793E-2</v>
      </c>
    </row>
    <row r="629" spans="1:4" x14ac:dyDescent="0.25">
      <c r="A629" s="2">
        <v>627</v>
      </c>
      <c r="B629" s="22">
        <v>0.12097739130258547</v>
      </c>
      <c r="C629" s="22">
        <v>0.16191129460930823</v>
      </c>
      <c r="D629" s="15">
        <v>7.7956335991621106E-2</v>
      </c>
    </row>
    <row r="630" spans="1:4" x14ac:dyDescent="0.25">
      <c r="A630" s="2">
        <v>628</v>
      </c>
      <c r="B630" s="22">
        <v>0.15435627028346061</v>
      </c>
      <c r="C630" s="22">
        <v>0.18087922409176821</v>
      </c>
      <c r="D630" s="15">
        <v>4.6210126578807763E-2</v>
      </c>
    </row>
    <row r="631" spans="1:4" x14ac:dyDescent="0.25">
      <c r="A631" s="2">
        <v>629</v>
      </c>
      <c r="B631" s="22">
        <v>0.15236509665846826</v>
      </c>
      <c r="C631" s="22">
        <v>0.19559422284364703</v>
      </c>
      <c r="D631" s="15">
        <v>5.072349831461892E-2</v>
      </c>
    </row>
    <row r="632" spans="1:4" x14ac:dyDescent="0.25">
      <c r="A632" s="2">
        <v>630</v>
      </c>
      <c r="B632" s="22">
        <v>0.19815660566091539</v>
      </c>
      <c r="C632" s="22">
        <v>0.20451643988490101</v>
      </c>
      <c r="D632" s="15">
        <v>2.5265426188707401E-2</v>
      </c>
    </row>
    <row r="633" spans="1:4" x14ac:dyDescent="0.25">
      <c r="A633" s="2">
        <v>631</v>
      </c>
      <c r="B633" s="22">
        <v>0.16635212749242795</v>
      </c>
      <c r="C633" s="22">
        <v>0.20292643085122103</v>
      </c>
      <c r="D633" s="15">
        <v>0.10097529813647248</v>
      </c>
    </row>
    <row r="634" spans="1:4" x14ac:dyDescent="0.25">
      <c r="A634" s="2">
        <v>632</v>
      </c>
      <c r="B634" s="22">
        <v>0.19038061611354345</v>
      </c>
      <c r="C634" s="22">
        <v>0.1887068472802638</v>
      </c>
      <c r="D634" s="15">
        <v>9.1173861548304716E-2</v>
      </c>
    </row>
    <row r="635" spans="1:4" x14ac:dyDescent="0.25">
      <c r="A635" s="2">
        <v>633</v>
      </c>
      <c r="B635" s="22">
        <v>0.17184641063213363</v>
      </c>
      <c r="C635" s="22">
        <v>0.17923236489295952</v>
      </c>
      <c r="D635" s="15">
        <v>4.9704349040985148E-2</v>
      </c>
    </row>
    <row r="636" spans="1:4" x14ac:dyDescent="0.25">
      <c r="A636" s="2">
        <v>634</v>
      </c>
      <c r="B636" s="22">
        <v>0.21863648220896725</v>
      </c>
      <c r="C636" s="22">
        <v>0.17836131975054728</v>
      </c>
      <c r="D636" s="15">
        <v>7.6308692991733568E-2</v>
      </c>
    </row>
    <row r="637" spans="1:4" x14ac:dyDescent="0.25">
      <c r="A637" s="2">
        <v>635</v>
      </c>
      <c r="B637" s="22">
        <v>0.1762740060687065</v>
      </c>
      <c r="C637" s="22">
        <v>0.15358837991952895</v>
      </c>
      <c r="D637" s="15">
        <v>4.2256596684455951E-2</v>
      </c>
    </row>
    <row r="638" spans="1:4" x14ac:dyDescent="0.25">
      <c r="A638" s="2">
        <v>636</v>
      </c>
      <c r="B638" s="22">
        <v>0.12753557376563546</v>
      </c>
      <c r="C638" s="22">
        <v>0.12562116067856549</v>
      </c>
      <c r="D638" s="15">
        <v>4.7112032584846156E-2</v>
      </c>
    </row>
    <row r="639" spans="1:4" x14ac:dyDescent="0.25">
      <c r="A639" s="2">
        <v>637</v>
      </c>
      <c r="B639" s="22">
        <v>8.8456019014120119E-2</v>
      </c>
      <c r="C639" s="22">
        <v>0.1221331470645963</v>
      </c>
      <c r="D639" s="15">
        <v>8.0045688245445584E-2</v>
      </c>
    </row>
    <row r="640" spans="1:4" x14ac:dyDescent="0.25">
      <c r="A640" s="2">
        <v>638</v>
      </c>
      <c r="B640" s="22">
        <v>0.13706507049500946</v>
      </c>
      <c r="C640" s="22">
        <v>0.14560821577906594</v>
      </c>
      <c r="D640" s="15">
        <v>5.706124119460574E-2</v>
      </c>
    </row>
    <row r="641" spans="1:4" x14ac:dyDescent="0.25">
      <c r="A641" s="2">
        <v>639</v>
      </c>
      <c r="B641" s="22">
        <v>0.1394019491970539</v>
      </c>
      <c r="C641" s="22">
        <v>0.19755007252097129</v>
      </c>
      <c r="D641" s="15">
        <v>6.3811708986759183E-2</v>
      </c>
    </row>
    <row r="642" spans="1:4" x14ac:dyDescent="0.25">
      <c r="A642" s="2">
        <v>640</v>
      </c>
      <c r="B642" s="22">
        <v>0.16299377791583536</v>
      </c>
      <c r="C642" s="22">
        <v>0.21252817139029517</v>
      </c>
      <c r="D642" s="15">
        <v>5.762406997382654E-2</v>
      </c>
    </row>
    <row r="643" spans="1:4" x14ac:dyDescent="0.25">
      <c r="A643" s="2">
        <v>641</v>
      </c>
      <c r="B643" s="22">
        <v>0.20831975080072876</v>
      </c>
      <c r="C643" s="22">
        <v>0.21807784885168072</v>
      </c>
      <c r="D643" s="15">
        <v>3.8152720406651443E-2</v>
      </c>
    </row>
    <row r="644" spans="1:4" x14ac:dyDescent="0.25">
      <c r="A644" s="2">
        <v>642</v>
      </c>
      <c r="B644" s="22">
        <v>0.2007445778697729</v>
      </c>
      <c r="C644" s="22">
        <v>0.19814709126949309</v>
      </c>
      <c r="D644" s="15">
        <v>0.10928874053061011</v>
      </c>
    </row>
    <row r="645" spans="1:4" x14ac:dyDescent="0.25">
      <c r="A645" s="2">
        <v>643</v>
      </c>
      <c r="B645" s="22">
        <v>9.4628605246544012E-2</v>
      </c>
      <c r="C645" s="22">
        <v>0.15068178437650195</v>
      </c>
      <c r="D645" s="15">
        <v>0.12398041673004614</v>
      </c>
    </row>
    <row r="646" spans="1:4" x14ac:dyDescent="0.25">
      <c r="A646" s="2">
        <v>644</v>
      </c>
      <c r="B646" s="22">
        <v>0.20843828544020657</v>
      </c>
      <c r="C646" s="22">
        <v>0.14266787245869639</v>
      </c>
      <c r="D646" s="15">
        <v>0.1003079608082772</v>
      </c>
    </row>
    <row r="647" spans="1:4" x14ac:dyDescent="0.25">
      <c r="A647" s="2">
        <v>645</v>
      </c>
      <c r="B647" s="22">
        <v>0.12438113242387767</v>
      </c>
      <c r="C647" s="22">
        <v>0.13400881811976426</v>
      </c>
      <c r="D647" s="15">
        <v>5.4254230111837484E-2</v>
      </c>
    </row>
    <row r="648" spans="1:4" x14ac:dyDescent="0.25">
      <c r="A648" s="2">
        <v>646</v>
      </c>
      <c r="B648" s="22">
        <v>0.16814486458897579</v>
      </c>
      <c r="C648" s="22">
        <v>0.16711968183517459</v>
      </c>
      <c r="D648" s="15">
        <v>3.4400599449872948E-2</v>
      </c>
    </row>
    <row r="649" spans="1:4" x14ac:dyDescent="0.25">
      <c r="A649" s="2">
        <v>647</v>
      </c>
      <c r="B649" s="22">
        <v>0.16520542278885836</v>
      </c>
      <c r="C649" s="22">
        <v>0.20756517052650456</v>
      </c>
      <c r="D649" s="15">
        <v>7.7908357232809033E-2</v>
      </c>
    </row>
    <row r="650" spans="1:4" x14ac:dyDescent="0.25">
      <c r="A650" s="2">
        <v>648</v>
      </c>
      <c r="B650" s="22">
        <v>0.20290580242872233</v>
      </c>
      <c r="C650" s="22">
        <v>0.227221004664898</v>
      </c>
      <c r="D650" s="15">
        <v>9.5157569646835444E-2</v>
      </c>
    </row>
    <row r="651" spans="1:4" x14ac:dyDescent="0.25">
      <c r="A651" s="2">
        <v>649</v>
      </c>
      <c r="B651" s="22">
        <v>0.23324054628610616</v>
      </c>
      <c r="C651" s="22">
        <v>0.23804521337151519</v>
      </c>
      <c r="D651" s="15">
        <v>0.12638139650225627</v>
      </c>
    </row>
    <row r="652" spans="1:4" x14ac:dyDescent="0.25">
      <c r="A652" s="2">
        <v>650</v>
      </c>
      <c r="B652" s="22">
        <v>0.22468829452991476</v>
      </c>
      <c r="C652" s="22">
        <v>0.20364674404263478</v>
      </c>
      <c r="D652" s="15">
        <v>8.2757472246885205E-2</v>
      </c>
    </row>
    <row r="653" spans="1:4" x14ac:dyDescent="0.25">
      <c r="A653" s="2">
        <v>651</v>
      </c>
      <c r="B653" s="22">
        <v>0.26299161538481708</v>
      </c>
      <c r="C653" s="22">
        <v>0.17259923368692387</v>
      </c>
      <c r="D653" s="15">
        <v>9.9192089587450114E-2</v>
      </c>
    </row>
    <row r="654" spans="1:4" x14ac:dyDescent="0.25">
      <c r="A654" s="2">
        <v>652</v>
      </c>
      <c r="B654" s="22">
        <v>0.19443790614604953</v>
      </c>
      <c r="C654" s="22">
        <v>0.13444700576365004</v>
      </c>
      <c r="D654" s="15">
        <v>0.10403215400874614</v>
      </c>
    </row>
    <row r="655" spans="1:4" x14ac:dyDescent="0.25">
      <c r="A655" s="2">
        <v>653</v>
      </c>
      <c r="B655" s="22">
        <v>0.19616585075855247</v>
      </c>
      <c r="C655" s="22">
        <v>0.10384214911609882</v>
      </c>
      <c r="D655" s="15">
        <v>0.11739578302949676</v>
      </c>
    </row>
    <row r="656" spans="1:4" x14ac:dyDescent="0.25">
      <c r="A656" s="2">
        <v>654</v>
      </c>
      <c r="B656" s="22">
        <v>0.14947370812296862</v>
      </c>
      <c r="C656" s="22">
        <v>0.11299620401114226</v>
      </c>
      <c r="D656" s="15">
        <v>5.9946028329432154E-2</v>
      </c>
    </row>
    <row r="657" spans="1:4" x14ac:dyDescent="0.25">
      <c r="A657" s="2">
        <v>655</v>
      </c>
      <c r="B657" s="22">
        <v>0.16325972676277176</v>
      </c>
      <c r="C657" s="22">
        <v>0.14219522252678879</v>
      </c>
      <c r="D657" s="15">
        <v>6.9394897669554034E-2</v>
      </c>
    </row>
    <row r="658" spans="1:4" x14ac:dyDescent="0.25">
      <c r="A658" s="2">
        <v>656</v>
      </c>
      <c r="B658" s="22">
        <v>0.18506205305457119</v>
      </c>
      <c r="C658" s="22">
        <v>0.16639753654599185</v>
      </c>
      <c r="D658" s="15">
        <v>7.6394295692443812E-2</v>
      </c>
    </row>
    <row r="659" spans="1:4" x14ac:dyDescent="0.25">
      <c r="A659" s="2">
        <v>657</v>
      </c>
      <c r="B659" s="22">
        <v>0.1510820478200913</v>
      </c>
      <c r="C659" s="22">
        <v>0.18616761267185217</v>
      </c>
      <c r="D659" s="15">
        <v>5.5645546317100503E-2</v>
      </c>
    </row>
    <row r="660" spans="1:4" x14ac:dyDescent="0.25">
      <c r="A660" s="2">
        <v>658</v>
      </c>
      <c r="B660" s="22">
        <v>0.185128492116928</v>
      </c>
      <c r="C660" s="22">
        <v>0.21329318210482601</v>
      </c>
      <c r="D660" s="15">
        <v>6.1863385885953824E-2</v>
      </c>
    </row>
    <row r="661" spans="1:4" x14ac:dyDescent="0.25">
      <c r="A661" s="2">
        <v>659</v>
      </c>
      <c r="B661" s="22">
        <v>0.18100127615034572</v>
      </c>
      <c r="C661" s="22">
        <v>0.22247219234704971</v>
      </c>
      <c r="D661" s="15">
        <v>9.5315208658575984E-2</v>
      </c>
    </row>
    <row r="662" spans="1:4" x14ac:dyDescent="0.25">
      <c r="A662" s="2">
        <v>660</v>
      </c>
      <c r="B662" s="22">
        <v>0.23255001232028008</v>
      </c>
      <c r="C662" s="22">
        <v>0.22904181182384478</v>
      </c>
      <c r="D662" s="15">
        <v>8.2206507772207296E-2</v>
      </c>
    </row>
    <row r="663" spans="1:4" x14ac:dyDescent="0.25">
      <c r="A663" s="2">
        <v>661</v>
      </c>
      <c r="B663" s="22">
        <v>0.22334582358598717</v>
      </c>
      <c r="C663" s="22">
        <v>0.21875876262784005</v>
      </c>
      <c r="D663" s="15">
        <v>6.3478385657072089E-2</v>
      </c>
    </row>
    <row r="664" spans="1:4" x14ac:dyDescent="0.25">
      <c r="A664" s="2">
        <v>662</v>
      </c>
      <c r="B664" s="22">
        <v>0.17248179540038103</v>
      </c>
      <c r="C664" s="22">
        <v>0.16298452988266948</v>
      </c>
      <c r="D664" s="15">
        <v>5.2856938540935594E-2</v>
      </c>
    </row>
    <row r="665" spans="1:4" x14ac:dyDescent="0.25">
      <c r="A665" s="2">
        <v>663</v>
      </c>
      <c r="B665" s="22">
        <v>0.10451272688806057</v>
      </c>
      <c r="C665" s="22">
        <v>0.10353120937943454</v>
      </c>
      <c r="D665" s="15">
        <v>5.6812422350048908E-2</v>
      </c>
    </row>
    <row r="666" spans="1:4" x14ac:dyDescent="0.25">
      <c r="A666" s="2">
        <v>664</v>
      </c>
      <c r="B666" s="22">
        <v>0.13135164678096764</v>
      </c>
      <c r="C666" s="22">
        <v>9.1474373824894498E-2</v>
      </c>
      <c r="D666" s="15">
        <v>5.8888803236186581E-2</v>
      </c>
    </row>
    <row r="667" spans="1:4" x14ac:dyDescent="0.25">
      <c r="A667" s="2">
        <v>665</v>
      </c>
      <c r="B667" s="22">
        <v>0.15678938589990132</v>
      </c>
      <c r="C667" s="22">
        <v>0.10369966570287956</v>
      </c>
      <c r="D667" s="15">
        <v>8.280679751187546E-2</v>
      </c>
    </row>
    <row r="668" spans="1:4" x14ac:dyDescent="0.25">
      <c r="A668" s="2">
        <v>666</v>
      </c>
      <c r="B668" s="22">
        <v>0.11127978637814524</v>
      </c>
      <c r="C668" s="22">
        <v>0.11410168316215286</v>
      </c>
      <c r="D668" s="15">
        <v>5.8972915820777426E-2</v>
      </c>
    </row>
    <row r="669" spans="1:4" x14ac:dyDescent="0.25">
      <c r="A669" s="2">
        <v>667</v>
      </c>
      <c r="B669" s="22">
        <v>9.3893880397081381E-2</v>
      </c>
      <c r="C669" s="22">
        <v>0.15933756679296499</v>
      </c>
      <c r="D669" s="15">
        <v>0.12162783965468424</v>
      </c>
    </row>
    <row r="670" spans="1:4" x14ac:dyDescent="0.25">
      <c r="A670" s="2">
        <v>668</v>
      </c>
      <c r="B670" s="22">
        <v>0.15990596637129798</v>
      </c>
      <c r="C670" s="22">
        <v>0.22348755151033398</v>
      </c>
      <c r="D670" s="15">
        <v>0.14117888733744616</v>
      </c>
    </row>
    <row r="671" spans="1:4" x14ac:dyDescent="0.25">
      <c r="A671" s="2">
        <v>669</v>
      </c>
      <c r="B671" s="22">
        <v>0.32639909088611591</v>
      </c>
      <c r="C671" s="22">
        <v>0.28023430034518243</v>
      </c>
      <c r="D671" s="15">
        <v>0.10142070874571811</v>
      </c>
    </row>
    <row r="672" spans="1:4" x14ac:dyDescent="0.25">
      <c r="A672" s="2">
        <v>670</v>
      </c>
      <c r="B672" s="22">
        <v>0.33434246703982368</v>
      </c>
      <c r="C672" s="22">
        <v>0.2736196100711823</v>
      </c>
      <c r="D672" s="15">
        <v>8.8805773109197725E-2</v>
      </c>
    </row>
    <row r="673" spans="1:4" x14ac:dyDescent="0.25">
      <c r="A673" s="2">
        <v>671</v>
      </c>
      <c r="B673" s="22">
        <v>0.21588224619626989</v>
      </c>
      <c r="C673" s="22">
        <v>0.18917919695377344</v>
      </c>
      <c r="D673" s="15">
        <v>5.266152918338779E-2</v>
      </c>
    </row>
    <row r="674" spans="1:4" x14ac:dyDescent="0.25">
      <c r="A674" s="2">
        <v>672</v>
      </c>
      <c r="B674" s="22">
        <v>0.12668179795145995</v>
      </c>
      <c r="C674" s="22">
        <v>0.12038055714219817</v>
      </c>
      <c r="D674" s="15">
        <v>5.3041412122547572E-2</v>
      </c>
    </row>
    <row r="675" spans="1:4" x14ac:dyDescent="0.25">
      <c r="A675" s="2">
        <v>673</v>
      </c>
      <c r="B675" s="22">
        <v>0.13434441238641728</v>
      </c>
      <c r="C675" s="22">
        <v>9.5790147781372043E-2</v>
      </c>
      <c r="D675" s="15">
        <v>0.10260019302368165</v>
      </c>
    </row>
    <row r="676" spans="1:4" x14ac:dyDescent="0.25">
      <c r="A676" s="2">
        <v>674</v>
      </c>
      <c r="B676" s="22">
        <v>0.16671985536813749</v>
      </c>
      <c r="C676" s="22">
        <v>0.1129370763897896</v>
      </c>
      <c r="D676" s="15">
        <v>6.4392636716365845E-2</v>
      </c>
    </row>
    <row r="677" spans="1:4" x14ac:dyDescent="0.25">
      <c r="A677" s="2">
        <v>675</v>
      </c>
      <c r="B677" s="22">
        <v>0.17957306206226353</v>
      </c>
      <c r="C677" s="22">
        <v>0.1554657056927681</v>
      </c>
      <c r="D677" s="15">
        <v>8.7193845212459653E-2</v>
      </c>
    </row>
    <row r="678" spans="1:4" x14ac:dyDescent="0.25">
      <c r="A678" s="2">
        <v>676</v>
      </c>
      <c r="B678" s="22">
        <v>0.2197427406907082</v>
      </c>
      <c r="C678" s="22">
        <v>0.19098206385970112</v>
      </c>
      <c r="D678" s="15">
        <v>4.7434238344430835E-2</v>
      </c>
    </row>
    <row r="679" spans="1:4" x14ac:dyDescent="0.25">
      <c r="A679" s="2">
        <v>677</v>
      </c>
      <c r="B679" s="22">
        <v>0.16595316380262368</v>
      </c>
      <c r="C679" s="22">
        <v>0.21662326306104659</v>
      </c>
      <c r="D679" s="15">
        <v>5.6786949932575284E-2</v>
      </c>
    </row>
    <row r="680" spans="1:4" x14ac:dyDescent="0.25">
      <c r="A680" s="2">
        <v>678</v>
      </c>
      <c r="B680" s="22">
        <v>0.28325811773538601</v>
      </c>
      <c r="C680" s="22">
        <v>0.22613233551383011</v>
      </c>
      <c r="D680" s="15">
        <v>0.11983351334929451</v>
      </c>
    </row>
    <row r="681" spans="1:4" x14ac:dyDescent="0.25">
      <c r="A681" s="2">
        <v>679</v>
      </c>
      <c r="B681" s="22">
        <v>0.31220818981528276</v>
      </c>
      <c r="C681" s="22">
        <v>0.2209691360592842</v>
      </c>
      <c r="D681" s="15">
        <v>0.12839921936392787</v>
      </c>
    </row>
    <row r="682" spans="1:4" x14ac:dyDescent="0.25">
      <c r="A682" s="2">
        <v>680</v>
      </c>
      <c r="B682" s="22">
        <v>7.5821726024150909E-2</v>
      </c>
      <c r="C682" s="22">
        <v>0.19866307601332672</v>
      </c>
      <c r="D682" s="15">
        <v>0.12428946867585181</v>
      </c>
    </row>
    <row r="683" spans="1:4" x14ac:dyDescent="0.25">
      <c r="A683" s="2">
        <v>681</v>
      </c>
      <c r="B683" s="22">
        <v>0.15569088608026499</v>
      </c>
      <c r="C683" s="22">
        <v>0.16906579062342647</v>
      </c>
      <c r="D683" s="15">
        <v>4.9365439265966336E-2</v>
      </c>
    </row>
    <row r="684" spans="1:4" x14ac:dyDescent="0.25">
      <c r="A684" s="2">
        <v>682</v>
      </c>
      <c r="B684" s="22">
        <v>0.24370123818516726</v>
      </c>
      <c r="C684" s="22">
        <v>0.16169722191989422</v>
      </c>
      <c r="D684" s="15">
        <v>8.4460574015974843E-2</v>
      </c>
    </row>
    <row r="685" spans="1:4" x14ac:dyDescent="0.25">
      <c r="A685" s="2">
        <v>683</v>
      </c>
      <c r="B685" s="22">
        <v>0.23019034042954453</v>
      </c>
      <c r="C685" s="22">
        <v>0.16288348957896234</v>
      </c>
      <c r="D685" s="15">
        <v>8.1332379579544062E-2</v>
      </c>
    </row>
    <row r="686" spans="1:4" x14ac:dyDescent="0.25">
      <c r="A686" s="2">
        <v>684</v>
      </c>
      <c r="B686" s="22">
        <v>0.17962601035833353</v>
      </c>
      <c r="C686" s="22">
        <v>0.1460053432732821</v>
      </c>
      <c r="D686" s="15">
        <v>5.9106656536459745E-2</v>
      </c>
    </row>
    <row r="687" spans="1:4" x14ac:dyDescent="0.25">
      <c r="A687" s="2">
        <v>685</v>
      </c>
      <c r="B687" s="22">
        <v>0.14605764523148548</v>
      </c>
      <c r="C687" s="22">
        <v>0.12358007770963002</v>
      </c>
      <c r="D687" s="15">
        <v>4.6592375217005724E-2</v>
      </c>
    </row>
    <row r="688" spans="1:4" x14ac:dyDescent="0.25">
      <c r="A688" s="2">
        <v>686</v>
      </c>
      <c r="B688" s="22">
        <v>0.12108779624104493</v>
      </c>
      <c r="C688" s="22">
        <v>0.14620765596628185</v>
      </c>
      <c r="D688" s="15">
        <v>4.3354916572570748E-2</v>
      </c>
    </row>
    <row r="689" spans="1:4" x14ac:dyDescent="0.25">
      <c r="A689" s="2">
        <v>687</v>
      </c>
      <c r="B689" s="22">
        <v>0.20712766200304028</v>
      </c>
      <c r="C689" s="22">
        <v>0.19513772428035744</v>
      </c>
      <c r="D689" s="15">
        <v>4.7417660057544921E-2</v>
      </c>
    </row>
    <row r="690" spans="1:4" x14ac:dyDescent="0.25">
      <c r="A690" s="2">
        <v>688</v>
      </c>
      <c r="B690" s="22">
        <v>0.23180222585797314</v>
      </c>
      <c r="C690" s="22">
        <v>0.22581174969673165</v>
      </c>
      <c r="D690" s="15">
        <v>2.2283578664064517E-2</v>
      </c>
    </row>
    <row r="691" spans="1:4" x14ac:dyDescent="0.25">
      <c r="A691" s="2">
        <v>689</v>
      </c>
      <c r="B691" s="22">
        <v>0.23106457889080051</v>
      </c>
      <c r="C691" s="22">
        <v>0.23172889202833172</v>
      </c>
      <c r="D691" s="15">
        <v>2.3313026130199137E-2</v>
      </c>
    </row>
    <row r="692" spans="1:4" x14ac:dyDescent="0.25">
      <c r="A692" s="2">
        <v>690</v>
      </c>
      <c r="B692" s="22">
        <v>0.20542403049766994</v>
      </c>
      <c r="C692" s="22">
        <v>0.23295171335339543</v>
      </c>
      <c r="D692" s="15">
        <v>4.3774510547518783E-2</v>
      </c>
    </row>
    <row r="693" spans="1:4" x14ac:dyDescent="0.25">
      <c r="A693" s="2">
        <v>691</v>
      </c>
      <c r="B693" s="22">
        <v>0.25613823831081384</v>
      </c>
      <c r="C693" s="22">
        <v>0.23367078974843025</v>
      </c>
      <c r="D693" s="15">
        <v>4.2843093723058764E-2</v>
      </c>
    </row>
    <row r="694" spans="1:4" x14ac:dyDescent="0.25">
      <c r="A694" s="2">
        <v>692</v>
      </c>
      <c r="B694" s="22">
        <v>0.2167467266321183</v>
      </c>
      <c r="C694" s="22">
        <v>0.20337943956255913</v>
      </c>
      <c r="D694" s="15">
        <v>0.11854754909873019</v>
      </c>
    </row>
    <row r="695" spans="1:4" x14ac:dyDescent="0.25">
      <c r="A695" s="2">
        <v>693</v>
      </c>
      <c r="B695" s="22">
        <v>0.20924279391765585</v>
      </c>
      <c r="C695" s="22">
        <v>0.15976164191961298</v>
      </c>
      <c r="D695" s="15">
        <v>7.4435388669371438E-2</v>
      </c>
    </row>
    <row r="696" spans="1:4" x14ac:dyDescent="0.25">
      <c r="A696" s="2">
        <v>694</v>
      </c>
      <c r="B696" s="22">
        <v>0.1986208215355873</v>
      </c>
      <c r="C696" s="22">
        <v>0.13958300240337856</v>
      </c>
      <c r="D696" s="15">
        <v>7.4871515110134984E-2</v>
      </c>
    </row>
    <row r="697" spans="1:4" x14ac:dyDescent="0.25">
      <c r="A697" s="2">
        <v>695</v>
      </c>
      <c r="B697" s="22">
        <v>0.20218253433704375</v>
      </c>
      <c r="C697" s="22">
        <v>0.13836083225905907</v>
      </c>
      <c r="D697" s="15">
        <v>0.10287839956581597</v>
      </c>
    </row>
    <row r="698" spans="1:4" x14ac:dyDescent="0.25">
      <c r="A698" s="2">
        <v>696</v>
      </c>
      <c r="B698" s="22">
        <v>0.14153276830911624</v>
      </c>
      <c r="C698" s="22">
        <v>0.14445682577788835</v>
      </c>
      <c r="D698" s="15">
        <v>6.4310257881879579E-2</v>
      </c>
    </row>
    <row r="699" spans="1:4" x14ac:dyDescent="0.25">
      <c r="A699" s="2">
        <v>697</v>
      </c>
      <c r="B699" s="22">
        <v>0.14291365593671795</v>
      </c>
      <c r="C699" s="22">
        <v>0.15809335187077528</v>
      </c>
      <c r="D699" s="15">
        <v>8.703381344676013E-2</v>
      </c>
    </row>
    <row r="700" spans="1:4" x14ac:dyDescent="0.25">
      <c r="A700" s="2">
        <v>698</v>
      </c>
      <c r="B700" s="22">
        <v>0.24080071076750748</v>
      </c>
      <c r="C700" s="22">
        <v>0.18177909851074231</v>
      </c>
      <c r="D700" s="15">
        <v>7.8288520127534816E-2</v>
      </c>
    </row>
    <row r="701" spans="1:4" x14ac:dyDescent="0.25">
      <c r="A701" s="2">
        <v>699</v>
      </c>
      <c r="B701" s="22">
        <v>0.20911916047334658</v>
      </c>
      <c r="C701" s="22">
        <v>0.19131053201854215</v>
      </c>
      <c r="D701" s="15">
        <v>3.8564536347985248E-2</v>
      </c>
    </row>
    <row r="702" spans="1:4" x14ac:dyDescent="0.25">
      <c r="A702" s="2">
        <v>700</v>
      </c>
      <c r="B702" s="22">
        <v>0.2368902400135994</v>
      </c>
      <c r="C702" s="22">
        <v>0.19705352559685699</v>
      </c>
      <c r="D702" s="15">
        <v>6.7319742590189163E-2</v>
      </c>
    </row>
    <row r="703" spans="1:4" x14ac:dyDescent="0.25">
      <c r="A703" s="2">
        <v>701</v>
      </c>
      <c r="B703" s="22">
        <v>0.15458378940820708</v>
      </c>
      <c r="C703" s="22">
        <v>0.20346415340900426</v>
      </c>
      <c r="D703" s="15">
        <v>4.8880364000797191E-2</v>
      </c>
    </row>
    <row r="704" spans="1:4" x14ac:dyDescent="0.25">
      <c r="A704" s="2">
        <v>702</v>
      </c>
      <c r="B704" s="22">
        <v>0.21485525816679002</v>
      </c>
      <c r="C704" s="22">
        <v>0.19174042642116557</v>
      </c>
      <c r="D704" s="15">
        <v>4.9608562886715037E-2</v>
      </c>
    </row>
    <row r="705" spans="1:4" x14ac:dyDescent="0.25">
      <c r="A705" s="2">
        <v>703</v>
      </c>
      <c r="B705" s="22">
        <v>0.23562144264578816</v>
      </c>
      <c r="C705" s="22">
        <v>0.17864012271165847</v>
      </c>
      <c r="D705" s="15">
        <v>6.8479488044977235E-2</v>
      </c>
    </row>
    <row r="706" spans="1:4" x14ac:dyDescent="0.25">
      <c r="A706" s="2">
        <v>704</v>
      </c>
      <c r="B706" s="22">
        <v>0.15889042317867294</v>
      </c>
      <c r="C706" s="22">
        <v>0.1529854986816645</v>
      </c>
      <c r="D706" s="15">
        <v>4.7243946418166261E-2</v>
      </c>
    </row>
    <row r="707" spans="1:4" x14ac:dyDescent="0.25">
      <c r="A707" s="2">
        <v>705</v>
      </c>
      <c r="B707" s="22">
        <v>0.14495225921273222</v>
      </c>
      <c r="C707" s="22">
        <v>0.13193323016166686</v>
      </c>
      <c r="D707" s="15">
        <v>7.1649213880300405E-2</v>
      </c>
    </row>
    <row r="708" spans="1:4" x14ac:dyDescent="0.25">
      <c r="A708" s="2">
        <v>706</v>
      </c>
      <c r="B708" s="22">
        <v>0.16441201195120814</v>
      </c>
      <c r="C708" s="22">
        <v>0.13142928220331673</v>
      </c>
      <c r="D708" s="15">
        <v>9.4192053005099363E-2</v>
      </c>
    </row>
    <row r="709" spans="1:4" x14ac:dyDescent="0.25">
      <c r="A709" s="2">
        <v>707</v>
      </c>
      <c r="B709" s="22">
        <v>0.11043687239289302</v>
      </c>
      <c r="C709" s="22">
        <v>0.1650031179189681</v>
      </c>
      <c r="D709" s="15">
        <v>7.5214926153421416E-2</v>
      </c>
    </row>
    <row r="710" spans="1:4" x14ac:dyDescent="0.25">
      <c r="A710" s="2">
        <v>708</v>
      </c>
      <c r="B710" s="22">
        <v>0.18000519275665278</v>
      </c>
      <c r="C710" s="22">
        <v>0.206605391204357</v>
      </c>
      <c r="D710" s="15">
        <v>7.3878885805606628E-2</v>
      </c>
    </row>
    <row r="711" spans="1:4" x14ac:dyDescent="0.25">
      <c r="A711" s="2">
        <v>709</v>
      </c>
      <c r="B711" s="22">
        <v>0.24733886420726775</v>
      </c>
      <c r="C711" s="22">
        <v>0.21514149680733677</v>
      </c>
      <c r="D711" s="15">
        <v>7.8240043669939058E-2</v>
      </c>
    </row>
    <row r="712" spans="1:4" x14ac:dyDescent="0.25">
      <c r="A712" s="2">
        <v>710</v>
      </c>
      <c r="B712" s="22">
        <v>0.17918388620018968</v>
      </c>
      <c r="C712" s="22">
        <v>0.20343984588980688</v>
      </c>
      <c r="D712" s="15">
        <v>5.4082892835139992E-2</v>
      </c>
    </row>
    <row r="713" spans="1:4" x14ac:dyDescent="0.25">
      <c r="A713" s="2">
        <v>711</v>
      </c>
      <c r="B713" s="22">
        <v>0.17135859727859501</v>
      </c>
      <c r="C713" s="22">
        <v>0.19631918445229535</v>
      </c>
      <c r="D713" s="15">
        <v>4.3099855631589856E-2</v>
      </c>
    </row>
    <row r="714" spans="1:4" x14ac:dyDescent="0.25">
      <c r="A714" s="2">
        <v>712</v>
      </c>
      <c r="B714" s="22">
        <v>0.15286040417850011</v>
      </c>
      <c r="C714" s="22">
        <v>0.19843635708093643</v>
      </c>
      <c r="D714" s="15">
        <v>5.4284909740090481E-2</v>
      </c>
    </row>
    <row r="715" spans="1:4" x14ac:dyDescent="0.25">
      <c r="A715" s="2">
        <v>713</v>
      </c>
      <c r="B715" s="22">
        <v>0.23001669533550748</v>
      </c>
      <c r="C715" s="22">
        <v>0.20683307051658611</v>
      </c>
      <c r="D715" s="15">
        <v>6.5589852258563133E-2</v>
      </c>
    </row>
    <row r="716" spans="1:4" x14ac:dyDescent="0.25">
      <c r="A716" s="2">
        <v>714</v>
      </c>
      <c r="B716" s="22">
        <v>0.25854432433843622</v>
      </c>
      <c r="C716" s="22">
        <v>0.19032442569732658</v>
      </c>
      <c r="D716" s="15">
        <v>0.1149723038077354</v>
      </c>
    </row>
    <row r="717" spans="1:4" x14ac:dyDescent="0.25">
      <c r="A717" s="2">
        <v>715</v>
      </c>
      <c r="B717" s="22">
        <v>0.20531397908926019</v>
      </c>
      <c r="C717" s="22">
        <v>0.14924174416810268</v>
      </c>
      <c r="D717" s="15">
        <v>8.2059488724917168E-2</v>
      </c>
    </row>
    <row r="718" spans="1:4" x14ac:dyDescent="0.25">
      <c r="A718" s="2">
        <v>716</v>
      </c>
      <c r="B718" s="22">
        <v>0.11710968166589737</v>
      </c>
      <c r="C718" s="22">
        <v>0.11745448624715218</v>
      </c>
      <c r="D718" s="15">
        <v>4.2355753388255715E-2</v>
      </c>
    </row>
    <row r="719" spans="1:4" x14ac:dyDescent="0.25">
      <c r="A719" s="2">
        <v>717</v>
      </c>
      <c r="B719" s="22">
        <v>0.15948996208608163</v>
      </c>
      <c r="C719" s="22">
        <v>0.13075064364820704</v>
      </c>
      <c r="D719" s="15">
        <v>4.8858464695513401E-2</v>
      </c>
    </row>
    <row r="720" spans="1:4" x14ac:dyDescent="0.25">
      <c r="A720" s="2">
        <v>718</v>
      </c>
      <c r="B720" s="22">
        <v>0.13233537599444384</v>
      </c>
      <c r="C720" s="22">
        <v>0.16235036998987187</v>
      </c>
      <c r="D720" s="15">
        <v>3.8646697252989012E-2</v>
      </c>
    </row>
    <row r="721" spans="1:4" x14ac:dyDescent="0.25">
      <c r="A721" s="2">
        <v>719</v>
      </c>
      <c r="B721" s="22">
        <v>0.21028249748051159</v>
      </c>
      <c r="C721" s="22">
        <v>0.19441710859537123</v>
      </c>
      <c r="D721" s="15">
        <v>6.215787865221499E-2</v>
      </c>
    </row>
    <row r="722" spans="1:4" x14ac:dyDescent="0.25">
      <c r="A722" s="2">
        <v>720</v>
      </c>
      <c r="B722" s="22">
        <v>0.20696681737899789</v>
      </c>
      <c r="C722" s="22">
        <v>0.22133119851350788</v>
      </c>
      <c r="D722" s="15">
        <v>5.8052758872509012E-2</v>
      </c>
    </row>
    <row r="723" spans="1:4" x14ac:dyDescent="0.25">
      <c r="A723" s="2">
        <v>721</v>
      </c>
      <c r="B723" s="22">
        <v>0.29810017794370641</v>
      </c>
      <c r="C723" s="22">
        <v>0.22354608997702602</v>
      </c>
      <c r="D723" s="15">
        <v>8.9919232577085589E-2</v>
      </c>
    </row>
    <row r="724" spans="1:4" x14ac:dyDescent="0.25">
      <c r="A724" s="2">
        <v>722</v>
      </c>
      <c r="B724" s="22">
        <v>0.25751425288617602</v>
      </c>
      <c r="C724" s="22">
        <v>0.19993615448474883</v>
      </c>
      <c r="D724" s="15">
        <v>0.10054027102887637</v>
      </c>
    </row>
    <row r="725" spans="1:4" x14ac:dyDescent="0.25">
      <c r="A725" s="2">
        <v>723</v>
      </c>
      <c r="B725" s="22">
        <v>0.16308781206607817</v>
      </c>
      <c r="C725" s="22">
        <v>0.16450936496257779</v>
      </c>
      <c r="D725" s="15">
        <v>4.6082535386085553E-2</v>
      </c>
    </row>
    <row r="726" spans="1:4" x14ac:dyDescent="0.25">
      <c r="A726" s="2">
        <v>724</v>
      </c>
      <c r="B726" s="22">
        <v>0.16293382868170728</v>
      </c>
      <c r="C726" s="22">
        <v>0.15025261044502258</v>
      </c>
      <c r="D726" s="15">
        <v>4.8646610230207291E-2</v>
      </c>
    </row>
    <row r="727" spans="1:4" x14ac:dyDescent="0.25">
      <c r="A727" s="2">
        <v>725</v>
      </c>
      <c r="B727" s="22">
        <v>0.20838116854429251</v>
      </c>
      <c r="C727" s="22">
        <v>0.15953670069575318</v>
      </c>
      <c r="D727" s="15">
        <v>7.9580064862966704E-2</v>
      </c>
    </row>
    <row r="728" spans="1:4" x14ac:dyDescent="0.25">
      <c r="A728" s="2">
        <v>726</v>
      </c>
      <c r="B728" s="22">
        <v>0.15668791942298416</v>
      </c>
      <c r="C728" s="22">
        <v>0.16462105624377735</v>
      </c>
      <c r="D728" s="15">
        <v>7.7478837966919206E-2</v>
      </c>
    </row>
    <row r="729" spans="1:4" x14ac:dyDescent="0.25">
      <c r="A729" s="2">
        <v>727</v>
      </c>
      <c r="B729" s="22">
        <v>0.26403253674507132</v>
      </c>
      <c r="C729" s="22">
        <v>0.16838481342419981</v>
      </c>
      <c r="D729" s="15">
        <v>9.5647723320871555E-2</v>
      </c>
    </row>
    <row r="730" spans="1:4" x14ac:dyDescent="0.25">
      <c r="A730" s="2">
        <v>728</v>
      </c>
      <c r="B730" s="22">
        <v>0.16829211749136436</v>
      </c>
      <c r="C730" s="22">
        <v>0.17533242851495751</v>
      </c>
      <c r="D730" s="15">
        <v>7.9831426218152035E-2</v>
      </c>
    </row>
    <row r="731" spans="1:4" x14ac:dyDescent="0.25">
      <c r="A731" s="2">
        <v>729</v>
      </c>
      <c r="B731" s="22">
        <v>0.1859521113336087</v>
      </c>
      <c r="C731" s="22">
        <v>0.16032252945005909</v>
      </c>
      <c r="D731" s="15">
        <v>9.6454245969653005E-2</v>
      </c>
    </row>
    <row r="732" spans="1:4" x14ac:dyDescent="0.25">
      <c r="A732" s="2">
        <v>730</v>
      </c>
      <c r="B732" s="22">
        <v>0.17219414301216604</v>
      </c>
      <c r="C732" s="22">
        <v>0.13265491351485253</v>
      </c>
      <c r="D732" s="15">
        <v>5.7404451444745E-2</v>
      </c>
    </row>
    <row r="733" spans="1:4" x14ac:dyDescent="0.25">
      <c r="A733" s="2">
        <v>731</v>
      </c>
      <c r="B733" s="22">
        <v>0.10015754103660582</v>
      </c>
      <c r="C733" s="22">
        <v>0.13004481196403508</v>
      </c>
      <c r="D733" s="15">
        <v>4.8808869719505231E-2</v>
      </c>
    </row>
    <row r="734" spans="1:4" x14ac:dyDescent="0.25">
      <c r="A734" s="2">
        <v>732</v>
      </c>
      <c r="B734" s="22">
        <v>9.6298653632402503E-2</v>
      </c>
      <c r="C734" s="22">
        <v>0.13253350481390946</v>
      </c>
      <c r="D734" s="15">
        <v>7.9168102145195166E-2</v>
      </c>
    </row>
    <row r="735" spans="1:4" x14ac:dyDescent="0.25">
      <c r="A735" s="2">
        <v>733</v>
      </c>
      <c r="B735" s="22">
        <v>0.15513924546539776</v>
      </c>
      <c r="C735" s="22">
        <v>0.14463950172066672</v>
      </c>
      <c r="D735" s="15">
        <v>2.4340689554810609E-2</v>
      </c>
    </row>
    <row r="736" spans="1:4" x14ac:dyDescent="0.25">
      <c r="A736" s="2">
        <v>734</v>
      </c>
      <c r="B736" s="22">
        <v>0.1436890583485364</v>
      </c>
      <c r="C736" s="22">
        <v>0.18074926361441609</v>
      </c>
      <c r="D736" s="15">
        <v>6.9882331416010912E-2</v>
      </c>
    </row>
    <row r="737" spans="1:4" x14ac:dyDescent="0.25">
      <c r="A737" s="2">
        <v>735</v>
      </c>
      <c r="B737" s="22">
        <v>0.13901800960302363</v>
      </c>
      <c r="C737" s="22">
        <v>0.1889440245926382</v>
      </c>
      <c r="D737" s="15">
        <v>6.9540759176015987E-2</v>
      </c>
    </row>
    <row r="738" spans="1:4" x14ac:dyDescent="0.25">
      <c r="A738" s="2">
        <v>736</v>
      </c>
      <c r="B738" s="22">
        <v>0.20824434347450729</v>
      </c>
      <c r="C738" s="22">
        <v>0.18847524151206005</v>
      </c>
      <c r="D738" s="15">
        <v>6.1798838898539585E-2</v>
      </c>
    </row>
    <row r="739" spans="1:4" x14ac:dyDescent="0.25">
      <c r="A739" s="2">
        <v>737</v>
      </c>
      <c r="B739" s="22">
        <v>0.20158995240926739</v>
      </c>
      <c r="C739" s="22">
        <v>0.17209616675972936</v>
      </c>
      <c r="D739" s="15">
        <v>5.0300411134958325E-2</v>
      </c>
    </row>
    <row r="740" spans="1:4" x14ac:dyDescent="0.25">
      <c r="A740" s="2">
        <v>738</v>
      </c>
      <c r="B740" s="22">
        <v>0.16718152649700638</v>
      </c>
      <c r="C740" s="22">
        <v>0.12797916363051626</v>
      </c>
      <c r="D740" s="15">
        <v>4.5244428710430093E-2</v>
      </c>
    </row>
    <row r="741" spans="1:4" x14ac:dyDescent="0.25">
      <c r="A741" s="2">
        <v>739</v>
      </c>
      <c r="B741" s="22">
        <v>0.11988695189356809</v>
      </c>
      <c r="C741" s="22">
        <v>0.1024183006025851</v>
      </c>
      <c r="D741" s="15">
        <v>3.4172431286424415E-2</v>
      </c>
    </row>
    <row r="742" spans="1:4" x14ac:dyDescent="0.25">
      <c r="A742" s="2">
        <v>740</v>
      </c>
      <c r="B742" s="22">
        <v>9.9011290818452877E-2</v>
      </c>
      <c r="C742" s="22">
        <v>0.10646027682814752</v>
      </c>
      <c r="D742" s="15">
        <v>6.6812163940630748E-2</v>
      </c>
    </row>
    <row r="743" spans="1:4" x14ac:dyDescent="0.25">
      <c r="A743" s="2">
        <v>741</v>
      </c>
      <c r="B743" s="22">
        <v>0.15446447283029566</v>
      </c>
      <c r="C743" s="22">
        <v>0.14320865608751768</v>
      </c>
      <c r="D743" s="15">
        <v>3.4104416146874338E-2</v>
      </c>
    </row>
    <row r="744" spans="1:4" x14ac:dyDescent="0.25">
      <c r="A744" s="2">
        <v>742</v>
      </c>
      <c r="B744" s="22">
        <v>0.14464591667056079</v>
      </c>
      <c r="C744" s="22">
        <v>0.17135116085410132</v>
      </c>
      <c r="D744" s="15">
        <v>5.75934976339341E-2</v>
      </c>
    </row>
    <row r="745" spans="1:4" x14ac:dyDescent="0.25">
      <c r="A745" s="2">
        <v>743</v>
      </c>
      <c r="B745" s="22">
        <v>0.13268404304981249</v>
      </c>
      <c r="C745" s="22">
        <v>0.18478445485234268</v>
      </c>
      <c r="D745" s="15">
        <v>5.6803024560213022E-2</v>
      </c>
    </row>
    <row r="746" spans="1:4" x14ac:dyDescent="0.25">
      <c r="A746" s="2">
        <v>744</v>
      </c>
      <c r="B746" s="22">
        <v>0.19028683230280855</v>
      </c>
      <c r="C746" s="22">
        <v>0.19737266153097158</v>
      </c>
      <c r="D746" s="15">
        <v>7.0022856444120568E-2</v>
      </c>
    </row>
    <row r="747" spans="1:4" x14ac:dyDescent="0.25">
      <c r="A747" s="2">
        <v>745</v>
      </c>
      <c r="B747" s="22">
        <v>0.19770371913909907</v>
      </c>
      <c r="C747" s="22">
        <v>0.1963353581726551</v>
      </c>
      <c r="D747" s="15">
        <v>6.2426256388425985E-2</v>
      </c>
    </row>
    <row r="748" spans="1:4" x14ac:dyDescent="0.25">
      <c r="A748" s="2">
        <v>746</v>
      </c>
      <c r="B748" s="22">
        <v>0.13907133117318157</v>
      </c>
      <c r="C748" s="22">
        <v>0.16467094197869306</v>
      </c>
      <c r="D748" s="15">
        <v>5.3963002562522878E-2</v>
      </c>
    </row>
    <row r="749" spans="1:4" x14ac:dyDescent="0.25">
      <c r="A749" s="2">
        <v>747</v>
      </c>
      <c r="B749" s="22">
        <v>0.15706636793911469</v>
      </c>
      <c r="C749" s="22">
        <v>0.13154565580189231</v>
      </c>
      <c r="D749" s="15">
        <v>3.7965235859155608E-2</v>
      </c>
    </row>
    <row r="750" spans="1:4" x14ac:dyDescent="0.25">
      <c r="A750" s="2">
        <v>748</v>
      </c>
      <c r="B750" s="22">
        <v>0.17098097875714313</v>
      </c>
      <c r="C750" s="22">
        <v>0.11183131821453582</v>
      </c>
      <c r="D750" s="15">
        <v>5.9149660542607341E-2</v>
      </c>
    </row>
    <row r="751" spans="1:4" x14ac:dyDescent="0.25">
      <c r="A751" s="2">
        <v>749</v>
      </c>
      <c r="B751" s="22">
        <v>7.7393248677252394E-3</v>
      </c>
      <c r="C751" s="22">
        <v>0.10871752332895993</v>
      </c>
      <c r="D751" s="15">
        <v>0.12883128300309193</v>
      </c>
    </row>
    <row r="752" spans="1:4" x14ac:dyDescent="0.25">
      <c r="A752" s="2">
        <v>750</v>
      </c>
      <c r="B752" s="22">
        <v>4.3562333285808573E-2</v>
      </c>
      <c r="C752" s="22">
        <v>0.12579497676342732</v>
      </c>
      <c r="D752" s="15">
        <v>0.15992806125432271</v>
      </c>
    </row>
    <row r="753" spans="1:4" x14ac:dyDescent="0.25">
      <c r="A753" s="2">
        <v>751</v>
      </c>
      <c r="B753" s="22">
        <v>0.10672729909420016</v>
      </c>
      <c r="C753" s="22">
        <v>0.16249814275652169</v>
      </c>
      <c r="D753" s="15">
        <v>0.15310815628617988</v>
      </c>
    </row>
    <row r="754" spans="1:4" x14ac:dyDescent="0.25">
      <c r="A754" s="2">
        <v>752</v>
      </c>
      <c r="B754" s="22">
        <v>0.20129684060811992</v>
      </c>
      <c r="C754" s="22">
        <v>0.19009521454572678</v>
      </c>
      <c r="D754" s="15">
        <v>8.5412527620792364E-2</v>
      </c>
    </row>
    <row r="755" spans="1:4" x14ac:dyDescent="0.25">
      <c r="A755" s="2">
        <v>753</v>
      </c>
      <c r="B755" s="22">
        <v>0.17626556530594825</v>
      </c>
      <c r="C755" s="22">
        <v>0.21539115160703654</v>
      </c>
      <c r="D755" s="15">
        <v>0.12188499793410301</v>
      </c>
    </row>
    <row r="756" spans="1:4" x14ac:dyDescent="0.25">
      <c r="A756" s="2">
        <v>754</v>
      </c>
      <c r="B756" s="22">
        <v>0.20861845985054953</v>
      </c>
      <c r="C756" s="22">
        <v>0.23478179946541786</v>
      </c>
      <c r="D756" s="15">
        <v>5.371019542217248E-2</v>
      </c>
    </row>
    <row r="757" spans="1:4" x14ac:dyDescent="0.25">
      <c r="A757" s="2">
        <v>755</v>
      </c>
      <c r="B757" s="22">
        <v>0.14955077916383747</v>
      </c>
      <c r="C757" s="22">
        <v>0.22024858221411692</v>
      </c>
      <c r="D757" s="15">
        <v>9.8930258303880539E-2</v>
      </c>
    </row>
    <row r="758" spans="1:4" x14ac:dyDescent="0.25">
      <c r="A758" s="2">
        <v>756</v>
      </c>
      <c r="B758" s="22">
        <v>0.12649846374988555</v>
      </c>
      <c r="C758" s="22">
        <v>0.17501359060406663</v>
      </c>
      <c r="D758" s="15">
        <v>8.0251222103834105E-2</v>
      </c>
    </row>
    <row r="759" spans="1:4" x14ac:dyDescent="0.25">
      <c r="A759" s="2">
        <v>757</v>
      </c>
      <c r="B759" s="22">
        <v>0.17682230174541474</v>
      </c>
      <c r="C759" s="22">
        <v>0.13705221815034749</v>
      </c>
      <c r="D759" s="15">
        <v>7.0798579324036839E-2</v>
      </c>
    </row>
    <row r="760" spans="1:4" x14ac:dyDescent="0.25">
      <c r="A760" s="2">
        <v>758</v>
      </c>
      <c r="B760" s="22">
        <v>0.12299679443240179</v>
      </c>
      <c r="C760" s="22">
        <v>0.10357855688780546</v>
      </c>
      <c r="D760" s="15">
        <v>5.4796134121715967E-2</v>
      </c>
    </row>
    <row r="761" spans="1:4" x14ac:dyDescent="0.25">
      <c r="A761" s="2">
        <v>759</v>
      </c>
      <c r="B761" s="22">
        <v>0.10246418640017503</v>
      </c>
      <c r="C761" s="22">
        <v>6.4603338018059925E-2</v>
      </c>
      <c r="D761" s="15">
        <v>9.7786116972565715E-2</v>
      </c>
    </row>
    <row r="762" spans="1:4" x14ac:dyDescent="0.25">
      <c r="A762" s="2">
        <v>760</v>
      </c>
      <c r="B762" s="22">
        <v>-1.7059718072414513E-2</v>
      </c>
      <c r="C762" s="22">
        <v>7.0890436088666312E-2</v>
      </c>
      <c r="D762" s="15">
        <v>9.6451487159356405E-2</v>
      </c>
    </row>
    <row r="763" spans="1:4" x14ac:dyDescent="0.25">
      <c r="A763" s="2">
        <v>761</v>
      </c>
      <c r="B763" s="22">
        <v>0.11924391612410541</v>
      </c>
      <c r="C763" s="22">
        <v>0.14083518385887145</v>
      </c>
      <c r="D763" s="15">
        <v>9.6631822735071357E-2</v>
      </c>
    </row>
    <row r="764" spans="1:4" x14ac:dyDescent="0.25">
      <c r="A764" s="2">
        <v>762</v>
      </c>
      <c r="B764" s="22">
        <v>0.20352227687835694</v>
      </c>
      <c r="C764" s="22">
        <v>0.20165612176060668</v>
      </c>
      <c r="D764" s="15">
        <v>8.6342223733663584E-2</v>
      </c>
    </row>
    <row r="765" spans="1:4" x14ac:dyDescent="0.25">
      <c r="A765" s="2">
        <v>763</v>
      </c>
      <c r="B765" s="22">
        <v>0.19243920370936377</v>
      </c>
      <c r="C765" s="22">
        <v>0.21389579772949205</v>
      </c>
      <c r="D765" s="15">
        <v>5.9081811457872294E-2</v>
      </c>
    </row>
    <row r="766" spans="1:4" x14ac:dyDescent="0.25">
      <c r="A766" s="2">
        <v>764</v>
      </c>
      <c r="B766" s="22">
        <v>0.1739037819206713</v>
      </c>
      <c r="C766" s="22">
        <v>0.21899139359593392</v>
      </c>
      <c r="D766" s="15">
        <v>8.7057945132255538E-2</v>
      </c>
    </row>
    <row r="767" spans="1:4" x14ac:dyDescent="0.25">
      <c r="A767" s="2">
        <v>765</v>
      </c>
      <c r="B767" s="22">
        <v>0.19757901132106787</v>
      </c>
      <c r="C767" s="22">
        <v>0.22660082653164867</v>
      </c>
      <c r="D767" s="15">
        <v>6.5169288963079455E-2</v>
      </c>
    </row>
    <row r="768" spans="1:4" x14ac:dyDescent="0.25">
      <c r="A768" s="2">
        <v>766</v>
      </c>
      <c r="B768" s="22">
        <v>0.21536362543702126</v>
      </c>
      <c r="C768" s="22">
        <v>0.23222760260105116</v>
      </c>
      <c r="D768" s="15">
        <v>5.1766445487737719E-2</v>
      </c>
    </row>
    <row r="769" spans="1:4" x14ac:dyDescent="0.25">
      <c r="A769" s="2">
        <v>767</v>
      </c>
      <c r="B769" s="22">
        <v>0.25415366142988194</v>
      </c>
      <c r="C769" s="22">
        <v>0.20491576641798007</v>
      </c>
      <c r="D769" s="15">
        <v>7.8863155841827431E-2</v>
      </c>
    </row>
    <row r="770" spans="1:4" x14ac:dyDescent="0.25">
      <c r="A770" s="2">
        <v>768</v>
      </c>
      <c r="B770" s="22">
        <v>0.16044156849384303</v>
      </c>
      <c r="C770" s="22">
        <v>0.15765357427299009</v>
      </c>
      <c r="D770" s="15">
        <v>5.9734376147389343E-2</v>
      </c>
    </row>
    <row r="771" spans="1:4" x14ac:dyDescent="0.25">
      <c r="A771" s="2">
        <v>769</v>
      </c>
      <c r="B771" s="22">
        <v>0.17418012022972112</v>
      </c>
      <c r="C771" s="22">
        <v>0.11649633273482322</v>
      </c>
      <c r="D771" s="15">
        <v>8.9402187615633066E-2</v>
      </c>
    </row>
    <row r="772" spans="1:4" x14ac:dyDescent="0.25">
      <c r="A772" s="2">
        <v>770</v>
      </c>
      <c r="B772" s="22">
        <v>8.5589500889182019E-2</v>
      </c>
      <c r="C772" s="22">
        <v>0.13130243159830574</v>
      </c>
      <c r="D772" s="15">
        <v>5.8234876394271662E-2</v>
      </c>
    </row>
    <row r="773" spans="1:4" x14ac:dyDescent="0.25">
      <c r="A773" s="2">
        <v>771</v>
      </c>
      <c r="B773" s="22">
        <v>0.13384543806314447</v>
      </c>
      <c r="C773" s="22">
        <v>0.16857210360467462</v>
      </c>
      <c r="D773" s="15">
        <v>7.8404871746897475E-2</v>
      </c>
    </row>
    <row r="774" spans="1:4" x14ac:dyDescent="0.25">
      <c r="A774" s="2">
        <v>772</v>
      </c>
      <c r="B774" s="22">
        <v>0.1275243803858758</v>
      </c>
      <c r="C774" s="22">
        <v>0.17925311177968986</v>
      </c>
      <c r="D774" s="15">
        <v>9.1012762486934434E-2</v>
      </c>
    </row>
    <row r="775" spans="1:4" x14ac:dyDescent="0.25">
      <c r="A775" s="2">
        <v>773</v>
      </c>
      <c r="B775" s="22">
        <v>0.11468756757676601</v>
      </c>
      <c r="C775" s="22">
        <v>0.18680213615298283</v>
      </c>
      <c r="D775" s="15">
        <v>7.2536319121718373E-2</v>
      </c>
    </row>
    <row r="776" spans="1:4" x14ac:dyDescent="0.25">
      <c r="A776" s="2">
        <v>774</v>
      </c>
      <c r="B776" s="22">
        <v>0.17579434216022488</v>
      </c>
      <c r="C776" s="22">
        <v>0.20811332464218127</v>
      </c>
      <c r="D776" s="15">
        <v>4.7732275724411008E-2</v>
      </c>
    </row>
    <row r="777" spans="1:4" x14ac:dyDescent="0.25">
      <c r="A777" s="2">
        <v>775</v>
      </c>
      <c r="B777" s="22">
        <v>0.23886804431676864</v>
      </c>
      <c r="C777" s="22">
        <v>0.2192710861563682</v>
      </c>
      <c r="D777" s="15">
        <v>5.632269680500035E-2</v>
      </c>
    </row>
    <row r="778" spans="1:4" x14ac:dyDescent="0.25">
      <c r="A778" s="2">
        <v>776</v>
      </c>
      <c r="B778" s="22">
        <v>0.2505518287420273</v>
      </c>
      <c r="C778" s="22">
        <v>0.20619769766926774</v>
      </c>
      <c r="D778" s="15">
        <v>9.2455469816922986E-2</v>
      </c>
    </row>
    <row r="779" spans="1:4" x14ac:dyDescent="0.25">
      <c r="A779" s="2">
        <v>777</v>
      </c>
      <c r="B779" s="22">
        <v>0.10301681123673918</v>
      </c>
      <c r="C779" s="22">
        <v>0.18781071826815604</v>
      </c>
      <c r="D779" s="15">
        <v>0.11776409707963467</v>
      </c>
    </row>
    <row r="780" spans="1:4" x14ac:dyDescent="0.25">
      <c r="A780" s="2">
        <v>778</v>
      </c>
      <c r="B780" s="22">
        <v>0.26749470531940467</v>
      </c>
      <c r="C780" s="22">
        <v>0.15535805709660039</v>
      </c>
      <c r="D780" s="15">
        <v>0.12317548207938682</v>
      </c>
    </row>
    <row r="781" spans="1:4" x14ac:dyDescent="0.25">
      <c r="A781" s="2">
        <v>779</v>
      </c>
      <c r="B781" s="22">
        <v>0.22145738005638127</v>
      </c>
      <c r="C781" s="22">
        <v>0.139231352135539</v>
      </c>
      <c r="D781" s="15">
        <v>9.3668640777468767E-2</v>
      </c>
    </row>
    <row r="782" spans="1:4" x14ac:dyDescent="0.25">
      <c r="A782" s="2">
        <v>780</v>
      </c>
      <c r="B782" s="22">
        <v>0.10647216476500035</v>
      </c>
      <c r="C782" s="22">
        <v>0.12232897151261564</v>
      </c>
      <c r="D782" s="15">
        <v>3.108657505363225E-2</v>
      </c>
    </row>
    <row r="783" spans="1:4" x14ac:dyDescent="0.25">
      <c r="A783" s="2">
        <v>781</v>
      </c>
      <c r="B783" s="22">
        <v>0.13438094109296797</v>
      </c>
      <c r="C783" s="22">
        <v>0.11938418260542667</v>
      </c>
      <c r="D783" s="15">
        <v>7.2609874990303219E-2</v>
      </c>
    </row>
    <row r="784" spans="1:4" x14ac:dyDescent="0.25">
      <c r="A784" s="2">
        <v>782</v>
      </c>
      <c r="B784" s="22">
        <v>0.16543548181653026</v>
      </c>
      <c r="C784" s="22">
        <v>0.14364014081656937</v>
      </c>
      <c r="D784" s="15">
        <v>6.8057040497660537E-2</v>
      </c>
    </row>
    <row r="785" spans="1:4" x14ac:dyDescent="0.25">
      <c r="A785" s="2">
        <v>783</v>
      </c>
      <c r="B785" s="22">
        <v>0.16069259606301789</v>
      </c>
      <c r="C785" s="22">
        <v>0.17023997232317931</v>
      </c>
      <c r="D785" s="15">
        <v>8.8833384588360598E-2</v>
      </c>
    </row>
    <row r="786" spans="1:4" x14ac:dyDescent="0.25">
      <c r="A786" s="2">
        <v>784</v>
      </c>
      <c r="B786" s="22">
        <v>0.24759888201951991</v>
      </c>
      <c r="C786" s="22">
        <v>0.20923102647066111</v>
      </c>
      <c r="D786" s="15">
        <v>0.11696238964796069</v>
      </c>
    </row>
    <row r="787" spans="1:4" x14ac:dyDescent="0.25">
      <c r="A787" s="2">
        <v>785</v>
      </c>
      <c r="B787" s="22">
        <v>0.21316590830683707</v>
      </c>
      <c r="C787" s="22">
        <v>0.21293472573161121</v>
      </c>
      <c r="D787" s="15">
        <v>0.11692173108458512</v>
      </c>
    </row>
    <row r="788" spans="1:4" x14ac:dyDescent="0.25">
      <c r="A788" s="2">
        <v>786</v>
      </c>
      <c r="B788" s="22">
        <v>0.11997536011040207</v>
      </c>
      <c r="C788" s="22">
        <v>0.19262513443827634</v>
      </c>
      <c r="D788" s="15">
        <v>7.2649774327874297E-2</v>
      </c>
    </row>
    <row r="789" spans="1:4" x14ac:dyDescent="0.25">
      <c r="A789" s="2">
        <v>787</v>
      </c>
      <c r="B789" s="22">
        <v>0.2402916327118875</v>
      </c>
      <c r="C789" s="22">
        <v>0.2010480061173438</v>
      </c>
      <c r="D789" s="15">
        <v>9.7241348028183114E-2</v>
      </c>
    </row>
    <row r="790" spans="1:4" x14ac:dyDescent="0.25">
      <c r="A790" s="2">
        <v>788</v>
      </c>
      <c r="B790" s="22">
        <v>0.22745765894651418</v>
      </c>
      <c r="C790" s="22">
        <v>0.18132253438234314</v>
      </c>
      <c r="D790" s="15">
        <v>0.11849543899297714</v>
      </c>
    </row>
    <row r="791" spans="1:4" x14ac:dyDescent="0.25">
      <c r="A791" s="2">
        <v>789</v>
      </c>
      <c r="B791" s="22">
        <v>0.21872296333312966</v>
      </c>
      <c r="C791" s="22">
        <v>0.15736515056341899</v>
      </c>
      <c r="D791" s="15">
        <v>7.6764911599457128E-2</v>
      </c>
    </row>
    <row r="792" spans="1:4" x14ac:dyDescent="0.25">
      <c r="A792" s="2">
        <v>790</v>
      </c>
      <c r="B792" s="22">
        <v>0.12528323233127592</v>
      </c>
      <c r="C792" s="22">
        <v>0.14558144044131047</v>
      </c>
      <c r="D792" s="15">
        <v>5.4061201773583908E-2</v>
      </c>
    </row>
    <row r="793" spans="1:4" x14ac:dyDescent="0.25">
      <c r="A793" s="2">
        <v>791</v>
      </c>
      <c r="B793" s="22">
        <v>0.16183268129825587</v>
      </c>
      <c r="C793" s="22">
        <v>0.14548856057226661</v>
      </c>
      <c r="D793" s="15">
        <v>6.5706755593419069E-2</v>
      </c>
    </row>
    <row r="794" spans="1:4" x14ac:dyDescent="0.25">
      <c r="A794" s="2">
        <v>792</v>
      </c>
      <c r="B794" s="22">
        <v>0.17044547870755192</v>
      </c>
      <c r="C794" s="22">
        <v>0.1672123536467553</v>
      </c>
      <c r="D794" s="15">
        <v>7.0973836630582793E-2</v>
      </c>
    </row>
    <row r="795" spans="1:4" x14ac:dyDescent="0.25">
      <c r="A795" s="2">
        <v>793</v>
      </c>
      <c r="B795" s="22">
        <v>0.17218888550996761</v>
      </c>
      <c r="C795" s="22">
        <v>0.17456723973155022</v>
      </c>
      <c r="D795" s="15">
        <v>2.7424854785204001E-2</v>
      </c>
    </row>
    <row r="796" spans="1:4" x14ac:dyDescent="0.25">
      <c r="A796" s="2">
        <v>794</v>
      </c>
      <c r="B796" s="22">
        <v>0.18093409538269059</v>
      </c>
      <c r="C796" s="22">
        <v>0.17908399328589444</v>
      </c>
      <c r="D796" s="15">
        <v>6.5025930851698027E-2</v>
      </c>
    </row>
    <row r="797" spans="1:4" x14ac:dyDescent="0.25">
      <c r="A797" s="2">
        <v>795</v>
      </c>
      <c r="B797" s="22">
        <v>0.12347230911254881</v>
      </c>
      <c r="C797" s="22">
        <v>0.1812974579632283</v>
      </c>
      <c r="D797" s="15">
        <v>6.5713524073362228E-2</v>
      </c>
    </row>
    <row r="798" spans="1:4" x14ac:dyDescent="0.25">
      <c r="A798" s="2">
        <v>796</v>
      </c>
      <c r="B798" s="22">
        <v>0.13118877187371242</v>
      </c>
      <c r="C798" s="22">
        <v>0.18805665448308007</v>
      </c>
      <c r="D798" s="15">
        <v>0.10233279466629053</v>
      </c>
    </row>
    <row r="799" spans="1:4" x14ac:dyDescent="0.25">
      <c r="A799" s="2">
        <v>797</v>
      </c>
      <c r="B799" s="22">
        <v>0.19975018501281738</v>
      </c>
      <c r="C799" s="22">
        <v>0.1828976660966872</v>
      </c>
      <c r="D799" s="15">
        <v>9.0533894300460785E-2</v>
      </c>
    </row>
    <row r="800" spans="1:4" x14ac:dyDescent="0.25">
      <c r="A800" s="2">
        <v>798</v>
      </c>
      <c r="B800" s="22">
        <v>0.19607677571475507</v>
      </c>
      <c r="C800" s="22">
        <v>0.16558796130120748</v>
      </c>
      <c r="D800" s="15">
        <v>4.5250274240970813E-2</v>
      </c>
    </row>
    <row r="801" spans="1:4" x14ac:dyDescent="0.25">
      <c r="A801" s="2">
        <v>799</v>
      </c>
      <c r="B801" s="22">
        <v>0.15988873094320299</v>
      </c>
      <c r="C801" s="22">
        <v>0.16220251917839046</v>
      </c>
      <c r="D801" s="15">
        <v>3.7321300804614883E-2</v>
      </c>
    </row>
    <row r="802" spans="1:4" x14ac:dyDescent="0.25">
      <c r="A802" s="2">
        <v>800</v>
      </c>
      <c r="B802" s="22">
        <v>0.13982547447085389</v>
      </c>
      <c r="C802" s="22">
        <v>0.14542247131466859</v>
      </c>
      <c r="D802" s="15">
        <v>9.0962223708629705E-2</v>
      </c>
    </row>
    <row r="803" spans="1:4" x14ac:dyDescent="0.25">
      <c r="A803" s="2">
        <v>801</v>
      </c>
      <c r="B803" s="22">
        <v>0.14385891184210783</v>
      </c>
      <c r="C803" s="22">
        <v>0.13832883797585954</v>
      </c>
      <c r="D803" s="15">
        <v>4.8861688748002126E-2</v>
      </c>
    </row>
    <row r="804" spans="1:4" x14ac:dyDescent="0.25">
      <c r="A804" s="2">
        <v>802</v>
      </c>
      <c r="B804" s="22">
        <v>0.17721986658871167</v>
      </c>
      <c r="C804" s="22">
        <v>0.13536227047443383</v>
      </c>
      <c r="D804" s="15">
        <v>5.1364230737090157E-2</v>
      </c>
    </row>
    <row r="805" spans="1:4" x14ac:dyDescent="0.25">
      <c r="A805" s="2">
        <v>803</v>
      </c>
      <c r="B805" s="22">
        <v>0.15645892694592492</v>
      </c>
      <c r="C805" s="22">
        <v>0.15585661008954044</v>
      </c>
      <c r="D805" s="15">
        <v>4.6099548041820496E-2</v>
      </c>
    </row>
    <row r="806" spans="1:4" x14ac:dyDescent="0.25">
      <c r="A806" s="2">
        <v>804</v>
      </c>
      <c r="B806" s="22">
        <v>0.18007167503237723</v>
      </c>
      <c r="C806" s="22">
        <v>0.17310951799154278</v>
      </c>
      <c r="D806" s="15">
        <v>3.3245477825403241E-2</v>
      </c>
    </row>
    <row r="807" spans="1:4" x14ac:dyDescent="0.25">
      <c r="A807" s="2">
        <v>805</v>
      </c>
      <c r="B807" s="22">
        <v>0.16879178583621973</v>
      </c>
      <c r="C807" s="22">
        <v>0.18455727025866525</v>
      </c>
      <c r="D807" s="15">
        <v>3.1023930758237887E-2</v>
      </c>
    </row>
    <row r="808" spans="1:4" x14ac:dyDescent="0.25">
      <c r="A808" s="2">
        <v>806</v>
      </c>
      <c r="B808" s="22">
        <v>0.17976539358496663</v>
      </c>
      <c r="C808" s="22">
        <v>0.21376881301403033</v>
      </c>
      <c r="D808" s="15">
        <v>4.9132532626390321E-2</v>
      </c>
    </row>
    <row r="809" spans="1:4" x14ac:dyDescent="0.25">
      <c r="A809" s="2">
        <v>807</v>
      </c>
      <c r="B809" s="22">
        <v>0.21921858638525013</v>
      </c>
      <c r="C809" s="22">
        <v>0.23192240819334969</v>
      </c>
      <c r="D809" s="15">
        <v>7.4035119265317806E-2</v>
      </c>
    </row>
    <row r="810" spans="1:4" x14ac:dyDescent="0.25">
      <c r="A810" s="2">
        <v>808</v>
      </c>
      <c r="B810" s="22">
        <v>0.28385912775993349</v>
      </c>
      <c r="C810" s="22">
        <v>0.223307541757822</v>
      </c>
      <c r="D810" s="15">
        <v>9.1602564603090311E-2</v>
      </c>
    </row>
    <row r="811" spans="1:4" x14ac:dyDescent="0.25">
      <c r="A811" s="2">
        <v>809</v>
      </c>
      <c r="B811" s="22">
        <v>0.18826121762394898</v>
      </c>
      <c r="C811" s="22">
        <v>0.16189433038234716</v>
      </c>
      <c r="D811" s="15">
        <v>9.85213272273541E-2</v>
      </c>
    </row>
    <row r="812" spans="1:4" x14ac:dyDescent="0.25">
      <c r="A812" s="2">
        <v>810</v>
      </c>
      <c r="B812" s="22">
        <v>0.1251899510622024</v>
      </c>
      <c r="C812" s="22">
        <v>9.942369852215048E-2</v>
      </c>
      <c r="D812" s="15">
        <v>4.8559985496103769E-2</v>
      </c>
    </row>
    <row r="813" spans="1:4" x14ac:dyDescent="0.25">
      <c r="A813" s="2">
        <v>811</v>
      </c>
      <c r="B813" s="22">
        <v>0.11971672996878627</v>
      </c>
      <c r="C813" s="22">
        <v>9.573192857205863E-2</v>
      </c>
      <c r="D813" s="15">
        <v>6.3615502789616585E-2</v>
      </c>
    </row>
    <row r="814" spans="1:4" x14ac:dyDescent="0.25">
      <c r="A814" s="2">
        <v>812</v>
      </c>
      <c r="B814" s="22">
        <v>0.14482989907264723</v>
      </c>
      <c r="C814" s="22">
        <v>0.12997124977409835</v>
      </c>
      <c r="D814" s="15">
        <v>8.4075573459267666E-2</v>
      </c>
    </row>
    <row r="815" spans="1:4" x14ac:dyDescent="0.25">
      <c r="A815" s="2">
        <v>813</v>
      </c>
      <c r="B815" s="22">
        <v>0.20640910379588595</v>
      </c>
      <c r="C815" s="22">
        <v>0.1689102336764336</v>
      </c>
      <c r="D815" s="15">
        <v>8.4415579214692033E-2</v>
      </c>
    </row>
    <row r="816" spans="1:4" x14ac:dyDescent="0.25">
      <c r="A816" s="2">
        <v>814</v>
      </c>
      <c r="B816" s="22">
        <v>0.13319633342325676</v>
      </c>
      <c r="C816" s="22">
        <v>0.17185971736907973</v>
      </c>
      <c r="D816" s="15">
        <v>6.0202833637595335E-2</v>
      </c>
    </row>
    <row r="817" spans="1:4" x14ac:dyDescent="0.25">
      <c r="A817" s="2">
        <v>815</v>
      </c>
      <c r="B817" s="22">
        <v>0.15893050357699398</v>
      </c>
      <c r="C817" s="22">
        <v>0.17756983116269109</v>
      </c>
      <c r="D817" s="15">
        <v>7.2216498851776084E-2</v>
      </c>
    </row>
    <row r="818" spans="1:4" x14ac:dyDescent="0.25">
      <c r="A818" s="2">
        <v>816</v>
      </c>
      <c r="B818" s="22">
        <v>0.2026135582476854</v>
      </c>
      <c r="C818" s="22">
        <v>0.18104107156395916</v>
      </c>
      <c r="D818" s="15">
        <v>5.4529383406042964E-2</v>
      </c>
    </row>
    <row r="819" spans="1:4" x14ac:dyDescent="0.25">
      <c r="A819" s="2">
        <v>817</v>
      </c>
      <c r="B819" s="22">
        <v>0.20593535304069524</v>
      </c>
      <c r="C819" s="22">
        <v>0.1716583102941513</v>
      </c>
      <c r="D819" s="15">
        <v>7.4319034814834706E-2</v>
      </c>
    </row>
    <row r="820" spans="1:4" x14ac:dyDescent="0.25">
      <c r="A820" s="2">
        <v>818</v>
      </c>
      <c r="B820" s="22">
        <v>0.14195877313613883</v>
      </c>
      <c r="C820" s="22">
        <v>0.16616384759545322</v>
      </c>
      <c r="D820" s="15">
        <v>6.695468500256542E-2</v>
      </c>
    </row>
    <row r="821" spans="1:4" x14ac:dyDescent="0.25">
      <c r="A821" s="2">
        <v>819</v>
      </c>
      <c r="B821" s="22">
        <v>0.13006066232919683</v>
      </c>
      <c r="C821" s="22">
        <v>0.16814936771988875</v>
      </c>
      <c r="D821" s="15">
        <v>7.8157059103250465E-2</v>
      </c>
    </row>
    <row r="822" spans="1:4" x14ac:dyDescent="0.25">
      <c r="A822" s="2">
        <v>820</v>
      </c>
      <c r="B822" s="22">
        <v>0.17960072159767154</v>
      </c>
      <c r="C822" s="22">
        <v>0.17415468171238918</v>
      </c>
      <c r="D822" s="15">
        <v>6.6684179753064995E-2</v>
      </c>
    </row>
    <row r="823" spans="1:4" x14ac:dyDescent="0.25">
      <c r="A823" s="2">
        <v>821</v>
      </c>
      <c r="B823" s="22">
        <v>0.18325216099619859</v>
      </c>
      <c r="C823" s="22">
        <v>0.16632634103298186</v>
      </c>
      <c r="D823" s="15">
        <v>2.3184867948293726E-2</v>
      </c>
    </row>
    <row r="824" spans="1:4" x14ac:dyDescent="0.25">
      <c r="A824" s="2">
        <v>822</v>
      </c>
      <c r="B824" s="22">
        <v>0.14536562114953999</v>
      </c>
      <c r="C824" s="22">
        <v>0.15754201002418991</v>
      </c>
      <c r="D824" s="15">
        <v>4.6535703167319122E-2</v>
      </c>
    </row>
    <row r="825" spans="1:4" x14ac:dyDescent="0.25">
      <c r="A825" s="2">
        <v>823</v>
      </c>
      <c r="B825" s="22">
        <v>0.133775906264782</v>
      </c>
      <c r="C825" s="22">
        <v>0.16670934036374088</v>
      </c>
      <c r="D825" s="15">
        <v>5.4306229203939481E-2</v>
      </c>
    </row>
    <row r="826" spans="1:4" x14ac:dyDescent="0.25">
      <c r="A826" s="2">
        <v>824</v>
      </c>
      <c r="B826" s="22">
        <v>0.16824525073170654</v>
      </c>
      <c r="C826" s="22">
        <v>0.18417547047138222</v>
      </c>
      <c r="D826" s="15">
        <v>7.1474360674619666E-2</v>
      </c>
    </row>
    <row r="827" spans="1:4" x14ac:dyDescent="0.25">
      <c r="A827" s="2">
        <v>825</v>
      </c>
      <c r="B827" s="22">
        <v>0.1778212796896696</v>
      </c>
      <c r="C827" s="22">
        <v>0.19067181386053544</v>
      </c>
      <c r="D827" s="15">
        <v>0.11118491217494005</v>
      </c>
    </row>
    <row r="828" spans="1:4" x14ac:dyDescent="0.25">
      <c r="A828" s="2">
        <v>826</v>
      </c>
      <c r="B828" s="22">
        <v>0.20886788815259952</v>
      </c>
      <c r="C828" s="22">
        <v>0.18121577575802808</v>
      </c>
      <c r="D828" s="15">
        <v>5.6180904060602235E-2</v>
      </c>
    </row>
    <row r="829" spans="1:4" x14ac:dyDescent="0.25">
      <c r="A829" s="2">
        <v>827</v>
      </c>
      <c r="B829" s="22">
        <v>0.15120980888605112</v>
      </c>
      <c r="C829" s="22">
        <v>0.14922415837645533</v>
      </c>
      <c r="D829" s="15">
        <v>3.5021852701902265E-2</v>
      </c>
    </row>
    <row r="830" spans="1:4" x14ac:dyDescent="0.25">
      <c r="A830" s="2">
        <v>828</v>
      </c>
      <c r="B830" s="22">
        <v>0.11787777990102777</v>
      </c>
      <c r="C830" s="22">
        <v>0.12403344134800134</v>
      </c>
      <c r="D830" s="15">
        <v>3.0334680294617965E-2</v>
      </c>
    </row>
    <row r="831" spans="1:4" x14ac:dyDescent="0.25">
      <c r="A831" s="2">
        <v>829</v>
      </c>
      <c r="B831" s="22">
        <v>8.4545235335826877E-2</v>
      </c>
      <c r="C831" s="22">
        <v>0.12215358540415773</v>
      </c>
      <c r="D831" s="15">
        <v>6.0984795913100298E-2</v>
      </c>
    </row>
    <row r="832" spans="1:4" x14ac:dyDescent="0.25">
      <c r="A832" s="2">
        <v>830</v>
      </c>
      <c r="B832" s="22">
        <v>0.1347180299460887</v>
      </c>
      <c r="C832" s="22">
        <v>0.15703499503433702</v>
      </c>
      <c r="D832" s="15">
        <v>5.605484284460531E-2</v>
      </c>
    </row>
    <row r="833" spans="1:4" x14ac:dyDescent="0.25">
      <c r="A833" s="2">
        <v>831</v>
      </c>
      <c r="B833" s="22">
        <v>0.16293387487530708</v>
      </c>
      <c r="C833" s="22">
        <v>0.19184467345476147</v>
      </c>
      <c r="D833" s="15">
        <v>6.8792735785246001E-2</v>
      </c>
    </row>
    <row r="834" spans="1:4" x14ac:dyDescent="0.25">
      <c r="A834" s="2">
        <v>832</v>
      </c>
      <c r="B834" s="22">
        <v>0.19284848943352703</v>
      </c>
      <c r="C834" s="22">
        <v>0.17243856862187373</v>
      </c>
      <c r="D834" s="15">
        <v>6.4978910982608773E-2</v>
      </c>
    </row>
    <row r="835" spans="1:4" x14ac:dyDescent="0.25">
      <c r="A835" s="2">
        <v>833</v>
      </c>
      <c r="B835" s="22">
        <v>0.17000922001898283</v>
      </c>
      <c r="C835" s="22">
        <v>0.15949700176715847</v>
      </c>
      <c r="D835" s="15">
        <v>5.0371646508574584E-2</v>
      </c>
    </row>
    <row r="836" spans="1:4" x14ac:dyDescent="0.25">
      <c r="A836" s="2">
        <v>834</v>
      </c>
      <c r="B836" s="22">
        <v>0.12593603394925604</v>
      </c>
      <c r="C836" s="22">
        <v>0.14154771342873579</v>
      </c>
      <c r="D836" s="15">
        <v>5.7815708592534168E-2</v>
      </c>
    </row>
    <row r="837" spans="1:4" x14ac:dyDescent="0.25">
      <c r="A837" s="2">
        <v>835</v>
      </c>
      <c r="B837" s="22">
        <v>0.1369576022028923</v>
      </c>
      <c r="C837" s="22">
        <v>0.15709596872329709</v>
      </c>
      <c r="D837" s="15">
        <v>4.2280824482441012E-2</v>
      </c>
    </row>
    <row r="838" spans="1:4" x14ac:dyDescent="0.25">
      <c r="A838" s="2">
        <v>836</v>
      </c>
      <c r="B838" s="22">
        <v>0.16808735653758061</v>
      </c>
      <c r="C838" s="22">
        <v>0.20140835791826253</v>
      </c>
      <c r="D838" s="15">
        <v>4.6180627495050523E-2</v>
      </c>
    </row>
    <row r="839" spans="1:4" x14ac:dyDescent="0.25">
      <c r="A839" s="2">
        <v>837</v>
      </c>
      <c r="B839" s="22">
        <v>0.14293777495622645</v>
      </c>
      <c r="C839" s="22">
        <v>0.23267134875059123</v>
      </c>
      <c r="D839" s="15">
        <v>9.0775251388549805E-2</v>
      </c>
    </row>
    <row r="840" spans="1:4" x14ac:dyDescent="0.25">
      <c r="A840" s="2">
        <v>838</v>
      </c>
      <c r="B840" s="22">
        <v>0.42504660561680785</v>
      </c>
      <c r="C840" s="22">
        <v>0.25635648965835567</v>
      </c>
      <c r="D840" s="15">
        <v>0.19614853784441938</v>
      </c>
    </row>
    <row r="841" spans="1:4" x14ac:dyDescent="0.25">
      <c r="A841" s="2">
        <v>839</v>
      </c>
      <c r="B841" s="22">
        <v>0.1785635784268379</v>
      </c>
      <c r="C841" s="22">
        <v>0.21892895027995118</v>
      </c>
      <c r="D841" s="15">
        <v>9.8406962305307474E-2</v>
      </c>
    </row>
    <row r="842" spans="1:4" x14ac:dyDescent="0.25">
      <c r="A842" s="2">
        <v>840</v>
      </c>
      <c r="B842" s="22">
        <v>0.11367890238761895</v>
      </c>
      <c r="C842" s="22">
        <v>0.14977179095149051</v>
      </c>
      <c r="D842" s="15">
        <v>6.3678339868783865E-2</v>
      </c>
    </row>
    <row r="843" spans="1:4" x14ac:dyDescent="0.25">
      <c r="A843" s="2">
        <v>841</v>
      </c>
      <c r="B843" s="22">
        <v>0.11146442219614987</v>
      </c>
      <c r="C843" s="22">
        <v>0.13823028448969138</v>
      </c>
      <c r="D843" s="15">
        <v>6.8602905981242815E-2</v>
      </c>
    </row>
    <row r="844" spans="1:4" x14ac:dyDescent="0.25">
      <c r="A844" s="2">
        <v>842</v>
      </c>
      <c r="B844" s="22">
        <v>0.17824930548667905</v>
      </c>
      <c r="C844" s="22">
        <v>0.14324600361287593</v>
      </c>
      <c r="D844" s="15">
        <v>5.7730958238244034E-2</v>
      </c>
    </row>
    <row r="845" spans="1:4" x14ac:dyDescent="0.25">
      <c r="A845" s="2">
        <v>843</v>
      </c>
      <c r="B845" s="22">
        <v>0.19723460860550407</v>
      </c>
      <c r="C845" s="22">
        <v>0.15576773285865772</v>
      </c>
      <c r="D845" s="15">
        <v>5.1206525042652981E-2</v>
      </c>
    </row>
    <row r="846" spans="1:4" x14ac:dyDescent="0.25">
      <c r="A846" s="2">
        <v>844</v>
      </c>
      <c r="B846" s="22">
        <v>0.19358261972665786</v>
      </c>
      <c r="C846" s="22">
        <v>0.16301771253347402</v>
      </c>
      <c r="D846" s="15">
        <v>4.3966686725616419E-2</v>
      </c>
    </row>
    <row r="847" spans="1:4" x14ac:dyDescent="0.25">
      <c r="A847" s="2">
        <v>845</v>
      </c>
      <c r="B847" s="22">
        <v>0.16661976166069514</v>
      </c>
      <c r="C847" s="22">
        <v>0.15638219751417642</v>
      </c>
      <c r="D847" s="15">
        <v>2.2688420116901486E-2</v>
      </c>
    </row>
    <row r="848" spans="1:4" x14ac:dyDescent="0.25">
      <c r="A848" s="2">
        <v>846</v>
      </c>
      <c r="B848" s="22">
        <v>0.17804498076438907</v>
      </c>
      <c r="C848" s="22">
        <v>0.15232362560927873</v>
      </c>
      <c r="D848" s="15">
        <v>5.9187592193484372E-2</v>
      </c>
    </row>
    <row r="849" spans="1:4" x14ac:dyDescent="0.25">
      <c r="A849" s="2">
        <v>847</v>
      </c>
      <c r="B849" s="22">
        <v>0.19301030375063408</v>
      </c>
      <c r="C849" s="22">
        <v>0.15892667956650258</v>
      </c>
      <c r="D849" s="15">
        <v>6.2375803291797385E-2</v>
      </c>
    </row>
    <row r="850" spans="1:4" x14ac:dyDescent="0.25">
      <c r="A850" s="2">
        <v>848</v>
      </c>
      <c r="B850" s="22">
        <v>0.1508280128240585</v>
      </c>
      <c r="C850" s="22">
        <v>0.16240210160613047</v>
      </c>
      <c r="D850" s="15">
        <v>7.5147544592618826E-2</v>
      </c>
    </row>
    <row r="851" spans="1:4" x14ac:dyDescent="0.25">
      <c r="A851" s="2">
        <v>849</v>
      </c>
      <c r="B851" s="22">
        <v>0.18368242457509049</v>
      </c>
      <c r="C851" s="22">
        <v>0.16226852759718893</v>
      </c>
      <c r="D851" s="15">
        <v>6.519032120704657E-2</v>
      </c>
    </row>
    <row r="852" spans="1:4" x14ac:dyDescent="0.25">
      <c r="A852" s="2">
        <v>850</v>
      </c>
      <c r="B852" s="22">
        <v>0.19669418558478355</v>
      </c>
      <c r="C852" s="22">
        <v>0.16307291314005848</v>
      </c>
      <c r="D852" s="15">
        <v>5.952581465244304E-2</v>
      </c>
    </row>
    <row r="853" spans="1:4" x14ac:dyDescent="0.25">
      <c r="A853" s="2">
        <v>851</v>
      </c>
      <c r="B853" s="22">
        <v>0.1803916104137899</v>
      </c>
      <c r="C853" s="22">
        <v>0.17914495691657065</v>
      </c>
      <c r="D853" s="15">
        <v>2.9108080267906254E-2</v>
      </c>
    </row>
    <row r="854" spans="1:4" x14ac:dyDescent="0.25">
      <c r="A854" s="2">
        <v>852</v>
      </c>
      <c r="B854" s="22">
        <v>0.16873429603874684</v>
      </c>
      <c r="C854" s="22">
        <v>0.19648516103625294</v>
      </c>
      <c r="D854" s="15">
        <v>5.0420913472771667E-2</v>
      </c>
    </row>
    <row r="855" spans="1:4" x14ac:dyDescent="0.25">
      <c r="A855" s="2">
        <v>853</v>
      </c>
      <c r="B855" s="22">
        <v>0.21192571520805359</v>
      </c>
      <c r="C855" s="22">
        <v>0.20231864675879482</v>
      </c>
      <c r="D855" s="15">
        <v>0.10398044362664238</v>
      </c>
    </row>
    <row r="856" spans="1:4" x14ac:dyDescent="0.25">
      <c r="A856" s="2">
        <v>854</v>
      </c>
      <c r="B856" s="22">
        <v>0.28547133803367597</v>
      </c>
      <c r="C856" s="22">
        <v>0.20445483028888717</v>
      </c>
      <c r="D856" s="15">
        <v>8.2668724656104878E-2</v>
      </c>
    </row>
    <row r="857" spans="1:4" x14ac:dyDescent="0.25">
      <c r="A857" s="2">
        <v>855</v>
      </c>
      <c r="B857" s="22">
        <v>0.15638263821601867</v>
      </c>
      <c r="C857" s="22">
        <v>0.17983402013778674</v>
      </c>
      <c r="D857" s="15">
        <v>9.9408587813377483E-2</v>
      </c>
    </row>
    <row r="858" spans="1:4" x14ac:dyDescent="0.25">
      <c r="A858" s="2">
        <v>856</v>
      </c>
      <c r="B858" s="22">
        <v>0.15896524116396896</v>
      </c>
      <c r="C858" s="22">
        <v>0.14284885078668594</v>
      </c>
      <c r="D858" s="15">
        <v>7.2098954766988757E-2</v>
      </c>
    </row>
    <row r="859" spans="1:4" x14ac:dyDescent="0.25">
      <c r="A859" s="2">
        <v>857</v>
      </c>
      <c r="B859" s="22">
        <v>0.18473422154784186</v>
      </c>
      <c r="C859" s="22">
        <v>0.14320538714528092</v>
      </c>
      <c r="D859" s="15">
        <v>5.2387498319149052E-2</v>
      </c>
    </row>
    <row r="860" spans="1:4" x14ac:dyDescent="0.25">
      <c r="A860" s="2">
        <v>858</v>
      </c>
      <c r="B860" s="22">
        <v>0.16378785222768785</v>
      </c>
      <c r="C860" s="22">
        <v>0.14099725335836427</v>
      </c>
      <c r="D860" s="15">
        <v>7.5698585808276972E-2</v>
      </c>
    </row>
    <row r="861" spans="1:4" x14ac:dyDescent="0.25">
      <c r="A861" s="2">
        <v>859</v>
      </c>
      <c r="B861" s="22">
        <v>0.13168345317244531</v>
      </c>
      <c r="C861" s="22">
        <v>0.14649628773331641</v>
      </c>
      <c r="D861" s="15">
        <v>6.0883721709251312E-2</v>
      </c>
    </row>
    <row r="862" spans="1:4" x14ac:dyDescent="0.25">
      <c r="A862" s="2">
        <v>860</v>
      </c>
      <c r="B862" s="22">
        <v>0.13500033169984813</v>
      </c>
      <c r="C862" s="22">
        <v>0.15198995545506486</v>
      </c>
      <c r="D862" s="15">
        <v>6.0375023633241487E-2</v>
      </c>
    </row>
    <row r="863" spans="1:4" x14ac:dyDescent="0.25">
      <c r="A863" s="2">
        <v>861</v>
      </c>
      <c r="B863" s="22">
        <v>0.1859798327088355</v>
      </c>
      <c r="C863" s="22">
        <v>0.16801144406199456</v>
      </c>
      <c r="D863" s="15">
        <v>5.1620263606309801E-2</v>
      </c>
    </row>
    <row r="864" spans="1:4" x14ac:dyDescent="0.25">
      <c r="A864" s="2">
        <v>862</v>
      </c>
      <c r="B864" s="22">
        <v>0.1686125822365285</v>
      </c>
      <c r="C864" s="22">
        <v>0.17905777692794783</v>
      </c>
      <c r="D864" s="15">
        <v>5.9646479040384073E-2</v>
      </c>
    </row>
    <row r="865" spans="1:4" x14ac:dyDescent="0.25">
      <c r="A865" s="2">
        <v>863</v>
      </c>
      <c r="B865" s="22">
        <v>0.17898650616407391</v>
      </c>
      <c r="C865" s="22">
        <v>0.17662620618939412</v>
      </c>
      <c r="D865" s="15">
        <v>1.9267202168702906E-2</v>
      </c>
    </row>
    <row r="866" spans="1:4" x14ac:dyDescent="0.25">
      <c r="A866" s="2">
        <v>864</v>
      </c>
      <c r="B866" s="22">
        <v>0.14446363374590881</v>
      </c>
      <c r="C866" s="22">
        <v>0.18635711818933501</v>
      </c>
      <c r="D866" s="15">
        <v>6.0228744894266183E-2</v>
      </c>
    </row>
    <row r="867" spans="1:4" x14ac:dyDescent="0.25">
      <c r="A867" s="2">
        <v>865</v>
      </c>
      <c r="B867" s="22">
        <v>0.22381799966096877</v>
      </c>
      <c r="C867" s="22">
        <v>0.20029855333268648</v>
      </c>
      <c r="D867" s="15">
        <v>8.3472736552357707E-2</v>
      </c>
    </row>
    <row r="868" spans="1:4" x14ac:dyDescent="0.25">
      <c r="A868" s="2">
        <v>866</v>
      </c>
      <c r="B868" s="22">
        <v>0.2730522617697716</v>
      </c>
      <c r="C868" s="22">
        <v>0.19986688233911992</v>
      </c>
      <c r="D868" s="15">
        <v>0.12301994673907748</v>
      </c>
    </row>
    <row r="869" spans="1:4" x14ac:dyDescent="0.25">
      <c r="A869" s="2">
        <v>867</v>
      </c>
      <c r="B869" s="22">
        <v>0.1632783986628055</v>
      </c>
      <c r="C869" s="22">
        <v>0.17602578774094593</v>
      </c>
      <c r="D869" s="15">
        <v>5.0351932644844243E-2</v>
      </c>
    </row>
    <row r="870" spans="1:4" x14ac:dyDescent="0.25">
      <c r="A870" s="2">
        <v>868</v>
      </c>
      <c r="B870" s="22">
        <v>0.19803212955594077</v>
      </c>
      <c r="C870" s="22">
        <v>0.14839731976389886</v>
      </c>
      <c r="D870" s="15">
        <v>6.9123393297195468E-2</v>
      </c>
    </row>
    <row r="871" spans="1:4" x14ac:dyDescent="0.25">
      <c r="A871" s="2">
        <v>869</v>
      </c>
      <c r="B871" s="22">
        <v>0.15843352302908892</v>
      </c>
      <c r="C871" s="22">
        <v>0.12923266738653191</v>
      </c>
      <c r="D871" s="15">
        <v>4.7314185649156661E-2</v>
      </c>
    </row>
    <row r="872" spans="1:4" x14ac:dyDescent="0.25">
      <c r="A872" s="2">
        <v>870</v>
      </c>
      <c r="B872" s="22">
        <v>6.2931109964847493E-2</v>
      </c>
      <c r="C872" s="22">
        <v>0.13397682048380383</v>
      </c>
      <c r="D872" s="15">
        <v>9.8011717572808382E-2</v>
      </c>
    </row>
    <row r="873" spans="1:4" x14ac:dyDescent="0.25">
      <c r="A873" s="2">
        <v>871</v>
      </c>
      <c r="B873" s="22">
        <v>0.15269477665424339</v>
      </c>
      <c r="C873" s="22">
        <v>0.14599293991923332</v>
      </c>
      <c r="D873" s="15">
        <v>5.9536040574312075E-2</v>
      </c>
    </row>
    <row r="874" spans="1:4" x14ac:dyDescent="0.25">
      <c r="A874" s="2">
        <v>872</v>
      </c>
      <c r="B874" s="22">
        <v>0.17153390198945995</v>
      </c>
      <c r="C874" s="22">
        <v>0.16854643896222116</v>
      </c>
      <c r="D874" s="15">
        <v>5.81709481775761E-2</v>
      </c>
    </row>
    <row r="875" spans="1:4" x14ac:dyDescent="0.25">
      <c r="A875" s="2">
        <v>873</v>
      </c>
      <c r="B875" s="22">
        <v>0.17264114096760735</v>
      </c>
      <c r="C875" s="22">
        <v>0.17885937094688414</v>
      </c>
      <c r="D875" s="15">
        <v>5.5829409509897232E-2</v>
      </c>
    </row>
    <row r="876" spans="1:4" x14ac:dyDescent="0.25">
      <c r="A876" s="2">
        <v>874</v>
      </c>
      <c r="B876" s="22">
        <v>0.21327969729900351</v>
      </c>
      <c r="C876" s="22">
        <v>0.17983355820178987</v>
      </c>
      <c r="D876" s="15">
        <v>4.450364261865606E-2</v>
      </c>
    </row>
    <row r="877" spans="1:4" x14ac:dyDescent="0.25">
      <c r="A877" s="2">
        <v>875</v>
      </c>
      <c r="B877" s="22">
        <v>0.15546775087714201</v>
      </c>
      <c r="C877" s="22">
        <v>0.17889511957764612</v>
      </c>
      <c r="D877" s="15">
        <v>3.6739206314086982E-2</v>
      </c>
    </row>
    <row r="878" spans="1:4" x14ac:dyDescent="0.25">
      <c r="A878" s="2">
        <v>876</v>
      </c>
      <c r="B878" s="22">
        <v>0.1730315528810023</v>
      </c>
      <c r="C878" s="22">
        <v>0.17214015908539287</v>
      </c>
      <c r="D878" s="15">
        <v>3.4408640488982324E-2</v>
      </c>
    </row>
    <row r="879" spans="1:4" x14ac:dyDescent="0.25">
      <c r="A879" s="2">
        <v>877</v>
      </c>
      <c r="B879" s="22">
        <v>0.23034687042236338</v>
      </c>
      <c r="C879" s="22">
        <v>0.18009459301829323</v>
      </c>
      <c r="D879" s="15">
        <v>6.7712556570768398E-2</v>
      </c>
    </row>
    <row r="880" spans="1:4" x14ac:dyDescent="0.25">
      <c r="A880" s="2">
        <v>878</v>
      </c>
      <c r="B880" s="22">
        <v>0.13932329192757609</v>
      </c>
      <c r="C880" s="22">
        <v>0.17072206139564514</v>
      </c>
      <c r="D880" s="15">
        <v>5.1444502919912274E-2</v>
      </c>
    </row>
    <row r="881" spans="1:4" x14ac:dyDescent="0.25">
      <c r="A881" s="2">
        <v>879</v>
      </c>
      <c r="B881" s="22">
        <v>0.15933197513222686</v>
      </c>
      <c r="C881" s="22">
        <v>0.14891396760940559</v>
      </c>
      <c r="D881" s="15">
        <v>5.4783768206834761E-2</v>
      </c>
    </row>
    <row r="882" spans="1:4" x14ac:dyDescent="0.25">
      <c r="A882" s="2">
        <v>880</v>
      </c>
      <c r="B882" s="22">
        <v>0.171541563794017</v>
      </c>
      <c r="C882" s="22">
        <v>0.14220287725329389</v>
      </c>
      <c r="D882" s="15">
        <v>4.1896846517920708E-2</v>
      </c>
    </row>
    <row r="883" spans="1:4" x14ac:dyDescent="0.25">
      <c r="A883" s="2">
        <v>881</v>
      </c>
      <c r="B883" s="22">
        <v>0.13224026262760158</v>
      </c>
      <c r="C883" s="22">
        <v>0.12150069377385082</v>
      </c>
      <c r="D883" s="15">
        <v>6.547041931189615E-2</v>
      </c>
    </row>
    <row r="884" spans="1:4" x14ac:dyDescent="0.25">
      <c r="A884" s="2">
        <v>882</v>
      </c>
      <c r="B884" s="22">
        <v>0.1660840950906276</v>
      </c>
      <c r="C884" s="22">
        <v>0.1116082877037116</v>
      </c>
      <c r="D884" s="15">
        <v>6.243280096678059E-2</v>
      </c>
    </row>
    <row r="885" spans="1:4" x14ac:dyDescent="0.25">
      <c r="A885" s="2">
        <v>883</v>
      </c>
      <c r="B885" s="22">
        <v>5.1617123186588419E-2</v>
      </c>
      <c r="C885" s="22">
        <v>0.12404389013536288</v>
      </c>
      <c r="D885" s="15">
        <v>0.10445920755155383</v>
      </c>
    </row>
    <row r="886" spans="1:4" x14ac:dyDescent="0.25">
      <c r="A886" s="2">
        <v>884</v>
      </c>
      <c r="B886" s="22">
        <v>0.13092245757579796</v>
      </c>
      <c r="C886" s="22">
        <v>0.15930840596556659</v>
      </c>
      <c r="D886" s="15">
        <v>0.10667419508099571</v>
      </c>
    </row>
    <row r="887" spans="1:4" x14ac:dyDescent="0.25">
      <c r="A887" s="2">
        <v>885</v>
      </c>
      <c r="B887" s="22">
        <v>0.14636852219700811</v>
      </c>
      <c r="C887" s="22">
        <v>0.18680924475193023</v>
      </c>
      <c r="D887" s="15">
        <v>5.3386976569890901E-2</v>
      </c>
    </row>
    <row r="888" spans="1:4" x14ac:dyDescent="0.25">
      <c r="A888" s="2">
        <v>886</v>
      </c>
      <c r="B888" s="22">
        <v>0.18599167838692651</v>
      </c>
      <c r="C888" s="22">
        <v>0.1958625219762325</v>
      </c>
      <c r="D888" s="15">
        <v>7.03819230198858E-2</v>
      </c>
    </row>
    <row r="889" spans="1:4" x14ac:dyDescent="0.25">
      <c r="A889" s="2">
        <v>887</v>
      </c>
      <c r="B889" s="22">
        <v>0.19191359840333472</v>
      </c>
      <c r="C889" s="22">
        <v>0.19250942319631575</v>
      </c>
      <c r="D889" s="15">
        <v>2.6160289719700795E-2</v>
      </c>
    </row>
    <row r="890" spans="1:4" x14ac:dyDescent="0.25">
      <c r="A890" s="2">
        <v>888</v>
      </c>
      <c r="B890" s="22">
        <v>0.16547723673284051</v>
      </c>
      <c r="C890" s="22">
        <v>0.16403295844793328</v>
      </c>
      <c r="D890" s="15">
        <v>3.618432395160194E-2</v>
      </c>
    </row>
    <row r="891" spans="1:4" x14ac:dyDescent="0.25">
      <c r="A891" s="2">
        <v>889</v>
      </c>
      <c r="B891" s="22">
        <v>6.0285802930593511E-2</v>
      </c>
      <c r="C891" s="22">
        <v>0.15302481353282943</v>
      </c>
      <c r="D891" s="15">
        <v>0.15032409653067572</v>
      </c>
    </row>
    <row r="892" spans="1:4" x14ac:dyDescent="0.25">
      <c r="A892" s="2">
        <v>890</v>
      </c>
      <c r="B892" s="22">
        <v>0.10719942599534986</v>
      </c>
      <c r="C892" s="22">
        <v>0.17315004840493201</v>
      </c>
      <c r="D892" s="15">
        <v>0.16383577510714523</v>
      </c>
    </row>
    <row r="893" spans="1:4" x14ac:dyDescent="0.25">
      <c r="A893" s="2">
        <v>891</v>
      </c>
      <c r="B893" s="22">
        <v>0.21046727001667026</v>
      </c>
      <c r="C893" s="22">
        <v>0.20283093973994265</v>
      </c>
      <c r="D893" s="15">
        <v>0.11850017085671424</v>
      </c>
    </row>
    <row r="894" spans="1:4" x14ac:dyDescent="0.25">
      <c r="A894" s="2">
        <v>892</v>
      </c>
      <c r="B894" s="22">
        <v>0.14167847111821169</v>
      </c>
      <c r="C894" s="22">
        <v>0.20526442378759374</v>
      </c>
      <c r="D894" s="15">
        <v>6.8027395755052469E-2</v>
      </c>
    </row>
    <row r="895" spans="1:4" x14ac:dyDescent="0.25">
      <c r="A895" s="2">
        <v>893</v>
      </c>
      <c r="B895" s="22">
        <v>9.311037287116046E-2</v>
      </c>
      <c r="C895" s="22">
        <v>0.17981659173965436</v>
      </c>
      <c r="D895" s="15">
        <v>9.5794389396905738E-2</v>
      </c>
    </row>
    <row r="896" spans="1:4" x14ac:dyDescent="0.25">
      <c r="A896" s="2">
        <v>894</v>
      </c>
      <c r="B896" s="22">
        <v>0.18579688146710396</v>
      </c>
      <c r="C896" s="22">
        <v>0.14570903489366169</v>
      </c>
      <c r="D896" s="15">
        <v>4.503358816727987E-2</v>
      </c>
    </row>
    <row r="897" spans="1:4" x14ac:dyDescent="0.25">
      <c r="A897" s="2">
        <v>895</v>
      </c>
      <c r="B897" s="22">
        <v>0.11318081021308893</v>
      </c>
      <c r="C897" s="22">
        <v>0.12447544746100909</v>
      </c>
      <c r="D897" s="15">
        <v>8.017975911498057E-2</v>
      </c>
    </row>
    <row r="898" spans="1:4" x14ac:dyDescent="0.25">
      <c r="A898" s="2">
        <v>896</v>
      </c>
      <c r="B898" s="22">
        <v>9.3923296406865142E-2</v>
      </c>
      <c r="C898" s="22">
        <v>0.13020461453124882</v>
      </c>
      <c r="D898" s="15">
        <v>9.4402463641017759E-2</v>
      </c>
    </row>
    <row r="899" spans="1:4" x14ac:dyDescent="0.25">
      <c r="A899" s="2">
        <v>897</v>
      </c>
      <c r="B899" s="22">
        <v>8.6950360238552071E-2</v>
      </c>
      <c r="C899" s="22">
        <v>0.17820995002984991</v>
      </c>
      <c r="D899" s="15">
        <v>9.1259589791297849E-2</v>
      </c>
    </row>
    <row r="900" spans="1:4" x14ac:dyDescent="0.25">
      <c r="A900" s="2">
        <v>898</v>
      </c>
      <c r="B900" s="22">
        <v>0.22232395261526122</v>
      </c>
      <c r="C900" s="22">
        <v>0.21297743543982506</v>
      </c>
      <c r="D900" s="15">
        <v>6.9355440884828506E-2</v>
      </c>
    </row>
    <row r="901" spans="1:4" x14ac:dyDescent="0.25">
      <c r="A901" s="2">
        <v>899</v>
      </c>
      <c r="B901" s="22">
        <v>0.17054564058780691</v>
      </c>
      <c r="C901" s="22">
        <v>0.22295655161142366</v>
      </c>
      <c r="D901" s="15">
        <v>0.13812624663114553</v>
      </c>
    </row>
    <row r="902" spans="1:4" x14ac:dyDescent="0.25">
      <c r="A902" s="2">
        <v>900</v>
      </c>
      <c r="B902" s="22">
        <v>0.17777687683701521</v>
      </c>
      <c r="C902" s="22">
        <v>0.20140854530036451</v>
      </c>
      <c r="D902" s="15">
        <v>6.9712091609835533E-2</v>
      </c>
    </row>
    <row r="903" spans="1:4" x14ac:dyDescent="0.25">
      <c r="A903" s="2">
        <v>901</v>
      </c>
      <c r="B903" s="22">
        <v>0.19578813761472708</v>
      </c>
      <c r="C903" s="22">
        <v>0.17724181395024055</v>
      </c>
      <c r="D903" s="15">
        <v>0.10218764375895287</v>
      </c>
    </row>
    <row r="904" spans="1:4" x14ac:dyDescent="0.25">
      <c r="A904" s="2">
        <v>902</v>
      </c>
      <c r="B904" s="22">
        <v>0.18688408732414236</v>
      </c>
      <c r="C904" s="22">
        <v>0.16494627632200717</v>
      </c>
      <c r="D904" s="15">
        <v>8.6238578334450672E-2</v>
      </c>
    </row>
    <row r="905" spans="1:4" x14ac:dyDescent="0.25">
      <c r="A905" s="2">
        <v>903</v>
      </c>
      <c r="B905" s="22">
        <v>0.14900769814848905</v>
      </c>
      <c r="C905" s="22">
        <v>0.14469968900084496</v>
      </c>
      <c r="D905" s="15">
        <v>5.0194591283798232E-2</v>
      </c>
    </row>
    <row r="906" spans="1:4" x14ac:dyDescent="0.25">
      <c r="A906" s="2">
        <v>904</v>
      </c>
      <c r="B906" s="22">
        <v>0.20405698530375954</v>
      </c>
      <c r="C906" s="22">
        <v>0.16499254629015916</v>
      </c>
      <c r="D906" s="15">
        <v>6.9704910740256434E-2</v>
      </c>
    </row>
    <row r="907" spans="1:4" x14ac:dyDescent="0.25">
      <c r="A907" s="2">
        <v>905</v>
      </c>
      <c r="B907" s="22">
        <v>0.19057601615786554</v>
      </c>
      <c r="C907" s="22">
        <v>0.19760181829333295</v>
      </c>
      <c r="D907" s="15">
        <v>7.862767726182926E-2</v>
      </c>
    </row>
    <row r="908" spans="1:4" x14ac:dyDescent="0.25">
      <c r="A908" s="2">
        <v>906</v>
      </c>
      <c r="B908" s="22">
        <v>0.22081694528460502</v>
      </c>
      <c r="C908" s="22">
        <v>0.23058413267135638</v>
      </c>
      <c r="D908" s="15">
        <v>9.8366443067789341E-2</v>
      </c>
    </row>
    <row r="909" spans="1:4" x14ac:dyDescent="0.25">
      <c r="A909" s="2">
        <v>907</v>
      </c>
      <c r="B909" s="22">
        <v>0.26727126613259317</v>
      </c>
      <c r="C909" s="22">
        <v>0.23971787542104731</v>
      </c>
      <c r="D909" s="15">
        <v>0.12075124010443686</v>
      </c>
    </row>
    <row r="910" spans="1:4" x14ac:dyDescent="0.25">
      <c r="A910" s="2">
        <v>908</v>
      </c>
      <c r="B910" s="22">
        <v>0.19683110937476167</v>
      </c>
      <c r="C910" s="22">
        <v>0.19982786029577251</v>
      </c>
      <c r="D910" s="15">
        <v>5.9619867056608253E-2</v>
      </c>
    </row>
    <row r="911" spans="1:4" x14ac:dyDescent="0.25">
      <c r="A911" s="2">
        <v>909</v>
      </c>
      <c r="B911" s="22">
        <v>0.2491341367363929</v>
      </c>
      <c r="C911" s="22">
        <v>0.1643873145338148</v>
      </c>
      <c r="D911" s="15">
        <v>0.10461633005179456</v>
      </c>
    </row>
    <row r="912" spans="1:4" x14ac:dyDescent="0.25">
      <c r="A912" s="2">
        <v>910</v>
      </c>
      <c r="B912" s="22">
        <v>0.19149506837129587</v>
      </c>
      <c r="C912" s="22">
        <v>0.14854025188833464</v>
      </c>
      <c r="D912" s="15">
        <v>8.1781031750142646E-2</v>
      </c>
    </row>
    <row r="913" spans="1:4" x14ac:dyDescent="0.25">
      <c r="A913" s="2">
        <v>911</v>
      </c>
      <c r="B913" s="22">
        <v>0.18583521284162999</v>
      </c>
      <c r="C913" s="22">
        <v>0.12806437113322305</v>
      </c>
      <c r="D913" s="15">
        <v>9.8967496445402509E-2</v>
      </c>
    </row>
    <row r="914" spans="1:4" x14ac:dyDescent="0.25">
      <c r="A914" s="2">
        <v>912</v>
      </c>
      <c r="B914" s="22">
        <v>0.17878660634160043</v>
      </c>
      <c r="C914" s="22">
        <v>0.11091030812822282</v>
      </c>
      <c r="D914" s="15">
        <v>8.5986716905608773E-2</v>
      </c>
    </row>
    <row r="915" spans="1:4" x14ac:dyDescent="0.25">
      <c r="A915" s="2">
        <v>913</v>
      </c>
      <c r="B915" s="22">
        <v>0.18028784692287445</v>
      </c>
      <c r="C915" s="22">
        <v>0.11295478828251368</v>
      </c>
      <c r="D915" s="15">
        <v>0.110003912821412</v>
      </c>
    </row>
    <row r="916" spans="1:4" x14ac:dyDescent="0.25">
      <c r="A916" s="2">
        <v>914</v>
      </c>
      <c r="B916" s="22">
        <v>0.18129784464836124</v>
      </c>
      <c r="C916" s="22">
        <v>0.13491585999727246</v>
      </c>
      <c r="D916" s="15">
        <v>7.6742315292358504E-2</v>
      </c>
    </row>
    <row r="917" spans="1:4" x14ac:dyDescent="0.25">
      <c r="A917" s="2">
        <v>915</v>
      </c>
      <c r="B917" s="22">
        <v>0.18965297937393194</v>
      </c>
      <c r="C917" s="22">
        <v>0.15350651070475579</v>
      </c>
      <c r="D917" s="15">
        <v>7.3565775901079017E-2</v>
      </c>
    </row>
    <row r="918" spans="1:4" x14ac:dyDescent="0.25">
      <c r="A918" s="2">
        <v>916</v>
      </c>
      <c r="B918" s="22">
        <v>0.10111680179834352</v>
      </c>
      <c r="C918" s="22">
        <v>0.16461949869990361</v>
      </c>
      <c r="D918" s="15">
        <v>7.1773932129144874E-2</v>
      </c>
    </row>
    <row r="919" spans="1:4" x14ac:dyDescent="0.25">
      <c r="A919" s="2">
        <v>917</v>
      </c>
      <c r="B919" s="22">
        <v>0.12268412709236157</v>
      </c>
      <c r="C919" s="22">
        <v>0.18949711918830875</v>
      </c>
      <c r="D919" s="15">
        <v>6.9688144326209969E-2</v>
      </c>
    </row>
    <row r="920" spans="1:4" x14ac:dyDescent="0.25">
      <c r="A920" s="2">
        <v>918</v>
      </c>
      <c r="B920" s="22">
        <v>0.22454655021429062</v>
      </c>
      <c r="C920" s="22">
        <v>0.22169762998819348</v>
      </c>
      <c r="D920" s="15">
        <v>8.1629079580307101E-2</v>
      </c>
    </row>
    <row r="921" spans="1:4" x14ac:dyDescent="0.25">
      <c r="A921" s="2">
        <v>919</v>
      </c>
      <c r="B921" s="22">
        <v>0.21687545254826551</v>
      </c>
      <c r="C921" s="22">
        <v>0.23843635395169258</v>
      </c>
      <c r="D921" s="15">
        <v>2.4826788902282702E-2</v>
      </c>
    </row>
    <row r="922" spans="1:4" x14ac:dyDescent="0.25">
      <c r="A922" s="2">
        <v>920</v>
      </c>
      <c r="B922" s="22">
        <v>0.2200128898024559</v>
      </c>
      <c r="C922" s="22">
        <v>0.22433066889643674</v>
      </c>
      <c r="D922" s="15">
        <v>7.7523662894963999E-2</v>
      </c>
    </row>
    <row r="923" spans="1:4" x14ac:dyDescent="0.25">
      <c r="A923" s="2">
        <v>921</v>
      </c>
      <c r="B923" s="22">
        <v>0.13147919438779365</v>
      </c>
      <c r="C923" s="22">
        <v>0.18644344061613086</v>
      </c>
      <c r="D923" s="15">
        <v>6.9208525493741013E-2</v>
      </c>
    </row>
    <row r="924" spans="1:4" x14ac:dyDescent="0.25">
      <c r="A924" s="2">
        <v>922</v>
      </c>
      <c r="B924" s="22">
        <v>0.17076451182365412</v>
      </c>
      <c r="C924" s="22">
        <v>0.13605730719864378</v>
      </c>
      <c r="D924" s="15">
        <v>4.1163321956992169E-2</v>
      </c>
    </row>
    <row r="925" spans="1:4" x14ac:dyDescent="0.25">
      <c r="A925" s="2">
        <v>923</v>
      </c>
      <c r="B925" s="22">
        <v>0.18007892668247222</v>
      </c>
      <c r="C925" s="22">
        <v>0.10142943365499373</v>
      </c>
      <c r="D925" s="15">
        <v>7.8649493027478506E-2</v>
      </c>
    </row>
    <row r="926" spans="1:4" x14ac:dyDescent="0.25">
      <c r="A926" s="2">
        <v>924</v>
      </c>
      <c r="B926" s="22">
        <v>0.12080899588763705</v>
      </c>
      <c r="C926" s="22">
        <v>6.9740993902087364E-2</v>
      </c>
      <c r="D926" s="15">
        <v>7.8080074489116441E-2</v>
      </c>
    </row>
    <row r="927" spans="1:4" x14ac:dyDescent="0.25">
      <c r="A927" s="2">
        <v>925</v>
      </c>
      <c r="B927" s="22">
        <v>6.0472553968429564E-2</v>
      </c>
      <c r="C927" s="22">
        <v>5.3167837706860191E-2</v>
      </c>
      <c r="D927" s="15">
        <v>0.10582065001362936</v>
      </c>
    </row>
    <row r="928" spans="1:4" x14ac:dyDescent="0.25">
      <c r="A928" s="2">
        <v>926</v>
      </c>
      <c r="B928" s="22">
        <v>3.086221963167184E-2</v>
      </c>
      <c r="C928" s="22">
        <v>0.10936123039573427</v>
      </c>
      <c r="D928" s="15">
        <v>0.11642304714769143</v>
      </c>
    </row>
    <row r="929" spans="1:4" x14ac:dyDescent="0.25">
      <c r="A929" s="2">
        <v>927</v>
      </c>
      <c r="B929" s="22">
        <v>0.18965503424406052</v>
      </c>
      <c r="C929" s="22">
        <v>0.1840115942060947</v>
      </c>
      <c r="D929" s="15">
        <v>9.0103768557310199E-2</v>
      </c>
    </row>
    <row r="930" spans="1:4" x14ac:dyDescent="0.25">
      <c r="A930" s="2">
        <v>928</v>
      </c>
      <c r="B930" s="22">
        <v>0.31001985594630238</v>
      </c>
      <c r="C930" s="22">
        <v>0.22586759030818954</v>
      </c>
      <c r="D930" s="15">
        <v>9.8434977978468063E-2</v>
      </c>
    </row>
    <row r="931" spans="1:4" x14ac:dyDescent="0.25">
      <c r="A931" s="2">
        <v>929</v>
      </c>
      <c r="B931" s="22">
        <v>0.22287032008171073</v>
      </c>
      <c r="C931" s="22">
        <v>0.20812597945332509</v>
      </c>
      <c r="D931" s="15">
        <v>3.5300665348768225E-2</v>
      </c>
    </row>
    <row r="932" spans="1:4" x14ac:dyDescent="0.25">
      <c r="A932" s="2">
        <v>930</v>
      </c>
      <c r="B932" s="22">
        <v>0.19608889035880556</v>
      </c>
      <c r="C932" s="22">
        <v>0.16693760454654685</v>
      </c>
      <c r="D932" s="15">
        <v>4.6409883722663095E-2</v>
      </c>
    </row>
    <row r="933" spans="1:4" x14ac:dyDescent="0.25">
      <c r="A933" s="2">
        <v>931</v>
      </c>
      <c r="B933" s="22">
        <v>0.15028528422117229</v>
      </c>
      <c r="C933" s="22">
        <v>0.14141020551323899</v>
      </c>
      <c r="D933" s="15">
        <v>6.9728719443082732E-2</v>
      </c>
    </row>
    <row r="934" spans="1:4" x14ac:dyDescent="0.25">
      <c r="A934" s="2">
        <v>932</v>
      </c>
      <c r="B934" s="22">
        <v>0.16965105086565002</v>
      </c>
      <c r="C934" s="22">
        <v>0.13851298391819003</v>
      </c>
      <c r="D934" s="15">
        <v>5.7027752697467779E-2</v>
      </c>
    </row>
    <row r="935" spans="1:4" x14ac:dyDescent="0.25">
      <c r="A935" s="2">
        <v>933</v>
      </c>
      <c r="B935" s="22">
        <v>0.18413169682025923</v>
      </c>
      <c r="C935" s="22">
        <v>0.15128159523010268</v>
      </c>
      <c r="D935" s="15">
        <v>4.5517995953559973E-2</v>
      </c>
    </row>
    <row r="936" spans="1:4" x14ac:dyDescent="0.25">
      <c r="A936" s="2">
        <v>934</v>
      </c>
      <c r="B936" s="22">
        <v>0.17280526310205438</v>
      </c>
      <c r="C936" s="22">
        <v>0.17142807170748725</v>
      </c>
      <c r="D936" s="15">
        <v>1.6261490434408072E-2</v>
      </c>
    </row>
    <row r="937" spans="1:4" x14ac:dyDescent="0.25">
      <c r="A937" s="2">
        <v>935</v>
      </c>
      <c r="B937" s="22">
        <v>0.18732925876975051</v>
      </c>
      <c r="C937" s="22">
        <v>0.18056318722665321</v>
      </c>
      <c r="D937" s="15">
        <v>3.1827026978135109E-2</v>
      </c>
    </row>
    <row r="938" spans="1:4" x14ac:dyDescent="0.25">
      <c r="A938" s="2">
        <v>936</v>
      </c>
      <c r="B938" s="22">
        <v>0.17305233329534531</v>
      </c>
      <c r="C938" s="22">
        <v>0.17855105698108686</v>
      </c>
      <c r="D938" s="15">
        <v>4.7725547850131958E-2</v>
      </c>
    </row>
    <row r="939" spans="1:4" x14ac:dyDescent="0.25">
      <c r="A939" s="2">
        <v>937</v>
      </c>
      <c r="B939" s="22">
        <v>0.10976977311074725</v>
      </c>
      <c r="C939" s="22">
        <v>0.15025829076766961</v>
      </c>
      <c r="D939" s="15">
        <v>8.9181125536560962E-2</v>
      </c>
    </row>
    <row r="940" spans="1:4" x14ac:dyDescent="0.25">
      <c r="A940" s="2">
        <v>938</v>
      </c>
      <c r="B940" s="22">
        <v>0.12753499150276176</v>
      </c>
      <c r="C940" s="22">
        <v>0.11541995629668231</v>
      </c>
      <c r="D940" s="15">
        <v>0.13416126742959028</v>
      </c>
    </row>
    <row r="941" spans="1:4" x14ac:dyDescent="0.25">
      <c r="A941" s="2">
        <v>939</v>
      </c>
      <c r="B941" s="22">
        <v>8.8389236479997579E-2</v>
      </c>
      <c r="C941" s="22">
        <v>0.11587518504820762</v>
      </c>
      <c r="D941" s="15">
        <v>0.14033672832883898</v>
      </c>
    </row>
    <row r="942" spans="1:4" x14ac:dyDescent="0.25">
      <c r="A942" s="2">
        <v>940</v>
      </c>
      <c r="B942" s="22">
        <v>0.16034433394670494</v>
      </c>
      <c r="C942" s="22">
        <v>0.14561219774186615</v>
      </c>
      <c r="D942" s="15">
        <v>6.899580247700221E-2</v>
      </c>
    </row>
    <row r="943" spans="1:4" x14ac:dyDescent="0.25">
      <c r="A943" s="2">
        <v>941</v>
      </c>
      <c r="B943" s="22">
        <v>3.8207174092531195E-2</v>
      </c>
      <c r="C943" s="22">
        <v>0.17065187171101562</v>
      </c>
      <c r="D943" s="15">
        <v>0.14094388484954826</v>
      </c>
    </row>
    <row r="944" spans="1:4" x14ac:dyDescent="0.25">
      <c r="A944" s="2">
        <v>942</v>
      </c>
      <c r="B944" s="22">
        <v>7.2592390328645756E-2</v>
      </c>
      <c r="C944" s="22">
        <v>0.1754810653626919</v>
      </c>
      <c r="D944" s="15">
        <v>0.12278365045785908</v>
      </c>
    </row>
    <row r="945" spans="1:4" x14ac:dyDescent="0.25">
      <c r="A945" s="2">
        <v>943</v>
      </c>
      <c r="B945" s="22">
        <v>0.12042421326041222</v>
      </c>
      <c r="C945" s="22">
        <v>0.19762367606163023</v>
      </c>
      <c r="D945" s="15">
        <v>0.10979769304394738</v>
      </c>
    </row>
    <row r="946" spans="1:4" x14ac:dyDescent="0.25">
      <c r="A946" s="2">
        <v>944</v>
      </c>
      <c r="B946" s="22">
        <v>0.1870719552040101</v>
      </c>
      <c r="C946" s="22">
        <v>0.1950287967920302</v>
      </c>
      <c r="D946" s="15">
        <v>5.5231080949306524E-2</v>
      </c>
    </row>
    <row r="947" spans="1:4" x14ac:dyDescent="0.25">
      <c r="A947" s="2">
        <v>945</v>
      </c>
      <c r="B947" s="22">
        <v>0.17235927470028395</v>
      </c>
      <c r="C947" s="22">
        <v>0.13987136743962755</v>
      </c>
      <c r="D947" s="15">
        <v>5.8807266503572396E-2</v>
      </c>
    </row>
    <row r="948" spans="1:4" x14ac:dyDescent="0.25">
      <c r="A948" s="2">
        <v>946</v>
      </c>
      <c r="B948" s="22">
        <v>0.12453470006585125</v>
      </c>
      <c r="C948" s="22">
        <v>9.6364564634859567E-2</v>
      </c>
      <c r="D948" s="15">
        <v>9.851694013923401E-2</v>
      </c>
    </row>
    <row r="949" spans="1:4" x14ac:dyDescent="0.25">
      <c r="A949" s="2">
        <v>947</v>
      </c>
      <c r="B949" s="22">
        <v>0.10753302127122873</v>
      </c>
      <c r="C949" s="22">
        <v>0.10931043819291517</v>
      </c>
      <c r="D949" s="15">
        <v>0.11727556631667543</v>
      </c>
    </row>
    <row r="950" spans="1:4" x14ac:dyDescent="0.25">
      <c r="A950" s="2">
        <v>948</v>
      </c>
      <c r="B950" s="22">
        <v>0.12287088111042974</v>
      </c>
      <c r="C950" s="22">
        <v>0.1544226042926311</v>
      </c>
      <c r="D950" s="15">
        <v>5.115619748830795E-2</v>
      </c>
    </row>
    <row r="951" spans="1:4" x14ac:dyDescent="0.25">
      <c r="A951" s="2">
        <v>949</v>
      </c>
      <c r="B951" s="22">
        <v>0.23581296876072874</v>
      </c>
      <c r="C951" s="22">
        <v>0.17760385274887089</v>
      </c>
      <c r="D951" s="15">
        <v>6.157196536660188E-2</v>
      </c>
    </row>
    <row r="952" spans="1:4" x14ac:dyDescent="0.25">
      <c r="A952" s="2">
        <v>950</v>
      </c>
      <c r="B952" s="22">
        <v>0.1683456473052502</v>
      </c>
      <c r="C952" s="22">
        <v>0.15330040883272897</v>
      </c>
      <c r="D952" s="15">
        <v>8.8805177249014308E-2</v>
      </c>
    </row>
    <row r="953" spans="1:4" x14ac:dyDescent="0.25">
      <c r="A953" s="2">
        <v>951</v>
      </c>
      <c r="B953" s="22">
        <v>0.19603994563221927</v>
      </c>
      <c r="C953" s="22">
        <v>0.13649217635393138</v>
      </c>
      <c r="D953" s="15">
        <v>0.18370697163045396</v>
      </c>
    </row>
    <row r="954" spans="1:4" x14ac:dyDescent="0.25">
      <c r="A954" s="2">
        <v>952</v>
      </c>
      <c r="B954" s="22">
        <v>0.15807778388261795</v>
      </c>
      <c r="C954" s="22">
        <v>0.14808750110678368</v>
      </c>
      <c r="D954" s="15">
        <v>2.3408533027395532E-2</v>
      </c>
    </row>
    <row r="955" spans="1:4" x14ac:dyDescent="0.25">
      <c r="A955" s="2">
        <v>953</v>
      </c>
      <c r="B955" s="22">
        <v>0.21422304399311543</v>
      </c>
      <c r="C955" s="22">
        <v>0.17970933839678771</v>
      </c>
      <c r="D955" s="15">
        <v>7.4781443551182658E-2</v>
      </c>
    </row>
    <row r="956" spans="1:4" x14ac:dyDescent="0.25">
      <c r="A956" s="2">
        <v>954</v>
      </c>
      <c r="B956" s="22">
        <v>0.23500180244445792</v>
      </c>
      <c r="C956" s="22">
        <v>0.20667867511510826</v>
      </c>
      <c r="D956" s="15">
        <v>7.2155328094959365E-2</v>
      </c>
    </row>
    <row r="957" spans="1:4" x14ac:dyDescent="0.25">
      <c r="A957" s="2">
        <v>955</v>
      </c>
      <c r="B957" s="22">
        <v>0.21601928696036329</v>
      </c>
      <c r="C957" s="22">
        <v>0.20172498598694802</v>
      </c>
      <c r="D957" s="15">
        <v>8.4578526020050088E-2</v>
      </c>
    </row>
    <row r="958" spans="1:4" x14ac:dyDescent="0.25">
      <c r="A958" s="2">
        <v>956</v>
      </c>
      <c r="B958" s="22">
        <v>0.23684969693422323</v>
      </c>
      <c r="C958" s="22">
        <v>0.1878111120313406</v>
      </c>
      <c r="D958" s="15">
        <v>8.3040816709399182E-2</v>
      </c>
    </row>
    <row r="959" spans="1:4" x14ac:dyDescent="0.25">
      <c r="A959" s="2">
        <v>957</v>
      </c>
      <c r="B959" s="22">
        <v>0.16788277775049198</v>
      </c>
      <c r="C959" s="22">
        <v>0.1525424413383008</v>
      </c>
      <c r="D959" s="15">
        <v>6.947180852293984E-2</v>
      </c>
    </row>
    <row r="960" spans="1:4" x14ac:dyDescent="0.25">
      <c r="A960" s="2">
        <v>958</v>
      </c>
      <c r="B960" s="22">
        <v>0.14482029303908339</v>
      </c>
      <c r="C960" s="22">
        <v>9.1945732012391132E-2</v>
      </c>
      <c r="D960" s="15">
        <v>8.7779434397816436E-2</v>
      </c>
    </row>
    <row r="961" spans="1:4" x14ac:dyDescent="0.25">
      <c r="A961" s="2">
        <v>959</v>
      </c>
      <c r="B961" s="22">
        <v>0.10342449508607388</v>
      </c>
      <c r="C961" s="22">
        <v>9.701154213398698E-2</v>
      </c>
      <c r="D961" s="15">
        <v>0.12749511878937492</v>
      </c>
    </row>
    <row r="962" spans="1:4" x14ac:dyDescent="0.25">
      <c r="A962" s="2">
        <v>960</v>
      </c>
      <c r="B962" s="22">
        <v>0.13989257216453552</v>
      </c>
      <c r="C962" s="22">
        <v>0.14611972793936728</v>
      </c>
      <c r="D962" s="15">
        <v>9.4807940721511691E-2</v>
      </c>
    </row>
    <row r="963" spans="1:4" x14ac:dyDescent="0.25">
      <c r="A963" s="2">
        <v>961</v>
      </c>
      <c r="B963" s="22">
        <v>0.17813292741775505</v>
      </c>
      <c r="C963" s="22">
        <v>0.18032207600772382</v>
      </c>
      <c r="D963" s="15">
        <v>8.5886843129992715E-2</v>
      </c>
    </row>
    <row r="964" spans="1:4" x14ac:dyDescent="0.25">
      <c r="A964" s="2">
        <v>962</v>
      </c>
      <c r="B964" s="22">
        <v>0.14506938159465799</v>
      </c>
      <c r="C964" s="22">
        <v>0.18832785189151754</v>
      </c>
      <c r="D964" s="15">
        <v>5.0618284940719363E-2</v>
      </c>
    </row>
    <row r="965" spans="1:4" x14ac:dyDescent="0.25">
      <c r="A965" s="2">
        <v>963</v>
      </c>
      <c r="B965" s="22">
        <v>0.11301707327365869</v>
      </c>
      <c r="C965" s="22">
        <v>0.1804183632135391</v>
      </c>
      <c r="D965" s="15">
        <v>8.3040030300616963E-2</v>
      </c>
    </row>
    <row r="966" spans="1:4" x14ac:dyDescent="0.25">
      <c r="A966" s="2">
        <v>964</v>
      </c>
      <c r="B966" s="22">
        <v>0.12761956006288525</v>
      </c>
      <c r="C966" s="22">
        <v>0.17497953847050676</v>
      </c>
      <c r="D966" s="15">
        <v>7.6051584631204677E-2</v>
      </c>
    </row>
    <row r="967" spans="1:4" x14ac:dyDescent="0.25">
      <c r="A967" s="2">
        <v>965</v>
      </c>
      <c r="B967" s="22">
        <v>0.17725397199392318</v>
      </c>
      <c r="C967" s="22">
        <v>0.16493172235786902</v>
      </c>
      <c r="D967" s="15">
        <v>5.227748565375815E-2</v>
      </c>
    </row>
    <row r="968" spans="1:4" x14ac:dyDescent="0.25">
      <c r="A968" s="2">
        <v>966</v>
      </c>
      <c r="B968" s="22">
        <v>5.7171817123889947E-2</v>
      </c>
      <c r="C968" s="22">
        <v>0.14646852277219291</v>
      </c>
      <c r="D968" s="15">
        <v>0.13190481252968306</v>
      </c>
    </row>
    <row r="969" spans="1:4" x14ac:dyDescent="0.25">
      <c r="A969" s="2">
        <v>967</v>
      </c>
      <c r="B969" s="22">
        <v>0.10987684279680246</v>
      </c>
      <c r="C969" s="22">
        <v>0.15237927772104734</v>
      </c>
      <c r="D969" s="15">
        <v>7.7015146240592067E-2</v>
      </c>
    </row>
    <row r="970" spans="1:4" x14ac:dyDescent="0.25">
      <c r="A970" s="2">
        <v>968</v>
      </c>
      <c r="B970" s="22">
        <v>0.20890434384346007</v>
      </c>
      <c r="C970" s="22">
        <v>0.15508408546447744</v>
      </c>
      <c r="D970" s="15">
        <v>0.13316788524389278</v>
      </c>
    </row>
    <row r="971" spans="1:4" x14ac:dyDescent="0.25">
      <c r="A971" s="2">
        <v>969</v>
      </c>
      <c r="B971" s="22">
        <v>0.16549659632146368</v>
      </c>
      <c r="C971" s="22">
        <v>0.1330520729534328</v>
      </c>
      <c r="D971" s="15">
        <v>6.1640512850135686E-2</v>
      </c>
    </row>
    <row r="972" spans="1:4" x14ac:dyDescent="0.25">
      <c r="A972" s="2">
        <v>970</v>
      </c>
      <c r="B972" s="22">
        <v>6.9786846637725816E-2</v>
      </c>
      <c r="C972" s="22">
        <v>0.10274105556309225</v>
      </c>
      <c r="D972" s="15">
        <v>5.548016317188742E-2</v>
      </c>
    </row>
    <row r="973" spans="1:4" x14ac:dyDescent="0.25">
      <c r="A973" s="2">
        <v>971</v>
      </c>
      <c r="B973" s="22">
        <v>8.3727853745222097E-2</v>
      </c>
      <c r="C973" s="22">
        <v>9.2105245962738932E-2</v>
      </c>
      <c r="D973" s="15">
        <v>5.0780767574906474E-2</v>
      </c>
    </row>
    <row r="974" spans="1:4" x14ac:dyDescent="0.25">
      <c r="A974" s="2">
        <v>972</v>
      </c>
      <c r="B974" s="22">
        <v>0.12051870450377458</v>
      </c>
      <c r="C974" s="22">
        <v>0.11436600051820282</v>
      </c>
      <c r="D974" s="15">
        <v>0.11799472831189639</v>
      </c>
    </row>
    <row r="975" spans="1:4" x14ac:dyDescent="0.25">
      <c r="A975" s="2">
        <v>973</v>
      </c>
      <c r="B975" s="22">
        <v>0.15655477158725256</v>
      </c>
      <c r="C975" s="22">
        <v>0.13578097224235533</v>
      </c>
      <c r="D975" s="15">
        <v>7.67847750335931E-2</v>
      </c>
    </row>
    <row r="976" spans="1:4" x14ac:dyDescent="0.25">
      <c r="A976" s="2">
        <v>974</v>
      </c>
      <c r="B976" s="22">
        <v>0.19967457577586173</v>
      </c>
      <c r="C976" s="22">
        <v>0.15450538843870162</v>
      </c>
      <c r="D976" s="15">
        <v>6.4252964407205529E-2</v>
      </c>
    </row>
    <row r="977" spans="1:4" x14ac:dyDescent="0.25">
      <c r="A977" s="2">
        <v>975</v>
      </c>
      <c r="B977" s="22">
        <v>0.18575540035963062</v>
      </c>
      <c r="C977" s="22">
        <v>0.16502146497368819</v>
      </c>
      <c r="D977" s="15">
        <v>6.5482489019632426E-2</v>
      </c>
    </row>
    <row r="978" spans="1:4" x14ac:dyDescent="0.25">
      <c r="A978" s="2">
        <v>976</v>
      </c>
      <c r="B978" s="22">
        <v>0.1568340688943862</v>
      </c>
      <c r="C978" s="22">
        <v>0.16127350889146325</v>
      </c>
      <c r="D978" s="15">
        <v>8.1667898967862085E-2</v>
      </c>
    </row>
    <row r="979" spans="1:4" x14ac:dyDescent="0.25">
      <c r="A979" s="2">
        <v>977</v>
      </c>
      <c r="B979" s="22">
        <v>0.16821553930640218</v>
      </c>
      <c r="C979" s="22">
        <v>0.16738514266908164</v>
      </c>
      <c r="D979" s="15">
        <v>7.2339045628905335E-2</v>
      </c>
    </row>
    <row r="980" spans="1:4" x14ac:dyDescent="0.25">
      <c r="A980" s="2">
        <v>978</v>
      </c>
      <c r="B980" s="22">
        <v>0.18459166809916491</v>
      </c>
      <c r="C980" s="22">
        <v>0.19258436560630801</v>
      </c>
      <c r="D980" s="15">
        <v>3.1510538607835814E-2</v>
      </c>
    </row>
    <row r="981" spans="1:4" x14ac:dyDescent="0.25">
      <c r="A981" s="2">
        <v>979</v>
      </c>
      <c r="B981" s="22">
        <v>0.26992317847907549</v>
      </c>
      <c r="C981" s="22">
        <v>0.1873359948396682</v>
      </c>
      <c r="D981" s="15">
        <v>0.18978391773998757</v>
      </c>
    </row>
    <row r="982" spans="1:4" x14ac:dyDescent="0.25">
      <c r="A982" s="2">
        <v>980</v>
      </c>
      <c r="B982" s="22">
        <v>0.16955090463161457</v>
      </c>
      <c r="C982" s="22">
        <v>0.16168973408639425</v>
      </c>
      <c r="D982" s="15">
        <v>9.3440490588545699E-2</v>
      </c>
    </row>
    <row r="983" spans="1:4" x14ac:dyDescent="0.25">
      <c r="A983" s="2">
        <v>981</v>
      </c>
      <c r="B983" s="22">
        <v>0.12716420143842705</v>
      </c>
      <c r="C983" s="22">
        <v>0.13686734363436709</v>
      </c>
      <c r="D983" s="15">
        <v>4.5602279156446185E-2</v>
      </c>
    </row>
    <row r="984" spans="1:4" x14ac:dyDescent="0.25">
      <c r="A984" s="2">
        <v>982</v>
      </c>
      <c r="B984" s="22">
        <v>0.11537824794650076</v>
      </c>
      <c r="C984" s="22">
        <v>0.10042122006416317</v>
      </c>
      <c r="D984" s="15">
        <v>3.8492520898580455E-2</v>
      </c>
    </row>
    <row r="985" spans="1:4" x14ac:dyDescent="0.25">
      <c r="A985" s="2">
        <v>983</v>
      </c>
      <c r="B985" s="22">
        <v>9.51215375214816E-2</v>
      </c>
      <c r="C985" s="22">
        <v>6.4770165551453804E-2</v>
      </c>
      <c r="D985" s="15">
        <v>6.0650497954338946E-2</v>
      </c>
    </row>
    <row r="986" spans="1:4" x14ac:dyDescent="0.25">
      <c r="A986" s="2">
        <v>984</v>
      </c>
      <c r="B986" s="22">
        <v>3.2643550634384032E-2</v>
      </c>
      <c r="C986" s="22">
        <v>2.4505246523767753E-2</v>
      </c>
      <c r="D986" s="15">
        <v>0.15067144064232713</v>
      </c>
    </row>
    <row r="987" spans="1:4" x14ac:dyDescent="0.25">
      <c r="A987" s="2">
        <v>985</v>
      </c>
      <c r="B987" s="22">
        <v>-9.9397382140159682E-2</v>
      </c>
      <c r="C987" s="22">
        <v>1.6612527705728946E-2</v>
      </c>
      <c r="D987" s="15">
        <v>0.15779706928879028</v>
      </c>
    </row>
    <row r="988" spans="1:4" x14ac:dyDescent="0.25">
      <c r="A988" s="2">
        <v>986</v>
      </c>
      <c r="B988" s="22">
        <v>-7.6274120807647755E-2</v>
      </c>
      <c r="C988" s="22">
        <v>0.10032957512885329</v>
      </c>
      <c r="D988" s="15">
        <v>0.19956612307578347</v>
      </c>
    </row>
    <row r="989" spans="1:4" x14ac:dyDescent="0.25">
      <c r="A989" s="2">
        <v>987</v>
      </c>
      <c r="B989" s="22">
        <v>0.10684161782264705</v>
      </c>
      <c r="C989" s="22">
        <v>0.20338126122951516</v>
      </c>
      <c r="D989" s="15">
        <v>0.14623393118381503</v>
      </c>
    </row>
    <row r="990" spans="1:4" x14ac:dyDescent="0.25">
      <c r="A990" s="2">
        <v>988</v>
      </c>
      <c r="B990" s="22">
        <v>0.23743361383676528</v>
      </c>
      <c r="C990" s="22">
        <v>0.23537753000855441</v>
      </c>
      <c r="D990" s="15">
        <v>0.1755013175308705</v>
      </c>
    </row>
    <row r="991" spans="1:4" x14ac:dyDescent="0.25">
      <c r="A991" s="2">
        <v>989</v>
      </c>
      <c r="B991" s="22">
        <v>9.7134863585233738E-2</v>
      </c>
      <c r="C991" s="22">
        <v>0.24768159985542307</v>
      </c>
      <c r="D991" s="15">
        <v>0.15984461084008211</v>
      </c>
    </row>
    <row r="992" spans="1:4" x14ac:dyDescent="0.25">
      <c r="A992" s="2">
        <v>990</v>
      </c>
      <c r="B992" s="22">
        <v>0.3276206612586976</v>
      </c>
      <c r="C992" s="22">
        <v>0.26140741668641565</v>
      </c>
      <c r="D992" s="15">
        <v>9.4415650144219349E-2</v>
      </c>
    </row>
    <row r="993" spans="1:4" x14ac:dyDescent="0.25">
      <c r="A993" s="2">
        <v>991</v>
      </c>
      <c r="B993" s="22">
        <v>0.21685117892920963</v>
      </c>
      <c r="C993" s="22">
        <v>0.16004404164850708</v>
      </c>
      <c r="D993" s="15">
        <v>8.733620271086702E-2</v>
      </c>
    </row>
    <row r="994" spans="1:4" x14ac:dyDescent="0.25">
      <c r="A994" s="2">
        <v>992</v>
      </c>
      <c r="B994" s="22">
        <v>0.17271229475736616</v>
      </c>
      <c r="C994" s="22">
        <v>6.3176844455301709E-2</v>
      </c>
      <c r="D994" s="15">
        <v>0.13133238460868601</v>
      </c>
    </row>
    <row r="995" spans="1:4" x14ac:dyDescent="0.25">
      <c r="A995" s="2">
        <v>993</v>
      </c>
      <c r="B995" s="22">
        <v>-0.12866492122411738</v>
      </c>
      <c r="C995" s="22">
        <v>-1.0414209589362145E-2</v>
      </c>
      <c r="D995" s="15">
        <v>0.23129255957901479</v>
      </c>
    </row>
    <row r="996" spans="1:4" x14ac:dyDescent="0.25">
      <c r="A996" s="2">
        <v>994</v>
      </c>
      <c r="B996" s="22">
        <v>-0.10281089395284652</v>
      </c>
      <c r="C996" s="22">
        <v>-2.2308573266491279E-2</v>
      </c>
      <c r="D996" s="15">
        <v>0.18524074791930617</v>
      </c>
    </row>
    <row r="997" spans="1:4" x14ac:dyDescent="0.25">
      <c r="A997" s="2">
        <v>995</v>
      </c>
      <c r="B997" s="22">
        <v>-2.361949309706677E-2</v>
      </c>
      <c r="C997" s="22">
        <v>0.11397411921061576</v>
      </c>
      <c r="D997" s="15">
        <v>0.24456390193663524</v>
      </c>
    </row>
    <row r="998" spans="1:4" x14ac:dyDescent="0.25">
      <c r="A998" s="2">
        <v>996</v>
      </c>
      <c r="B998" s="22">
        <v>0.1210790857672692</v>
      </c>
      <c r="C998" s="22">
        <v>0.20718147754669211</v>
      </c>
      <c r="D998" s="15">
        <v>0.12845333963632591</v>
      </c>
    </row>
    <row r="999" spans="1:4" x14ac:dyDescent="0.25">
      <c r="A999" s="2">
        <v>997</v>
      </c>
      <c r="B999" s="22">
        <v>0.25567077547311773</v>
      </c>
      <c r="C999" s="22">
        <v>0.25526212155818928</v>
      </c>
      <c r="D999" s="15">
        <v>0.1268902510404587</v>
      </c>
    </row>
    <row r="1000" spans="1:4" x14ac:dyDescent="0.25">
      <c r="A1000" s="2">
        <v>998</v>
      </c>
      <c r="B1000" s="22">
        <v>0.29322431571781643</v>
      </c>
      <c r="C1000" s="22">
        <v>0.28824840635061266</v>
      </c>
      <c r="D1000" s="15">
        <v>0.15285556353628654</v>
      </c>
    </row>
    <row r="1001" spans="1:4" x14ac:dyDescent="0.25">
      <c r="A1001" s="2">
        <v>999</v>
      </c>
      <c r="B1001" s="22">
        <v>0.23997093439102177</v>
      </c>
      <c r="C1001" s="22">
        <v>0.27430089414119713</v>
      </c>
      <c r="D1001" s="15">
        <v>6.1091633141040894E-2</v>
      </c>
    </row>
    <row r="1002" spans="1:4" x14ac:dyDescent="0.25">
      <c r="A1002" s="2">
        <v>1000</v>
      </c>
      <c r="B1002" s="22">
        <v>0.1926585633307695</v>
      </c>
      <c r="C1002" s="22">
        <v>0.25501482784748086</v>
      </c>
      <c r="D1002" s="15">
        <v>7.8320585563778938E-2</v>
      </c>
    </row>
    <row r="1003" spans="1:4" x14ac:dyDescent="0.25">
      <c r="A1003" s="2">
        <v>1001</v>
      </c>
      <c r="B1003" s="22">
        <v>0.13020637631416318</v>
      </c>
      <c r="C1003" s="22">
        <v>0.21878119856119152</v>
      </c>
      <c r="D1003" s="15">
        <v>0.10047757178544992</v>
      </c>
    </row>
    <row r="1004" spans="1:4" x14ac:dyDescent="0.25">
      <c r="A1004" s="2" t="s">
        <v>1</v>
      </c>
      <c r="B1004" s="22">
        <v>0.16557921166841005</v>
      </c>
      <c r="C1004" s="22">
        <v>0.16295258999141593</v>
      </c>
      <c r="D1004" s="15">
        <v>8.8458523312412093E-2</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1004"/>
  <sheetViews>
    <sheetView zoomScale="85" zoomScaleNormal="85" workbookViewId="0">
      <selection activeCell="A14" sqref="A14"/>
    </sheetView>
  </sheetViews>
  <sheetFormatPr defaultRowHeight="15" x14ac:dyDescent="0.25"/>
  <cols>
    <col min="1" max="1" width="13.28515625" bestFit="1" customWidth="1"/>
    <col min="2" max="2" width="20.42578125" customWidth="1"/>
    <col min="3" max="3" width="23.140625" customWidth="1"/>
    <col min="4" max="4" width="19.28515625" customWidth="1"/>
  </cols>
  <sheetData>
    <row r="1" spans="1:8" x14ac:dyDescent="0.25">
      <c r="A1" s="1" t="s">
        <v>0</v>
      </c>
      <c r="B1" t="s">
        <v>398</v>
      </c>
      <c r="C1" t="s">
        <v>399</v>
      </c>
      <c r="D1" t="s">
        <v>400</v>
      </c>
      <c r="G1" t="s">
        <v>393</v>
      </c>
      <c r="H1" s="5">
        <f>GETPIVOTDATA("Average of ERRORTR",$A$1)</f>
        <v>6.0967340231851241E-4</v>
      </c>
    </row>
    <row r="2" spans="1:8" x14ac:dyDescent="0.25">
      <c r="A2" s="2">
        <v>0</v>
      </c>
      <c r="B2" s="22">
        <v>-1.5334292766056005E-4</v>
      </c>
      <c r="C2" s="22">
        <v>-1.5334292766056005E-4</v>
      </c>
      <c r="D2" s="22">
        <v>0</v>
      </c>
    </row>
    <row r="3" spans="1:8" x14ac:dyDescent="0.25">
      <c r="A3" s="2">
        <v>1</v>
      </c>
      <c r="B3" s="22">
        <v>9.8835174867417555E-5</v>
      </c>
      <c r="C3" s="22">
        <v>9.8835174867417555E-5</v>
      </c>
      <c r="D3" s="22">
        <v>0</v>
      </c>
    </row>
    <row r="4" spans="1:8" x14ac:dyDescent="0.25">
      <c r="A4" s="2">
        <v>2</v>
      </c>
      <c r="B4" s="22">
        <v>9.6187994495266853E-4</v>
      </c>
      <c r="C4" s="22">
        <v>9.6187994495266853E-4</v>
      </c>
      <c r="D4" s="22">
        <v>0</v>
      </c>
    </row>
    <row r="5" spans="1:8" x14ac:dyDescent="0.25">
      <c r="A5" s="2">
        <v>3</v>
      </c>
      <c r="B5" s="22">
        <v>-6.1843587900511899E-4</v>
      </c>
      <c r="C5" s="22">
        <v>-6.1843587900511899E-4</v>
      </c>
      <c r="D5" s="22">
        <v>0</v>
      </c>
    </row>
    <row r="6" spans="1:8" x14ac:dyDescent="0.25">
      <c r="A6" s="2">
        <v>4</v>
      </c>
      <c r="B6" s="22">
        <v>7.7678039815509841E-5</v>
      </c>
      <c r="C6" s="22">
        <v>7.7678039815509841E-5</v>
      </c>
      <c r="D6" s="22">
        <v>0</v>
      </c>
    </row>
    <row r="7" spans="1:8" x14ac:dyDescent="0.25">
      <c r="A7" s="2">
        <v>5</v>
      </c>
      <c r="B7" s="22">
        <v>-1.6542441153433201E-4</v>
      </c>
      <c r="C7" s="22">
        <v>-1.6542441153433201E-4</v>
      </c>
      <c r="D7" s="22">
        <v>0</v>
      </c>
    </row>
    <row r="8" spans="1:8" x14ac:dyDescent="0.25">
      <c r="A8" s="2">
        <v>6</v>
      </c>
      <c r="B8" s="22">
        <v>7.034297232166845E-5</v>
      </c>
      <c r="C8" s="22">
        <v>7.034297232166845E-5</v>
      </c>
      <c r="D8" s="22">
        <v>0</v>
      </c>
    </row>
    <row r="9" spans="1:8" x14ac:dyDescent="0.25">
      <c r="A9" s="2">
        <v>7</v>
      </c>
      <c r="B9" s="22">
        <v>9.6431888232473197E-4</v>
      </c>
      <c r="C9" s="22">
        <v>9.6431888232473197E-4</v>
      </c>
      <c r="D9" s="22">
        <v>0</v>
      </c>
    </row>
    <row r="10" spans="1:8" x14ac:dyDescent="0.25">
      <c r="A10" s="2">
        <v>8</v>
      </c>
      <c r="B10" s="22">
        <v>-6.8990212457720147E-4</v>
      </c>
      <c r="C10" s="22">
        <v>-6.8990212457720147E-4</v>
      </c>
      <c r="D10" s="22">
        <v>0</v>
      </c>
    </row>
    <row r="11" spans="1:8" x14ac:dyDescent="0.25">
      <c r="A11" s="2">
        <v>9</v>
      </c>
      <c r="B11" s="22">
        <v>7.9309453667519752E-5</v>
      </c>
      <c r="C11" s="22">
        <v>7.9309453667519752E-5</v>
      </c>
      <c r="D11" s="22">
        <v>0</v>
      </c>
    </row>
    <row r="12" spans="1:8" x14ac:dyDescent="0.25">
      <c r="A12" s="2">
        <v>10</v>
      </c>
      <c r="B12" s="22">
        <v>-1.5078384967637243E-4</v>
      </c>
      <c r="C12" s="22">
        <v>-1.5078384967637243E-4</v>
      </c>
      <c r="D12" s="22">
        <v>0</v>
      </c>
    </row>
    <row r="13" spans="1:8" x14ac:dyDescent="0.25">
      <c r="A13" s="2">
        <v>11</v>
      </c>
      <c r="B13" s="22">
        <v>7.2441398515365069E-6</v>
      </c>
      <c r="C13" s="22">
        <v>7.2441398515365069E-6</v>
      </c>
      <c r="D13" s="22">
        <v>0</v>
      </c>
    </row>
    <row r="14" spans="1:8" x14ac:dyDescent="0.25">
      <c r="A14" s="2">
        <v>12</v>
      </c>
      <c r="B14" s="22">
        <v>1.079467154340817E-3</v>
      </c>
      <c r="C14" s="22">
        <v>1.079467154340817E-3</v>
      </c>
      <c r="D14" s="22">
        <v>0</v>
      </c>
    </row>
    <row r="15" spans="1:8" x14ac:dyDescent="0.25">
      <c r="A15" s="2">
        <v>13</v>
      </c>
      <c r="B15" s="22">
        <v>-4.9385668171453301E-4</v>
      </c>
      <c r="C15" s="22">
        <v>-4.9385668171453301E-4</v>
      </c>
      <c r="D15" s="22">
        <v>0</v>
      </c>
    </row>
    <row r="16" spans="1:8" x14ac:dyDescent="0.25">
      <c r="A16" s="2">
        <v>14</v>
      </c>
      <c r="B16" s="22">
        <v>1.751975651131945E-4</v>
      </c>
      <c r="C16" s="22">
        <v>1.751975651131945E-4</v>
      </c>
      <c r="D16" s="22">
        <v>0</v>
      </c>
    </row>
    <row r="17" spans="1:4" x14ac:dyDescent="0.25">
      <c r="A17" s="2">
        <v>15</v>
      </c>
      <c r="B17" s="22">
        <v>4.5001510443398898E-5</v>
      </c>
      <c r="C17" s="22">
        <v>1.0532815315400534E-4</v>
      </c>
      <c r="D17" s="22">
        <v>6.032664271060644E-5</v>
      </c>
    </row>
    <row r="18" spans="1:4" x14ac:dyDescent="0.25">
      <c r="A18" s="2">
        <v>16</v>
      </c>
      <c r="B18" s="22">
        <v>-2.799630383378825E-4</v>
      </c>
      <c r="C18" s="22">
        <v>-5.4482668929267749E-5</v>
      </c>
      <c r="D18" s="22">
        <v>2.2548036940861477E-4</v>
      </c>
    </row>
    <row r="19" spans="1:4" x14ac:dyDescent="0.25">
      <c r="A19" s="2">
        <v>17</v>
      </c>
      <c r="B19" s="22">
        <v>-2.8997662957408465E-4</v>
      </c>
      <c r="C19" s="22">
        <v>-2.3514510007771597E-4</v>
      </c>
      <c r="D19" s="22">
        <v>5.4831529496368677E-5</v>
      </c>
    </row>
    <row r="20" spans="1:4" x14ac:dyDescent="0.25">
      <c r="A20" s="2">
        <v>18</v>
      </c>
      <c r="B20" s="22">
        <v>-1.700520297163165E-4</v>
      </c>
      <c r="C20" s="22">
        <v>-2.8331364046607648E-4</v>
      </c>
      <c r="D20" s="22">
        <v>1.1326161074975996E-4</v>
      </c>
    </row>
    <row r="21" spans="1:4" x14ac:dyDescent="0.25">
      <c r="A21" s="2">
        <v>19</v>
      </c>
      <c r="B21" s="22">
        <v>7.5501204992178654E-4</v>
      </c>
      <c r="C21" s="22">
        <v>-2.8409874357748798E-4</v>
      </c>
      <c r="D21" s="22">
        <v>1.0391107934992745E-3</v>
      </c>
    </row>
    <row r="22" spans="1:4" x14ac:dyDescent="0.25">
      <c r="A22" s="2">
        <v>20</v>
      </c>
      <c r="B22" s="22">
        <v>-1.6498562035849299E-4</v>
      </c>
      <c r="C22" s="22">
        <v>-2.48633819865063E-4</v>
      </c>
      <c r="D22" s="22">
        <v>2.6023085956694602E-4</v>
      </c>
    </row>
    <row r="23" spans="1:4" x14ac:dyDescent="0.25">
      <c r="A23" s="2">
        <v>21</v>
      </c>
      <c r="B23" s="22">
        <v>8.2498788833618251E-4</v>
      </c>
      <c r="C23" s="22">
        <v>-1.3275737728690745E-4</v>
      </c>
      <c r="D23" s="22">
        <v>9.5774526562309001E-4</v>
      </c>
    </row>
    <row r="24" spans="1:4" x14ac:dyDescent="0.25">
      <c r="A24" s="2">
        <v>22</v>
      </c>
      <c r="B24" s="22">
        <v>8.1002707156585594E-4</v>
      </c>
      <c r="C24" s="22">
        <v>5.4352625738829008E-5</v>
      </c>
      <c r="D24" s="22">
        <v>7.55674445827027E-4</v>
      </c>
    </row>
    <row r="25" spans="1:4" x14ac:dyDescent="0.25">
      <c r="A25" s="2">
        <v>23</v>
      </c>
      <c r="B25" s="22">
        <v>-2.0498036246863197E-4</v>
      </c>
      <c r="C25" s="22">
        <v>7.8738368756602989E-5</v>
      </c>
      <c r="D25" s="22">
        <v>5.4156028272700507E-4</v>
      </c>
    </row>
    <row r="26" spans="1:4" x14ac:dyDescent="0.25">
      <c r="A26" s="2">
        <v>24</v>
      </c>
      <c r="B26" s="22">
        <v>1.0849833488464336E-3</v>
      </c>
      <c r="C26" s="22">
        <v>6.4629450207575993E-5</v>
      </c>
      <c r="D26" s="22">
        <v>1.0203538986388574E-3</v>
      </c>
    </row>
    <row r="27" spans="1:4" x14ac:dyDescent="0.25">
      <c r="A27" s="2">
        <v>25</v>
      </c>
      <c r="B27" s="22">
        <v>-4.6497583389282498E-4</v>
      </c>
      <c r="C27" s="22">
        <v>4.7739988076500486E-5</v>
      </c>
      <c r="D27" s="22">
        <v>1.9339112477609896E-3</v>
      </c>
    </row>
    <row r="28" spans="1:4" x14ac:dyDescent="0.25">
      <c r="A28" s="2">
        <v>26</v>
      </c>
      <c r="B28" s="22">
        <v>4.99963702168315E-4</v>
      </c>
      <c r="C28" s="22">
        <v>-4.4727377826348015E-5</v>
      </c>
      <c r="D28" s="22">
        <v>8.0467693624086602E-4</v>
      </c>
    </row>
    <row r="29" spans="1:4" x14ac:dyDescent="0.25">
      <c r="A29" s="2">
        <v>27</v>
      </c>
      <c r="B29" s="22">
        <v>-8.0996751785278201E-4</v>
      </c>
      <c r="C29" s="22">
        <v>-1.2893688813164753E-4</v>
      </c>
      <c r="D29" s="22">
        <v>6.8103062972113451E-4</v>
      </c>
    </row>
    <row r="30" spans="1:4" x14ac:dyDescent="0.25">
      <c r="A30" s="2">
        <v>28</v>
      </c>
      <c r="B30" s="22">
        <v>-4.75049004307948E-4</v>
      </c>
      <c r="C30" s="22">
        <v>-1.6364211478503399E-4</v>
      </c>
      <c r="D30" s="22">
        <v>3.1140688952291401E-4</v>
      </c>
    </row>
    <row r="31" spans="1:4" x14ac:dyDescent="0.25">
      <c r="A31" s="2">
        <v>29</v>
      </c>
      <c r="B31" s="22">
        <v>-4.1002040961757297E-4</v>
      </c>
      <c r="C31" s="22">
        <v>-1.7500197645858864E-4</v>
      </c>
      <c r="D31" s="22">
        <v>6.5229576648562237E-4</v>
      </c>
    </row>
    <row r="32" spans="1:4" x14ac:dyDescent="0.25">
      <c r="A32" s="2">
        <v>30</v>
      </c>
      <c r="B32" s="22">
        <v>4.0000677472562551E-4</v>
      </c>
      <c r="C32" s="22">
        <v>-1.2380447333271174E-4</v>
      </c>
      <c r="D32" s="22">
        <v>5.2381124805833722E-4</v>
      </c>
    </row>
    <row r="33" spans="1:4" x14ac:dyDescent="0.25">
      <c r="A33" s="2">
        <v>31</v>
      </c>
      <c r="B33" s="22">
        <v>-1.7200112342834451E-3</v>
      </c>
      <c r="C33" s="22">
        <v>-9.3305810878518901E-5</v>
      </c>
      <c r="D33" s="22">
        <v>1.6267054234049261E-3</v>
      </c>
    </row>
    <row r="34" spans="1:4" x14ac:dyDescent="0.25">
      <c r="A34" s="2">
        <v>32</v>
      </c>
      <c r="B34" s="22">
        <v>-1.0749697685241699E-3</v>
      </c>
      <c r="C34" s="22">
        <v>-4.3839540012413995E-5</v>
      </c>
      <c r="D34" s="22">
        <v>1.1907334737770729E-3</v>
      </c>
    </row>
    <row r="35" spans="1:4" x14ac:dyDescent="0.25">
      <c r="A35" s="2">
        <v>33</v>
      </c>
      <c r="B35" s="22">
        <v>9.9956989288330295E-5</v>
      </c>
      <c r="C35" s="22">
        <v>-1.6213834896916496E-5</v>
      </c>
      <c r="D35" s="22">
        <v>1.641733360884252E-4</v>
      </c>
    </row>
    <row r="36" spans="1:4" x14ac:dyDescent="0.25">
      <c r="A36" s="2">
        <v>34</v>
      </c>
      <c r="B36" s="22">
        <v>-5.5497884750366254E-4</v>
      </c>
      <c r="C36" s="22">
        <v>-7.6272590376902507E-6</v>
      </c>
      <c r="D36" s="22">
        <v>5.4735158846597231E-4</v>
      </c>
    </row>
    <row r="37" spans="1:4" x14ac:dyDescent="0.25">
      <c r="A37" s="2">
        <v>35</v>
      </c>
      <c r="B37" s="22">
        <v>4.8506259918212847E-4</v>
      </c>
      <c r="C37" s="22">
        <v>7.1143022069009021E-6</v>
      </c>
      <c r="D37" s="22">
        <v>4.7794829697522757E-4</v>
      </c>
    </row>
    <row r="38" spans="1:4" x14ac:dyDescent="0.25">
      <c r="A38" s="2">
        <v>36</v>
      </c>
      <c r="B38" s="22">
        <v>5.4955497034825493E-5</v>
      </c>
      <c r="C38" s="22">
        <v>8.4237235569162159E-6</v>
      </c>
      <c r="D38" s="22">
        <v>4.2893746467598281E-4</v>
      </c>
    </row>
    <row r="39" spans="1:4" x14ac:dyDescent="0.25">
      <c r="A39" s="2">
        <v>37</v>
      </c>
      <c r="B39" s="22">
        <v>-6.0021899116691514E-5</v>
      </c>
      <c r="C39" s="22">
        <v>6.9772294864378745E-5</v>
      </c>
      <c r="D39" s="22">
        <v>3.0135208953652176E-4</v>
      </c>
    </row>
    <row r="40" spans="1:4" x14ac:dyDescent="0.25">
      <c r="A40" s="2">
        <v>38</v>
      </c>
      <c r="B40" s="22">
        <v>3.6250352795832428E-3</v>
      </c>
      <c r="C40" s="22">
        <v>1.22130506497342E-4</v>
      </c>
      <c r="D40" s="22">
        <v>3.5424238003542983E-3</v>
      </c>
    </row>
    <row r="41" spans="1:4" x14ac:dyDescent="0.25">
      <c r="A41" s="2">
        <v>39</v>
      </c>
      <c r="B41" s="22">
        <v>1.5503167378483351E-4</v>
      </c>
      <c r="C41" s="22">
        <v>1.2185017476440394E-4</v>
      </c>
      <c r="D41" s="22">
        <v>3.8024474997655456E-4</v>
      </c>
    </row>
    <row r="42" spans="1:4" x14ac:dyDescent="0.25">
      <c r="A42" s="2">
        <v>40</v>
      </c>
      <c r="B42" s="22">
        <v>9.3996518990024903E-4</v>
      </c>
      <c r="C42" s="22">
        <v>3.2804411603137986E-5</v>
      </c>
      <c r="D42" s="22">
        <v>9.0716077829711096E-4</v>
      </c>
    </row>
    <row r="43" spans="1:4" x14ac:dyDescent="0.25">
      <c r="A43" s="2">
        <v>41</v>
      </c>
      <c r="B43" s="22">
        <v>-2.1499395370483398E-4</v>
      </c>
      <c r="C43" s="22">
        <v>-1.1220364103792252E-4</v>
      </c>
      <c r="D43" s="22">
        <v>3.9085203752620146E-4</v>
      </c>
    </row>
    <row r="44" spans="1:4" x14ac:dyDescent="0.25">
      <c r="A44" s="2">
        <v>42</v>
      </c>
      <c r="B44" s="22">
        <v>-2.3001426598057148E-4</v>
      </c>
      <c r="C44" s="22">
        <v>-1.7467759607825398E-4</v>
      </c>
      <c r="D44" s="22">
        <v>1.7889875744003851E-4</v>
      </c>
    </row>
    <row r="45" spans="1:4" x14ac:dyDescent="0.25">
      <c r="A45" s="2">
        <v>43</v>
      </c>
      <c r="B45" s="22">
        <v>-1.9496677850838751E-4</v>
      </c>
      <c r="C45" s="22">
        <v>-1.603112574457555E-4</v>
      </c>
      <c r="D45" s="22">
        <v>1.3895094559757099E-4</v>
      </c>
    </row>
    <row r="46" spans="1:4" x14ac:dyDescent="0.25">
      <c r="A46" s="2">
        <v>44</v>
      </c>
      <c r="B46" s="22">
        <v>7.3498490382917247E-4</v>
      </c>
      <c r="C46" s="22">
        <v>-8.3092128079442949E-5</v>
      </c>
      <c r="D46" s="22">
        <v>8.1807703190861546E-4</v>
      </c>
    </row>
    <row r="47" spans="1:4" x14ac:dyDescent="0.25">
      <c r="A47" s="2">
        <v>45</v>
      </c>
      <c r="B47" s="22">
        <v>2.7501584554556746E-4</v>
      </c>
      <c r="C47" s="22">
        <v>-1.5803751011844494E-5</v>
      </c>
      <c r="D47" s="22">
        <v>4.6311095502460403E-4</v>
      </c>
    </row>
    <row r="48" spans="1:4" x14ac:dyDescent="0.25">
      <c r="A48" s="2">
        <v>46</v>
      </c>
      <c r="B48" s="22">
        <v>-1.0007618766394434E-4</v>
      </c>
      <c r="C48" s="22">
        <v>-2.9000888389418952E-5</v>
      </c>
      <c r="D48" s="22">
        <v>2.2369298494595569E-4</v>
      </c>
    </row>
    <row r="49" spans="1:4" x14ac:dyDescent="0.25">
      <c r="A49" s="2">
        <v>47</v>
      </c>
      <c r="B49" s="22">
        <v>-1.6999242507154106E-4</v>
      </c>
      <c r="C49" s="22">
        <v>-9.2478792794281603E-5</v>
      </c>
      <c r="D49" s="22">
        <v>8.4349350800039043E-5</v>
      </c>
    </row>
    <row r="50" spans="1:4" x14ac:dyDescent="0.25">
      <c r="A50" s="2">
        <v>48</v>
      </c>
      <c r="B50" s="22">
        <v>9.006263280753049E-5</v>
      </c>
      <c r="C50" s="22">
        <v>-1.004079986159923E-4</v>
      </c>
      <c r="D50" s="22">
        <v>4.7770533819857519E-4</v>
      </c>
    </row>
    <row r="51" spans="1:4" x14ac:dyDescent="0.25">
      <c r="A51" s="2">
        <v>49</v>
      </c>
      <c r="B51" s="22">
        <v>2.5999540230259007E-4</v>
      </c>
      <c r="C51" s="22">
        <v>-6.7354688553678124E-5</v>
      </c>
      <c r="D51" s="22">
        <v>1.3369994260301612E-3</v>
      </c>
    </row>
    <row r="52" spans="1:4" x14ac:dyDescent="0.25">
      <c r="A52" s="2">
        <v>50</v>
      </c>
      <c r="B52" s="22">
        <v>2.2749304771423349E-3</v>
      </c>
      <c r="C52" s="22">
        <v>6.1747388826915805E-5</v>
      </c>
      <c r="D52" s="22">
        <v>2.2131830883154193E-3</v>
      </c>
    </row>
    <row r="53" spans="1:4" x14ac:dyDescent="0.25">
      <c r="A53" s="2">
        <v>51</v>
      </c>
      <c r="B53" s="22">
        <v>-6.9993737270124452E-4</v>
      </c>
      <c r="C53" s="22">
        <v>1.0789954103529449E-4</v>
      </c>
      <c r="D53" s="22">
        <v>8.0783691373653905E-4</v>
      </c>
    </row>
    <row r="54" spans="1:4" x14ac:dyDescent="0.25">
      <c r="A54" s="2">
        <v>52</v>
      </c>
      <c r="B54" s="22">
        <v>-9.2995166778564496E-4</v>
      </c>
      <c r="C54" s="22">
        <v>-2.5737105170264802E-4</v>
      </c>
      <c r="D54" s="22">
        <v>6.72580616082997E-4</v>
      </c>
    </row>
    <row r="55" spans="1:4" x14ac:dyDescent="0.25">
      <c r="A55" s="2">
        <v>53</v>
      </c>
      <c r="B55" s="22">
        <v>5.4991245269775401E-4</v>
      </c>
      <c r="C55" s="22">
        <v>-1.8433372315485001E-4</v>
      </c>
      <c r="D55" s="22">
        <v>7.3424617585260399E-4</v>
      </c>
    </row>
    <row r="56" spans="1:4" x14ac:dyDescent="0.25">
      <c r="A56" s="2">
        <v>54</v>
      </c>
      <c r="B56" s="22">
        <v>7.6007843017578103E-4</v>
      </c>
      <c r="C56" s="22">
        <v>-1.3136286725057299E-5</v>
      </c>
      <c r="D56" s="22">
        <v>7.7321471690083832E-4</v>
      </c>
    </row>
    <row r="57" spans="1:4" x14ac:dyDescent="0.25">
      <c r="A57" s="2">
        <v>55</v>
      </c>
      <c r="B57" s="22">
        <v>-3.0040742785786299E-5</v>
      </c>
      <c r="C57" s="22">
        <v>1.13077796413563E-4</v>
      </c>
      <c r="D57" s="22">
        <v>1.4311853919934931E-4</v>
      </c>
    </row>
    <row r="58" spans="1:4" x14ac:dyDescent="0.25">
      <c r="A58" s="2">
        <v>56</v>
      </c>
      <c r="B58" s="22">
        <v>9.7000610549002897E-4</v>
      </c>
      <c r="C58" s="22">
        <v>6.8666930019389797E-5</v>
      </c>
      <c r="D58" s="22">
        <v>9.0133917547063924E-4</v>
      </c>
    </row>
    <row r="59" spans="1:4" x14ac:dyDescent="0.25">
      <c r="A59" s="2">
        <v>57</v>
      </c>
      <c r="B59" s="22">
        <v>-6.3002097886055697E-4</v>
      </c>
      <c r="C59" s="22">
        <v>-1.06561870779842E-4</v>
      </c>
      <c r="D59" s="22">
        <v>5.2345910808071505E-4</v>
      </c>
    </row>
    <row r="60" spans="1:4" x14ac:dyDescent="0.25">
      <c r="A60" s="2">
        <v>58</v>
      </c>
      <c r="B60" s="22">
        <v>-5.79953193664551E-4</v>
      </c>
      <c r="C60" s="22">
        <v>-2.7640722692012798E-4</v>
      </c>
      <c r="D60" s="22">
        <v>3.0354596674442302E-4</v>
      </c>
    </row>
    <row r="61" spans="1:4" x14ac:dyDescent="0.25">
      <c r="A61" s="2">
        <v>59</v>
      </c>
      <c r="B61" s="22">
        <v>-3.20076971547678E-4</v>
      </c>
      <c r="C61" s="22">
        <v>-4.0724631980992902E-4</v>
      </c>
      <c r="D61" s="22">
        <v>8.7169348262251006E-5</v>
      </c>
    </row>
    <row r="62" spans="1:4" x14ac:dyDescent="0.25">
      <c r="A62" s="2">
        <v>60</v>
      </c>
      <c r="B62" s="22">
        <v>-9.4997877022251498E-4</v>
      </c>
      <c r="C62" s="22">
        <v>-3.98746255086735E-4</v>
      </c>
      <c r="D62" s="22">
        <v>5.5123251513577998E-4</v>
      </c>
    </row>
    <row r="63" spans="1:4" x14ac:dyDescent="0.25">
      <c r="A63" s="2">
        <v>61</v>
      </c>
      <c r="B63" s="22">
        <v>-6.9975860242266194E-5</v>
      </c>
      <c r="C63" s="22">
        <v>-2.8039826429449E-4</v>
      </c>
      <c r="D63" s="22">
        <v>2.1042240405222379E-4</v>
      </c>
    </row>
    <row r="64" spans="1:4" x14ac:dyDescent="0.25">
      <c r="A64" s="2">
        <v>62</v>
      </c>
      <c r="B64" s="22">
        <v>-1.6999246145132899E-4</v>
      </c>
      <c r="C64" s="22">
        <v>-9.3245354946702705E-5</v>
      </c>
      <c r="D64" s="22">
        <v>7.6747106504626301E-5</v>
      </c>
    </row>
    <row r="65" spans="1:4" x14ac:dyDescent="0.25">
      <c r="A65" s="2">
        <v>63</v>
      </c>
      <c r="B65" s="22">
        <v>2.3996829986572301E-4</v>
      </c>
      <c r="C65" s="22">
        <v>7.9460965935140794E-5</v>
      </c>
      <c r="D65" s="22">
        <v>1.6050733393058219E-4</v>
      </c>
    </row>
    <row r="66" spans="1:4" x14ac:dyDescent="0.25">
      <c r="A66" s="2">
        <v>64</v>
      </c>
      <c r="B66" s="22">
        <v>6.9975860242266194E-5</v>
      </c>
      <c r="C66" s="22">
        <v>8.3220518718008006E-5</v>
      </c>
      <c r="D66" s="22">
        <v>1.32446584757418E-5</v>
      </c>
    </row>
    <row r="67" spans="1:4" x14ac:dyDescent="0.25">
      <c r="A67" s="2">
        <v>65</v>
      </c>
      <c r="B67" s="22">
        <v>1.6999244689941401E-4</v>
      </c>
      <c r="C67" s="22">
        <v>9.2148235125932802E-5</v>
      </c>
      <c r="D67" s="22">
        <v>7.7844211773481206E-5</v>
      </c>
    </row>
    <row r="68" spans="1:4" x14ac:dyDescent="0.25">
      <c r="A68" s="2">
        <v>66</v>
      </c>
      <c r="B68" s="22">
        <v>2.7000904083252002E-4</v>
      </c>
      <c r="C68" s="22">
        <v>-6.2841703766025603E-5</v>
      </c>
      <c r="D68" s="22">
        <v>3.3285074459854562E-4</v>
      </c>
    </row>
    <row r="69" spans="1:4" x14ac:dyDescent="0.25">
      <c r="A69" s="2">
        <v>67</v>
      </c>
      <c r="B69" s="22">
        <v>-6.9975860242266194E-5</v>
      </c>
      <c r="C69" s="22">
        <v>-1.5686685219407101E-4</v>
      </c>
      <c r="D69" s="22">
        <v>8.6890991951804798E-5</v>
      </c>
    </row>
    <row r="70" spans="1:4" x14ac:dyDescent="0.25">
      <c r="A70" s="2">
        <v>68</v>
      </c>
      <c r="B70" s="22">
        <v>-7.7998643973842296E-4</v>
      </c>
      <c r="C70" s="22">
        <v>-1.2507050996646301E-4</v>
      </c>
      <c r="D70" s="22">
        <v>6.5491592977196E-4</v>
      </c>
    </row>
    <row r="71" spans="1:4" x14ac:dyDescent="0.25">
      <c r="A71" s="2">
        <v>69</v>
      </c>
      <c r="B71" s="22">
        <v>5.8996677398681597E-4</v>
      </c>
      <c r="C71" s="22">
        <v>-1.2621133646462099E-4</v>
      </c>
      <c r="D71" s="22">
        <v>7.1617811045143699E-4</v>
      </c>
    </row>
    <row r="72" spans="1:4" x14ac:dyDescent="0.25">
      <c r="A72" s="2">
        <v>70</v>
      </c>
      <c r="B72" s="22">
        <v>-2.2995473409537199E-4</v>
      </c>
      <c r="C72" s="22">
        <v>-1.61287534865551E-4</v>
      </c>
      <c r="D72" s="22">
        <v>6.8667199229820994E-5</v>
      </c>
    </row>
    <row r="73" spans="1:4" x14ac:dyDescent="0.25">
      <c r="A73" s="2">
        <v>71</v>
      </c>
      <c r="B73" s="22">
        <v>-6.3002097886055697E-4</v>
      </c>
      <c r="C73" s="22">
        <v>-2.1554017439484599E-4</v>
      </c>
      <c r="D73" s="22">
        <v>4.1448080446571101E-4</v>
      </c>
    </row>
    <row r="74" spans="1:4" x14ac:dyDescent="0.25">
      <c r="A74" s="2">
        <v>72</v>
      </c>
      <c r="B74" s="22">
        <v>-3.1995773315429698E-4</v>
      </c>
      <c r="C74" s="22">
        <v>-2.0382687216624601E-4</v>
      </c>
      <c r="D74" s="22">
        <v>1.16130860988051E-4</v>
      </c>
    </row>
    <row r="75" spans="1:4" x14ac:dyDescent="0.25">
      <c r="A75" s="2">
        <v>73</v>
      </c>
      <c r="B75" s="22">
        <v>-4.9006933113560102E-4</v>
      </c>
      <c r="C75" s="22">
        <v>-1.77291673026048E-4</v>
      </c>
      <c r="D75" s="22">
        <v>3.12777658109553E-4</v>
      </c>
    </row>
    <row r="76" spans="1:4" x14ac:dyDescent="0.25">
      <c r="A76" s="2">
        <v>74</v>
      </c>
      <c r="B76" s="22">
        <v>-1.90019651199691E-4</v>
      </c>
      <c r="C76" s="22">
        <v>-5.4605174227617701E-5</v>
      </c>
      <c r="D76" s="22">
        <v>1.3541447697207329E-4</v>
      </c>
    </row>
    <row r="77" spans="1:4" x14ac:dyDescent="0.25">
      <c r="A77" s="2">
        <v>75</v>
      </c>
      <c r="B77" s="22">
        <v>1.46007526200265E-3</v>
      </c>
      <c r="C77" s="22">
        <v>-2.59468379226746E-5</v>
      </c>
      <c r="D77" s="22">
        <v>1.4860220999253246E-3</v>
      </c>
    </row>
    <row r="78" spans="1:4" x14ac:dyDescent="0.25">
      <c r="A78" s="2">
        <v>76</v>
      </c>
      <c r="B78" s="22">
        <v>-3.2997128437273199E-4</v>
      </c>
      <c r="C78" s="22">
        <v>-9.45849023992196E-5</v>
      </c>
      <c r="D78" s="22">
        <v>2.3538638197351239E-4</v>
      </c>
    </row>
    <row r="79" spans="1:4" x14ac:dyDescent="0.25">
      <c r="A79" s="2">
        <v>77</v>
      </c>
      <c r="B79" s="22">
        <v>1.59978866577148E-4</v>
      </c>
      <c r="C79" s="22">
        <v>-4.7097790229599903E-5</v>
      </c>
      <c r="D79" s="22">
        <v>2.070766568067479E-4</v>
      </c>
    </row>
    <row r="80" spans="1:4" x14ac:dyDescent="0.25">
      <c r="A80" s="2">
        <v>78</v>
      </c>
      <c r="B80" s="22">
        <v>-1.9199847010895599E-3</v>
      </c>
      <c r="C80" s="22">
        <v>9.2922373369219696E-6</v>
      </c>
      <c r="D80" s="22">
        <v>1.9292769384264819E-3</v>
      </c>
    </row>
    <row r="81" spans="1:4" x14ac:dyDescent="0.25">
      <c r="A81" s="2">
        <v>79</v>
      </c>
      <c r="B81" s="22">
        <v>5.79953193664551E-4</v>
      </c>
      <c r="C81" s="22">
        <v>1.98787602130324E-4</v>
      </c>
      <c r="D81" s="22">
        <v>3.8116559153422702E-4</v>
      </c>
    </row>
    <row r="82" spans="1:4" x14ac:dyDescent="0.25">
      <c r="A82" s="2">
        <v>80</v>
      </c>
      <c r="B82" s="22">
        <v>-1.13999843597412E-3</v>
      </c>
      <c r="C82" s="22">
        <v>2.5764532620087298E-4</v>
      </c>
      <c r="D82" s="22">
        <v>1.3976437621749931E-3</v>
      </c>
    </row>
    <row r="83" spans="1:4" x14ac:dyDescent="0.25">
      <c r="A83" s="2">
        <v>81</v>
      </c>
      <c r="B83" s="22">
        <v>-2.4000406265258802E-3</v>
      </c>
      <c r="C83" s="22">
        <v>1.31069013150409E-4</v>
      </c>
      <c r="D83" s="22">
        <v>2.5311096396762891E-3</v>
      </c>
    </row>
    <row r="84" spans="1:4" x14ac:dyDescent="0.25">
      <c r="A84" s="2">
        <v>82</v>
      </c>
      <c r="B84" s="22">
        <v>1.0800361633300801E-3</v>
      </c>
      <c r="C84" s="22">
        <v>-1.8722064851317599E-5</v>
      </c>
      <c r="D84" s="22">
        <v>1.0987582281813976E-3</v>
      </c>
    </row>
    <row r="85" spans="1:4" x14ac:dyDescent="0.25">
      <c r="A85" s="2">
        <v>83</v>
      </c>
      <c r="B85" s="22">
        <v>-5.79953193664551E-4</v>
      </c>
      <c r="C85" s="22">
        <v>-2.7898186817765198E-4</v>
      </c>
      <c r="D85" s="22">
        <v>3.0097132548689902E-4</v>
      </c>
    </row>
    <row r="86" spans="1:4" x14ac:dyDescent="0.25">
      <c r="A86" s="2">
        <v>84</v>
      </c>
      <c r="B86" s="22">
        <v>1.4996527170296799E-4</v>
      </c>
      <c r="C86" s="22">
        <v>-3.2759082387201499E-4</v>
      </c>
      <c r="D86" s="22">
        <v>4.7755609557498301E-4</v>
      </c>
    </row>
    <row r="87" spans="1:4" x14ac:dyDescent="0.25">
      <c r="A87" s="2">
        <v>85</v>
      </c>
      <c r="B87" s="22">
        <v>-1.20043754577637E-4</v>
      </c>
      <c r="C87" s="22">
        <v>-1.4250581443775399E-4</v>
      </c>
      <c r="D87" s="22">
        <v>2.2462059860117002E-5</v>
      </c>
    </row>
    <row r="88" spans="1:4" x14ac:dyDescent="0.25">
      <c r="A88" s="2">
        <v>86</v>
      </c>
      <c r="B88" s="22">
        <v>2.7000904083252002E-4</v>
      </c>
      <c r="C88" s="22">
        <v>-4.9743510317057398E-5</v>
      </c>
      <c r="D88" s="22">
        <v>3.1975255114957739E-4</v>
      </c>
    </row>
    <row r="89" spans="1:4" x14ac:dyDescent="0.25">
      <c r="A89" s="2">
        <v>87</v>
      </c>
      <c r="B89" s="22">
        <v>-5.9962265368085402E-5</v>
      </c>
      <c r="C89" s="22">
        <v>1.64224147738423E-5</v>
      </c>
      <c r="D89" s="22">
        <v>7.6384680141927702E-5</v>
      </c>
    </row>
    <row r="90" spans="1:4" x14ac:dyDescent="0.25">
      <c r="A90" s="2">
        <v>88</v>
      </c>
      <c r="B90" s="22">
        <v>6.5004825592041005E-4</v>
      </c>
      <c r="C90" s="22">
        <v>1.60706131282495E-5</v>
      </c>
      <c r="D90" s="22">
        <v>6.3397764279216051E-4</v>
      </c>
    </row>
    <row r="91" spans="1:4" x14ac:dyDescent="0.25">
      <c r="A91" s="2">
        <v>89</v>
      </c>
      <c r="B91" s="22">
        <v>7.5995933730155197E-4</v>
      </c>
      <c r="C91" s="22">
        <v>-1.3883295468985999E-4</v>
      </c>
      <c r="D91" s="22">
        <v>8.9879229199141199E-4</v>
      </c>
    </row>
    <row r="92" spans="1:4" x14ac:dyDescent="0.25">
      <c r="A92" s="2">
        <v>90</v>
      </c>
      <c r="B92" s="22">
        <v>-1.4996527170296799E-4</v>
      </c>
      <c r="C92" s="22">
        <v>-1.6587337086093598E-5</v>
      </c>
      <c r="D92" s="22">
        <v>1.3337793461687441E-4</v>
      </c>
    </row>
    <row r="93" spans="1:4" x14ac:dyDescent="0.25">
      <c r="A93" s="2">
        <v>91</v>
      </c>
      <c r="B93" s="22">
        <v>6.4992904663085905E-4</v>
      </c>
      <c r="C93" s="22">
        <v>7.8298020525835495E-5</v>
      </c>
      <c r="D93" s="22">
        <v>5.7163102610502349E-4</v>
      </c>
    </row>
    <row r="94" spans="1:4" x14ac:dyDescent="0.25">
      <c r="A94" s="2">
        <v>92</v>
      </c>
      <c r="B94" s="22">
        <v>5.0067890697391697E-5</v>
      </c>
      <c r="C94" s="22">
        <v>5.6083972594933598E-5</v>
      </c>
      <c r="D94" s="22">
        <v>6.0160818975419001E-6</v>
      </c>
    </row>
    <row r="95" spans="1:4" x14ac:dyDescent="0.25">
      <c r="A95" s="2">
        <v>93</v>
      </c>
      <c r="B95" s="22">
        <v>-4.1007995605468799E-4</v>
      </c>
      <c r="C95" s="22">
        <v>-2.4296865376527401E-5</v>
      </c>
      <c r="D95" s="22">
        <v>3.8578309067816062E-4</v>
      </c>
    </row>
    <row r="96" spans="1:4" x14ac:dyDescent="0.25">
      <c r="A96" s="2">
        <v>94</v>
      </c>
      <c r="B96" s="22">
        <v>-1.30999099928886E-3</v>
      </c>
      <c r="C96" s="22">
        <v>-2.60870612692088E-4</v>
      </c>
      <c r="D96" s="22">
        <v>1.0491203865967719E-3</v>
      </c>
    </row>
    <row r="97" spans="1:4" x14ac:dyDescent="0.25">
      <c r="A97" s="2">
        <v>95</v>
      </c>
      <c r="B97" s="22">
        <v>-4.9948670493904501E-5</v>
      </c>
      <c r="C97" s="22">
        <v>-2.01956092496403E-4</v>
      </c>
      <c r="D97" s="22">
        <v>1.5200742200249849E-4</v>
      </c>
    </row>
    <row r="98" spans="1:4" x14ac:dyDescent="0.25">
      <c r="A98" s="2">
        <v>96</v>
      </c>
      <c r="B98" s="22">
        <v>-3.3998492290265902E-4</v>
      </c>
      <c r="C98" s="22">
        <v>-4.9306909204460701E-5</v>
      </c>
      <c r="D98" s="22">
        <v>2.9067801369819828E-4</v>
      </c>
    </row>
    <row r="99" spans="1:4" x14ac:dyDescent="0.25">
      <c r="A99" s="2">
        <v>97</v>
      </c>
      <c r="B99" s="22">
        <v>-2.1004675363656101E-4</v>
      </c>
      <c r="C99" s="22">
        <v>4.8197933210758499E-5</v>
      </c>
      <c r="D99" s="22">
        <v>2.582446868473195E-4</v>
      </c>
    </row>
    <row r="100" spans="1:4" x14ac:dyDescent="0.25">
      <c r="A100" s="2">
        <v>98</v>
      </c>
      <c r="B100" s="22">
        <v>1.0013595783675599E-5</v>
      </c>
      <c r="C100" s="22">
        <v>1.20839504234027E-4</v>
      </c>
      <c r="D100" s="22">
        <v>1.108259084503514E-4</v>
      </c>
    </row>
    <row r="101" spans="1:4" x14ac:dyDescent="0.25">
      <c r="A101" s="2">
        <v>99</v>
      </c>
      <c r="B101" s="22">
        <v>1.0700225830078099E-3</v>
      </c>
      <c r="C101" s="22">
        <v>6.2814673583488898E-5</v>
      </c>
      <c r="D101" s="22">
        <v>1.0072079094243212E-3</v>
      </c>
    </row>
    <row r="102" spans="1:4" x14ac:dyDescent="0.25">
      <c r="A102" s="2">
        <v>100</v>
      </c>
      <c r="B102" s="22">
        <v>-1.50084495544434E-4</v>
      </c>
      <c r="C102" s="22">
        <v>-8.35452519822866E-5</v>
      </c>
      <c r="D102" s="22">
        <v>6.6539243562147401E-5</v>
      </c>
    </row>
    <row r="103" spans="1:4" x14ac:dyDescent="0.25">
      <c r="A103" s="2">
        <v>101</v>
      </c>
      <c r="B103" s="22">
        <v>-3.5989281604997797E-4</v>
      </c>
      <c r="C103" s="22">
        <v>-9.1357993369456394E-5</v>
      </c>
      <c r="D103" s="22">
        <v>2.6853482268052159E-4</v>
      </c>
    </row>
    <row r="104" spans="1:4" x14ac:dyDescent="0.25">
      <c r="A104" s="2">
        <v>102</v>
      </c>
      <c r="B104" s="22">
        <v>1.42991542816162E-3</v>
      </c>
      <c r="C104" s="22">
        <v>-3.4482643968658501E-5</v>
      </c>
      <c r="D104" s="22">
        <v>1.4643980721302785E-3</v>
      </c>
    </row>
    <row r="105" spans="1:4" x14ac:dyDescent="0.25">
      <c r="A105" s="2">
        <v>103</v>
      </c>
      <c r="B105" s="22">
        <v>2.3500919342040998E-3</v>
      </c>
      <c r="C105" s="22">
        <v>-1.49198694998631E-5</v>
      </c>
      <c r="D105" s="22">
        <v>2.365011803703963E-3</v>
      </c>
    </row>
    <row r="106" spans="1:4" x14ac:dyDescent="0.25">
      <c r="A106" s="2">
        <v>104</v>
      </c>
      <c r="B106" s="22">
        <v>-4.0006640483625201E-4</v>
      </c>
      <c r="C106" s="22">
        <v>5.24817332916427E-5</v>
      </c>
      <c r="D106" s="22">
        <v>4.5254813812789469E-4</v>
      </c>
    </row>
    <row r="107" spans="1:4" x14ac:dyDescent="0.25">
      <c r="A107" s="2">
        <v>105</v>
      </c>
      <c r="B107" s="22">
        <v>3.4999847412109402E-4</v>
      </c>
      <c r="C107" s="22">
        <v>-9.0327695943415206E-5</v>
      </c>
      <c r="D107" s="22">
        <v>4.4032617006450919E-4</v>
      </c>
    </row>
    <row r="108" spans="1:4" x14ac:dyDescent="0.25">
      <c r="A108" s="2">
        <v>106</v>
      </c>
      <c r="B108" s="22">
        <v>-1.10030196083244E-4</v>
      </c>
      <c r="C108" s="22">
        <v>-1.9576297199819199E-4</v>
      </c>
      <c r="D108" s="22">
        <v>8.5732775914948E-5</v>
      </c>
    </row>
    <row r="109" spans="1:4" x14ac:dyDescent="0.25">
      <c r="A109" s="2">
        <v>107</v>
      </c>
      <c r="B109" s="22">
        <v>3.1006336212158198E-4</v>
      </c>
      <c r="C109" s="22">
        <v>-1.8345615535508801E-4</v>
      </c>
      <c r="D109" s="22">
        <v>4.9351951747667001E-4</v>
      </c>
    </row>
    <row r="110" spans="1:4" x14ac:dyDescent="0.25">
      <c r="A110" s="2">
        <v>108</v>
      </c>
      <c r="B110" s="22">
        <v>7.6997280120849599E-4</v>
      </c>
      <c r="C110" s="22">
        <v>-1.6472629795316601E-4</v>
      </c>
      <c r="D110" s="22">
        <v>9.3469909916166205E-4</v>
      </c>
    </row>
    <row r="111" spans="1:4" x14ac:dyDescent="0.25">
      <c r="A111" s="2">
        <v>109</v>
      </c>
      <c r="B111" s="22">
        <v>1.20043754577637E-4</v>
      </c>
      <c r="C111" s="22">
        <v>-1.55598463607021E-4</v>
      </c>
      <c r="D111" s="22">
        <v>2.7564221818465799E-4</v>
      </c>
    </row>
    <row r="112" spans="1:4" x14ac:dyDescent="0.25">
      <c r="A112" s="2">
        <v>110</v>
      </c>
      <c r="B112" s="22">
        <v>-3.9005276630632601E-4</v>
      </c>
      <c r="C112" s="22">
        <v>-1.4271771942731001E-4</v>
      </c>
      <c r="D112" s="22">
        <v>2.4733504687901603E-4</v>
      </c>
    </row>
    <row r="113" spans="1:4" x14ac:dyDescent="0.25">
      <c r="A113" s="2">
        <v>111</v>
      </c>
      <c r="B113" s="22">
        <v>-3.0994418193586198E-4</v>
      </c>
      <c r="C113" s="22">
        <v>-1.4217526768334199E-4</v>
      </c>
      <c r="D113" s="22">
        <v>1.6776891425251999E-4</v>
      </c>
    </row>
    <row r="114" spans="1:4" x14ac:dyDescent="0.25">
      <c r="A114" s="2">
        <v>112</v>
      </c>
      <c r="B114" s="22">
        <v>-4.6002859016880398E-4</v>
      </c>
      <c r="C114" s="22">
        <v>-1.4061578258406401E-4</v>
      </c>
      <c r="D114" s="22">
        <v>3.1941280758474E-4</v>
      </c>
    </row>
    <row r="115" spans="1:4" x14ac:dyDescent="0.25">
      <c r="A115" s="2">
        <v>113</v>
      </c>
      <c r="B115" s="22">
        <v>-2.4998182198032699E-4</v>
      </c>
      <c r="C115" s="22">
        <v>-8.86136513145175E-6</v>
      </c>
      <c r="D115" s="22">
        <v>2.4112045684887524E-4</v>
      </c>
    </row>
    <row r="116" spans="1:4" x14ac:dyDescent="0.25">
      <c r="A116" s="2">
        <v>114</v>
      </c>
      <c r="B116" s="22">
        <v>-1.10030196083244E-4</v>
      </c>
      <c r="C116" s="22">
        <v>7.0148918894119601E-5</v>
      </c>
      <c r="D116" s="22">
        <v>1.8017911497736361E-4</v>
      </c>
    </row>
    <row r="117" spans="1:4" x14ac:dyDescent="0.25">
      <c r="A117" s="2">
        <v>115</v>
      </c>
      <c r="B117" s="22">
        <v>1.9001960754394499E-4</v>
      </c>
      <c r="C117" s="22">
        <v>1.2582291674334599E-4</v>
      </c>
      <c r="D117" s="22">
        <v>6.4196690800598995E-5</v>
      </c>
    </row>
    <row r="118" spans="1:4" x14ac:dyDescent="0.25">
      <c r="A118" s="2">
        <v>116</v>
      </c>
      <c r="B118" s="22">
        <v>-3.1006333301775201E-4</v>
      </c>
      <c r="C118" s="22">
        <v>1.6683389549143599E-4</v>
      </c>
      <c r="D118" s="22">
        <v>4.7689722850918802E-4</v>
      </c>
    </row>
    <row r="119" spans="1:4" x14ac:dyDescent="0.25">
      <c r="A119" s="2">
        <v>117</v>
      </c>
      <c r="B119" s="22">
        <v>1.10030196083244E-4</v>
      </c>
      <c r="C119" s="22">
        <v>7.0521666202694205E-5</v>
      </c>
      <c r="D119" s="22">
        <v>3.9508529880549799E-5</v>
      </c>
    </row>
    <row r="120" spans="1:4" x14ac:dyDescent="0.25">
      <c r="A120" s="2">
        <v>118</v>
      </c>
      <c r="B120" s="22">
        <v>2.0003318786621099E-4</v>
      </c>
      <c r="C120" s="22">
        <v>-1.01000980066601E-4</v>
      </c>
      <c r="D120" s="22">
        <v>3.0103416793281202E-4</v>
      </c>
    </row>
    <row r="121" spans="1:4" x14ac:dyDescent="0.25">
      <c r="A121" s="2">
        <v>119</v>
      </c>
      <c r="B121" s="22">
        <v>8.4996217628940897E-4</v>
      </c>
      <c r="C121" s="22">
        <v>-2.1030422067269699E-4</v>
      </c>
      <c r="D121" s="22">
        <v>1.060266396962106E-3</v>
      </c>
    </row>
    <row r="122" spans="1:4" x14ac:dyDescent="0.25">
      <c r="A122" s="2">
        <v>120</v>
      </c>
      <c r="B122" s="22">
        <v>2.0027147911605401E-5</v>
      </c>
      <c r="C122" s="22">
        <v>-2.17881897697225E-4</v>
      </c>
      <c r="D122" s="22">
        <v>2.3790904560883039E-4</v>
      </c>
    </row>
    <row r="123" spans="1:4" x14ac:dyDescent="0.25">
      <c r="A123" s="2">
        <v>121</v>
      </c>
      <c r="B123" s="22">
        <v>2.0027147911605401E-5</v>
      </c>
      <c r="C123" s="22">
        <v>-2.2315632668323801E-4</v>
      </c>
      <c r="D123" s="22">
        <v>2.4318347459484341E-4</v>
      </c>
    </row>
    <row r="124" spans="1:4" x14ac:dyDescent="0.25">
      <c r="A124" s="2">
        <v>122</v>
      </c>
      <c r="B124" s="22">
        <v>-1.6009804676286901E-4</v>
      </c>
      <c r="C124" s="22">
        <v>-6.2761711888015297E-5</v>
      </c>
      <c r="D124" s="22">
        <v>9.7336334874853695E-5</v>
      </c>
    </row>
    <row r="125" spans="1:4" x14ac:dyDescent="0.25">
      <c r="A125" s="2">
        <v>123</v>
      </c>
      <c r="B125" s="22">
        <v>-2.99215225822991E-5</v>
      </c>
      <c r="C125" s="22">
        <v>1.11502391519025E-4</v>
      </c>
      <c r="D125" s="22">
        <v>1.414239141013241E-4</v>
      </c>
    </row>
    <row r="126" spans="1:4" x14ac:dyDescent="0.25">
      <c r="A126" s="2">
        <v>124</v>
      </c>
      <c r="B126" s="22">
        <v>-9.3007093528285601E-4</v>
      </c>
      <c r="C126" s="22">
        <v>1.3347962521947901E-4</v>
      </c>
      <c r="D126" s="22">
        <v>1.063550560502335E-3</v>
      </c>
    </row>
    <row r="127" spans="1:4" x14ac:dyDescent="0.25">
      <c r="A127" s="2">
        <v>125</v>
      </c>
      <c r="B127" s="22">
        <v>1.0900497436523401E-3</v>
      </c>
      <c r="C127" s="22">
        <v>2.16271742829122E-4</v>
      </c>
      <c r="D127" s="22">
        <v>8.7377800082321798E-4</v>
      </c>
    </row>
    <row r="128" spans="1:4" x14ac:dyDescent="0.25">
      <c r="A128" s="2">
        <v>126</v>
      </c>
      <c r="B128" s="22">
        <v>2.7699472848325998E-3</v>
      </c>
      <c r="C128" s="22">
        <v>2.6945225545205198E-4</v>
      </c>
      <c r="D128" s="22">
        <v>2.5004950293805481E-3</v>
      </c>
    </row>
    <row r="129" spans="1:4" x14ac:dyDescent="0.25">
      <c r="A129" s="2">
        <v>127</v>
      </c>
      <c r="B129" s="22">
        <v>1.3300180435180701E-3</v>
      </c>
      <c r="C129" s="22">
        <v>7.8647593909408897E-5</v>
      </c>
      <c r="D129" s="22">
        <v>1.2513704496086612E-3</v>
      </c>
    </row>
    <row r="130" spans="1:4" x14ac:dyDescent="0.25">
      <c r="A130" s="2">
        <v>128</v>
      </c>
      <c r="B130" s="22">
        <v>3.2007694244384798E-4</v>
      </c>
      <c r="C130" s="22">
        <v>-1.1379674833733601E-4</v>
      </c>
      <c r="D130" s="22">
        <v>4.3387369078118397E-4</v>
      </c>
    </row>
    <row r="131" spans="1:4" x14ac:dyDescent="0.25">
      <c r="A131" s="2">
        <v>129</v>
      </c>
      <c r="B131" s="22">
        <v>-3.4999847412109402E-4</v>
      </c>
      <c r="C131" s="22">
        <v>-2.47009098529816E-4</v>
      </c>
      <c r="D131" s="22">
        <v>1.0298937559127799E-4</v>
      </c>
    </row>
    <row r="132" spans="1:4" x14ac:dyDescent="0.25">
      <c r="A132" s="2">
        <v>130</v>
      </c>
      <c r="B132" s="22">
        <v>5.9962265368085402E-5</v>
      </c>
      <c r="C132" s="22">
        <v>-3.3085176255553999E-4</v>
      </c>
      <c r="D132" s="22">
        <v>3.908140279236254E-4</v>
      </c>
    </row>
    <row r="133" spans="1:4" x14ac:dyDescent="0.25">
      <c r="A133" s="2">
        <v>131</v>
      </c>
      <c r="B133" s="22">
        <v>-3.9005276630632601E-4</v>
      </c>
      <c r="C133" s="22">
        <v>-2.7605699142441202E-4</v>
      </c>
      <c r="D133" s="22">
        <v>1.13995774881914E-4</v>
      </c>
    </row>
    <row r="134" spans="1:4" x14ac:dyDescent="0.25">
      <c r="A134" s="2">
        <v>132</v>
      </c>
      <c r="B134" s="22">
        <v>2.1004675363656101E-4</v>
      </c>
      <c r="C134" s="22">
        <v>-1.2601404159795501E-4</v>
      </c>
      <c r="D134" s="22">
        <v>3.3606079523451599E-4</v>
      </c>
    </row>
    <row r="135" spans="1:4" x14ac:dyDescent="0.25">
      <c r="A135" s="2">
        <v>133</v>
      </c>
      <c r="B135" s="22">
        <v>-4.0054339478956502E-5</v>
      </c>
      <c r="C135" s="22">
        <v>3.9877388189779601E-5</v>
      </c>
      <c r="D135" s="22">
        <v>7.9931727668736103E-5</v>
      </c>
    </row>
    <row r="136" spans="1:4" x14ac:dyDescent="0.25">
      <c r="A136" s="2">
        <v>134</v>
      </c>
      <c r="B136" s="22">
        <v>-2.6988980243913802E-4</v>
      </c>
      <c r="C136" s="22">
        <v>1.2268457794562001E-4</v>
      </c>
      <c r="D136" s="22">
        <v>3.9257438038475801E-4</v>
      </c>
    </row>
    <row r="137" spans="1:4" x14ac:dyDescent="0.25">
      <c r="A137" s="2">
        <v>135</v>
      </c>
      <c r="B137" s="22">
        <v>5.9962265368085402E-5</v>
      </c>
      <c r="C137" s="22">
        <v>1.9292203069198901E-4</v>
      </c>
      <c r="D137" s="22">
        <v>1.329597653239036E-4</v>
      </c>
    </row>
    <row r="138" spans="1:4" x14ac:dyDescent="0.25">
      <c r="A138" s="2">
        <v>136</v>
      </c>
      <c r="B138" s="22">
        <v>3.7002566386945502E-4</v>
      </c>
      <c r="C138" s="22">
        <v>1.57179485540837E-4</v>
      </c>
      <c r="D138" s="22">
        <v>2.12846178328618E-4</v>
      </c>
    </row>
    <row r="139" spans="1:4" x14ac:dyDescent="0.25">
      <c r="A139" s="2">
        <v>137</v>
      </c>
      <c r="B139" s="22">
        <v>-2.1004675363656101E-4</v>
      </c>
      <c r="C139" s="22">
        <v>-3.9081638533389203E-5</v>
      </c>
      <c r="D139" s="22">
        <v>1.7096511510317181E-4</v>
      </c>
    </row>
    <row r="140" spans="1:4" x14ac:dyDescent="0.25">
      <c r="A140" s="2">
        <v>138</v>
      </c>
      <c r="B140" s="22">
        <v>4.5001509715803E-4</v>
      </c>
      <c r="C140" s="22">
        <v>-1.5870133938733499E-4</v>
      </c>
      <c r="D140" s="22">
        <v>6.0871643654536499E-4</v>
      </c>
    </row>
    <row r="141" spans="1:4" x14ac:dyDescent="0.25">
      <c r="A141" s="2">
        <v>139</v>
      </c>
      <c r="B141" s="22">
        <v>-2.1004675363656101E-4</v>
      </c>
      <c r="C141" s="22">
        <v>-1.9660979160107699E-4</v>
      </c>
      <c r="D141" s="22">
        <v>1.3436962035484E-5</v>
      </c>
    </row>
    <row r="142" spans="1:4" x14ac:dyDescent="0.25">
      <c r="A142" s="2">
        <v>140</v>
      </c>
      <c r="B142" s="22">
        <v>-9.0992450714111296E-4</v>
      </c>
      <c r="C142" s="22">
        <v>-1.89729209523648E-4</v>
      </c>
      <c r="D142" s="22">
        <v>7.2019529761746504E-4</v>
      </c>
    </row>
    <row r="143" spans="1:4" x14ac:dyDescent="0.25">
      <c r="A143" s="2">
        <v>141</v>
      </c>
      <c r="B143" s="22">
        <v>3.9935119275469299E-5</v>
      </c>
      <c r="C143" s="22">
        <v>-1.9614429038483601E-4</v>
      </c>
      <c r="D143" s="22">
        <v>2.3607940966030531E-4</v>
      </c>
    </row>
    <row r="144" spans="1:4" x14ac:dyDescent="0.25">
      <c r="A144" s="2">
        <v>142</v>
      </c>
      <c r="B144" s="22">
        <v>6.0081485571572598E-5</v>
      </c>
      <c r="C144" s="22">
        <v>-1.41421682201326E-4</v>
      </c>
      <c r="D144" s="22">
        <v>2.0150316777289861E-4</v>
      </c>
    </row>
    <row r="145" spans="1:4" x14ac:dyDescent="0.25">
      <c r="A145" s="2">
        <v>143</v>
      </c>
      <c r="B145" s="22">
        <v>-1.0013595783675599E-5</v>
      </c>
      <c r="C145" s="22">
        <v>-1.2629639240913101E-4</v>
      </c>
      <c r="D145" s="22">
        <v>1.162827966254554E-4</v>
      </c>
    </row>
    <row r="146" spans="1:4" x14ac:dyDescent="0.25">
      <c r="A146" s="2">
        <v>144</v>
      </c>
      <c r="B146" s="22">
        <v>3.9935119275469299E-5</v>
      </c>
      <c r="C146" s="22">
        <v>-3.1494917493546402E-5</v>
      </c>
      <c r="D146" s="22">
        <v>7.1430036769015701E-5</v>
      </c>
    </row>
    <row r="147" spans="1:4" x14ac:dyDescent="0.25">
      <c r="A147" s="2">
        <v>145</v>
      </c>
      <c r="B147" s="22">
        <v>1.59001362044364E-3</v>
      </c>
      <c r="C147" s="22">
        <v>1.225804007845E-4</v>
      </c>
      <c r="D147" s="22">
        <v>1.46743321965914E-3</v>
      </c>
    </row>
    <row r="148" spans="1:4" x14ac:dyDescent="0.25">
      <c r="A148" s="2">
        <v>146</v>
      </c>
      <c r="B148" s="22">
        <v>-4.5001512626186002E-4</v>
      </c>
      <c r="C148" s="22">
        <v>1.9843578047584699E-4</v>
      </c>
      <c r="D148" s="22">
        <v>6.4845090673770701E-4</v>
      </c>
    </row>
    <row r="149" spans="1:4" x14ac:dyDescent="0.25">
      <c r="A149" s="2">
        <v>147</v>
      </c>
      <c r="B149" s="22">
        <v>0</v>
      </c>
      <c r="C149" s="22">
        <v>2.4608700186945498E-4</v>
      </c>
      <c r="D149" s="22">
        <v>2.4608700186945498E-4</v>
      </c>
    </row>
    <row r="150" spans="1:4" x14ac:dyDescent="0.25">
      <c r="A150" s="2">
        <v>148</v>
      </c>
      <c r="B150" s="22">
        <v>-2.7000901172868902E-4</v>
      </c>
      <c r="C150" s="22">
        <v>1.4303623174782799E-4</v>
      </c>
      <c r="D150" s="22">
        <v>4.1304524347651701E-4</v>
      </c>
    </row>
    <row r="151" spans="1:4" x14ac:dyDescent="0.25">
      <c r="A151" s="2">
        <v>149</v>
      </c>
      <c r="B151" s="22">
        <v>4.9400329589843802E-3</v>
      </c>
      <c r="C151" s="22">
        <v>7.9301556979771703E-5</v>
      </c>
      <c r="D151" s="22">
        <v>4.8607314020046085E-3</v>
      </c>
    </row>
    <row r="152" spans="1:4" x14ac:dyDescent="0.25">
      <c r="A152" s="2">
        <v>150</v>
      </c>
      <c r="B152" s="22">
        <v>-1.2099742889404299E-3</v>
      </c>
      <c r="C152" s="22">
        <v>2.3182201402960301E-5</v>
      </c>
      <c r="D152" s="22">
        <v>1.2331564903433902E-3</v>
      </c>
    </row>
    <row r="153" spans="1:4" x14ac:dyDescent="0.25">
      <c r="A153" s="2">
        <v>151</v>
      </c>
      <c r="B153" s="22">
        <v>2.899169921875E-4</v>
      </c>
      <c r="C153" s="22">
        <v>-7.65813529142179E-5</v>
      </c>
      <c r="D153" s="22">
        <v>3.6649834510171791E-4</v>
      </c>
    </row>
    <row r="154" spans="1:4" x14ac:dyDescent="0.25">
      <c r="A154" s="2">
        <v>152</v>
      </c>
      <c r="B154" s="22">
        <v>-1.09910979517736E-4</v>
      </c>
      <c r="C154" s="22">
        <v>4.11898181482684E-5</v>
      </c>
      <c r="D154" s="22">
        <v>1.5110079766600439E-4</v>
      </c>
    </row>
    <row r="155" spans="1:4" x14ac:dyDescent="0.25">
      <c r="A155" s="2">
        <v>153</v>
      </c>
      <c r="B155" s="22">
        <v>-6.8008899688720703E-4</v>
      </c>
      <c r="C155" s="22">
        <v>-5.4632337196380797E-6</v>
      </c>
      <c r="D155" s="22">
        <v>6.7462576316756895E-4</v>
      </c>
    </row>
    <row r="156" spans="1:4" x14ac:dyDescent="0.25">
      <c r="A156" s="2">
        <v>154</v>
      </c>
      <c r="B156" s="22">
        <v>-1.2199878692627001E-3</v>
      </c>
      <c r="C156" s="22">
        <v>-1.25795895655756E-5</v>
      </c>
      <c r="D156" s="22">
        <v>1.2074082796971245E-3</v>
      </c>
    </row>
    <row r="157" spans="1:4" x14ac:dyDescent="0.25">
      <c r="A157" s="2">
        <v>155</v>
      </c>
      <c r="B157" s="22">
        <v>1.0600090026855499E-3</v>
      </c>
      <c r="C157" s="22">
        <v>-3.1032817787490799E-5</v>
      </c>
      <c r="D157" s="22">
        <v>1.0910418204730407E-3</v>
      </c>
    </row>
    <row r="158" spans="1:4" x14ac:dyDescent="0.25">
      <c r="A158" s="2">
        <v>156</v>
      </c>
      <c r="B158" s="22">
        <v>2.7000904083252002E-4</v>
      </c>
      <c r="C158" s="22">
        <v>-2.4922916782088599E-4</v>
      </c>
      <c r="D158" s="22">
        <v>5.1923820865340596E-4</v>
      </c>
    </row>
    <row r="159" spans="1:4" x14ac:dyDescent="0.25">
      <c r="A159" s="2">
        <v>157</v>
      </c>
      <c r="B159" s="22">
        <v>0</v>
      </c>
      <c r="C159" s="22">
        <v>-2.46297713601962E-4</v>
      </c>
      <c r="D159" s="22">
        <v>2.46297713601962E-4</v>
      </c>
    </row>
    <row r="160" spans="1:4" x14ac:dyDescent="0.25">
      <c r="A160" s="2">
        <v>158</v>
      </c>
      <c r="B160" s="22">
        <v>-4.6992301940918001E-4</v>
      </c>
      <c r="C160" s="22">
        <v>-1.6433422570116799E-4</v>
      </c>
      <c r="D160" s="22">
        <v>3.05588793708012E-4</v>
      </c>
    </row>
    <row r="161" spans="1:4" x14ac:dyDescent="0.25">
      <c r="A161" s="2">
        <v>159</v>
      </c>
      <c r="B161" s="22">
        <v>1.9907971363863901E-5</v>
      </c>
      <c r="C161" s="22">
        <v>1.5553670891676999E-5</v>
      </c>
      <c r="D161" s="22">
        <v>4.3543004721869003E-6</v>
      </c>
    </row>
    <row r="162" spans="1:4" x14ac:dyDescent="0.25">
      <c r="A162" s="2">
        <v>160</v>
      </c>
      <c r="B162" s="22">
        <v>1.6009809041861401E-4</v>
      </c>
      <c r="C162" s="22">
        <v>2.8816561098210497E-4</v>
      </c>
      <c r="D162" s="22">
        <v>1.2806752056349099E-4</v>
      </c>
    </row>
    <row r="163" spans="1:4" x14ac:dyDescent="0.25">
      <c r="A163" s="2">
        <v>161</v>
      </c>
      <c r="B163" s="22">
        <v>6.4992904663085905E-4</v>
      </c>
      <c r="C163" s="22">
        <v>3.3218323369510499E-4</v>
      </c>
      <c r="D163" s="22">
        <v>3.1774581293575401E-4</v>
      </c>
    </row>
    <row r="164" spans="1:4" x14ac:dyDescent="0.25">
      <c r="A164" s="2">
        <v>162</v>
      </c>
      <c r="B164" s="22">
        <v>2.0027147911605401E-5</v>
      </c>
      <c r="C164" s="22">
        <v>1.9095203606411801E-4</v>
      </c>
      <c r="D164" s="22">
        <v>1.7092488815251261E-4</v>
      </c>
    </row>
    <row r="165" spans="1:4" x14ac:dyDescent="0.25">
      <c r="A165" s="2">
        <v>163</v>
      </c>
      <c r="B165" s="22">
        <v>-2.1004675363656101E-4</v>
      </c>
      <c r="C165" s="22">
        <v>-8.6944433860480799E-5</v>
      </c>
      <c r="D165" s="22">
        <v>1.231023197760802E-4</v>
      </c>
    </row>
    <row r="166" spans="1:4" x14ac:dyDescent="0.25">
      <c r="A166" s="2">
        <v>164</v>
      </c>
      <c r="B166" s="22">
        <v>-1.0013595783675599E-5</v>
      </c>
      <c r="C166" s="22">
        <v>-2.42273876210675E-4</v>
      </c>
      <c r="D166" s="22">
        <v>2.3226028042699939E-4</v>
      </c>
    </row>
    <row r="167" spans="1:4" x14ac:dyDescent="0.25">
      <c r="A167" s="2">
        <v>165</v>
      </c>
      <c r="B167" s="22">
        <v>1.10030196083244E-4</v>
      </c>
      <c r="C167" s="22">
        <v>-2.2803495812695501E-4</v>
      </c>
      <c r="D167" s="22">
        <v>3.38065154210199E-4</v>
      </c>
    </row>
    <row r="168" spans="1:4" x14ac:dyDescent="0.25">
      <c r="A168" s="2">
        <v>166</v>
      </c>
      <c r="B168" s="22">
        <v>3.0040742785786299E-5</v>
      </c>
      <c r="C168" s="22">
        <v>-1.05281586002093E-4</v>
      </c>
      <c r="D168" s="22">
        <v>1.353223287878793E-4</v>
      </c>
    </row>
    <row r="169" spans="1:4" x14ac:dyDescent="0.25">
      <c r="A169" s="2">
        <v>167</v>
      </c>
      <c r="B169" s="22">
        <v>5.6993961334228505E-4</v>
      </c>
      <c r="C169" s="22">
        <v>3.0351127861649699E-5</v>
      </c>
      <c r="D169" s="22">
        <v>5.3958848548063532E-4</v>
      </c>
    </row>
    <row r="170" spans="1:4" x14ac:dyDescent="0.25">
      <c r="A170" s="2">
        <v>168</v>
      </c>
      <c r="B170" s="22">
        <v>1.12009048461914E-3</v>
      </c>
      <c r="C170" s="22">
        <v>-2.5011488105519698E-5</v>
      </c>
      <c r="D170" s="22">
        <v>1.1451019727246596E-3</v>
      </c>
    </row>
    <row r="171" spans="1:4" x14ac:dyDescent="0.25">
      <c r="A171" s="2">
        <v>169</v>
      </c>
      <c r="B171" s="22">
        <v>6.2000751495361296E-4</v>
      </c>
      <c r="C171" s="22">
        <v>-7.7207980211824206E-5</v>
      </c>
      <c r="D171" s="22">
        <v>6.9721549516543724E-4</v>
      </c>
    </row>
    <row r="172" spans="1:4" x14ac:dyDescent="0.25">
      <c r="A172" s="2">
        <v>170</v>
      </c>
      <c r="B172" s="22">
        <v>-1.01006031036377E-3</v>
      </c>
      <c r="C172" s="22">
        <v>-1.2362911365926301E-4</v>
      </c>
      <c r="D172" s="22">
        <v>8.8643119670450698E-4</v>
      </c>
    </row>
    <row r="173" spans="1:4" x14ac:dyDescent="0.25">
      <c r="A173" s="2">
        <v>171</v>
      </c>
      <c r="B173" s="22">
        <v>1.4996527170296799E-4</v>
      </c>
      <c r="C173" s="22">
        <v>-1.4878452930133801E-4</v>
      </c>
      <c r="D173" s="22">
        <v>2.9874980100430602E-4</v>
      </c>
    </row>
    <row r="174" spans="1:4" x14ac:dyDescent="0.25">
      <c r="A174" s="2">
        <v>172</v>
      </c>
      <c r="B174" s="22">
        <v>5.6004524230956999E-4</v>
      </c>
      <c r="C174" s="22">
        <v>-2.1227486286079501E-5</v>
      </c>
      <c r="D174" s="22">
        <v>5.812727285956495E-4</v>
      </c>
    </row>
    <row r="175" spans="1:4" x14ac:dyDescent="0.25">
      <c r="A175" s="2">
        <v>173</v>
      </c>
      <c r="B175" s="22">
        <v>4.4000148773193397E-4</v>
      </c>
      <c r="C175" s="22">
        <v>-3.35266486217733E-5</v>
      </c>
      <c r="D175" s="22">
        <v>4.7352813635370732E-4</v>
      </c>
    </row>
    <row r="176" spans="1:4" x14ac:dyDescent="0.25">
      <c r="A176" s="2">
        <v>174</v>
      </c>
      <c r="B176" s="22">
        <v>7.2002405067905805E-4</v>
      </c>
      <c r="C176" s="22">
        <v>-2.7493940433487302E-4</v>
      </c>
      <c r="D176" s="22">
        <v>9.9496345501393101E-4</v>
      </c>
    </row>
    <row r="177" spans="1:4" x14ac:dyDescent="0.25">
      <c r="A177" s="2">
        <v>175</v>
      </c>
      <c r="B177" s="22">
        <v>-1.5500783920288099E-3</v>
      </c>
      <c r="C177" s="22">
        <v>-2.75489845080301E-4</v>
      </c>
      <c r="D177" s="22">
        <v>1.2745885469485089E-3</v>
      </c>
    </row>
    <row r="178" spans="1:4" x14ac:dyDescent="0.25">
      <c r="A178" s="2">
        <v>176</v>
      </c>
      <c r="B178" s="22">
        <v>1.25002861022949E-3</v>
      </c>
      <c r="C178" s="22">
        <v>-1.3071139983367199E-4</v>
      </c>
      <c r="D178" s="22">
        <v>1.380740010063162E-3</v>
      </c>
    </row>
    <row r="179" spans="1:4" x14ac:dyDescent="0.25">
      <c r="A179" s="2">
        <v>177</v>
      </c>
      <c r="B179" s="22">
        <v>-2.4998182198032699E-4</v>
      </c>
      <c r="C179" s="22">
        <v>-5.3065326937939999E-5</v>
      </c>
      <c r="D179" s="22">
        <v>1.9691649504238699E-4</v>
      </c>
    </row>
    <row r="180" spans="1:4" x14ac:dyDescent="0.25">
      <c r="A180" s="2">
        <v>178</v>
      </c>
      <c r="B180" s="22">
        <v>-5.7005882263183605E-4</v>
      </c>
      <c r="C180" s="22">
        <v>8.4202933066990199E-5</v>
      </c>
      <c r="D180" s="22">
        <v>6.5426175569882616E-4</v>
      </c>
    </row>
    <row r="181" spans="1:4" x14ac:dyDescent="0.25">
      <c r="A181" s="2">
        <v>179</v>
      </c>
      <c r="B181" s="22">
        <v>-6.6995620727539095E-4</v>
      </c>
      <c r="C181" s="22">
        <v>-9.9324111943133202E-5</v>
      </c>
      <c r="D181" s="22">
        <v>5.7063209533225777E-4</v>
      </c>
    </row>
    <row r="182" spans="1:4" x14ac:dyDescent="0.25">
      <c r="A182" s="2">
        <v>180</v>
      </c>
      <c r="B182" s="22">
        <v>-4.99963760375977E-4</v>
      </c>
      <c r="C182" s="22">
        <v>-3.5323327756486801E-4</v>
      </c>
      <c r="D182" s="22">
        <v>1.4673048281110899E-4</v>
      </c>
    </row>
    <row r="183" spans="1:4" x14ac:dyDescent="0.25">
      <c r="A183" s="2">
        <v>181</v>
      </c>
      <c r="B183" s="22">
        <v>-6.4003461739048405E-4</v>
      </c>
      <c r="C183" s="22">
        <v>-3.9355547050945499E-4</v>
      </c>
      <c r="D183" s="22">
        <v>2.4647914688102901E-4</v>
      </c>
    </row>
    <row r="184" spans="1:4" x14ac:dyDescent="0.25">
      <c r="A184" s="2">
        <v>182</v>
      </c>
      <c r="B184" s="22">
        <v>4.0996074676513699E-4</v>
      </c>
      <c r="C184" s="22">
        <v>-3.0588553636334799E-4</v>
      </c>
      <c r="D184" s="22">
        <v>7.1584628312848498E-4</v>
      </c>
    </row>
    <row r="185" spans="1:4" x14ac:dyDescent="0.25">
      <c r="A185" s="2">
        <v>183</v>
      </c>
      <c r="B185" s="22">
        <v>-1.9907971363863901E-5</v>
      </c>
      <c r="C185" s="22">
        <v>-8.8604596385266605E-5</v>
      </c>
      <c r="D185" s="22">
        <v>6.8696625021402697E-5</v>
      </c>
    </row>
    <row r="186" spans="1:4" x14ac:dyDescent="0.25">
      <c r="A186" s="2">
        <v>184</v>
      </c>
      <c r="B186" s="22">
        <v>5.9962265368085402E-5</v>
      </c>
      <c r="C186" s="22">
        <v>6.8912104325136204E-6</v>
      </c>
      <c r="D186" s="22">
        <v>5.3071054935571778E-5</v>
      </c>
    </row>
    <row r="187" spans="1:4" x14ac:dyDescent="0.25">
      <c r="A187" s="2">
        <v>185</v>
      </c>
      <c r="B187" s="22">
        <v>1.20043754577637E-4</v>
      </c>
      <c r="C187" s="22">
        <v>-3.9977585402084501E-5</v>
      </c>
      <c r="D187" s="22">
        <v>1.600213399797215E-4</v>
      </c>
    </row>
    <row r="188" spans="1:4" x14ac:dyDescent="0.25">
      <c r="A188" s="2">
        <v>186</v>
      </c>
      <c r="B188" s="22">
        <v>7.2991847991943403E-4</v>
      </c>
      <c r="C188" s="22">
        <v>-2.66916293185204E-4</v>
      </c>
      <c r="D188" s="22">
        <v>9.9683477310463808E-4</v>
      </c>
    </row>
    <row r="189" spans="1:4" x14ac:dyDescent="0.25">
      <c r="A189" s="2">
        <v>187</v>
      </c>
      <c r="B189" s="22">
        <v>-1.29938125610352E-4</v>
      </c>
      <c r="C189" s="22">
        <v>-4.0878332220017899E-4</v>
      </c>
      <c r="D189" s="22">
        <v>2.78845196589827E-4</v>
      </c>
    </row>
    <row r="190" spans="1:4" x14ac:dyDescent="0.25">
      <c r="A190" s="2">
        <v>188</v>
      </c>
      <c r="B190" s="22">
        <v>-8.1002718070522005E-4</v>
      </c>
      <c r="C190" s="22">
        <v>-3.7599718780256802E-4</v>
      </c>
      <c r="D190" s="22">
        <v>4.3402999290265203E-4</v>
      </c>
    </row>
    <row r="191" spans="1:4" x14ac:dyDescent="0.25">
      <c r="A191" s="2">
        <v>189</v>
      </c>
      <c r="B191" s="22">
        <v>-5.9962265368085402E-5</v>
      </c>
      <c r="C191" s="22">
        <v>-1.9945342501159801E-4</v>
      </c>
      <c r="D191" s="22">
        <v>1.394911596435126E-4</v>
      </c>
    </row>
    <row r="192" spans="1:4" x14ac:dyDescent="0.25">
      <c r="A192" s="2">
        <v>190</v>
      </c>
      <c r="B192" s="22">
        <v>-7.9989455116447102E-5</v>
      </c>
      <c r="C192" s="22">
        <v>-1.2804604239136099E-6</v>
      </c>
      <c r="D192" s="22">
        <v>7.8708994692533492E-5</v>
      </c>
    </row>
    <row r="193" spans="1:4" x14ac:dyDescent="0.25">
      <c r="A193" s="2">
        <v>191</v>
      </c>
      <c r="B193" s="22">
        <v>-8.1002718070522005E-4</v>
      </c>
      <c r="C193" s="22">
        <v>5.4784180974820602E-5</v>
      </c>
      <c r="D193" s="22">
        <v>8.6481136168004057E-4</v>
      </c>
    </row>
    <row r="194" spans="1:4" x14ac:dyDescent="0.25">
      <c r="A194" s="2">
        <v>192</v>
      </c>
      <c r="B194" s="22">
        <v>1.3200044631957999E-3</v>
      </c>
      <c r="C194" s="22">
        <v>1.8635775631992099E-5</v>
      </c>
      <c r="D194" s="22">
        <v>1.301368687563808E-3</v>
      </c>
    </row>
    <row r="195" spans="1:4" x14ac:dyDescent="0.25">
      <c r="A195" s="2">
        <v>193</v>
      </c>
      <c r="B195" s="22">
        <v>-2.3007387062534701E-4</v>
      </c>
      <c r="C195" s="22">
        <v>-9.1834655904676806E-5</v>
      </c>
      <c r="D195" s="22">
        <v>1.3823921472067019E-4</v>
      </c>
    </row>
    <row r="196" spans="1:4" x14ac:dyDescent="0.25">
      <c r="A196" s="2">
        <v>194</v>
      </c>
      <c r="B196" s="22">
        <v>1.20043754577637E-4</v>
      </c>
      <c r="C196" s="22">
        <v>-1.7847841081675099E-4</v>
      </c>
      <c r="D196" s="22">
        <v>2.9852216539438798E-4</v>
      </c>
    </row>
    <row r="197" spans="1:4" x14ac:dyDescent="0.25">
      <c r="A197" s="2">
        <v>195</v>
      </c>
      <c r="B197" s="22">
        <v>-2.68995738588274E-3</v>
      </c>
      <c r="C197" s="22">
        <v>-1.7623238090891399E-4</v>
      </c>
      <c r="D197" s="22">
        <v>2.5137250049738261E-3</v>
      </c>
    </row>
    <row r="198" spans="1:4" x14ac:dyDescent="0.25">
      <c r="A198" s="2">
        <v>196</v>
      </c>
      <c r="B198" s="22">
        <v>-3.20076971547678E-4</v>
      </c>
      <c r="C198" s="22">
        <v>-1.41197146149352E-4</v>
      </c>
      <c r="D198" s="22">
        <v>1.78879825398326E-4</v>
      </c>
    </row>
    <row r="199" spans="1:4" x14ac:dyDescent="0.25">
      <c r="A199" s="2">
        <v>197</v>
      </c>
      <c r="B199" s="22">
        <v>8.9001655578613303E-4</v>
      </c>
      <c r="C199" s="22">
        <v>-4.78830879728775E-5</v>
      </c>
      <c r="D199" s="22">
        <v>9.3789964375901047E-4</v>
      </c>
    </row>
    <row r="200" spans="1:4" x14ac:dyDescent="0.25">
      <c r="A200" s="2">
        <v>198</v>
      </c>
      <c r="B200" s="22">
        <v>-2.4099349975585898E-3</v>
      </c>
      <c r="C200" s="22">
        <v>5.6705353927100098E-5</v>
      </c>
      <c r="D200" s="22">
        <v>2.4666403514856899E-3</v>
      </c>
    </row>
    <row r="201" spans="1:4" x14ac:dyDescent="0.25">
      <c r="A201" s="2">
        <v>199</v>
      </c>
      <c r="B201" s="22">
        <v>-7.7009201049804698E-4</v>
      </c>
      <c r="C201" s="22">
        <v>1.58935465151444E-4</v>
      </c>
      <c r="D201" s="22">
        <v>9.2902747564949095E-4</v>
      </c>
    </row>
    <row r="202" spans="1:4" x14ac:dyDescent="0.25">
      <c r="A202" s="2">
        <v>200</v>
      </c>
      <c r="B202" s="22">
        <v>-1.9991399312857501E-4</v>
      </c>
      <c r="C202" s="22">
        <v>2.09597536013462E-4</v>
      </c>
      <c r="D202" s="22">
        <v>4.0951152914203698E-4</v>
      </c>
    </row>
    <row r="203" spans="1:4" x14ac:dyDescent="0.25">
      <c r="A203" s="2">
        <v>201</v>
      </c>
      <c r="B203" s="22">
        <v>5.4001808166503895E-4</v>
      </c>
      <c r="C203" s="22">
        <v>1.9295654783490999E-4</v>
      </c>
      <c r="D203" s="22">
        <v>3.4706153383012899E-4</v>
      </c>
    </row>
    <row r="204" spans="1:4" x14ac:dyDescent="0.25">
      <c r="A204" s="2">
        <v>202</v>
      </c>
      <c r="B204" s="22">
        <v>1.2599229812622101E-3</v>
      </c>
      <c r="C204" s="22">
        <v>-3.2561340049141998E-5</v>
      </c>
      <c r="D204" s="22">
        <v>1.2924843213113521E-3</v>
      </c>
    </row>
    <row r="205" spans="1:4" x14ac:dyDescent="0.25">
      <c r="A205" s="2">
        <v>203</v>
      </c>
      <c r="B205" s="22">
        <v>4.0006637573242198E-4</v>
      </c>
      <c r="C205" s="22">
        <v>-1.59651259309612E-4</v>
      </c>
      <c r="D205" s="22">
        <v>5.5971763504203398E-4</v>
      </c>
    </row>
    <row r="206" spans="1:4" x14ac:dyDescent="0.25">
      <c r="A206" s="2">
        <v>204</v>
      </c>
      <c r="B206" s="22">
        <v>-5.7005882263183605E-4</v>
      </c>
      <c r="C206" s="22">
        <v>-1.12432629975956E-4</v>
      </c>
      <c r="D206" s="22">
        <v>4.5762619265588E-4</v>
      </c>
    </row>
    <row r="207" spans="1:4" x14ac:dyDescent="0.25">
      <c r="A207" s="2">
        <v>205</v>
      </c>
      <c r="B207" s="22">
        <v>-2.8002256294712403E-4</v>
      </c>
      <c r="C207" s="22">
        <v>-3.6925044696545201E-5</v>
      </c>
      <c r="D207" s="22">
        <v>2.430975182505788E-4</v>
      </c>
    </row>
    <row r="208" spans="1:4" x14ac:dyDescent="0.25">
      <c r="A208" s="2">
        <v>206</v>
      </c>
      <c r="B208" s="22">
        <v>1.0013595783675599E-5</v>
      </c>
      <c r="C208" s="22">
        <v>1.8419029947836001E-4</v>
      </c>
      <c r="D208" s="22">
        <v>1.741767036946844E-4</v>
      </c>
    </row>
    <row r="209" spans="1:4" x14ac:dyDescent="0.25">
      <c r="A209" s="2">
        <v>207</v>
      </c>
      <c r="B209" s="22">
        <v>-3.2997128437273199E-4</v>
      </c>
      <c r="C209" s="22">
        <v>1.2740174133796199E-4</v>
      </c>
      <c r="D209" s="22">
        <v>4.57373025710694E-4</v>
      </c>
    </row>
    <row r="210" spans="1:4" x14ac:dyDescent="0.25">
      <c r="A210" s="2">
        <v>208</v>
      </c>
      <c r="B210" s="22">
        <v>1.3995172048453201E-4</v>
      </c>
      <c r="C210" s="22">
        <v>-2.9707442081417001E-5</v>
      </c>
      <c r="D210" s="22">
        <v>1.6965916256594899E-4</v>
      </c>
    </row>
    <row r="211" spans="1:4" x14ac:dyDescent="0.25">
      <c r="A211" s="2">
        <v>209</v>
      </c>
      <c r="B211" s="22">
        <v>4.0054339478956502E-5</v>
      </c>
      <c r="C211" s="22">
        <v>-2.0320821204222701E-4</v>
      </c>
      <c r="D211" s="22">
        <v>2.4326255152118349E-4</v>
      </c>
    </row>
    <row r="212" spans="1:4" x14ac:dyDescent="0.25">
      <c r="A212" s="2">
        <v>210</v>
      </c>
      <c r="B212" s="22">
        <v>2.90036201477051E-4</v>
      </c>
      <c r="C212" s="22">
        <v>-2.67785217147321E-4</v>
      </c>
      <c r="D212" s="22">
        <v>5.5782141862437205E-4</v>
      </c>
    </row>
    <row r="213" spans="1:4" x14ac:dyDescent="0.25">
      <c r="A213" s="2">
        <v>211</v>
      </c>
      <c r="B213" s="22">
        <v>-1.6999246145132899E-4</v>
      </c>
      <c r="C213" s="22">
        <v>-2.9955015634186598E-4</v>
      </c>
      <c r="D213" s="22">
        <v>1.2955769489053699E-4</v>
      </c>
    </row>
    <row r="214" spans="1:4" x14ac:dyDescent="0.25">
      <c r="A214" s="2">
        <v>212</v>
      </c>
      <c r="B214" s="22">
        <v>-4.0054339478956502E-5</v>
      </c>
      <c r="C214" s="22">
        <v>-2.9080777312628898E-4</v>
      </c>
      <c r="D214" s="22">
        <v>2.507534336473325E-4</v>
      </c>
    </row>
    <row r="215" spans="1:4" x14ac:dyDescent="0.25">
      <c r="A215" s="2">
        <v>213</v>
      </c>
      <c r="B215" s="22">
        <v>2.4998188018798801E-4</v>
      </c>
      <c r="C215" s="22">
        <v>-1.77661189809442E-4</v>
      </c>
      <c r="D215" s="22">
        <v>4.2764306999743001E-4</v>
      </c>
    </row>
    <row r="216" spans="1:4" x14ac:dyDescent="0.25">
      <c r="A216" s="2">
        <v>214</v>
      </c>
      <c r="B216" s="22">
        <v>-2.3996828531380699E-4</v>
      </c>
      <c r="C216" s="22">
        <v>-1.3746270269621199E-4</v>
      </c>
      <c r="D216" s="22">
        <v>1.0250558261759501E-4</v>
      </c>
    </row>
    <row r="217" spans="1:4" x14ac:dyDescent="0.25">
      <c r="A217" s="2">
        <v>215</v>
      </c>
      <c r="B217" s="22">
        <v>0</v>
      </c>
      <c r="C217" s="22">
        <v>-1.1229197298234799E-5</v>
      </c>
      <c r="D217" s="22">
        <v>1.1229197298234799E-5</v>
      </c>
    </row>
    <row r="218" spans="1:4" x14ac:dyDescent="0.25">
      <c r="A218" s="2">
        <v>216</v>
      </c>
      <c r="B218" s="22">
        <v>-3.0040742785786299E-5</v>
      </c>
      <c r="C218" s="22">
        <v>1.0665105219231899E-4</v>
      </c>
      <c r="D218" s="22">
        <v>1.366917949781053E-4</v>
      </c>
    </row>
    <row r="219" spans="1:4" x14ac:dyDescent="0.25">
      <c r="A219" s="2">
        <v>217</v>
      </c>
      <c r="B219" s="22">
        <v>1.3099908828735399E-3</v>
      </c>
      <c r="C219" s="22">
        <v>9.6889889391604797E-5</v>
      </c>
      <c r="D219" s="22">
        <v>1.2131009934819351E-3</v>
      </c>
    </row>
    <row r="220" spans="1:4" x14ac:dyDescent="0.25">
      <c r="A220" s="2">
        <v>218</v>
      </c>
      <c r="B220" s="22">
        <v>2.30073928833008E-4</v>
      </c>
      <c r="C220" s="22">
        <v>-5.0197082600789097E-5</v>
      </c>
      <c r="D220" s="22">
        <v>2.8027101143379712E-4</v>
      </c>
    </row>
    <row r="221" spans="1:4" x14ac:dyDescent="0.25">
      <c r="A221" s="2">
        <v>219</v>
      </c>
      <c r="B221" s="22">
        <v>-6.2000751495361296E-4</v>
      </c>
      <c r="C221" s="22">
        <v>-2.0819800556637301E-4</v>
      </c>
      <c r="D221" s="22">
        <v>4.1180950938723998E-4</v>
      </c>
    </row>
    <row r="222" spans="1:4" x14ac:dyDescent="0.25">
      <c r="A222" s="2">
        <v>220</v>
      </c>
      <c r="B222" s="22">
        <v>-9.0003006334882202E-5</v>
      </c>
      <c r="C222" s="22">
        <v>-1.81200142833404E-4</v>
      </c>
      <c r="D222" s="22">
        <v>9.1197136498521797E-5</v>
      </c>
    </row>
    <row r="223" spans="1:4" x14ac:dyDescent="0.25">
      <c r="A223" s="2">
        <v>221</v>
      </c>
      <c r="B223" s="22">
        <v>-1.5799999237060499E-3</v>
      </c>
      <c r="C223" s="22">
        <v>-1.12369431008119E-4</v>
      </c>
      <c r="D223" s="22">
        <v>1.467630492697931E-3</v>
      </c>
    </row>
    <row r="224" spans="1:4" x14ac:dyDescent="0.25">
      <c r="A224" s="2">
        <v>222</v>
      </c>
      <c r="B224" s="22">
        <v>1.9001960754394499E-4</v>
      </c>
      <c r="C224" s="22">
        <v>1.7376614778186201E-6</v>
      </c>
      <c r="D224" s="22">
        <v>1.8828194606612637E-4</v>
      </c>
    </row>
    <row r="225" spans="1:4" x14ac:dyDescent="0.25">
      <c r="A225" s="2">
        <v>223</v>
      </c>
      <c r="B225" s="22">
        <v>5.9998035430908203E-4</v>
      </c>
      <c r="C225" s="22">
        <v>1.6098929336294499E-4</v>
      </c>
      <c r="D225" s="22">
        <v>4.3899106094613698E-4</v>
      </c>
    </row>
    <row r="226" spans="1:4" x14ac:dyDescent="0.25">
      <c r="A226" s="2">
        <v>224</v>
      </c>
      <c r="B226" s="22">
        <v>2.2995470499154199E-4</v>
      </c>
      <c r="C226" s="22">
        <v>9.8290183814242496E-5</v>
      </c>
      <c r="D226" s="22">
        <v>1.3166452117729951E-4</v>
      </c>
    </row>
    <row r="227" spans="1:4" x14ac:dyDescent="0.25">
      <c r="A227" s="2">
        <v>225</v>
      </c>
      <c r="B227" s="22">
        <v>-1.90019651199691E-4</v>
      </c>
      <c r="C227" s="22">
        <v>-4.5733184379059801E-5</v>
      </c>
      <c r="D227" s="22">
        <v>1.442864668206312E-4</v>
      </c>
    </row>
    <row r="228" spans="1:4" x14ac:dyDescent="0.25">
      <c r="A228" s="2">
        <v>226</v>
      </c>
      <c r="B228" s="22">
        <v>1.24001502990723E-3</v>
      </c>
      <c r="C228" s="22">
        <v>-1.5026074834168001E-4</v>
      </c>
      <c r="D228" s="22">
        <v>1.39027577824891E-3</v>
      </c>
    </row>
    <row r="229" spans="1:4" x14ac:dyDescent="0.25">
      <c r="A229" s="2">
        <v>227</v>
      </c>
      <c r="B229" s="22">
        <v>-1.1992453073617099E-4</v>
      </c>
      <c r="C229" s="22">
        <v>-2.6105865254066901E-4</v>
      </c>
      <c r="D229" s="22">
        <v>1.41134121804498E-4</v>
      </c>
    </row>
    <row r="230" spans="1:4" x14ac:dyDescent="0.25">
      <c r="A230" s="2">
        <v>228</v>
      </c>
      <c r="B230" s="22">
        <v>-6.3002097886055697E-4</v>
      </c>
      <c r="C230" s="22">
        <v>-2.5904818903654798E-4</v>
      </c>
      <c r="D230" s="22">
        <v>3.70972789824009E-4</v>
      </c>
    </row>
    <row r="231" spans="1:4" x14ac:dyDescent="0.25">
      <c r="A231" s="2">
        <v>229</v>
      </c>
      <c r="B231" s="22">
        <v>5.0997734069824197E-4</v>
      </c>
      <c r="C231" s="22">
        <v>-1.66905025253072E-4</v>
      </c>
      <c r="D231" s="22">
        <v>6.7688236595131403E-4</v>
      </c>
    </row>
    <row r="232" spans="1:4" x14ac:dyDescent="0.25">
      <c r="A232" s="2">
        <v>230</v>
      </c>
      <c r="B232" s="22">
        <v>-1.00016601209063E-4</v>
      </c>
      <c r="C232" s="22">
        <v>-2.67840496235294E-5</v>
      </c>
      <c r="D232" s="22">
        <v>7.3232551585533602E-5</v>
      </c>
    </row>
    <row r="233" spans="1:4" x14ac:dyDescent="0.25">
      <c r="A233" s="2">
        <v>231</v>
      </c>
      <c r="B233" s="22">
        <v>-4.0996074676513699E-4</v>
      </c>
      <c r="C233" s="22">
        <v>1.2614778825081901E-4</v>
      </c>
      <c r="D233" s="22">
        <v>5.36108535015956E-4</v>
      </c>
    </row>
    <row r="234" spans="1:4" x14ac:dyDescent="0.25">
      <c r="A234" s="2">
        <v>232</v>
      </c>
      <c r="B234" s="22">
        <v>-1.80006012669764E-4</v>
      </c>
      <c r="C234" s="22">
        <v>1.71291409060359E-4</v>
      </c>
      <c r="D234" s="22">
        <v>3.5129742173012303E-4</v>
      </c>
    </row>
    <row r="235" spans="1:4" x14ac:dyDescent="0.25">
      <c r="A235" s="2">
        <v>233</v>
      </c>
      <c r="B235" s="22">
        <v>-1.00016601209063E-4</v>
      </c>
      <c r="C235" s="22">
        <v>1.95306362002157E-4</v>
      </c>
      <c r="D235" s="22">
        <v>2.9532296321121997E-4</v>
      </c>
    </row>
    <row r="236" spans="1:4" x14ac:dyDescent="0.25">
      <c r="A236" s="2">
        <v>234</v>
      </c>
      <c r="B236" s="22">
        <v>6.7996978759765603E-4</v>
      </c>
      <c r="C236" s="22">
        <v>1.4025646669324501E-4</v>
      </c>
      <c r="D236" s="22">
        <v>5.3971332090441105E-4</v>
      </c>
    </row>
    <row r="237" spans="1:4" x14ac:dyDescent="0.25">
      <c r="A237" s="2">
        <v>235</v>
      </c>
      <c r="B237" s="22">
        <v>2.3996829986572301E-4</v>
      </c>
      <c r="C237" s="22">
        <v>4.89554149680771E-5</v>
      </c>
      <c r="D237" s="22">
        <v>1.9101288489764589E-4</v>
      </c>
    </row>
    <row r="238" spans="1:4" x14ac:dyDescent="0.25">
      <c r="A238" s="2">
        <v>236</v>
      </c>
      <c r="B238" s="22">
        <v>-9.9897384643554701E-5</v>
      </c>
      <c r="C238" s="22">
        <v>3.5313118132762597E-5</v>
      </c>
      <c r="D238" s="22">
        <v>1.352105027763173E-4</v>
      </c>
    </row>
    <row r="239" spans="1:4" x14ac:dyDescent="0.25">
      <c r="A239" s="2">
        <v>237</v>
      </c>
      <c r="B239" s="22">
        <v>-9.0003006334882202E-5</v>
      </c>
      <c r="C239" s="22">
        <v>-7.1045258664526005E-5</v>
      </c>
      <c r="D239" s="22">
        <v>1.8957747670356201E-5</v>
      </c>
    </row>
    <row r="240" spans="1:4" x14ac:dyDescent="0.25">
      <c r="A240" s="2">
        <v>238</v>
      </c>
      <c r="B240" s="22">
        <v>-2.5010114768519998E-4</v>
      </c>
      <c r="C240" s="22">
        <v>-1.67878592037596E-4</v>
      </c>
      <c r="D240" s="22">
        <v>8.2222555647604005E-5</v>
      </c>
    </row>
    <row r="241" spans="1:4" x14ac:dyDescent="0.25">
      <c r="A241" s="2">
        <v>239</v>
      </c>
      <c r="B241" s="22">
        <v>-4.8995018005371105E-4</v>
      </c>
      <c r="C241" s="22">
        <v>-1.6023781790863701E-4</v>
      </c>
      <c r="D241" s="22">
        <v>3.2971236214507398E-4</v>
      </c>
    </row>
    <row r="242" spans="1:4" x14ac:dyDescent="0.25">
      <c r="A242" s="2">
        <v>240</v>
      </c>
      <c r="B242" s="22">
        <v>5.30004501342773E-4</v>
      </c>
      <c r="C242" s="22">
        <v>-1.6141781816258999E-4</v>
      </c>
      <c r="D242" s="22">
        <v>6.9142231950536305E-4</v>
      </c>
    </row>
    <row r="243" spans="1:4" x14ac:dyDescent="0.25">
      <c r="A243" s="2">
        <v>241</v>
      </c>
      <c r="B243" s="22">
        <v>2.0600557327270499E-3</v>
      </c>
      <c r="C243" s="22">
        <v>-7.2330309194512706E-5</v>
      </c>
      <c r="D243" s="22">
        <v>2.1323860419215626E-3</v>
      </c>
    </row>
    <row r="244" spans="1:4" x14ac:dyDescent="0.25">
      <c r="A244" s="2">
        <v>242</v>
      </c>
      <c r="B244" s="22">
        <v>9.1993802925571799E-4</v>
      </c>
      <c r="C244" s="22">
        <v>9.1925183369312395E-5</v>
      </c>
      <c r="D244" s="22">
        <v>8.2801284588640556E-4</v>
      </c>
    </row>
    <row r="245" spans="1:4" x14ac:dyDescent="0.25">
      <c r="A245" s="2">
        <v>243</v>
      </c>
      <c r="B245" s="22">
        <v>5.1999092102050803E-4</v>
      </c>
      <c r="C245" s="22">
        <v>1.2978518498130099E-4</v>
      </c>
      <c r="D245" s="22">
        <v>3.9020573603920698E-4</v>
      </c>
    </row>
    <row r="246" spans="1:4" x14ac:dyDescent="0.25">
      <c r="A246" s="2">
        <v>244</v>
      </c>
      <c r="B246" s="22">
        <v>-7.8999996185302702E-4</v>
      </c>
      <c r="C246" s="22">
        <v>1.11290675704367E-4</v>
      </c>
      <c r="D246" s="22">
        <v>9.0129063755739404E-4</v>
      </c>
    </row>
    <row r="247" spans="1:4" x14ac:dyDescent="0.25">
      <c r="A247" s="2">
        <v>245</v>
      </c>
      <c r="B247" s="22">
        <v>7.5995933730155197E-4</v>
      </c>
      <c r="C247" s="22">
        <v>5.67402967135422E-5</v>
      </c>
      <c r="D247" s="22">
        <v>7.0321904058800978E-4</v>
      </c>
    </row>
    <row r="248" spans="1:4" x14ac:dyDescent="0.25">
      <c r="A248" s="2">
        <v>246</v>
      </c>
      <c r="B248" s="22">
        <v>9.8001956939697309E-4</v>
      </c>
      <c r="C248" s="22">
        <v>-1.1108814214821899E-4</v>
      </c>
      <c r="D248" s="22">
        <v>1.0911077115451919E-3</v>
      </c>
    </row>
    <row r="249" spans="1:4" x14ac:dyDescent="0.25">
      <c r="A249" s="2">
        <v>247</v>
      </c>
      <c r="B249" s="22">
        <v>1.12998485565186E-3</v>
      </c>
      <c r="C249" s="22">
        <v>-2.21935086301528E-4</v>
      </c>
      <c r="D249" s="22">
        <v>1.3519199419533879E-3</v>
      </c>
    </row>
    <row r="250" spans="1:4" x14ac:dyDescent="0.25">
      <c r="A250" s="2">
        <v>248</v>
      </c>
      <c r="B250" s="22">
        <v>-2.4998182198032699E-4</v>
      </c>
      <c r="C250" s="22">
        <v>-3.1186972046270999E-4</v>
      </c>
      <c r="D250" s="22">
        <v>6.1887898482383002E-5</v>
      </c>
    </row>
    <row r="251" spans="1:4" x14ac:dyDescent="0.25">
      <c r="A251" s="2">
        <v>249</v>
      </c>
      <c r="B251" s="22">
        <v>-1.90997123718262E-3</v>
      </c>
      <c r="C251" s="22">
        <v>-2.9996948433108601E-4</v>
      </c>
      <c r="D251" s="22">
        <v>1.6100017528515339E-3</v>
      </c>
    </row>
    <row r="252" spans="1:4" x14ac:dyDescent="0.25">
      <c r="A252" s="2">
        <v>250</v>
      </c>
      <c r="B252" s="22">
        <v>1.24001502990723E-3</v>
      </c>
      <c r="C252" s="22">
        <v>-1.04218182968907E-4</v>
      </c>
      <c r="D252" s="22">
        <v>1.3442332128761371E-3</v>
      </c>
    </row>
    <row r="253" spans="1:4" x14ac:dyDescent="0.25">
      <c r="A253" s="2">
        <v>251</v>
      </c>
      <c r="B253" s="22">
        <v>-2.20060348510742E-4</v>
      </c>
      <c r="C253" s="22">
        <v>1.04155158624053E-4</v>
      </c>
      <c r="D253" s="22">
        <v>3.2421550713479503E-4</v>
      </c>
    </row>
    <row r="254" spans="1:4" x14ac:dyDescent="0.25">
      <c r="A254" s="2">
        <v>252</v>
      </c>
      <c r="B254" s="22">
        <v>-2.99215225822991E-5</v>
      </c>
      <c r="C254" s="22">
        <v>1.0472900612512599E-4</v>
      </c>
      <c r="D254" s="22">
        <v>1.3465052870742511E-4</v>
      </c>
    </row>
    <row r="255" spans="1:4" x14ac:dyDescent="0.25">
      <c r="A255" s="2">
        <v>253</v>
      </c>
      <c r="B255" s="22">
        <v>-6.0081485571572598E-5</v>
      </c>
      <c r="C255" s="22">
        <v>4.5447159209288697E-5</v>
      </c>
      <c r="D255" s="22">
        <v>1.055286447808613E-4</v>
      </c>
    </row>
    <row r="256" spans="1:4" x14ac:dyDescent="0.25">
      <c r="A256" s="2">
        <v>254</v>
      </c>
      <c r="B256" s="22">
        <v>1.6999244689941401E-4</v>
      </c>
      <c r="C256" s="22">
        <v>-3.9628277590964003E-5</v>
      </c>
      <c r="D256" s="22">
        <v>2.09620724490378E-4</v>
      </c>
    </row>
    <row r="257" spans="1:4" x14ac:dyDescent="0.25">
      <c r="A257" s="2">
        <v>255</v>
      </c>
      <c r="B257" s="22">
        <v>-2.5999546051025401E-4</v>
      </c>
      <c r="C257" s="22">
        <v>-1.3438120367936801E-4</v>
      </c>
      <c r="D257" s="22">
        <v>1.2561425683088601E-4</v>
      </c>
    </row>
    <row r="258" spans="1:4" x14ac:dyDescent="0.25">
      <c r="A258" s="2">
        <v>256</v>
      </c>
      <c r="B258" s="22">
        <v>2.5999546051025401E-4</v>
      </c>
      <c r="C258" s="22">
        <v>-1.37142429593951E-4</v>
      </c>
      <c r="D258" s="22">
        <v>3.9713789010420501E-4</v>
      </c>
    </row>
    <row r="259" spans="1:4" x14ac:dyDescent="0.25">
      <c r="A259" s="2">
        <v>257</v>
      </c>
      <c r="B259" s="22">
        <v>1.20043754577637E-4</v>
      </c>
      <c r="C259" s="22">
        <v>-1.8516385171096799E-4</v>
      </c>
      <c r="D259" s="22">
        <v>3.0520760628860498E-4</v>
      </c>
    </row>
    <row r="260" spans="1:4" x14ac:dyDescent="0.25">
      <c r="A260" s="2">
        <v>258</v>
      </c>
      <c r="B260" s="22">
        <v>2.4998188018798801E-4</v>
      </c>
      <c r="C260" s="22">
        <v>-1.92315987078473E-4</v>
      </c>
      <c r="D260" s="22">
        <v>4.4229786726646098E-4</v>
      </c>
    </row>
    <row r="261" spans="1:4" x14ac:dyDescent="0.25">
      <c r="A261" s="2">
        <v>259</v>
      </c>
      <c r="B261" s="22">
        <v>2.0027147911605401E-5</v>
      </c>
      <c r="C261" s="22">
        <v>-1.7409914289601101E-4</v>
      </c>
      <c r="D261" s="22">
        <v>1.9412629080761641E-4</v>
      </c>
    </row>
    <row r="262" spans="1:4" x14ac:dyDescent="0.25">
      <c r="A262" s="2">
        <v>260</v>
      </c>
      <c r="B262" s="22">
        <v>-6.5004825592041005E-4</v>
      </c>
      <c r="C262" s="22">
        <v>-1.6321623115800299E-4</v>
      </c>
      <c r="D262" s="22">
        <v>4.86832024762407E-4</v>
      </c>
    </row>
    <row r="263" spans="1:4" x14ac:dyDescent="0.25">
      <c r="A263" s="2">
        <v>261</v>
      </c>
      <c r="B263" s="22">
        <v>3.0004978179931603E-4</v>
      </c>
      <c r="C263" s="22">
        <v>-8.6439169535879005E-5</v>
      </c>
      <c r="D263" s="22">
        <v>3.8648895133519502E-4</v>
      </c>
    </row>
    <row r="264" spans="1:4" x14ac:dyDescent="0.25">
      <c r="A264" s="2">
        <v>262</v>
      </c>
      <c r="B264" s="22">
        <v>2.1004675363656101E-4</v>
      </c>
      <c r="C264" s="22">
        <v>-5.8183581131743301E-5</v>
      </c>
      <c r="D264" s="22">
        <v>2.6823033476830428E-4</v>
      </c>
    </row>
    <row r="265" spans="1:4" x14ac:dyDescent="0.25">
      <c r="A265" s="2">
        <v>263</v>
      </c>
      <c r="B265" s="22">
        <v>2.7000904083252002E-4</v>
      </c>
      <c r="C265" s="22">
        <v>-8.04672599770129E-5</v>
      </c>
      <c r="D265" s="22">
        <v>3.5047630080953289E-4</v>
      </c>
    </row>
    <row r="266" spans="1:4" x14ac:dyDescent="0.25">
      <c r="A266" s="2">
        <v>264</v>
      </c>
      <c r="B266" s="22">
        <v>1.55997287947685E-3</v>
      </c>
      <c r="C266" s="22">
        <v>-8.6481457401532693E-5</v>
      </c>
      <c r="D266" s="22">
        <v>1.6464543368783827E-3</v>
      </c>
    </row>
    <row r="267" spans="1:4" x14ac:dyDescent="0.25">
      <c r="A267" s="2">
        <v>265</v>
      </c>
      <c r="B267" s="22">
        <v>9.0003019431605903E-4</v>
      </c>
      <c r="C267" s="22">
        <v>-1.0313116217730599E-4</v>
      </c>
      <c r="D267" s="22">
        <v>1.003161356493365E-3</v>
      </c>
    </row>
    <row r="268" spans="1:4" x14ac:dyDescent="0.25">
      <c r="A268" s="2">
        <v>266</v>
      </c>
      <c r="B268" s="22">
        <v>-1.08003604691476E-3</v>
      </c>
      <c r="C268" s="22">
        <v>-1.52161665027961E-4</v>
      </c>
      <c r="D268" s="22">
        <v>9.2787438188679896E-4</v>
      </c>
    </row>
    <row r="269" spans="1:4" x14ac:dyDescent="0.25">
      <c r="A269" s="2">
        <v>267</v>
      </c>
      <c r="B269" s="22">
        <v>-1.5699863433837899E-3</v>
      </c>
      <c r="C269" s="22">
        <v>-1.29874621052295E-4</v>
      </c>
      <c r="D269" s="22">
        <v>1.440111722331495E-3</v>
      </c>
    </row>
    <row r="270" spans="1:4" x14ac:dyDescent="0.25">
      <c r="A270" s="2">
        <v>268</v>
      </c>
      <c r="B270" s="22">
        <v>-1.3400313910096899E-3</v>
      </c>
      <c r="C270" s="22">
        <v>-2.7153519113198901E-5</v>
      </c>
      <c r="D270" s="22">
        <v>1.312877871896491E-3</v>
      </c>
    </row>
    <row r="271" spans="1:4" x14ac:dyDescent="0.25">
      <c r="A271" s="2">
        <v>269</v>
      </c>
      <c r="B271" s="22">
        <v>6.59942626953125E-4</v>
      </c>
      <c r="C271" s="22">
        <v>8.5290826973505305E-5</v>
      </c>
      <c r="D271" s="22">
        <v>5.7465179997961968E-4</v>
      </c>
    </row>
    <row r="272" spans="1:4" x14ac:dyDescent="0.25">
      <c r="A272" s="2">
        <v>270</v>
      </c>
      <c r="B272" s="22">
        <v>-1.26993644516915E-3</v>
      </c>
      <c r="C272" s="22">
        <v>1.78645408595912E-4</v>
      </c>
      <c r="D272" s="22">
        <v>1.4485818537650619E-3</v>
      </c>
    </row>
    <row r="273" spans="1:4" x14ac:dyDescent="0.25">
      <c r="A273" s="2">
        <v>271</v>
      </c>
      <c r="B273" s="22">
        <v>-6.4003461739048405E-4</v>
      </c>
      <c r="C273" s="22">
        <v>1.75188746652566E-4</v>
      </c>
      <c r="D273" s="22">
        <v>8.1522336404304995E-4</v>
      </c>
    </row>
    <row r="274" spans="1:4" x14ac:dyDescent="0.25">
      <c r="A274" s="2">
        <v>272</v>
      </c>
      <c r="B274" s="22">
        <v>-6.8998330971226096E-4</v>
      </c>
      <c r="C274" s="22">
        <v>1.8135187565348999E-4</v>
      </c>
      <c r="D274" s="22">
        <v>8.7133518536575095E-4</v>
      </c>
    </row>
    <row r="275" spans="1:4" x14ac:dyDescent="0.25">
      <c r="A275" s="2">
        <v>273</v>
      </c>
      <c r="B275" s="22">
        <v>-5.0997728249058095E-4</v>
      </c>
      <c r="C275" s="22">
        <v>1.06073537608609E-4</v>
      </c>
      <c r="D275" s="22">
        <v>6.1605082009918999E-4</v>
      </c>
    </row>
    <row r="276" spans="1:4" x14ac:dyDescent="0.25">
      <c r="A276" s="2">
        <v>274</v>
      </c>
      <c r="B276" s="22">
        <v>7.4994558235630404E-4</v>
      </c>
      <c r="C276" s="22">
        <v>-5.9076643310618195E-7</v>
      </c>
      <c r="D276" s="22">
        <v>7.5053634878941022E-4</v>
      </c>
    </row>
    <row r="277" spans="1:4" x14ac:dyDescent="0.25">
      <c r="A277" s="2">
        <v>275</v>
      </c>
      <c r="B277" s="22">
        <v>1.11007690429688E-3</v>
      </c>
      <c r="C277" s="22">
        <v>-1.1588280176511E-4</v>
      </c>
      <c r="D277" s="22">
        <v>1.2259597060619899E-3</v>
      </c>
    </row>
    <row r="278" spans="1:4" x14ac:dyDescent="0.25">
      <c r="A278" s="2">
        <v>276</v>
      </c>
      <c r="B278" s="22">
        <v>3.8993358612060498E-4</v>
      </c>
      <c r="C278" s="22">
        <v>-2.3492367472499601E-4</v>
      </c>
      <c r="D278" s="22">
        <v>6.2485726084560102E-4</v>
      </c>
    </row>
    <row r="279" spans="1:4" x14ac:dyDescent="0.25">
      <c r="A279" s="2">
        <v>277</v>
      </c>
      <c r="B279" s="22">
        <v>9.0003006334882202E-5</v>
      </c>
      <c r="C279" s="22">
        <v>-2.9536781948991098E-4</v>
      </c>
      <c r="D279" s="22">
        <v>3.8537082582479321E-4</v>
      </c>
    </row>
    <row r="280" spans="1:4" x14ac:dyDescent="0.25">
      <c r="A280" s="2">
        <v>278</v>
      </c>
      <c r="B280" s="22">
        <v>3.4999847412109402E-4</v>
      </c>
      <c r="C280" s="22">
        <v>-3.10153409373015E-4</v>
      </c>
      <c r="D280" s="22">
        <v>6.6015188349410902E-4</v>
      </c>
    </row>
    <row r="281" spans="1:4" x14ac:dyDescent="0.25">
      <c r="A281" s="2">
        <v>279</v>
      </c>
      <c r="B281" s="22">
        <v>-2.0992758800275599E-4</v>
      </c>
      <c r="C281" s="22">
        <v>-2.4336969363503199E-4</v>
      </c>
      <c r="D281" s="22">
        <v>3.3442105632276E-5</v>
      </c>
    </row>
    <row r="282" spans="1:4" x14ac:dyDescent="0.25">
      <c r="A282" s="2">
        <v>280</v>
      </c>
      <c r="B282" s="22">
        <v>1.00016601209063E-4</v>
      </c>
      <c r="C282" s="22">
        <v>-1.2906828487757599E-4</v>
      </c>
      <c r="D282" s="22">
        <v>2.2908488608663899E-4</v>
      </c>
    </row>
    <row r="283" spans="1:4" x14ac:dyDescent="0.25">
      <c r="A283" s="2">
        <v>281</v>
      </c>
      <c r="B283" s="22">
        <v>-1.20043754577637E-4</v>
      </c>
      <c r="C283" s="22">
        <v>2.32365637202747E-5</v>
      </c>
      <c r="D283" s="22">
        <v>1.4328031829791171E-4</v>
      </c>
    </row>
    <row r="284" spans="1:4" x14ac:dyDescent="0.25">
      <c r="A284" s="2">
        <v>282</v>
      </c>
      <c r="B284" s="22">
        <v>1.0013595783675599E-5</v>
      </c>
      <c r="C284" s="22">
        <v>1.46347229019739E-4</v>
      </c>
      <c r="D284" s="22">
        <v>1.363336332360634E-4</v>
      </c>
    </row>
    <row r="285" spans="1:4" x14ac:dyDescent="0.25">
      <c r="A285" s="2">
        <v>283</v>
      </c>
      <c r="B285" s="22">
        <v>-1.0013595783675599E-5</v>
      </c>
      <c r="C285" s="22">
        <v>2.3750115360599E-4</v>
      </c>
      <c r="D285" s="22">
        <v>2.4751474938966561E-4</v>
      </c>
    </row>
    <row r="286" spans="1:4" x14ac:dyDescent="0.25">
      <c r="A286" s="2">
        <v>284</v>
      </c>
      <c r="B286" s="22">
        <v>6.7996978759765603E-4</v>
      </c>
      <c r="C286" s="22">
        <v>2.30705438298173E-4</v>
      </c>
      <c r="D286" s="22">
        <v>4.49264349299483E-4</v>
      </c>
    </row>
    <row r="287" spans="1:4" x14ac:dyDescent="0.25">
      <c r="A287" s="2">
        <v>285</v>
      </c>
      <c r="B287" s="22">
        <v>1.59978866577148E-4</v>
      </c>
      <c r="C287" s="22">
        <v>1.3450313417706601E-4</v>
      </c>
      <c r="D287" s="22">
        <v>2.5475732400082001E-5</v>
      </c>
    </row>
    <row r="288" spans="1:4" x14ac:dyDescent="0.25">
      <c r="A288" s="2">
        <v>286</v>
      </c>
      <c r="B288" s="22">
        <v>-3.9935119275469299E-5</v>
      </c>
      <c r="C288" s="22">
        <v>-4.5129298086976599E-5</v>
      </c>
      <c r="D288" s="22">
        <v>5.1941788115073004E-6</v>
      </c>
    </row>
    <row r="289" spans="1:4" x14ac:dyDescent="0.25">
      <c r="A289" s="2">
        <v>287</v>
      </c>
      <c r="B289" s="22">
        <v>-3.80039215087891E-4</v>
      </c>
      <c r="C289" s="22">
        <v>-2.6520993560552602E-4</v>
      </c>
      <c r="D289" s="22">
        <v>1.1482927948236499E-4</v>
      </c>
    </row>
    <row r="290" spans="1:4" x14ac:dyDescent="0.25">
      <c r="A290" s="2">
        <v>288</v>
      </c>
      <c r="B290" s="22">
        <v>2.5999546051025401E-4</v>
      </c>
      <c r="C290" s="22">
        <v>-2.9640126740559898E-4</v>
      </c>
      <c r="D290" s="22">
        <v>5.5639672791585305E-4</v>
      </c>
    </row>
    <row r="291" spans="1:4" x14ac:dyDescent="0.25">
      <c r="A291" s="2">
        <v>289</v>
      </c>
      <c r="B291" s="22">
        <v>-1.2999771861359501E-3</v>
      </c>
      <c r="C291" s="22">
        <v>-3.1063240021467198E-4</v>
      </c>
      <c r="D291" s="22">
        <v>9.89344785921278E-4</v>
      </c>
    </row>
    <row r="292" spans="1:4" x14ac:dyDescent="0.25">
      <c r="A292" s="2">
        <v>290</v>
      </c>
      <c r="B292" s="22">
        <v>4.6002864837646501E-4</v>
      </c>
      <c r="C292" s="22">
        <v>-2.30055054998957E-4</v>
      </c>
      <c r="D292" s="22">
        <v>6.9008370337542201E-4</v>
      </c>
    </row>
    <row r="293" spans="1:4" x14ac:dyDescent="0.25">
      <c r="A293" s="2">
        <v>291</v>
      </c>
      <c r="B293" s="22">
        <v>2.7000904083252002E-4</v>
      </c>
      <c r="C293" s="22">
        <v>-5.4595948313362903E-5</v>
      </c>
      <c r="D293" s="22">
        <v>3.2460498914588292E-4</v>
      </c>
    </row>
    <row r="294" spans="1:4" x14ac:dyDescent="0.25">
      <c r="A294" s="2">
        <v>292</v>
      </c>
      <c r="B294" s="22">
        <v>-2.3007387062534701E-4</v>
      </c>
      <c r="C294" s="22">
        <v>5.0594368076417602E-5</v>
      </c>
      <c r="D294" s="22">
        <v>2.806682387017646E-4</v>
      </c>
    </row>
    <row r="295" spans="1:4" x14ac:dyDescent="0.25">
      <c r="A295" s="2">
        <v>293</v>
      </c>
      <c r="B295" s="22">
        <v>1.9999742507934601E-3</v>
      </c>
      <c r="C295" s="22">
        <v>2.0373759616632001E-4</v>
      </c>
      <c r="D295" s="22">
        <v>1.7962366546271399E-3</v>
      </c>
    </row>
    <row r="296" spans="1:4" x14ac:dyDescent="0.25">
      <c r="A296" s="2">
        <v>294</v>
      </c>
      <c r="B296" s="22">
        <v>2.20060348510742E-4</v>
      </c>
      <c r="C296" s="22">
        <v>1.9417313160374801E-4</v>
      </c>
      <c r="D296" s="22">
        <v>2.5887216906993998E-5</v>
      </c>
    </row>
    <row r="297" spans="1:4" x14ac:dyDescent="0.25">
      <c r="A297" s="2">
        <v>295</v>
      </c>
      <c r="B297" s="22">
        <v>2.1004675363656101E-4</v>
      </c>
      <c r="C297" s="22">
        <v>5.7809389545582201E-5</v>
      </c>
      <c r="D297" s="22">
        <v>1.522373640909788E-4</v>
      </c>
    </row>
    <row r="298" spans="1:4" x14ac:dyDescent="0.25">
      <c r="A298" s="2">
        <v>296</v>
      </c>
      <c r="B298" s="22">
        <v>9.8943755801883492E-6</v>
      </c>
      <c r="C298" s="22">
        <v>-1.4404002286028101E-4</v>
      </c>
      <c r="D298" s="22">
        <v>1.5393439844046936E-4</v>
      </c>
    </row>
    <row r="299" spans="1:4" x14ac:dyDescent="0.25">
      <c r="A299" s="2">
        <v>297</v>
      </c>
      <c r="B299" s="22">
        <v>-1.3699531555175801E-3</v>
      </c>
      <c r="C299" s="22">
        <v>-3.00758518278599E-4</v>
      </c>
      <c r="D299" s="22">
        <v>1.0691946372389811E-3</v>
      </c>
    </row>
    <row r="300" spans="1:4" x14ac:dyDescent="0.25">
      <c r="A300" s="2">
        <v>298</v>
      </c>
      <c r="B300" s="22">
        <v>9.5999235054477995E-4</v>
      </c>
      <c r="C300" s="22">
        <v>-3.0043857987038802E-4</v>
      </c>
      <c r="D300" s="22">
        <v>1.260430930415168E-3</v>
      </c>
    </row>
    <row r="301" spans="1:4" x14ac:dyDescent="0.25">
      <c r="A301" s="2">
        <v>299</v>
      </c>
      <c r="B301" s="22">
        <v>1.0013595783675599E-5</v>
      </c>
      <c r="C301" s="22">
        <v>-1.9603538385126699E-4</v>
      </c>
      <c r="D301" s="22">
        <v>2.060489796349426E-4</v>
      </c>
    </row>
    <row r="302" spans="1:4" x14ac:dyDescent="0.25">
      <c r="A302" s="2">
        <v>300</v>
      </c>
      <c r="B302" s="22">
        <v>-5.79953193664551E-4</v>
      </c>
      <c r="C302" s="22">
        <v>-9.3036658654455096E-5</v>
      </c>
      <c r="D302" s="22">
        <v>4.869165350100959E-4</v>
      </c>
    </row>
    <row r="303" spans="1:4" x14ac:dyDescent="0.25">
      <c r="A303" s="2">
        <v>301</v>
      </c>
      <c r="B303" s="22">
        <v>-8.5008144378662099E-4</v>
      </c>
      <c r="C303" s="22">
        <v>-4.6917164581827799E-5</v>
      </c>
      <c r="D303" s="22">
        <v>8.0316427920479317E-4</v>
      </c>
    </row>
    <row r="304" spans="1:4" x14ac:dyDescent="0.25">
      <c r="A304" s="2">
        <v>302</v>
      </c>
      <c r="B304" s="22">
        <v>2.1004675363656101E-4</v>
      </c>
      <c r="C304" s="22">
        <v>-1.6618607332929999E-5</v>
      </c>
      <c r="D304" s="22">
        <v>2.26665360969491E-4</v>
      </c>
    </row>
    <row r="305" spans="1:4" x14ac:dyDescent="0.25">
      <c r="A305" s="2">
        <v>303</v>
      </c>
      <c r="B305" s="22">
        <v>-1.39951676828787E-4</v>
      </c>
      <c r="C305" s="22">
        <v>-1.24010211948189E-5</v>
      </c>
      <c r="D305" s="22">
        <v>1.2755065563396811E-4</v>
      </c>
    </row>
    <row r="306" spans="1:4" x14ac:dyDescent="0.25">
      <c r="A306" s="2">
        <v>304</v>
      </c>
      <c r="B306" s="22">
        <v>3.6990639637224398E-4</v>
      </c>
      <c r="C306" s="22">
        <v>-3.3730181166902201E-4</v>
      </c>
      <c r="D306" s="22">
        <v>7.0720820804126604E-4</v>
      </c>
    </row>
    <row r="307" spans="1:4" x14ac:dyDescent="0.25">
      <c r="A307" s="2">
        <v>305</v>
      </c>
      <c r="B307" s="22">
        <v>4.0054339478956502E-5</v>
      </c>
      <c r="C307" s="22">
        <v>-2.8497847961261901E-4</v>
      </c>
      <c r="D307" s="22">
        <v>3.2503281909157549E-4</v>
      </c>
    </row>
    <row r="308" spans="1:4" x14ac:dyDescent="0.25">
      <c r="A308" s="2">
        <v>306</v>
      </c>
      <c r="B308" s="22">
        <v>-4.1997438529506299E-4</v>
      </c>
      <c r="C308" s="22">
        <v>-7.2638023993931697E-5</v>
      </c>
      <c r="D308" s="22">
        <v>3.4733636130113128E-4</v>
      </c>
    </row>
    <row r="309" spans="1:4" x14ac:dyDescent="0.25">
      <c r="A309" s="2">
        <v>307</v>
      </c>
      <c r="B309" s="22">
        <v>-4.4000148773193397E-4</v>
      </c>
      <c r="C309" s="22">
        <v>1.10235399915837E-4</v>
      </c>
      <c r="D309" s="22">
        <v>5.50236887647771E-4</v>
      </c>
    </row>
    <row r="310" spans="1:4" x14ac:dyDescent="0.25">
      <c r="A310" s="2">
        <v>308</v>
      </c>
      <c r="B310" s="22">
        <v>3.7992000579834001E-4</v>
      </c>
      <c r="C310" s="22">
        <v>3.8098965887911601E-4</v>
      </c>
      <c r="D310" s="22">
        <v>1.0696530807760001E-6</v>
      </c>
    </row>
    <row r="311" spans="1:4" x14ac:dyDescent="0.25">
      <c r="A311" s="2">
        <v>309</v>
      </c>
      <c r="B311" s="22">
        <v>6.8008899688720703E-4</v>
      </c>
      <c r="C311" s="22">
        <v>3.7510407855734202E-4</v>
      </c>
      <c r="D311" s="22">
        <v>3.0498491832986501E-4</v>
      </c>
    </row>
    <row r="312" spans="1:4" x14ac:dyDescent="0.25">
      <c r="A312" s="2">
        <v>310</v>
      </c>
      <c r="B312" s="22">
        <v>-1.90019651199691E-4</v>
      </c>
      <c r="C312" s="22">
        <v>1.0238365211989699E-4</v>
      </c>
      <c r="D312" s="22">
        <v>2.9240330331958798E-4</v>
      </c>
    </row>
    <row r="313" spans="1:4" x14ac:dyDescent="0.25">
      <c r="A313" s="2">
        <v>311</v>
      </c>
      <c r="B313" s="22">
        <v>4.9948670493904501E-5</v>
      </c>
      <c r="C313" s="22">
        <v>-2.9475282644853001E-4</v>
      </c>
      <c r="D313" s="22">
        <v>3.4470149694243451E-4</v>
      </c>
    </row>
    <row r="314" spans="1:4" x14ac:dyDescent="0.25">
      <c r="A314" s="2">
        <v>312</v>
      </c>
      <c r="B314" s="22">
        <v>-2.3996828531380699E-4</v>
      </c>
      <c r="C314" s="22">
        <v>-4.9700814997777299E-4</v>
      </c>
      <c r="D314" s="22">
        <v>2.57039864663966E-4</v>
      </c>
    </row>
    <row r="315" spans="1:4" x14ac:dyDescent="0.25">
      <c r="A315" s="2">
        <v>313</v>
      </c>
      <c r="B315" s="22">
        <v>1.8500090809538999E-3</v>
      </c>
      <c r="C315" s="22">
        <v>-4.4619676191359802E-4</v>
      </c>
      <c r="D315" s="22">
        <v>2.296205842867498E-3</v>
      </c>
    </row>
    <row r="316" spans="1:4" x14ac:dyDescent="0.25">
      <c r="A316" s="2">
        <v>314</v>
      </c>
      <c r="B316" s="22">
        <v>-1.1500121327117101E-3</v>
      </c>
      <c r="C316" s="22">
        <v>-3.8619653787463898E-4</v>
      </c>
      <c r="D316" s="22">
        <v>7.6381559483707103E-4</v>
      </c>
    </row>
    <row r="317" spans="1:4" x14ac:dyDescent="0.25">
      <c r="A317" s="2">
        <v>315</v>
      </c>
      <c r="B317" s="22">
        <v>-1.89006328582764E-3</v>
      </c>
      <c r="C317" s="22">
        <v>-2.05133663257584E-4</v>
      </c>
      <c r="D317" s="22">
        <v>1.684929622570056E-3</v>
      </c>
    </row>
    <row r="318" spans="1:4" x14ac:dyDescent="0.25">
      <c r="A318" s="2">
        <v>316</v>
      </c>
      <c r="B318" s="22">
        <v>3.4010410308837901E-4</v>
      </c>
      <c r="C318" s="22">
        <v>-4.8108493501786102E-5</v>
      </c>
      <c r="D318" s="22">
        <v>3.882125965901651E-4</v>
      </c>
    </row>
    <row r="319" spans="1:4" x14ac:dyDescent="0.25">
      <c r="A319" s="2">
        <v>317</v>
      </c>
      <c r="B319" s="22">
        <v>7.4994558235630404E-4</v>
      </c>
      <c r="C319" s="22">
        <v>1.05222592537757E-4</v>
      </c>
      <c r="D319" s="22">
        <v>6.4472298981854703E-4</v>
      </c>
    </row>
    <row r="320" spans="1:4" x14ac:dyDescent="0.25">
      <c r="A320" s="2">
        <v>318</v>
      </c>
      <c r="B320" s="22">
        <v>4.7004219959490001E-4</v>
      </c>
      <c r="C320" s="22">
        <v>1.6737845726311199E-4</v>
      </c>
      <c r="D320" s="22">
        <v>3.02663742331788E-4</v>
      </c>
    </row>
    <row r="321" spans="1:4" x14ac:dyDescent="0.25">
      <c r="A321" s="2">
        <v>319</v>
      </c>
      <c r="B321" s="22">
        <v>-7.9989455116447102E-5</v>
      </c>
      <c r="C321" s="22">
        <v>1.3900565681979101E-4</v>
      </c>
      <c r="D321" s="22">
        <v>2.189951119362381E-4</v>
      </c>
    </row>
    <row r="322" spans="1:4" x14ac:dyDescent="0.25">
      <c r="A322" s="2">
        <v>320</v>
      </c>
      <c r="B322" s="22">
        <v>-2.5999546051025401E-4</v>
      </c>
      <c r="C322" s="22">
        <v>-5.8579640608513701E-5</v>
      </c>
      <c r="D322" s="22">
        <v>2.0141581990174029E-4</v>
      </c>
    </row>
    <row r="323" spans="1:4" x14ac:dyDescent="0.25">
      <c r="A323" s="2">
        <v>321</v>
      </c>
      <c r="B323" s="22">
        <v>-1.6601085662841799E-3</v>
      </c>
      <c r="C323" s="22">
        <v>-2.6269309455528899E-4</v>
      </c>
      <c r="D323" s="22">
        <v>1.3974154717288909E-3</v>
      </c>
    </row>
    <row r="324" spans="1:4" x14ac:dyDescent="0.25">
      <c r="A324" s="2">
        <v>322</v>
      </c>
      <c r="B324" s="22">
        <v>-1.7299654427915801E-3</v>
      </c>
      <c r="C324" s="22">
        <v>-3.3775647170841699E-4</v>
      </c>
      <c r="D324" s="22">
        <v>1.3922089710831629E-3</v>
      </c>
    </row>
    <row r="325" spans="1:4" x14ac:dyDescent="0.25">
      <c r="A325" s="2">
        <v>323</v>
      </c>
      <c r="B325" s="22">
        <v>1.0200738906860399E-3</v>
      </c>
      <c r="C325" s="22">
        <v>-2.6480181259103098E-4</v>
      </c>
      <c r="D325" s="22">
        <v>1.2848757032770709E-3</v>
      </c>
    </row>
    <row r="326" spans="1:4" x14ac:dyDescent="0.25">
      <c r="A326" s="2">
        <v>324</v>
      </c>
      <c r="B326" s="22">
        <v>-8.0001354217529297E-4</v>
      </c>
      <c r="C326" s="22">
        <v>-1.8181225459557E-4</v>
      </c>
      <c r="D326" s="22">
        <v>6.1820128757972303E-4</v>
      </c>
    </row>
    <row r="327" spans="1:4" x14ac:dyDescent="0.25">
      <c r="A327" s="2">
        <v>325</v>
      </c>
      <c r="B327" s="22">
        <v>1.80006012669764E-4</v>
      </c>
      <c r="C327" s="22">
        <v>-8.0957172031048699E-5</v>
      </c>
      <c r="D327" s="22">
        <v>2.6096318470081271E-4</v>
      </c>
    </row>
    <row r="328" spans="1:4" x14ac:dyDescent="0.25">
      <c r="A328" s="2">
        <v>326</v>
      </c>
      <c r="B328" s="22">
        <v>1.9907971363863901E-5</v>
      </c>
      <c r="C328" s="22">
        <v>7.7665536082349704E-5</v>
      </c>
      <c r="D328" s="22">
        <v>5.7757564718485803E-5</v>
      </c>
    </row>
    <row r="329" spans="1:4" x14ac:dyDescent="0.25">
      <c r="A329" s="2">
        <v>327</v>
      </c>
      <c r="B329" s="22">
        <v>-5.0997728249058095E-4</v>
      </c>
      <c r="C329" s="22">
        <v>1.2929807417094699E-4</v>
      </c>
      <c r="D329" s="22">
        <v>6.3927535666152802E-4</v>
      </c>
    </row>
    <row r="330" spans="1:4" x14ac:dyDescent="0.25">
      <c r="A330" s="2">
        <v>328</v>
      </c>
      <c r="B330" s="22">
        <v>-6.9975860242266194E-5</v>
      </c>
      <c r="C330" s="22">
        <v>7.8332617704290897E-5</v>
      </c>
      <c r="D330" s="22">
        <v>1.483084779465571E-4</v>
      </c>
    </row>
    <row r="331" spans="1:4" x14ac:dyDescent="0.25">
      <c r="A331" s="2">
        <v>329</v>
      </c>
      <c r="B331" s="22">
        <v>3.0040742785786299E-5</v>
      </c>
      <c r="C331" s="22">
        <v>-1.27205508761108E-4</v>
      </c>
      <c r="D331" s="22">
        <v>1.5724625154689431E-4</v>
      </c>
    </row>
    <row r="332" spans="1:4" x14ac:dyDescent="0.25">
      <c r="A332" s="2">
        <v>330</v>
      </c>
      <c r="B332" s="22">
        <v>1.6999244689941401E-4</v>
      </c>
      <c r="C332" s="22">
        <v>-4.2031507473439E-4</v>
      </c>
      <c r="D332" s="22">
        <v>5.9030752163380395E-4</v>
      </c>
    </row>
    <row r="333" spans="1:4" x14ac:dyDescent="0.25">
      <c r="A333" s="2">
        <v>331</v>
      </c>
      <c r="B333" s="22">
        <v>-3.0040742785786299E-5</v>
      </c>
      <c r="C333" s="22">
        <v>-4.6272308100014898E-4</v>
      </c>
      <c r="D333" s="22">
        <v>4.326823382143627E-4</v>
      </c>
    </row>
    <row r="334" spans="1:4" x14ac:dyDescent="0.25">
      <c r="A334" s="2">
        <v>332</v>
      </c>
      <c r="B334" s="22">
        <v>-1.39951676828787E-4</v>
      </c>
      <c r="C334" s="22">
        <v>-3.6626635119319E-4</v>
      </c>
      <c r="D334" s="22">
        <v>2.26314674364403E-4</v>
      </c>
    </row>
    <row r="335" spans="1:4" x14ac:dyDescent="0.25">
      <c r="A335" s="2">
        <v>333</v>
      </c>
      <c r="B335" s="22">
        <v>-4.8005586722865701E-4</v>
      </c>
      <c r="C335" s="22">
        <v>-1.8279414507560399E-4</v>
      </c>
      <c r="D335" s="22">
        <v>2.9726172215305301E-4</v>
      </c>
    </row>
    <row r="336" spans="1:4" x14ac:dyDescent="0.25">
      <c r="A336" s="2">
        <v>334</v>
      </c>
      <c r="B336" s="22">
        <v>5.0067890697391697E-5</v>
      </c>
      <c r="C336" s="22">
        <v>2.6101528419531001E-5</v>
      </c>
      <c r="D336" s="22">
        <v>2.3966362277860699E-5</v>
      </c>
    </row>
    <row r="337" spans="1:4" x14ac:dyDescent="0.25">
      <c r="A337" s="2">
        <v>335</v>
      </c>
      <c r="B337" s="22">
        <v>3.0994415283203098E-4</v>
      </c>
      <c r="C337" s="22">
        <v>5.3979991207597798E-5</v>
      </c>
      <c r="D337" s="22">
        <v>2.559641616244332E-4</v>
      </c>
    </row>
    <row r="338" spans="1:4" x14ac:dyDescent="0.25">
      <c r="A338" s="2">
        <v>336</v>
      </c>
      <c r="B338" s="22">
        <v>4.4000148773193397E-4</v>
      </c>
      <c r="C338" s="22">
        <v>-8.1733851402532296E-5</v>
      </c>
      <c r="D338" s="22">
        <v>5.2173533913446634E-4</v>
      </c>
    </row>
    <row r="339" spans="1:4" x14ac:dyDescent="0.25">
      <c r="A339" s="2">
        <v>337</v>
      </c>
      <c r="B339" s="22">
        <v>2.90036201477051E-4</v>
      </c>
      <c r="C339" s="22">
        <v>-1.7431138257961701E-4</v>
      </c>
      <c r="D339" s="22">
        <v>4.6434758405666798E-4</v>
      </c>
    </row>
    <row r="340" spans="1:4" x14ac:dyDescent="0.25">
      <c r="A340" s="2">
        <v>338</v>
      </c>
      <c r="B340" s="22">
        <v>-1.92999839782715E-3</v>
      </c>
      <c r="C340" s="22">
        <v>-2.03967880224809E-4</v>
      </c>
      <c r="D340" s="22">
        <v>1.7260305176023409E-3</v>
      </c>
    </row>
    <row r="341" spans="1:4" x14ac:dyDescent="0.25">
      <c r="A341" s="2">
        <v>339</v>
      </c>
      <c r="B341" s="22">
        <v>-1.80006038863212E-3</v>
      </c>
      <c r="C341" s="22">
        <v>-2.45810078922659E-4</v>
      </c>
      <c r="D341" s="22">
        <v>1.5542503097094611E-3</v>
      </c>
    </row>
    <row r="342" spans="1:4" x14ac:dyDescent="0.25">
      <c r="A342" s="2">
        <v>340</v>
      </c>
      <c r="B342" s="22">
        <v>-1.26993644516915E-3</v>
      </c>
      <c r="C342" s="22">
        <v>-2.2799323778599501E-4</v>
      </c>
      <c r="D342" s="22">
        <v>1.041943207383155E-3</v>
      </c>
    </row>
    <row r="343" spans="1:4" x14ac:dyDescent="0.25">
      <c r="A343" s="2">
        <v>341</v>
      </c>
      <c r="B343" s="22">
        <v>8.2993507385253895E-4</v>
      </c>
      <c r="C343" s="22">
        <v>-1.85136086656712E-4</v>
      </c>
      <c r="D343" s="22">
        <v>1.0150711605092511E-3</v>
      </c>
    </row>
    <row r="344" spans="1:4" x14ac:dyDescent="0.25">
      <c r="A344" s="2">
        <v>342</v>
      </c>
      <c r="B344" s="22">
        <v>6.9975860242266194E-5</v>
      </c>
      <c r="C344" s="22">
        <v>-1.6971133300103201E-4</v>
      </c>
      <c r="D344" s="22">
        <v>2.3968719324329819E-4</v>
      </c>
    </row>
    <row r="345" spans="1:4" x14ac:dyDescent="0.25">
      <c r="A345" s="2">
        <v>343</v>
      </c>
      <c r="B345" s="22">
        <v>-1.60992133896798E-3</v>
      </c>
      <c r="C345" s="22">
        <v>-1.6700006381142901E-4</v>
      </c>
      <c r="D345" s="22">
        <v>1.442921275156551E-3</v>
      </c>
    </row>
    <row r="346" spans="1:4" x14ac:dyDescent="0.25">
      <c r="A346" s="2">
        <v>344</v>
      </c>
      <c r="B346" s="22">
        <v>-1.64997577667236E-3</v>
      </c>
      <c r="C346" s="22">
        <v>-1.15654947876465E-4</v>
      </c>
      <c r="D346" s="22">
        <v>1.534320828795895E-3</v>
      </c>
    </row>
    <row r="347" spans="1:4" x14ac:dyDescent="0.25">
      <c r="A347" s="2">
        <v>345</v>
      </c>
      <c r="B347" s="22">
        <v>8.8000297546386697E-4</v>
      </c>
      <c r="C347" s="22">
        <v>7.4028743256349103E-5</v>
      </c>
      <c r="D347" s="22">
        <v>8.0597423220751785E-4</v>
      </c>
    </row>
    <row r="348" spans="1:4" x14ac:dyDescent="0.25">
      <c r="A348" s="2">
        <v>346</v>
      </c>
      <c r="B348" s="22">
        <v>1.16991996765137E-3</v>
      </c>
      <c r="C348" s="22">
        <v>1.66468249517493E-4</v>
      </c>
      <c r="D348" s="22">
        <v>1.0034517181338771E-3</v>
      </c>
    </row>
    <row r="349" spans="1:4" x14ac:dyDescent="0.25">
      <c r="A349" s="2">
        <v>347</v>
      </c>
      <c r="B349" s="22">
        <v>-3.1995773315429698E-4</v>
      </c>
      <c r="C349" s="22">
        <v>1.31484455778264E-4</v>
      </c>
      <c r="D349" s="22">
        <v>4.5144218893256098E-4</v>
      </c>
    </row>
    <row r="350" spans="1:4" x14ac:dyDescent="0.25">
      <c r="A350" s="2">
        <v>348</v>
      </c>
      <c r="B350" s="22">
        <v>-6.7996978759765603E-4</v>
      </c>
      <c r="C350" s="22">
        <v>2.8051475965185101E-5</v>
      </c>
      <c r="D350" s="22">
        <v>7.0802126356284112E-4</v>
      </c>
    </row>
    <row r="351" spans="1:4" x14ac:dyDescent="0.25">
      <c r="A351" s="2">
        <v>349</v>
      </c>
      <c r="B351" s="22">
        <v>-5.4001802345737804E-4</v>
      </c>
      <c r="C351" s="22">
        <v>-7.3471434006933096E-5</v>
      </c>
      <c r="D351" s="22">
        <v>4.6654658945044492E-4</v>
      </c>
    </row>
    <row r="352" spans="1:4" x14ac:dyDescent="0.25">
      <c r="A352" s="2">
        <v>350</v>
      </c>
      <c r="B352" s="22">
        <v>8.3994871238246603E-4</v>
      </c>
      <c r="C352" s="22">
        <v>-6.47910856059752E-5</v>
      </c>
      <c r="D352" s="22">
        <v>9.0473979798844117E-4</v>
      </c>
    </row>
    <row r="353" spans="1:4" x14ac:dyDescent="0.25">
      <c r="A353" s="2">
        <v>351</v>
      </c>
      <c r="B353" s="22">
        <v>-8.8000297546386697E-4</v>
      </c>
      <c r="C353" s="22">
        <v>-9.3232893050298992E-6</v>
      </c>
      <c r="D353" s="22">
        <v>8.7067968615883707E-4</v>
      </c>
    </row>
    <row r="354" spans="1:4" x14ac:dyDescent="0.25">
      <c r="A354" s="2">
        <v>352</v>
      </c>
      <c r="B354" s="22">
        <v>3.80039215087891E-4</v>
      </c>
      <c r="C354" s="22">
        <v>-5.87163558520842E-5</v>
      </c>
      <c r="D354" s="22">
        <v>4.3875557093997518E-4</v>
      </c>
    </row>
    <row r="355" spans="1:4" x14ac:dyDescent="0.25">
      <c r="A355" s="2">
        <v>353</v>
      </c>
      <c r="B355" s="22">
        <v>-4.99963760375977E-4</v>
      </c>
      <c r="C355" s="22">
        <v>-2.0989066979382201E-4</v>
      </c>
      <c r="D355" s="22">
        <v>2.9007309058215502E-4</v>
      </c>
    </row>
    <row r="356" spans="1:4" x14ac:dyDescent="0.25">
      <c r="A356" s="2">
        <v>354</v>
      </c>
      <c r="B356" s="22">
        <v>-3.7002566386945502E-4</v>
      </c>
      <c r="C356" s="22">
        <v>-3.58375487849116E-4</v>
      </c>
      <c r="D356" s="22">
        <v>1.1650176020338999E-5</v>
      </c>
    </row>
    <row r="357" spans="1:4" x14ac:dyDescent="0.25">
      <c r="A357" s="2">
        <v>355</v>
      </c>
      <c r="B357" s="22">
        <v>4.9948670493904501E-5</v>
      </c>
      <c r="C357" s="22">
        <v>-3.7616188637912301E-4</v>
      </c>
      <c r="D357" s="22">
        <v>4.2611055687302751E-4</v>
      </c>
    </row>
    <row r="358" spans="1:4" x14ac:dyDescent="0.25">
      <c r="A358" s="2">
        <v>356</v>
      </c>
      <c r="B358" s="22">
        <v>-1.1992453073617099E-4</v>
      </c>
      <c r="C358" s="22">
        <v>-2.5306511088274398E-4</v>
      </c>
      <c r="D358" s="22">
        <v>1.33140580146573E-4</v>
      </c>
    </row>
    <row r="359" spans="1:4" x14ac:dyDescent="0.25">
      <c r="A359" s="2">
        <v>357</v>
      </c>
      <c r="B359" s="22">
        <v>-3.0004986911080799E-4</v>
      </c>
      <c r="C359" s="22">
        <v>-2.09481095225783E-5</v>
      </c>
      <c r="D359" s="22">
        <v>2.7910175958822969E-4</v>
      </c>
    </row>
    <row r="360" spans="1:4" x14ac:dyDescent="0.25">
      <c r="A360" s="2">
        <v>358</v>
      </c>
      <c r="B360" s="22">
        <v>-2.5999546051025401E-4</v>
      </c>
      <c r="C360" s="22">
        <v>1.12903559056576E-4</v>
      </c>
      <c r="D360" s="22">
        <v>3.7289901956682998E-4</v>
      </c>
    </row>
    <row r="361" spans="1:4" x14ac:dyDescent="0.25">
      <c r="A361" s="2">
        <v>359</v>
      </c>
      <c r="B361" s="22">
        <v>2.2995470499154199E-4</v>
      </c>
      <c r="C361" s="22">
        <v>2.7470199711388001E-5</v>
      </c>
      <c r="D361" s="22">
        <v>2.0248450528015399E-4</v>
      </c>
    </row>
    <row r="362" spans="1:4" x14ac:dyDescent="0.25">
      <c r="A362" s="2">
        <v>360</v>
      </c>
      <c r="B362" s="22">
        <v>5.1999092102050803E-4</v>
      </c>
      <c r="C362" s="22">
        <v>-8.69393625180237E-5</v>
      </c>
      <c r="D362" s="22">
        <v>6.0693028353853173E-4</v>
      </c>
    </row>
    <row r="363" spans="1:4" x14ac:dyDescent="0.25">
      <c r="A363" s="2">
        <v>361</v>
      </c>
      <c r="B363" s="22">
        <v>9.0003019431605903E-4</v>
      </c>
      <c r="C363" s="22">
        <v>-2.8871255926787902E-4</v>
      </c>
      <c r="D363" s="22">
        <v>1.1887427535839381E-3</v>
      </c>
    </row>
    <row r="364" spans="1:4" x14ac:dyDescent="0.25">
      <c r="A364" s="2">
        <v>362</v>
      </c>
      <c r="B364" s="22">
        <v>-2.0799636840820299E-3</v>
      </c>
      <c r="C364" s="22">
        <v>-3.1152387964539197E-4</v>
      </c>
      <c r="D364" s="22">
        <v>1.7684398044366381E-3</v>
      </c>
    </row>
    <row r="365" spans="1:4" x14ac:dyDescent="0.25">
      <c r="A365" s="2">
        <v>363</v>
      </c>
      <c r="B365" s="22">
        <v>-2.7899744454771302E-3</v>
      </c>
      <c r="C365" s="22">
        <v>-1.2869475176557901E-4</v>
      </c>
      <c r="D365" s="22">
        <v>2.6612796937115512E-3</v>
      </c>
    </row>
    <row r="366" spans="1:4" x14ac:dyDescent="0.25">
      <c r="A366" s="2">
        <v>364</v>
      </c>
      <c r="B366" s="22">
        <v>-4.5001512626186002E-4</v>
      </c>
      <c r="C366" s="22">
        <v>6.2793420511297895E-5</v>
      </c>
      <c r="D366" s="22">
        <v>5.1280854677315791E-4</v>
      </c>
    </row>
    <row r="367" spans="1:4" x14ac:dyDescent="0.25">
      <c r="A367" s="2">
        <v>365</v>
      </c>
      <c r="B367" s="22">
        <v>5.9962265368085402E-5</v>
      </c>
      <c r="C367" s="22">
        <v>2.5301316054537898E-4</v>
      </c>
      <c r="D367" s="22">
        <v>1.930508951772936E-4</v>
      </c>
    </row>
    <row r="368" spans="1:4" x14ac:dyDescent="0.25">
      <c r="A368" s="2">
        <v>366</v>
      </c>
      <c r="B368" s="22">
        <v>7.5006479164585504E-4</v>
      </c>
      <c r="C368" s="22">
        <v>2.7987113571725802E-4</v>
      </c>
      <c r="D368" s="22">
        <v>4.7019365592859702E-4</v>
      </c>
    </row>
    <row r="369" spans="1:4" x14ac:dyDescent="0.25">
      <c r="A369" s="2">
        <v>367</v>
      </c>
      <c r="B369" s="22">
        <v>1.1992453073617099E-4</v>
      </c>
      <c r="C369" s="22">
        <v>1.57295988174155E-4</v>
      </c>
      <c r="D369" s="22">
        <v>3.7371457437984002E-5</v>
      </c>
    </row>
    <row r="370" spans="1:4" x14ac:dyDescent="0.25">
      <c r="A370" s="2">
        <v>368</v>
      </c>
      <c r="B370" s="22">
        <v>-8.9001655578613303E-4</v>
      </c>
      <c r="C370" s="22">
        <v>-1.05526807601564E-4</v>
      </c>
      <c r="D370" s="22">
        <v>7.8448974818456896E-4</v>
      </c>
    </row>
    <row r="371" spans="1:4" x14ac:dyDescent="0.25">
      <c r="A371" s="2">
        <v>369</v>
      </c>
      <c r="B371" s="22">
        <v>-1.08993065077811E-3</v>
      </c>
      <c r="C371" s="22">
        <v>-3.0447798781096897E-4</v>
      </c>
      <c r="D371" s="22">
        <v>7.85452662967141E-4</v>
      </c>
    </row>
    <row r="372" spans="1:4" x14ac:dyDescent="0.25">
      <c r="A372" s="2">
        <v>370</v>
      </c>
      <c r="B372" s="22">
        <v>-2.8002256294712403E-4</v>
      </c>
      <c r="C372" s="22">
        <v>-3.3861832343973198E-4</v>
      </c>
      <c r="D372" s="22">
        <v>5.8595760492607999E-5</v>
      </c>
    </row>
    <row r="373" spans="1:4" x14ac:dyDescent="0.25">
      <c r="A373" s="2">
        <v>371</v>
      </c>
      <c r="B373" s="22">
        <v>-4.9006933113560102E-4</v>
      </c>
      <c r="C373" s="22">
        <v>-3.0211711418815001E-4</v>
      </c>
      <c r="D373" s="22">
        <v>1.8795221694745099E-4</v>
      </c>
    </row>
    <row r="374" spans="1:4" x14ac:dyDescent="0.25">
      <c r="A374" s="2">
        <v>372</v>
      </c>
      <c r="B374" s="22">
        <v>-1.59978866577148E-4</v>
      </c>
      <c r="C374" s="22">
        <v>-1.5935914416331801E-4</v>
      </c>
      <c r="D374" s="22">
        <v>6.1972241383000003E-7</v>
      </c>
    </row>
    <row r="375" spans="1:4" x14ac:dyDescent="0.25">
      <c r="A375" s="2">
        <v>373</v>
      </c>
      <c r="B375" s="22">
        <v>-6.3002097886055697E-4</v>
      </c>
      <c r="C375" s="22">
        <v>1.3173487968742799E-4</v>
      </c>
      <c r="D375" s="22">
        <v>7.6175585854798501E-4</v>
      </c>
    </row>
    <row r="376" spans="1:4" x14ac:dyDescent="0.25">
      <c r="A376" s="2">
        <v>374</v>
      </c>
      <c r="B376" s="22">
        <v>-1.09910979517736E-4</v>
      </c>
      <c r="C376" s="22">
        <v>2.5955593446269599E-4</v>
      </c>
      <c r="D376" s="22">
        <v>3.6946691398043202E-4</v>
      </c>
    </row>
    <row r="377" spans="1:4" x14ac:dyDescent="0.25">
      <c r="A377" s="2">
        <v>375</v>
      </c>
      <c r="B377" s="22">
        <v>1.0013595783675599E-5</v>
      </c>
      <c r="C377" s="22">
        <v>2.61063600191846E-4</v>
      </c>
      <c r="D377" s="22">
        <v>2.5105000440817039E-4</v>
      </c>
    </row>
    <row r="378" spans="1:4" x14ac:dyDescent="0.25">
      <c r="A378" s="2">
        <v>376</v>
      </c>
      <c r="B378" s="22">
        <v>2.09927558898926E-4</v>
      </c>
      <c r="C378" s="22">
        <v>2.1904431923758201E-4</v>
      </c>
      <c r="D378" s="22">
        <v>9.1167603386559995E-6</v>
      </c>
    </row>
    <row r="379" spans="1:4" x14ac:dyDescent="0.25">
      <c r="A379" s="2">
        <v>377</v>
      </c>
      <c r="B379" s="22">
        <v>-2.0027147911605401E-5</v>
      </c>
      <c r="C379" s="22">
        <v>-6.4171717895078505E-7</v>
      </c>
      <c r="D379" s="22">
        <v>1.9385430732654613E-5</v>
      </c>
    </row>
    <row r="380" spans="1:4" x14ac:dyDescent="0.25">
      <c r="A380" s="2">
        <v>378</v>
      </c>
      <c r="B380" s="22">
        <v>6.0081485571572598E-5</v>
      </c>
      <c r="C380" s="22">
        <v>-2.4221082276198999E-4</v>
      </c>
      <c r="D380" s="22">
        <v>3.0229230833356258E-4</v>
      </c>
    </row>
    <row r="381" spans="1:4" x14ac:dyDescent="0.25">
      <c r="A381" s="2">
        <v>379</v>
      </c>
      <c r="B381" s="22">
        <v>-3.0004986911080799E-4</v>
      </c>
      <c r="C381" s="22">
        <v>-2.6450303266756199E-4</v>
      </c>
      <c r="D381" s="22">
        <v>3.5546836443246E-5</v>
      </c>
    </row>
    <row r="382" spans="1:4" x14ac:dyDescent="0.25">
      <c r="A382" s="2">
        <v>380</v>
      </c>
      <c r="B382" s="22">
        <v>3.3998489379882802E-4</v>
      </c>
      <c r="C382" s="22">
        <v>-1.92734223674051E-4</v>
      </c>
      <c r="D382" s="22">
        <v>5.3271911747287905E-4</v>
      </c>
    </row>
    <row r="383" spans="1:4" x14ac:dyDescent="0.25">
      <c r="A383" s="2">
        <v>381</v>
      </c>
      <c r="B383" s="22">
        <v>2.7000904083252002E-4</v>
      </c>
      <c r="C383" s="22">
        <v>-9.5216208137571798E-5</v>
      </c>
      <c r="D383" s="22">
        <v>3.6522524897009178E-4</v>
      </c>
    </row>
    <row r="384" spans="1:4" x14ac:dyDescent="0.25">
      <c r="A384" s="2">
        <v>382</v>
      </c>
      <c r="B384" s="22">
        <v>-1.1992453073617099E-4</v>
      </c>
      <c r="C384" s="22">
        <v>5.5752421758370501E-5</v>
      </c>
      <c r="D384" s="22">
        <v>1.7567695249454151E-4</v>
      </c>
    </row>
    <row r="385" spans="1:4" x14ac:dyDescent="0.25">
      <c r="A385" s="2">
        <v>383</v>
      </c>
      <c r="B385" s="22">
        <v>5.9998035430908203E-4</v>
      </c>
      <c r="C385" s="22">
        <v>1.57253292854875E-4</v>
      </c>
      <c r="D385" s="22">
        <v>4.4272706145420698E-4</v>
      </c>
    </row>
    <row r="386" spans="1:4" x14ac:dyDescent="0.25">
      <c r="A386" s="2">
        <v>384</v>
      </c>
      <c r="B386" s="22">
        <v>4.2998790740966802E-4</v>
      </c>
      <c r="C386" s="22">
        <v>1.9640481332317E-4</v>
      </c>
      <c r="D386" s="22">
        <v>2.3358309408649799E-4</v>
      </c>
    </row>
    <row r="387" spans="1:4" x14ac:dyDescent="0.25">
      <c r="A387" s="2">
        <v>385</v>
      </c>
      <c r="B387" s="22">
        <v>-1.25002884306014E-3</v>
      </c>
      <c r="C387" s="22">
        <v>1.5621462080162E-4</v>
      </c>
      <c r="D387" s="22">
        <v>1.4062434638617599E-3</v>
      </c>
    </row>
    <row r="388" spans="1:4" x14ac:dyDescent="0.25">
      <c r="A388" s="2">
        <v>386</v>
      </c>
      <c r="B388" s="22">
        <v>-7.5995933730155197E-4</v>
      </c>
      <c r="C388" s="22">
        <v>1.2781599070876799E-4</v>
      </c>
      <c r="D388" s="22">
        <v>8.8777532801032001E-4</v>
      </c>
    </row>
    <row r="389" spans="1:4" x14ac:dyDescent="0.25">
      <c r="A389" s="2">
        <v>387</v>
      </c>
      <c r="B389" s="22">
        <v>6.2000751495361296E-4</v>
      </c>
      <c r="C389" s="22">
        <v>4.33473760494962E-5</v>
      </c>
      <c r="D389" s="22">
        <v>5.7666013890411683E-4</v>
      </c>
    </row>
    <row r="390" spans="1:4" x14ac:dyDescent="0.25">
      <c r="A390" s="2">
        <v>388</v>
      </c>
      <c r="B390" s="22">
        <v>1.2499094009399401E-3</v>
      </c>
      <c r="C390" s="22">
        <v>-2.9389368137344702E-4</v>
      </c>
      <c r="D390" s="22">
        <v>1.5438030823133871E-3</v>
      </c>
    </row>
    <row r="391" spans="1:4" x14ac:dyDescent="0.25">
      <c r="A391" s="2">
        <v>389</v>
      </c>
      <c r="B391" s="22">
        <v>6.0081485571572598E-5</v>
      </c>
      <c r="C391" s="22">
        <v>-3.5060735535807902E-4</v>
      </c>
      <c r="D391" s="22">
        <v>4.1068884092965158E-4</v>
      </c>
    </row>
    <row r="392" spans="1:4" x14ac:dyDescent="0.25">
      <c r="A392" s="2">
        <v>390</v>
      </c>
      <c r="B392" s="22">
        <v>-1.20043754577637E-4</v>
      </c>
      <c r="C392" s="22">
        <v>-3.2582937274128199E-4</v>
      </c>
      <c r="D392" s="22">
        <v>2.05785618163645E-4</v>
      </c>
    </row>
    <row r="393" spans="1:4" x14ac:dyDescent="0.25">
      <c r="A393" s="2">
        <v>391</v>
      </c>
      <c r="B393" s="22">
        <v>1.289963722229E-3</v>
      </c>
      <c r="C393" s="22">
        <v>-2.28030578000471E-4</v>
      </c>
      <c r="D393" s="22">
        <v>1.517994300229471E-3</v>
      </c>
    </row>
    <row r="394" spans="1:4" x14ac:dyDescent="0.25">
      <c r="A394" s="2">
        <v>392</v>
      </c>
      <c r="B394" s="22">
        <v>0</v>
      </c>
      <c r="C394" s="22">
        <v>-6.2665145378559801E-5</v>
      </c>
      <c r="D394" s="22">
        <v>6.2665145378559801E-5</v>
      </c>
    </row>
    <row r="395" spans="1:4" x14ac:dyDescent="0.25">
      <c r="A395" s="2">
        <v>393</v>
      </c>
      <c r="B395" s="22">
        <v>-5.3989893058314898E-4</v>
      </c>
      <c r="C395" s="22">
        <v>2.55366080637032E-6</v>
      </c>
      <c r="D395" s="22">
        <v>5.4245259138951929E-4</v>
      </c>
    </row>
    <row r="396" spans="1:4" x14ac:dyDescent="0.25">
      <c r="A396" s="2">
        <v>394</v>
      </c>
      <c r="B396" s="22">
        <v>1.41000747680664E-3</v>
      </c>
      <c r="C396" s="22">
        <v>6.7086759372614297E-5</v>
      </c>
      <c r="D396" s="22">
        <v>1.3429207174340257E-3</v>
      </c>
    </row>
    <row r="397" spans="1:4" x14ac:dyDescent="0.25">
      <c r="A397" s="2">
        <v>395</v>
      </c>
      <c r="B397" s="22">
        <v>-2.0027147911605401E-5</v>
      </c>
      <c r="C397" s="22">
        <v>1.20207667350769E-4</v>
      </c>
      <c r="D397" s="22">
        <v>1.4023481526237439E-4</v>
      </c>
    </row>
    <row r="398" spans="1:4" x14ac:dyDescent="0.25">
      <c r="A398" s="2">
        <v>396</v>
      </c>
      <c r="B398" s="22">
        <v>1.6999244689941401E-4</v>
      </c>
      <c r="C398" s="22">
        <v>1.7613689124118499E-4</v>
      </c>
      <c r="D398" s="22">
        <v>6.1444443417709997E-6</v>
      </c>
    </row>
    <row r="399" spans="1:4" x14ac:dyDescent="0.25">
      <c r="A399" s="2">
        <v>397</v>
      </c>
      <c r="B399" s="22">
        <v>-3.80039215087891E-4</v>
      </c>
      <c r="C399" s="22">
        <v>1.6176683129742701E-4</v>
      </c>
      <c r="D399" s="22">
        <v>5.4180604638531804E-4</v>
      </c>
    </row>
    <row r="400" spans="1:4" x14ac:dyDescent="0.25">
      <c r="A400" s="2">
        <v>398</v>
      </c>
      <c r="B400" s="22">
        <v>-5.5992603302001996E-4</v>
      </c>
      <c r="C400" s="22">
        <v>7.8935627243481593E-6</v>
      </c>
      <c r="D400" s="22">
        <v>5.6781959574436812E-4</v>
      </c>
    </row>
    <row r="401" spans="1:4" x14ac:dyDescent="0.25">
      <c r="A401" s="2">
        <v>399</v>
      </c>
      <c r="B401" s="22">
        <v>-4.0054339478956502E-5</v>
      </c>
      <c r="C401" s="22">
        <v>-3.4310441697016402E-4</v>
      </c>
      <c r="D401" s="22">
        <v>3.0305007749120748E-4</v>
      </c>
    </row>
    <row r="402" spans="1:4" x14ac:dyDescent="0.25">
      <c r="A402" s="2">
        <v>400</v>
      </c>
      <c r="B402" s="22">
        <v>-1.20043754577637E-4</v>
      </c>
      <c r="C402" s="22">
        <v>-5.1380891818553198E-4</v>
      </c>
      <c r="D402" s="22">
        <v>3.9376516360789499E-4</v>
      </c>
    </row>
    <row r="403" spans="1:4" x14ac:dyDescent="0.25">
      <c r="A403" s="2">
        <v>401</v>
      </c>
      <c r="B403" s="22">
        <v>4.8005583812482698E-4</v>
      </c>
      <c r="C403" s="22">
        <v>-5.0774333067238298E-4</v>
      </c>
      <c r="D403" s="22">
        <v>9.8779916879721008E-4</v>
      </c>
    </row>
    <row r="404" spans="1:4" x14ac:dyDescent="0.25">
      <c r="A404" s="2">
        <v>402</v>
      </c>
      <c r="B404" s="22">
        <v>-1.4007094432599799E-4</v>
      </c>
      <c r="C404" s="22">
        <v>-5.3794495761394501E-4</v>
      </c>
      <c r="D404" s="22">
        <v>3.9787401328794702E-4</v>
      </c>
    </row>
    <row r="405" spans="1:4" x14ac:dyDescent="0.25">
      <c r="A405" s="2">
        <v>403</v>
      </c>
      <c r="B405" s="22">
        <v>-6.4992910483851996E-4</v>
      </c>
      <c r="C405" s="22">
        <v>-4.2392537579871698E-4</v>
      </c>
      <c r="D405" s="22">
        <v>2.2600372903980301E-4</v>
      </c>
    </row>
    <row r="406" spans="1:4" x14ac:dyDescent="0.25">
      <c r="A406" s="2">
        <v>404</v>
      </c>
      <c r="B406" s="22">
        <v>-2.3996828531380699E-4</v>
      </c>
      <c r="C406" s="22">
        <v>-1.8655737221706699E-4</v>
      </c>
      <c r="D406" s="22">
        <v>5.3410913096740002E-5</v>
      </c>
    </row>
    <row r="407" spans="1:4" x14ac:dyDescent="0.25">
      <c r="A407" s="2">
        <v>405</v>
      </c>
      <c r="B407" s="22">
        <v>2.3996829986572301E-4</v>
      </c>
      <c r="C407" s="22">
        <v>-9.1636538854800205E-5</v>
      </c>
      <c r="D407" s="22">
        <v>3.316048387205232E-4</v>
      </c>
    </row>
    <row r="408" spans="1:4" x14ac:dyDescent="0.25">
      <c r="A408" s="2">
        <v>406</v>
      </c>
      <c r="B408" s="22">
        <v>-7.2002405067905805E-4</v>
      </c>
      <c r="C408" s="22">
        <v>-1.0074692227135499E-6</v>
      </c>
      <c r="D408" s="22">
        <v>7.190165814563445E-4</v>
      </c>
    </row>
    <row r="409" spans="1:4" x14ac:dyDescent="0.25">
      <c r="A409" s="2">
        <v>407</v>
      </c>
      <c r="B409" s="22">
        <v>-4.99963760375977E-4</v>
      </c>
      <c r="C409" s="22">
        <v>3.9999100408749702E-5</v>
      </c>
      <c r="D409" s="22">
        <v>5.3996286078472665E-4</v>
      </c>
    </row>
    <row r="410" spans="1:4" x14ac:dyDescent="0.25">
      <c r="A410" s="2">
        <v>408</v>
      </c>
      <c r="B410" s="22">
        <v>-9.0003006334882202E-5</v>
      </c>
      <c r="C410" s="22">
        <v>5.0816059228964103E-5</v>
      </c>
      <c r="D410" s="22">
        <v>1.408190655638463E-4</v>
      </c>
    </row>
    <row r="411" spans="1:4" x14ac:dyDescent="0.25">
      <c r="A411" s="2">
        <v>409</v>
      </c>
      <c r="B411" s="22">
        <v>-4.0006640483625201E-4</v>
      </c>
      <c r="C411" s="22">
        <v>3.2508378353668397E-5</v>
      </c>
      <c r="D411" s="22">
        <v>4.3257478318992038E-4</v>
      </c>
    </row>
    <row r="412" spans="1:4" x14ac:dyDescent="0.25">
      <c r="A412" s="2">
        <v>410</v>
      </c>
      <c r="B412" s="22">
        <v>-9.9992752075195291E-4</v>
      </c>
      <c r="C412" s="22">
        <v>-3.1094306905288202E-5</v>
      </c>
      <c r="D412" s="22">
        <v>9.6883321384666477E-4</v>
      </c>
    </row>
    <row r="413" spans="1:4" x14ac:dyDescent="0.25">
      <c r="A413" s="2">
        <v>411</v>
      </c>
      <c r="B413" s="22">
        <v>1.16991996765137E-3</v>
      </c>
      <c r="C413" s="22">
        <v>-2.1263580129016199E-4</v>
      </c>
      <c r="D413" s="22">
        <v>1.3825557689415319E-3</v>
      </c>
    </row>
    <row r="414" spans="1:4" x14ac:dyDescent="0.25">
      <c r="A414" s="2">
        <v>412</v>
      </c>
      <c r="B414" s="22">
        <v>-3.4999847412109402E-4</v>
      </c>
      <c r="C414" s="22">
        <v>-1.88784542842768E-4</v>
      </c>
      <c r="D414" s="22">
        <v>1.61213931278326E-4</v>
      </c>
    </row>
    <row r="415" spans="1:4" x14ac:dyDescent="0.25">
      <c r="A415" s="2">
        <v>413</v>
      </c>
      <c r="B415" s="22">
        <v>-6.8998330971226096E-4</v>
      </c>
      <c r="C415" s="22">
        <v>-8.9875960838981E-5</v>
      </c>
      <c r="D415" s="22">
        <v>6.0010734887327999E-4</v>
      </c>
    </row>
    <row r="416" spans="1:4" x14ac:dyDescent="0.25">
      <c r="A416" s="2">
        <v>414</v>
      </c>
      <c r="B416" s="22">
        <v>-1.55997287947685E-3</v>
      </c>
      <c r="C416" s="22">
        <v>6.7544962803367498E-5</v>
      </c>
      <c r="D416" s="22">
        <v>1.6275178422802176E-3</v>
      </c>
    </row>
    <row r="417" spans="1:4" x14ac:dyDescent="0.25">
      <c r="A417" s="2">
        <v>415</v>
      </c>
      <c r="B417" s="22">
        <v>1.03998184204102E-3</v>
      </c>
      <c r="C417" s="22">
        <v>3.2648851629346598E-4</v>
      </c>
      <c r="D417" s="22">
        <v>7.1349332574755398E-4</v>
      </c>
    </row>
    <row r="418" spans="1:4" x14ac:dyDescent="0.25">
      <c r="A418" s="2">
        <v>416</v>
      </c>
      <c r="B418" s="22">
        <v>-7.8999996185302702E-4</v>
      </c>
      <c r="C418" s="22">
        <v>3.4567189868539599E-4</v>
      </c>
      <c r="D418" s="22">
        <v>1.1356718605384231E-3</v>
      </c>
    </row>
    <row r="419" spans="1:4" x14ac:dyDescent="0.25">
      <c r="A419" s="2">
        <v>417</v>
      </c>
      <c r="B419" s="22">
        <v>-2.3996828531380699E-4</v>
      </c>
      <c r="C419" s="22">
        <v>2.0032089378219101E-4</v>
      </c>
      <c r="D419" s="22">
        <v>4.4028917909599803E-4</v>
      </c>
    </row>
    <row r="420" spans="1:4" x14ac:dyDescent="0.25">
      <c r="A420" s="2">
        <v>418</v>
      </c>
      <c r="B420" s="22">
        <v>-2.00033202418126E-4</v>
      </c>
      <c r="C420" s="22">
        <v>2.5592020392650701E-5</v>
      </c>
      <c r="D420" s="22">
        <v>2.2562522281077669E-4</v>
      </c>
    </row>
    <row r="421" spans="1:4" x14ac:dyDescent="0.25">
      <c r="A421" s="2">
        <v>419</v>
      </c>
      <c r="B421" s="22">
        <v>1.00016601209063E-4</v>
      </c>
      <c r="C421" s="22">
        <v>-2.6980164693668501E-4</v>
      </c>
      <c r="D421" s="22">
        <v>3.6981824814574798E-4</v>
      </c>
    </row>
    <row r="422" spans="1:4" x14ac:dyDescent="0.25">
      <c r="A422" s="2">
        <v>420</v>
      </c>
      <c r="B422" s="22">
        <v>-8.20040702819824E-4</v>
      </c>
      <c r="C422" s="22">
        <v>-4.3514845310710398E-4</v>
      </c>
      <c r="D422" s="22">
        <v>3.8489224971272003E-4</v>
      </c>
    </row>
    <row r="423" spans="1:4" x14ac:dyDescent="0.25">
      <c r="A423" s="2">
        <v>421</v>
      </c>
      <c r="B423" s="22">
        <v>-2.0992758800275599E-4</v>
      </c>
      <c r="C423" s="22">
        <v>-4.43994795205072E-4</v>
      </c>
      <c r="D423" s="22">
        <v>2.3406720720231601E-4</v>
      </c>
    </row>
    <row r="424" spans="1:4" x14ac:dyDescent="0.25">
      <c r="A424" s="2">
        <v>422</v>
      </c>
      <c r="B424" s="22">
        <v>-4.99963760375977E-4</v>
      </c>
      <c r="C424" s="22">
        <v>-3.7965463707223502E-4</v>
      </c>
      <c r="D424" s="22">
        <v>1.20309123303742E-4</v>
      </c>
    </row>
    <row r="425" spans="1:4" x14ac:dyDescent="0.25">
      <c r="A425" s="2">
        <v>423</v>
      </c>
      <c r="B425" s="22">
        <v>-8.9001655578613303E-4</v>
      </c>
      <c r="C425" s="22">
        <v>-2.9073422774672497E-4</v>
      </c>
      <c r="D425" s="22">
        <v>5.9928232803940795E-4</v>
      </c>
    </row>
    <row r="426" spans="1:4" x14ac:dyDescent="0.25">
      <c r="A426" s="2">
        <v>424</v>
      </c>
      <c r="B426" s="22">
        <v>4.8995018005371105E-4</v>
      </c>
      <c r="C426" s="22">
        <v>-1.2218517076689701E-4</v>
      </c>
      <c r="D426" s="22">
        <v>6.12135350820608E-4</v>
      </c>
    </row>
    <row r="427" spans="1:4" x14ac:dyDescent="0.25">
      <c r="A427" s="2">
        <v>425</v>
      </c>
      <c r="B427" s="22">
        <v>2.5999546051025401E-4</v>
      </c>
      <c r="C427" s="22">
        <v>-3.1163104722509201E-5</v>
      </c>
      <c r="D427" s="22">
        <v>2.9115856523276318E-4</v>
      </c>
    </row>
    <row r="428" spans="1:4" x14ac:dyDescent="0.25">
      <c r="A428" s="2">
        <v>426</v>
      </c>
      <c r="B428" s="22">
        <v>5.6004524230956999E-4</v>
      </c>
      <c r="C428" s="22">
        <v>-1.4037569053471099E-4</v>
      </c>
      <c r="D428" s="22">
        <v>7.0042093284428098E-4</v>
      </c>
    </row>
    <row r="429" spans="1:4" x14ac:dyDescent="0.25">
      <c r="A429" s="2">
        <v>427</v>
      </c>
      <c r="B429" s="22">
        <v>1.1992453073617099E-4</v>
      </c>
      <c r="C429" s="22">
        <v>-1.24145793961361E-4</v>
      </c>
      <c r="D429" s="22">
        <v>2.44070324697532E-4</v>
      </c>
    </row>
    <row r="430" spans="1:4" x14ac:dyDescent="0.25">
      <c r="A430" s="2">
        <v>428</v>
      </c>
      <c r="B430" s="22">
        <v>-1.1992453073617099E-4</v>
      </c>
      <c r="C430" s="22">
        <v>-1.66586687555537E-5</v>
      </c>
      <c r="D430" s="22">
        <v>1.032658619806173E-4</v>
      </c>
    </row>
    <row r="431" spans="1:4" x14ac:dyDescent="0.25">
      <c r="A431" s="2">
        <v>429</v>
      </c>
      <c r="B431" s="22">
        <v>3.9994716644287099E-4</v>
      </c>
      <c r="C431" s="22">
        <v>6.5169610024895505E-5</v>
      </c>
      <c r="D431" s="22">
        <v>3.3477755641797552E-4</v>
      </c>
    </row>
    <row r="432" spans="1:4" x14ac:dyDescent="0.25">
      <c r="A432" s="2">
        <v>430</v>
      </c>
      <c r="B432" s="22">
        <v>-1.00016601209063E-4</v>
      </c>
      <c r="C432" s="22">
        <v>-3.6904970329487703E-5</v>
      </c>
      <c r="D432" s="22">
        <v>6.3111630879575305E-5</v>
      </c>
    </row>
    <row r="433" spans="1:4" x14ac:dyDescent="0.25">
      <c r="A433" s="2">
        <v>431</v>
      </c>
      <c r="B433" s="22">
        <v>7.9989455116447102E-5</v>
      </c>
      <c r="C433" s="22">
        <v>-1.75650537130423E-4</v>
      </c>
      <c r="D433" s="22">
        <v>2.5563999224687011E-4</v>
      </c>
    </row>
    <row r="434" spans="1:4" x14ac:dyDescent="0.25">
      <c r="A434" s="2">
        <v>432</v>
      </c>
      <c r="B434" s="22">
        <v>7.3003763100132303E-4</v>
      </c>
      <c r="C434" s="22">
        <v>-2.5536189787089798E-4</v>
      </c>
      <c r="D434" s="22">
        <v>9.8539952887222106E-4</v>
      </c>
    </row>
    <row r="435" spans="1:4" x14ac:dyDescent="0.25">
      <c r="A435" s="2">
        <v>433</v>
      </c>
      <c r="B435" s="22">
        <v>-1.10030196083244E-4</v>
      </c>
      <c r="C435" s="22">
        <v>-3.0708909616805602E-4</v>
      </c>
      <c r="D435" s="22">
        <v>1.97058900084812E-4</v>
      </c>
    </row>
    <row r="436" spans="1:4" x14ac:dyDescent="0.25">
      <c r="A436" s="2">
        <v>434</v>
      </c>
      <c r="B436" s="22">
        <v>-7.4994558235630404E-4</v>
      </c>
      <c r="C436" s="22">
        <v>-1.08489562990144E-4</v>
      </c>
      <c r="D436" s="22">
        <v>6.4145601936616004E-4</v>
      </c>
    </row>
    <row r="437" spans="1:4" x14ac:dyDescent="0.25">
      <c r="A437" s="2">
        <v>435</v>
      </c>
      <c r="B437" s="22">
        <v>6.6995620727539095E-4</v>
      </c>
      <c r="C437" s="22">
        <v>5.1033111958531697E-5</v>
      </c>
      <c r="D437" s="22">
        <v>6.1892309531685929E-4</v>
      </c>
    </row>
    <row r="438" spans="1:4" x14ac:dyDescent="0.25">
      <c r="A438" s="2">
        <v>436</v>
      </c>
      <c r="B438" s="22">
        <v>1.10030196083244E-4</v>
      </c>
      <c r="C438" s="22">
        <v>-2.8901108635182001E-6</v>
      </c>
      <c r="D438" s="22">
        <v>1.1292030694676221E-4</v>
      </c>
    </row>
    <row r="439" spans="1:4" x14ac:dyDescent="0.25">
      <c r="A439" s="2">
        <v>437</v>
      </c>
      <c r="B439" s="22">
        <v>1.0013595783675599E-5</v>
      </c>
      <c r="C439" s="22">
        <v>-7.2802686190698296E-5</v>
      </c>
      <c r="D439" s="22">
        <v>8.2816281974373905E-5</v>
      </c>
    </row>
    <row r="440" spans="1:4" x14ac:dyDescent="0.25">
      <c r="A440" s="2">
        <v>438</v>
      </c>
      <c r="B440" s="22">
        <v>2.2100210189819301E-3</v>
      </c>
      <c r="C440" s="22">
        <v>-2.2354898101184501E-4</v>
      </c>
      <c r="D440" s="22">
        <v>2.4335699999937749E-3</v>
      </c>
    </row>
    <row r="441" spans="1:4" x14ac:dyDescent="0.25">
      <c r="A441" s="2">
        <v>439</v>
      </c>
      <c r="B441" s="22">
        <v>-5.8007246116176204E-4</v>
      </c>
      <c r="C441" s="22">
        <v>-2.9747711960226297E-4</v>
      </c>
      <c r="D441" s="22">
        <v>2.8259534155949901E-4</v>
      </c>
    </row>
    <row r="442" spans="1:4" x14ac:dyDescent="0.25">
      <c r="A442" s="2">
        <v>440</v>
      </c>
      <c r="B442" s="22">
        <v>-3.0199289321899401E-3</v>
      </c>
      <c r="C442" s="22">
        <v>-4.63244039565325E-4</v>
      </c>
      <c r="D442" s="22">
        <v>2.5566848926246149E-3</v>
      </c>
    </row>
    <row r="443" spans="1:4" x14ac:dyDescent="0.25">
      <c r="A443" s="2">
        <v>441</v>
      </c>
      <c r="B443" s="22">
        <v>-5.3600072860717799E-3</v>
      </c>
      <c r="C443" s="22">
        <v>-4.1157560190185899E-4</v>
      </c>
      <c r="D443" s="22">
        <v>4.9484316841699209E-3</v>
      </c>
    </row>
    <row r="444" spans="1:4" x14ac:dyDescent="0.25">
      <c r="A444" s="2">
        <v>442</v>
      </c>
      <c r="B444" s="22">
        <v>8.8000297546386697E-4</v>
      </c>
      <c r="C444" s="22">
        <v>-1.90753475180827E-4</v>
      </c>
      <c r="D444" s="22">
        <v>1.0707564506446941E-3</v>
      </c>
    </row>
    <row r="445" spans="1:4" x14ac:dyDescent="0.25">
      <c r="A445" s="2">
        <v>443</v>
      </c>
      <c r="B445" s="22">
        <v>7.9989455116447102E-5</v>
      </c>
      <c r="C445" s="22">
        <v>3.9401864341925803E-5</v>
      </c>
      <c r="D445" s="22">
        <v>4.0587590774521299E-5</v>
      </c>
    </row>
    <row r="446" spans="1:4" x14ac:dyDescent="0.25">
      <c r="A446" s="2">
        <v>444</v>
      </c>
      <c r="B446" s="22">
        <v>-1.4300346374511699E-3</v>
      </c>
      <c r="C446" s="22">
        <v>2.6309993700124302E-4</v>
      </c>
      <c r="D446" s="22">
        <v>1.6931345744524129E-3</v>
      </c>
    </row>
    <row r="447" spans="1:4" x14ac:dyDescent="0.25">
      <c r="A447" s="2">
        <v>445</v>
      </c>
      <c r="B447" s="22">
        <v>-8.8000297546386697E-4</v>
      </c>
      <c r="C447" s="22">
        <v>2.4482631124556103E-4</v>
      </c>
      <c r="D447" s="22">
        <v>1.1248292867094281E-3</v>
      </c>
    </row>
    <row r="448" spans="1:4" x14ac:dyDescent="0.25">
      <c r="A448" s="2">
        <v>446</v>
      </c>
      <c r="B448" s="22">
        <v>5.0067890697391697E-5</v>
      </c>
      <c r="C448" s="22">
        <v>2.10785350645892E-4</v>
      </c>
      <c r="D448" s="22">
        <v>1.6071745994850029E-4</v>
      </c>
    </row>
    <row r="449" spans="1:4" x14ac:dyDescent="0.25">
      <c r="A449" s="2">
        <v>447</v>
      </c>
      <c r="B449" s="22">
        <v>2.99215225822991E-5</v>
      </c>
      <c r="C449" s="22">
        <v>9.4754286692477803E-5</v>
      </c>
      <c r="D449" s="22">
        <v>6.48327641101787E-5</v>
      </c>
    </row>
    <row r="450" spans="1:4" x14ac:dyDescent="0.25">
      <c r="A450" s="2">
        <v>448</v>
      </c>
      <c r="B450" s="22">
        <v>2.1004675363656101E-4</v>
      </c>
      <c r="C450" s="22">
        <v>-2.2054043074604099E-4</v>
      </c>
      <c r="D450" s="22">
        <v>4.3058718438260198E-4</v>
      </c>
    </row>
    <row r="451" spans="1:4" x14ac:dyDescent="0.25">
      <c r="A451" s="2">
        <v>449</v>
      </c>
      <c r="B451" s="22">
        <v>-4.0054339478956502E-5</v>
      </c>
      <c r="C451" s="22">
        <v>-2.9071068274788602E-4</v>
      </c>
      <c r="D451" s="22">
        <v>2.5065634326892948E-4</v>
      </c>
    </row>
    <row r="452" spans="1:4" x14ac:dyDescent="0.25">
      <c r="A452" s="2">
        <v>450</v>
      </c>
      <c r="B452" s="22">
        <v>0</v>
      </c>
      <c r="C452" s="22">
        <v>-2.3440795484930301E-4</v>
      </c>
      <c r="D452" s="22">
        <v>2.3440795484930301E-4</v>
      </c>
    </row>
    <row r="453" spans="1:4" x14ac:dyDescent="0.25">
      <c r="A453" s="2">
        <v>451</v>
      </c>
      <c r="B453" s="22">
        <v>6.0081485571572598E-5</v>
      </c>
      <c r="C453" s="22">
        <v>-7.8114819189067903E-5</v>
      </c>
      <c r="D453" s="22">
        <v>1.3819630476064049E-4</v>
      </c>
    </row>
    <row r="454" spans="1:4" x14ac:dyDescent="0.25">
      <c r="A454" s="2">
        <v>452</v>
      </c>
      <c r="B454" s="22">
        <v>3.3998489379882802E-4</v>
      </c>
      <c r="C454" s="22">
        <v>1.0299812129233E-4</v>
      </c>
      <c r="D454" s="22">
        <v>2.3698677250649799E-4</v>
      </c>
    </row>
    <row r="455" spans="1:4" x14ac:dyDescent="0.25">
      <c r="A455" s="2">
        <v>453</v>
      </c>
      <c r="B455" s="22">
        <v>3.1995773315429698E-4</v>
      </c>
      <c r="C455" s="22">
        <v>2.4154029961209701E-4</v>
      </c>
      <c r="D455" s="22">
        <v>7.8417433542200002E-5</v>
      </c>
    </row>
    <row r="456" spans="1:4" x14ac:dyDescent="0.25">
      <c r="A456" s="2">
        <v>454</v>
      </c>
      <c r="B456" s="22">
        <v>-1.29938125610352E-4</v>
      </c>
      <c r="C456" s="22">
        <v>1.5269446885213299E-4</v>
      </c>
      <c r="D456" s="22">
        <v>2.8263259446248499E-4</v>
      </c>
    </row>
    <row r="457" spans="1:4" x14ac:dyDescent="0.25">
      <c r="A457" s="2">
        <v>455</v>
      </c>
      <c r="B457" s="22">
        <v>-3.0004986911080799E-4</v>
      </c>
      <c r="C457" s="22">
        <v>-9.5531759143341306E-5</v>
      </c>
      <c r="D457" s="22">
        <v>2.0451810996746669E-4</v>
      </c>
    </row>
    <row r="458" spans="1:4" x14ac:dyDescent="0.25">
      <c r="A458" s="2">
        <v>456</v>
      </c>
      <c r="B458" s="22">
        <v>-1.4996527170296799E-4</v>
      </c>
      <c r="C458" s="22">
        <v>-2.5206789723597499E-4</v>
      </c>
      <c r="D458" s="22">
        <v>1.02102625533007E-4</v>
      </c>
    </row>
    <row r="459" spans="1:4" x14ac:dyDescent="0.25">
      <c r="A459" s="2">
        <v>457</v>
      </c>
      <c r="B459" s="22">
        <v>-2.0700693130493199E-3</v>
      </c>
      <c r="C459" s="22">
        <v>-2.8031534748151898E-4</v>
      </c>
      <c r="D459" s="22">
        <v>1.7897539655678009E-3</v>
      </c>
    </row>
    <row r="460" spans="1:4" x14ac:dyDescent="0.25">
      <c r="A460" s="2">
        <v>458</v>
      </c>
      <c r="B460" s="22">
        <v>-5.1999092102050803E-4</v>
      </c>
      <c r="C460" s="22">
        <v>-1.13440706627443E-4</v>
      </c>
      <c r="D460" s="22">
        <v>4.0655021439306498E-4</v>
      </c>
    </row>
    <row r="461" spans="1:4" x14ac:dyDescent="0.25">
      <c r="A461" s="2">
        <v>459</v>
      </c>
      <c r="B461" s="22">
        <v>2.4998188018798801E-4</v>
      </c>
      <c r="C461" s="22">
        <v>1.5000706480350299E-4</v>
      </c>
      <c r="D461" s="22">
        <v>9.9974815384485004E-5</v>
      </c>
    </row>
    <row r="462" spans="1:4" x14ac:dyDescent="0.25">
      <c r="A462" s="2">
        <v>460</v>
      </c>
      <c r="B462" s="22">
        <v>7.7009201049804698E-4</v>
      </c>
      <c r="C462" s="22">
        <v>2.9823451768606901E-4</v>
      </c>
      <c r="D462" s="22">
        <v>4.7185749281197803E-4</v>
      </c>
    </row>
    <row r="463" spans="1:4" x14ac:dyDescent="0.25">
      <c r="A463" s="2">
        <v>461</v>
      </c>
      <c r="B463" s="22">
        <v>-6.0009962180629405E-4</v>
      </c>
      <c r="C463" s="22">
        <v>2.9578973772004198E-4</v>
      </c>
      <c r="D463" s="22">
        <v>8.9588935952633598E-4</v>
      </c>
    </row>
    <row r="464" spans="1:4" x14ac:dyDescent="0.25">
      <c r="A464" s="2">
        <v>462</v>
      </c>
      <c r="B464" s="22">
        <v>-1.09910979517736E-4</v>
      </c>
      <c r="C464" s="22">
        <v>2.37610263866372E-4</v>
      </c>
      <c r="D464" s="22">
        <v>3.47521243384108E-4</v>
      </c>
    </row>
    <row r="465" spans="1:4" x14ac:dyDescent="0.25">
      <c r="A465" s="2">
        <v>463</v>
      </c>
      <c r="B465" s="22">
        <v>6.59942626953125E-4</v>
      </c>
      <c r="C465" s="22">
        <v>9.2525922809727504E-5</v>
      </c>
      <c r="D465" s="22">
        <v>5.6741670414339751E-4</v>
      </c>
    </row>
    <row r="466" spans="1:4" x14ac:dyDescent="0.25">
      <c r="A466" s="2">
        <v>464</v>
      </c>
      <c r="B466" s="22">
        <v>2.3300647735595699E-3</v>
      </c>
      <c r="C466" s="22">
        <v>-1.1494779755594199E-4</v>
      </c>
      <c r="D466" s="22">
        <v>2.445012571115512E-3</v>
      </c>
    </row>
    <row r="467" spans="1:4" x14ac:dyDescent="0.25">
      <c r="A467" s="2">
        <v>465</v>
      </c>
      <c r="B467" s="22">
        <v>-5.1009654998779297E-4</v>
      </c>
      <c r="C467" s="22">
        <v>-2.7344620320946E-4</v>
      </c>
      <c r="D467" s="22">
        <v>2.36650346778333E-4</v>
      </c>
    </row>
    <row r="468" spans="1:4" x14ac:dyDescent="0.25">
      <c r="A468" s="2">
        <v>466</v>
      </c>
      <c r="B468" s="22">
        <v>2.8002262115478499E-4</v>
      </c>
      <c r="C468" s="22">
        <v>-3.2118239323608599E-4</v>
      </c>
      <c r="D468" s="22">
        <v>6.0120501439087104E-4</v>
      </c>
    </row>
    <row r="469" spans="1:4" x14ac:dyDescent="0.25">
      <c r="A469" s="2">
        <v>467</v>
      </c>
      <c r="B469" s="22">
        <v>-3.4999847412109402E-4</v>
      </c>
      <c r="C469" s="22">
        <v>-2.9353986610658499E-4</v>
      </c>
      <c r="D469" s="22">
        <v>5.6458608014509001E-5</v>
      </c>
    </row>
    <row r="470" spans="1:4" x14ac:dyDescent="0.25">
      <c r="A470" s="2">
        <v>468</v>
      </c>
      <c r="B470" s="22">
        <v>1.10006332397461E-3</v>
      </c>
      <c r="C470" s="22">
        <v>-1.7521681729704101E-4</v>
      </c>
      <c r="D470" s="22">
        <v>1.275280141271651E-3</v>
      </c>
    </row>
    <row r="471" spans="1:4" x14ac:dyDescent="0.25">
      <c r="A471" s="2">
        <v>469</v>
      </c>
      <c r="B471" s="22">
        <v>9.8001956939697309E-4</v>
      </c>
      <c r="C471" s="22">
        <v>-2.0960967958671999E-5</v>
      </c>
      <c r="D471" s="22">
        <v>1.0009805373556451E-3</v>
      </c>
    </row>
    <row r="472" spans="1:4" x14ac:dyDescent="0.25">
      <c r="A472" s="2">
        <v>470</v>
      </c>
      <c r="B472" s="22">
        <v>-1.50084495544434E-4</v>
      </c>
      <c r="C472" s="22">
        <v>-1.5396725211758199E-4</v>
      </c>
      <c r="D472" s="22">
        <v>3.8827565731479998E-6</v>
      </c>
    </row>
    <row r="473" spans="1:4" x14ac:dyDescent="0.25">
      <c r="A473" s="2">
        <v>471</v>
      </c>
      <c r="B473" s="22">
        <v>-2.0992758800275599E-4</v>
      </c>
      <c r="C473" s="22">
        <v>-4.0764361619949297E-4</v>
      </c>
      <c r="D473" s="22">
        <v>1.9771602819673701E-4</v>
      </c>
    </row>
    <row r="474" spans="1:4" x14ac:dyDescent="0.25">
      <c r="A474" s="2">
        <v>472</v>
      </c>
      <c r="B474" s="22">
        <v>-7.9989455116447102E-5</v>
      </c>
      <c r="C474" s="22">
        <v>-5.3927989210933404E-4</v>
      </c>
      <c r="D474" s="22">
        <v>4.5929043699288692E-4</v>
      </c>
    </row>
    <row r="475" spans="1:4" x14ac:dyDescent="0.25">
      <c r="A475" s="2">
        <v>473</v>
      </c>
      <c r="B475" s="22">
        <v>-5.5003166198730501E-4</v>
      </c>
      <c r="C475" s="22">
        <v>-4.85414231661707E-4</v>
      </c>
      <c r="D475" s="22">
        <v>6.4617430325597999E-5</v>
      </c>
    </row>
    <row r="476" spans="1:4" x14ac:dyDescent="0.25">
      <c r="A476" s="2">
        <v>474</v>
      </c>
      <c r="B476" s="22">
        <v>8.9001655578613303E-4</v>
      </c>
      <c r="C476" s="22">
        <v>-2.55049089901149E-4</v>
      </c>
      <c r="D476" s="22">
        <v>1.1450656456872821E-3</v>
      </c>
    </row>
    <row r="477" spans="1:4" x14ac:dyDescent="0.25">
      <c r="A477" s="2">
        <v>475</v>
      </c>
      <c r="B477" s="22">
        <v>2.3996829986572301E-4</v>
      </c>
      <c r="C477" s="22">
        <v>-3.7280824471963597E-5</v>
      </c>
      <c r="D477" s="22">
        <v>2.7724912433768661E-4</v>
      </c>
    </row>
    <row r="478" spans="1:4" x14ac:dyDescent="0.25">
      <c r="A478" s="2">
        <v>476</v>
      </c>
      <c r="B478" s="22">
        <v>-3.0040742785786299E-5</v>
      </c>
      <c r="C478" s="22">
        <v>1.2782964040525301E-4</v>
      </c>
      <c r="D478" s="22">
        <v>1.5787038319103929E-4</v>
      </c>
    </row>
    <row r="479" spans="1:4" x14ac:dyDescent="0.25">
      <c r="A479" s="2">
        <v>477</v>
      </c>
      <c r="B479" s="22">
        <v>-3.0994418193586198E-4</v>
      </c>
      <c r="C479" s="22">
        <v>1.5327987784985499E-4</v>
      </c>
      <c r="D479" s="22">
        <v>4.6322405978571699E-4</v>
      </c>
    </row>
    <row r="480" spans="1:4" x14ac:dyDescent="0.25">
      <c r="A480" s="2">
        <v>478</v>
      </c>
      <c r="B480" s="22">
        <v>-1.20043754577637E-4</v>
      </c>
      <c r="C480" s="22">
        <v>3.7868136132601601E-5</v>
      </c>
      <c r="D480" s="22">
        <v>1.5791189071023861E-4</v>
      </c>
    </row>
    <row r="481" spans="1:4" x14ac:dyDescent="0.25">
      <c r="A481" s="2">
        <v>479</v>
      </c>
      <c r="B481" s="22">
        <v>8.5008144378662099E-4</v>
      </c>
      <c r="C481" s="22">
        <v>-7.9310084402095499E-5</v>
      </c>
      <c r="D481" s="22">
        <v>9.2939152818871651E-4</v>
      </c>
    </row>
    <row r="482" spans="1:4" x14ac:dyDescent="0.25">
      <c r="A482" s="2">
        <v>480</v>
      </c>
      <c r="B482" s="22">
        <v>7.9989455116447102E-5</v>
      </c>
      <c r="C482" s="22">
        <v>-1.7283350462093901E-4</v>
      </c>
      <c r="D482" s="22">
        <v>2.5282295973738612E-4</v>
      </c>
    </row>
    <row r="483" spans="1:4" x14ac:dyDescent="0.25">
      <c r="A483" s="2">
        <v>481</v>
      </c>
      <c r="B483" s="22">
        <v>-1.6009804676286901E-4</v>
      </c>
      <c r="C483" s="22">
        <v>-2.9152957722544703E-4</v>
      </c>
      <c r="D483" s="22">
        <v>1.3143153046257799E-4</v>
      </c>
    </row>
    <row r="484" spans="1:4" x14ac:dyDescent="0.25">
      <c r="A484" s="2">
        <v>482</v>
      </c>
      <c r="B484" s="22">
        <v>-1.41990184783936E-3</v>
      </c>
      <c r="C484" s="22">
        <v>-3.2283793552778699E-4</v>
      </c>
      <c r="D484" s="22">
        <v>1.097063912311573E-3</v>
      </c>
    </row>
    <row r="485" spans="1:4" x14ac:dyDescent="0.25">
      <c r="A485" s="2">
        <v>483</v>
      </c>
      <c r="B485" s="22">
        <v>-2.00033202418126E-4</v>
      </c>
      <c r="C485" s="22">
        <v>-1.8562380864750599E-4</v>
      </c>
      <c r="D485" s="22">
        <v>1.440939377062E-5</v>
      </c>
    </row>
    <row r="486" spans="1:4" x14ac:dyDescent="0.25">
      <c r="A486" s="2">
        <v>484</v>
      </c>
      <c r="B486" s="22">
        <v>-2.9003623058088102E-4</v>
      </c>
      <c r="C486" s="22">
        <v>-6.9431494921445806E-5</v>
      </c>
      <c r="D486" s="22">
        <v>2.206047356594352E-4</v>
      </c>
    </row>
    <row r="487" spans="1:4" x14ac:dyDescent="0.25">
      <c r="A487" s="2">
        <v>485</v>
      </c>
      <c r="B487" s="22">
        <v>-2.2000074386596701E-3</v>
      </c>
      <c r="C487" s="22">
        <v>1.40993215609342E-5</v>
      </c>
      <c r="D487" s="22">
        <v>2.2141067602206043E-3</v>
      </c>
    </row>
    <row r="488" spans="1:4" x14ac:dyDescent="0.25">
      <c r="A488" s="2">
        <v>486</v>
      </c>
      <c r="B488" s="22">
        <v>-6.4992910483851996E-4</v>
      </c>
      <c r="C488" s="22">
        <v>1.4625312178395699E-4</v>
      </c>
      <c r="D488" s="22">
        <v>7.9618222662247696E-4</v>
      </c>
    </row>
    <row r="489" spans="1:4" x14ac:dyDescent="0.25">
      <c r="A489" s="2">
        <v>487</v>
      </c>
      <c r="B489" s="22">
        <v>3.9935119275469299E-5</v>
      </c>
      <c r="C489" s="22">
        <v>1.6716813843231599E-4</v>
      </c>
      <c r="D489" s="22">
        <v>1.2723301915684669E-4</v>
      </c>
    </row>
    <row r="490" spans="1:4" x14ac:dyDescent="0.25">
      <c r="A490" s="2">
        <v>488</v>
      </c>
      <c r="B490" s="22">
        <v>-2.00033202418126E-4</v>
      </c>
      <c r="C490" s="22">
        <v>1.5044337487779601E-4</v>
      </c>
      <c r="D490" s="22">
        <v>3.5047657729592201E-4</v>
      </c>
    </row>
    <row r="491" spans="1:4" x14ac:dyDescent="0.25">
      <c r="A491" s="2">
        <v>489</v>
      </c>
      <c r="B491" s="22">
        <v>-9.0003006334882202E-5</v>
      </c>
      <c r="C491" s="22">
        <v>8.8927532488014495E-5</v>
      </c>
      <c r="D491" s="22">
        <v>1.789305388228967E-4</v>
      </c>
    </row>
    <row r="492" spans="1:4" x14ac:dyDescent="0.25">
      <c r="A492" s="2">
        <v>490</v>
      </c>
      <c r="B492" s="22">
        <v>1.9000768661499E-3</v>
      </c>
      <c r="C492" s="22">
        <v>-9.4643117336090695E-5</v>
      </c>
      <c r="D492" s="22">
        <v>1.9947199834859908E-3</v>
      </c>
    </row>
    <row r="493" spans="1:4" x14ac:dyDescent="0.25">
      <c r="A493" s="2">
        <v>491</v>
      </c>
      <c r="B493" s="22">
        <v>-4.4000148773193397E-4</v>
      </c>
      <c r="C493" s="22">
        <v>-2.03501884243451E-4</v>
      </c>
      <c r="D493" s="22">
        <v>2.36499603488483E-4</v>
      </c>
    </row>
    <row r="494" spans="1:4" x14ac:dyDescent="0.25">
      <c r="A494" s="2">
        <v>492</v>
      </c>
      <c r="B494" s="22">
        <v>-6.6006189445033702E-4</v>
      </c>
      <c r="C494" s="22">
        <v>-3.0984944896772498E-4</v>
      </c>
      <c r="D494" s="22">
        <v>3.5021244548261198E-4</v>
      </c>
    </row>
    <row r="495" spans="1:4" x14ac:dyDescent="0.25">
      <c r="A495" s="2">
        <v>493</v>
      </c>
      <c r="B495" s="22">
        <v>-1.12998485565186E-3</v>
      </c>
      <c r="C495" s="22">
        <v>-3.8971137837506798E-4</v>
      </c>
      <c r="D495" s="22">
        <v>7.4027347727679204E-4</v>
      </c>
    </row>
    <row r="496" spans="1:4" x14ac:dyDescent="0.25">
      <c r="A496" s="2">
        <v>494</v>
      </c>
      <c r="B496" s="22">
        <v>-1.9991399312857501E-4</v>
      </c>
      <c r="C496" s="22">
        <v>-3.37455072440207E-4</v>
      </c>
      <c r="D496" s="22">
        <v>1.37541079311632E-4</v>
      </c>
    </row>
    <row r="497" spans="1:4" x14ac:dyDescent="0.25">
      <c r="A497" s="2">
        <v>495</v>
      </c>
      <c r="B497" s="22">
        <v>-1.00016601209063E-4</v>
      </c>
      <c r="C497" s="22">
        <v>-1.93785730516538E-4</v>
      </c>
      <c r="D497" s="22">
        <v>9.3769129307474995E-5</v>
      </c>
    </row>
    <row r="498" spans="1:4" x14ac:dyDescent="0.25">
      <c r="A498" s="2">
        <v>496</v>
      </c>
      <c r="B498" s="22">
        <v>-3.0040742785786299E-5</v>
      </c>
      <c r="C498" s="22">
        <v>3.3094027457991601E-5</v>
      </c>
      <c r="D498" s="22">
        <v>6.3134770243777893E-5</v>
      </c>
    </row>
    <row r="499" spans="1:4" x14ac:dyDescent="0.25">
      <c r="A499" s="2">
        <v>497</v>
      </c>
      <c r="B499" s="22">
        <v>3.3998489379882802E-4</v>
      </c>
      <c r="C499" s="22">
        <v>1.00555371318478E-4</v>
      </c>
      <c r="D499" s="22">
        <v>2.3942952248034999E-4</v>
      </c>
    </row>
    <row r="500" spans="1:4" x14ac:dyDescent="0.25">
      <c r="A500" s="2">
        <v>498</v>
      </c>
      <c r="B500" s="22">
        <v>-9.0003006334882202E-5</v>
      </c>
      <c r="C500" s="22">
        <v>7.0049420173745602E-5</v>
      </c>
      <c r="D500" s="22">
        <v>1.600524265086278E-4</v>
      </c>
    </row>
    <row r="501" spans="1:4" x14ac:dyDescent="0.25">
      <c r="A501" s="2">
        <v>499</v>
      </c>
      <c r="B501" s="22">
        <v>-2.7000901172868902E-4</v>
      </c>
      <c r="C501" s="22">
        <v>-8.5384024714585394E-5</v>
      </c>
      <c r="D501" s="22">
        <v>1.846249870141036E-4</v>
      </c>
    </row>
    <row r="502" spans="1:4" x14ac:dyDescent="0.25">
      <c r="A502" s="2">
        <v>500</v>
      </c>
      <c r="B502" s="22">
        <v>-2.8991690487600901E-4</v>
      </c>
      <c r="C502" s="22">
        <v>-4.1278102435171599E-4</v>
      </c>
      <c r="D502" s="22">
        <v>1.2286411947570701E-4</v>
      </c>
    </row>
    <row r="503" spans="1:4" x14ac:dyDescent="0.25">
      <c r="A503" s="2">
        <v>501</v>
      </c>
      <c r="B503" s="22">
        <v>7.9989455116447102E-5</v>
      </c>
      <c r="C503" s="22">
        <v>-4.4784537749364999E-4</v>
      </c>
      <c r="D503" s="22">
        <v>5.2783483261009711E-4</v>
      </c>
    </row>
    <row r="504" spans="1:4" x14ac:dyDescent="0.25">
      <c r="A504" s="2">
        <v>502</v>
      </c>
      <c r="B504" s="22">
        <v>-1.3005734945181801E-4</v>
      </c>
      <c r="C504" s="22">
        <v>-4.3934414861723802E-4</v>
      </c>
      <c r="D504" s="22">
        <v>3.0928679916542002E-4</v>
      </c>
    </row>
    <row r="505" spans="1:4" x14ac:dyDescent="0.25">
      <c r="A505" s="2">
        <v>503</v>
      </c>
      <c r="B505" s="22">
        <v>-4.7004222869872998E-4</v>
      </c>
      <c r="C505" s="22">
        <v>-3.7618420901708299E-4</v>
      </c>
      <c r="D505" s="22">
        <v>9.3858019681647E-5</v>
      </c>
    </row>
    <row r="506" spans="1:4" x14ac:dyDescent="0.25">
      <c r="A506" s="2">
        <v>504</v>
      </c>
      <c r="B506" s="22">
        <v>-1.09910979517736E-4</v>
      </c>
      <c r="C506" s="22">
        <v>-1.01468547654804E-4</v>
      </c>
      <c r="D506" s="22">
        <v>8.4424318629320001E-6</v>
      </c>
    </row>
    <row r="507" spans="1:4" x14ac:dyDescent="0.25">
      <c r="A507" s="2">
        <v>505</v>
      </c>
      <c r="B507" s="22">
        <v>-5.6004524230956999E-4</v>
      </c>
      <c r="C507" s="22">
        <v>6.93485344527289E-5</v>
      </c>
      <c r="D507" s="22">
        <v>6.2939377676229891E-4</v>
      </c>
    </row>
    <row r="508" spans="1:4" x14ac:dyDescent="0.25">
      <c r="A508" s="2">
        <v>506</v>
      </c>
      <c r="B508" s="22">
        <v>-4.1997438529506299E-4</v>
      </c>
      <c r="C508" s="22">
        <v>1.2973397679161299E-4</v>
      </c>
      <c r="D508" s="22">
        <v>5.4970836208667595E-4</v>
      </c>
    </row>
    <row r="509" spans="1:4" x14ac:dyDescent="0.25">
      <c r="A509" s="2">
        <v>507</v>
      </c>
      <c r="B509" s="22">
        <v>-1.9899606704711901E-3</v>
      </c>
      <c r="C509" s="22">
        <v>1.05986633570865E-4</v>
      </c>
      <c r="D509" s="22">
        <v>2.0959473040420549E-3</v>
      </c>
    </row>
    <row r="510" spans="1:4" x14ac:dyDescent="0.25">
      <c r="A510" s="2">
        <v>508</v>
      </c>
      <c r="B510" s="22">
        <v>-5.2011007210239801E-4</v>
      </c>
      <c r="C510" s="22">
        <v>4.7755511332070497E-6</v>
      </c>
      <c r="D510" s="22">
        <v>5.2488562323560505E-4</v>
      </c>
    </row>
    <row r="511" spans="1:4" x14ac:dyDescent="0.25">
      <c r="A511" s="2">
        <v>509</v>
      </c>
      <c r="B511" s="22">
        <v>-2.9993054340593501E-4</v>
      </c>
      <c r="C511" s="22">
        <v>-1.75643843249418E-4</v>
      </c>
      <c r="D511" s="22">
        <v>1.24286700156517E-4</v>
      </c>
    </row>
    <row r="512" spans="1:4" x14ac:dyDescent="0.25">
      <c r="A512" s="2">
        <v>510</v>
      </c>
      <c r="B512" s="22">
        <v>4.7004219959490001E-4</v>
      </c>
      <c r="C512" s="22">
        <v>-1.6226863954216201E-4</v>
      </c>
      <c r="D512" s="22">
        <v>6.32310839137062E-4</v>
      </c>
    </row>
    <row r="513" spans="1:4" x14ac:dyDescent="0.25">
      <c r="A513" s="2">
        <v>511</v>
      </c>
      <c r="B513" s="22">
        <v>-6.5004825592041005E-4</v>
      </c>
      <c r="C513" s="22">
        <v>-1.98597539565526E-4</v>
      </c>
      <c r="D513" s="22">
        <v>4.5145071635488399E-4</v>
      </c>
    </row>
    <row r="514" spans="1:4" x14ac:dyDescent="0.25">
      <c r="A514" s="2">
        <v>512</v>
      </c>
      <c r="B514" s="22">
        <v>-1.0900497436523401E-3</v>
      </c>
      <c r="C514" s="22">
        <v>-1.5121852629818001E-4</v>
      </c>
      <c r="D514" s="22">
        <v>9.3883121735415995E-4</v>
      </c>
    </row>
    <row r="515" spans="1:4" x14ac:dyDescent="0.25">
      <c r="A515" s="2">
        <v>513</v>
      </c>
      <c r="B515" s="22">
        <v>-1.6800165176391599E-3</v>
      </c>
      <c r="C515" s="22">
        <v>4.8523623263463398E-5</v>
      </c>
      <c r="D515" s="22">
        <v>1.7285401409026233E-3</v>
      </c>
    </row>
    <row r="516" spans="1:4" x14ac:dyDescent="0.25">
      <c r="A516" s="2">
        <v>514</v>
      </c>
      <c r="B516" s="22">
        <v>1.61004066467285E-3</v>
      </c>
      <c r="C516" s="22">
        <v>-8.0801386502571404E-5</v>
      </c>
      <c r="D516" s="22">
        <v>1.6908420511754214E-3</v>
      </c>
    </row>
    <row r="517" spans="1:4" x14ac:dyDescent="0.25">
      <c r="A517" s="2">
        <v>515</v>
      </c>
      <c r="B517" s="22">
        <v>-2.7000901172868902E-4</v>
      </c>
      <c r="C517" s="22">
        <v>-7.8023804235272096E-5</v>
      </c>
      <c r="D517" s="22">
        <v>1.9198520749341691E-4</v>
      </c>
    </row>
    <row r="518" spans="1:4" x14ac:dyDescent="0.25">
      <c r="A518" s="2">
        <v>516</v>
      </c>
      <c r="B518" s="22">
        <v>-1.19996082503349E-3</v>
      </c>
      <c r="C518" s="22">
        <v>-8.7072265159804401E-5</v>
      </c>
      <c r="D518" s="22">
        <v>1.1128885598736856E-3</v>
      </c>
    </row>
    <row r="519" spans="1:4" x14ac:dyDescent="0.25">
      <c r="A519" s="2">
        <v>517</v>
      </c>
      <c r="B519" s="22">
        <v>-8.4006792167201595E-4</v>
      </c>
      <c r="C519" s="22">
        <v>-1.1400680523365699E-4</v>
      </c>
      <c r="D519" s="22">
        <v>7.2606111643835902E-4</v>
      </c>
    </row>
    <row r="520" spans="1:4" x14ac:dyDescent="0.25">
      <c r="A520" s="2">
        <v>518</v>
      </c>
      <c r="B520" s="22">
        <v>-2.0992758800275599E-4</v>
      </c>
      <c r="C520" s="22">
        <v>1.5114969755813899E-5</v>
      </c>
      <c r="D520" s="22">
        <v>2.2504255775856991E-4</v>
      </c>
    </row>
    <row r="521" spans="1:4" x14ac:dyDescent="0.25">
      <c r="A521" s="2">
        <v>519</v>
      </c>
      <c r="B521" s="22">
        <v>-1.00016601209063E-4</v>
      </c>
      <c r="C521" s="22">
        <v>7.4733652581926395E-5</v>
      </c>
      <c r="D521" s="22">
        <v>1.7475025379098941E-4</v>
      </c>
    </row>
    <row r="522" spans="1:4" x14ac:dyDescent="0.25">
      <c r="A522" s="2">
        <v>520</v>
      </c>
      <c r="B522" s="22">
        <v>1.59978866577148E-4</v>
      </c>
      <c r="C522" s="22">
        <v>4.6125307562761002E-5</v>
      </c>
      <c r="D522" s="22">
        <v>1.13853559014387E-4</v>
      </c>
    </row>
    <row r="523" spans="1:4" x14ac:dyDescent="0.25">
      <c r="A523" s="2">
        <v>521</v>
      </c>
      <c r="B523" s="22">
        <v>-3.1995773315429698E-4</v>
      </c>
      <c r="C523" s="22">
        <v>-2.36800333368592E-5</v>
      </c>
      <c r="D523" s="22">
        <v>2.9627769981743779E-4</v>
      </c>
    </row>
    <row r="524" spans="1:4" x14ac:dyDescent="0.25">
      <c r="A524" s="2">
        <v>522</v>
      </c>
      <c r="B524" s="22">
        <v>7.4994558235630404E-4</v>
      </c>
      <c r="C524" s="22">
        <v>-5.3531097364611903E-5</v>
      </c>
      <c r="D524" s="22">
        <v>8.0347667972091585E-4</v>
      </c>
    </row>
    <row r="525" spans="1:4" x14ac:dyDescent="0.25">
      <c r="A525" s="2">
        <v>523</v>
      </c>
      <c r="B525" s="22">
        <v>7.4005132773891102E-4</v>
      </c>
      <c r="C525" s="22">
        <v>-1.16781375254504E-4</v>
      </c>
      <c r="D525" s="22">
        <v>8.5683270299341497E-4</v>
      </c>
    </row>
    <row r="526" spans="1:4" x14ac:dyDescent="0.25">
      <c r="A526" s="2">
        <v>524</v>
      </c>
      <c r="B526" s="22">
        <v>3.7002566386945502E-4</v>
      </c>
      <c r="C526" s="22">
        <v>-1.19950025691651E-4</v>
      </c>
      <c r="D526" s="22">
        <v>4.8997568956110605E-4</v>
      </c>
    </row>
    <row r="527" spans="1:4" x14ac:dyDescent="0.25">
      <c r="A527" s="2">
        <v>525</v>
      </c>
      <c r="B527" s="22">
        <v>5.9962265368085402E-5</v>
      </c>
      <c r="C527" s="22">
        <v>-1.8015402019955199E-4</v>
      </c>
      <c r="D527" s="22">
        <v>2.401162855676374E-4</v>
      </c>
    </row>
    <row r="528" spans="1:4" x14ac:dyDescent="0.25">
      <c r="A528" s="2">
        <v>526</v>
      </c>
      <c r="B528" s="22">
        <v>-4.6002859016880398E-4</v>
      </c>
      <c r="C528" s="22">
        <v>-1.8766403081826901E-4</v>
      </c>
      <c r="D528" s="22">
        <v>2.72364559350535E-4</v>
      </c>
    </row>
    <row r="529" spans="1:4" x14ac:dyDescent="0.25">
      <c r="A529" s="2">
        <v>527</v>
      </c>
      <c r="B529" s="22">
        <v>-1.6999246145132899E-4</v>
      </c>
      <c r="C529" s="22">
        <v>-1.10995199065655E-4</v>
      </c>
      <c r="D529" s="22">
        <v>5.8997262385673997E-5</v>
      </c>
    </row>
    <row r="530" spans="1:4" x14ac:dyDescent="0.25">
      <c r="A530" s="2">
        <v>528</v>
      </c>
      <c r="B530" s="22">
        <v>8.6998945334926204E-4</v>
      </c>
      <c r="C530" s="22">
        <v>-8.1726859207265106E-5</v>
      </c>
      <c r="D530" s="22">
        <v>9.5171631255652712E-4</v>
      </c>
    </row>
    <row r="531" spans="1:4" x14ac:dyDescent="0.25">
      <c r="A531" s="2">
        <v>529</v>
      </c>
      <c r="B531" s="22">
        <v>1.78003311157227E-3</v>
      </c>
      <c r="C531" s="22">
        <v>-5.0239636038895703E-5</v>
      </c>
      <c r="D531" s="22">
        <v>1.8302727476111657E-3</v>
      </c>
    </row>
    <row r="532" spans="1:4" x14ac:dyDescent="0.25">
      <c r="A532" s="2">
        <v>530</v>
      </c>
      <c r="B532" s="22">
        <v>-7.8999996185302702E-4</v>
      </c>
      <c r="C532" s="22">
        <v>-3.47220011462923E-5</v>
      </c>
      <c r="D532" s="22">
        <v>7.552779607067347E-4</v>
      </c>
    </row>
    <row r="533" spans="1:4" x14ac:dyDescent="0.25">
      <c r="A533" s="2">
        <v>531</v>
      </c>
      <c r="B533" s="22">
        <v>-1.3400313910096899E-3</v>
      </c>
      <c r="C533" s="22">
        <v>-7.9373414337169406E-5</v>
      </c>
      <c r="D533" s="22">
        <v>1.2606579766725205E-3</v>
      </c>
    </row>
    <row r="534" spans="1:4" x14ac:dyDescent="0.25">
      <c r="A534" s="2">
        <v>532</v>
      </c>
      <c r="B534" s="22">
        <v>-4.4000148773193397E-4</v>
      </c>
      <c r="C534" s="22">
        <v>-6.1642807850148502E-5</v>
      </c>
      <c r="D534" s="22">
        <v>3.783586798817855E-4</v>
      </c>
    </row>
    <row r="535" spans="1:4" x14ac:dyDescent="0.25">
      <c r="A535" s="2">
        <v>533</v>
      </c>
      <c r="B535" s="22">
        <v>-4.9948670493904501E-5</v>
      </c>
      <c r="C535" s="22">
        <v>-6.7527030296332702E-6</v>
      </c>
      <c r="D535" s="22">
        <v>4.3195967464271228E-5</v>
      </c>
    </row>
    <row r="536" spans="1:4" x14ac:dyDescent="0.25">
      <c r="A536" s="2">
        <v>534</v>
      </c>
      <c r="B536" s="22">
        <v>7.2991847991943403E-4</v>
      </c>
      <c r="C536" s="22">
        <v>-9.7284071671310799E-5</v>
      </c>
      <c r="D536" s="22">
        <v>8.2720255159074484E-4</v>
      </c>
    </row>
    <row r="537" spans="1:4" x14ac:dyDescent="0.25">
      <c r="A537" s="2">
        <v>535</v>
      </c>
      <c r="B537" s="22">
        <v>-3.9935119275469299E-5</v>
      </c>
      <c r="C537" s="22">
        <v>-2.13841602089815E-4</v>
      </c>
      <c r="D537" s="22">
        <v>1.739064828143457E-4</v>
      </c>
    </row>
    <row r="538" spans="1:4" x14ac:dyDescent="0.25">
      <c r="A538" s="2">
        <v>536</v>
      </c>
      <c r="B538" s="22">
        <v>-3.4700629767030499E-3</v>
      </c>
      <c r="C538" s="22">
        <v>-2.24190254812129E-4</v>
      </c>
      <c r="D538" s="22">
        <v>3.2458727218909211E-3</v>
      </c>
    </row>
    <row r="539" spans="1:4" x14ac:dyDescent="0.25">
      <c r="A539" s="2">
        <v>537</v>
      </c>
      <c r="B539" s="22">
        <v>-2.3996828531380699E-4</v>
      </c>
      <c r="C539" s="22">
        <v>-1.3079209020361299E-4</v>
      </c>
      <c r="D539" s="22">
        <v>1.0917619511019401E-4</v>
      </c>
    </row>
    <row r="540" spans="1:4" x14ac:dyDescent="0.25">
      <c r="A540" s="2">
        <v>538</v>
      </c>
      <c r="B540" s="22">
        <v>-3.4999847412109402E-4</v>
      </c>
      <c r="C540" s="22">
        <v>2.84209891106002E-5</v>
      </c>
      <c r="D540" s="22">
        <v>3.7841946323169422E-4</v>
      </c>
    </row>
    <row r="541" spans="1:4" x14ac:dyDescent="0.25">
      <c r="A541" s="2">
        <v>539</v>
      </c>
      <c r="B541" s="22">
        <v>-2.9003623058088102E-4</v>
      </c>
      <c r="C541" s="22">
        <v>8.6931446276139495E-5</v>
      </c>
      <c r="D541" s="22">
        <v>3.7696767685702049E-4</v>
      </c>
    </row>
    <row r="542" spans="1:4" x14ac:dyDescent="0.25">
      <c r="A542" s="2">
        <v>540</v>
      </c>
      <c r="B542" s="22">
        <v>5.6800842285156302E-3</v>
      </c>
      <c r="C542" s="22">
        <v>5.0492377340560799E-5</v>
      </c>
      <c r="D542" s="22">
        <v>5.6295918511750694E-3</v>
      </c>
    </row>
    <row r="543" spans="1:4" x14ac:dyDescent="0.25">
      <c r="A543" s="2">
        <v>541</v>
      </c>
      <c r="B543" s="22">
        <v>-3.5799744073301601E-3</v>
      </c>
      <c r="C543" s="22">
        <v>-8.9134962763637304E-5</v>
      </c>
      <c r="D543" s="22">
        <v>3.4908394445665228E-3</v>
      </c>
    </row>
    <row r="544" spans="1:4" x14ac:dyDescent="0.25">
      <c r="A544" s="2">
        <v>542</v>
      </c>
      <c r="B544" s="22">
        <v>-3.79002094268799E-3</v>
      </c>
      <c r="C544" s="22">
        <v>-1.7915407079271999E-4</v>
      </c>
      <c r="D544" s="22">
        <v>3.6108668718952699E-3</v>
      </c>
    </row>
    <row r="545" spans="1:4" x14ac:dyDescent="0.25">
      <c r="A545" s="2">
        <v>543</v>
      </c>
      <c r="B545" s="22">
        <v>4.5990940998308399E-4</v>
      </c>
      <c r="C545" s="22">
        <v>-8.03994262241758E-5</v>
      </c>
      <c r="D545" s="22">
        <v>5.4030883620725977E-4</v>
      </c>
    </row>
    <row r="546" spans="1:4" x14ac:dyDescent="0.25">
      <c r="A546" s="2">
        <v>544</v>
      </c>
      <c r="B546" s="22">
        <v>3.4010410308837901E-4</v>
      </c>
      <c r="C546" s="22">
        <v>1.6033482097554999E-5</v>
      </c>
      <c r="D546" s="22">
        <v>3.2407062099082401E-4</v>
      </c>
    </row>
    <row r="547" spans="1:4" x14ac:dyDescent="0.25">
      <c r="A547" s="2">
        <v>545</v>
      </c>
      <c r="B547" s="22">
        <v>-2.8002256294712403E-4</v>
      </c>
      <c r="C547" s="22">
        <v>1.11568606371293E-5</v>
      </c>
      <c r="D547" s="22">
        <v>2.9117942358425331E-4</v>
      </c>
    </row>
    <row r="548" spans="1:4" x14ac:dyDescent="0.25">
      <c r="A548" s="2">
        <v>546</v>
      </c>
      <c r="B548" s="22">
        <v>1.02996826171875E-3</v>
      </c>
      <c r="C548" s="22">
        <v>-8.9727829617913799E-5</v>
      </c>
      <c r="D548" s="22">
        <v>1.1196960913366638E-3</v>
      </c>
    </row>
    <row r="549" spans="1:4" x14ac:dyDescent="0.25">
      <c r="A549" s="2">
        <v>547</v>
      </c>
      <c r="B549" s="22">
        <v>1.5799999237060499E-3</v>
      </c>
      <c r="C549" s="22">
        <v>-1.7411999579053399E-4</v>
      </c>
      <c r="D549" s="22">
        <v>1.7541199194965841E-3</v>
      </c>
    </row>
    <row r="550" spans="1:4" x14ac:dyDescent="0.25">
      <c r="A550" s="2">
        <v>548</v>
      </c>
      <c r="B550" s="22">
        <v>-3.2997128437273199E-4</v>
      </c>
      <c r="C550" s="22">
        <v>-1.73253574757837E-4</v>
      </c>
      <c r="D550" s="22">
        <v>1.5671770961489501E-4</v>
      </c>
    </row>
    <row r="551" spans="1:4" x14ac:dyDescent="0.25">
      <c r="A551" s="2">
        <v>549</v>
      </c>
      <c r="B551" s="22">
        <v>7.4994558235630404E-4</v>
      </c>
      <c r="C551" s="22">
        <v>-1.6706036694813501E-4</v>
      </c>
      <c r="D551" s="22">
        <v>9.1700594930443902E-4</v>
      </c>
    </row>
    <row r="552" spans="1:4" x14ac:dyDescent="0.25">
      <c r="A552" s="2">
        <v>550</v>
      </c>
      <c r="B552" s="22">
        <v>1.59978866577148E-4</v>
      </c>
      <c r="C552" s="22">
        <v>-8.4280822193250101E-5</v>
      </c>
      <c r="D552" s="22">
        <v>2.4425968877039812E-4</v>
      </c>
    </row>
    <row r="553" spans="1:4" x14ac:dyDescent="0.25">
      <c r="A553" s="2">
        <v>551</v>
      </c>
      <c r="B553" s="22">
        <v>4.0054339478956502E-5</v>
      </c>
      <c r="C553" s="22">
        <v>4.8984496970660998E-5</v>
      </c>
      <c r="D553" s="22">
        <v>8.9301574917044999E-6</v>
      </c>
    </row>
    <row r="554" spans="1:4" x14ac:dyDescent="0.25">
      <c r="A554" s="2">
        <v>552</v>
      </c>
      <c r="B554" s="22">
        <v>4.2998790740966802E-4</v>
      </c>
      <c r="C554" s="22">
        <v>1.13074958790094E-4</v>
      </c>
      <c r="D554" s="22">
        <v>3.1691294861957398E-4</v>
      </c>
    </row>
    <row r="555" spans="1:4" x14ac:dyDescent="0.25">
      <c r="A555" s="2">
        <v>553</v>
      </c>
      <c r="B555" s="22">
        <v>1.52003765106201E-3</v>
      </c>
      <c r="C555" s="22">
        <v>8.5994695837143795E-5</v>
      </c>
      <c r="D555" s="22">
        <v>1.4340429552248662E-3</v>
      </c>
    </row>
    <row r="556" spans="1:4" x14ac:dyDescent="0.25">
      <c r="A556" s="2">
        <v>554</v>
      </c>
      <c r="B556" s="22">
        <v>-9.0003006334882202E-5</v>
      </c>
      <c r="C556" s="22">
        <v>-2.2340880605042899E-5</v>
      </c>
      <c r="D556" s="22">
        <v>6.7662125729839304E-5</v>
      </c>
    </row>
    <row r="557" spans="1:4" x14ac:dyDescent="0.25">
      <c r="A557" s="2">
        <v>555</v>
      </c>
      <c r="B557" s="22">
        <v>-4.7004222869872998E-4</v>
      </c>
      <c r="C557" s="22">
        <v>-1.4922348782420199E-4</v>
      </c>
      <c r="D557" s="22">
        <v>3.2081874087452802E-4</v>
      </c>
    </row>
    <row r="558" spans="1:4" x14ac:dyDescent="0.25">
      <c r="A558" s="2">
        <v>556</v>
      </c>
      <c r="B558" s="22">
        <v>-4.7993657062761502E-4</v>
      </c>
      <c r="C558" s="22">
        <v>-2.4726739502511902E-4</v>
      </c>
      <c r="D558" s="22">
        <v>2.32669175602496E-4</v>
      </c>
    </row>
    <row r="559" spans="1:4" x14ac:dyDescent="0.25">
      <c r="A559" s="2">
        <v>557</v>
      </c>
      <c r="B559" s="22">
        <v>-7.8999996185302702E-4</v>
      </c>
      <c r="C559" s="22">
        <v>-2.1794837084598801E-4</v>
      </c>
      <c r="D559" s="22">
        <v>5.7205159100703895E-4</v>
      </c>
    </row>
    <row r="560" spans="1:4" x14ac:dyDescent="0.25">
      <c r="A560" s="2">
        <v>558</v>
      </c>
      <c r="B560" s="22">
        <v>1.01995468139648E-3</v>
      </c>
      <c r="C560" s="22">
        <v>-2.0072207553312199E-4</v>
      </c>
      <c r="D560" s="22">
        <v>1.2206767569296021E-3</v>
      </c>
    </row>
    <row r="561" spans="1:4" x14ac:dyDescent="0.25">
      <c r="A561" s="2">
        <v>559</v>
      </c>
      <c r="B561" s="22">
        <v>-1.9999742507934601E-3</v>
      </c>
      <c r="C561" s="22">
        <v>-2.1475080575328301E-4</v>
      </c>
      <c r="D561" s="22">
        <v>1.7852234450401771E-3</v>
      </c>
    </row>
    <row r="562" spans="1:4" x14ac:dyDescent="0.25">
      <c r="A562" s="2">
        <v>560</v>
      </c>
      <c r="B562" s="22">
        <v>3.4999847412109402E-4</v>
      </c>
      <c r="C562" s="22">
        <v>-2.0199535356368899E-4</v>
      </c>
      <c r="D562" s="22">
        <v>5.5199382768478299E-4</v>
      </c>
    </row>
    <row r="563" spans="1:4" x14ac:dyDescent="0.25">
      <c r="A563" s="2">
        <v>561</v>
      </c>
      <c r="B563" s="22">
        <v>-1.3200044631957999E-3</v>
      </c>
      <c r="C563" s="22">
        <v>-1.0821928299265E-4</v>
      </c>
      <c r="D563" s="22">
        <v>1.2117851802031501E-3</v>
      </c>
    </row>
    <row r="564" spans="1:4" x14ac:dyDescent="0.25">
      <c r="A564" s="2">
        <v>562</v>
      </c>
      <c r="B564" s="22">
        <v>1.9199847010895599E-3</v>
      </c>
      <c r="C564" s="22">
        <v>4.8379693907918402E-5</v>
      </c>
      <c r="D564" s="22">
        <v>1.8716050071816415E-3</v>
      </c>
    </row>
    <row r="565" spans="1:4" x14ac:dyDescent="0.25">
      <c r="A565" s="2">
        <v>563</v>
      </c>
      <c r="B565" s="22">
        <v>4.0054339478956502E-5</v>
      </c>
      <c r="C565" s="22">
        <v>1.6416466678492701E-4</v>
      </c>
      <c r="D565" s="22">
        <v>1.241103273059705E-4</v>
      </c>
    </row>
    <row r="566" spans="1:4" x14ac:dyDescent="0.25">
      <c r="A566" s="2">
        <v>564</v>
      </c>
      <c r="B566" s="22">
        <v>1.3499259948730499E-3</v>
      </c>
      <c r="C566" s="22">
        <v>1.2381935084704299E-4</v>
      </c>
      <c r="D566" s="22">
        <v>1.226106644026007E-3</v>
      </c>
    </row>
    <row r="567" spans="1:4" x14ac:dyDescent="0.25">
      <c r="A567" s="2">
        <v>565</v>
      </c>
      <c r="B567" s="22">
        <v>-8.1002718070522005E-4</v>
      </c>
      <c r="C567" s="22">
        <v>1.5524761693086499E-5</v>
      </c>
      <c r="D567" s="22">
        <v>8.2555194239830652E-4</v>
      </c>
    </row>
    <row r="568" spans="1:4" x14ac:dyDescent="0.25">
      <c r="A568" s="2">
        <v>566</v>
      </c>
      <c r="B568" s="22">
        <v>-5.1999092102050803E-4</v>
      </c>
      <c r="C568" s="22">
        <v>-9.1361056547612006E-5</v>
      </c>
      <c r="D568" s="22">
        <v>4.2862986447289602E-4</v>
      </c>
    </row>
    <row r="569" spans="1:4" x14ac:dyDescent="0.25">
      <c r="A569" s="2">
        <v>567</v>
      </c>
      <c r="B569" s="22">
        <v>2.0027147911605401E-5</v>
      </c>
      <c r="C569" s="22">
        <v>-1.87297220691107E-4</v>
      </c>
      <c r="D569" s="22">
        <v>2.0732436860271239E-4</v>
      </c>
    </row>
    <row r="570" spans="1:4" x14ac:dyDescent="0.25">
      <c r="A570" s="2">
        <v>568</v>
      </c>
      <c r="B570" s="22">
        <v>-2.9003623058088102E-4</v>
      </c>
      <c r="C570" s="22">
        <v>-1.8750579329207499E-4</v>
      </c>
      <c r="D570" s="22">
        <v>1.0253043728880601E-4</v>
      </c>
    </row>
    <row r="571" spans="1:4" x14ac:dyDescent="0.25">
      <c r="A571" s="2">
        <v>569</v>
      </c>
      <c r="B571" s="22">
        <v>2.90036201477051E-4</v>
      </c>
      <c r="C571" s="22">
        <v>-2.04881056561135E-4</v>
      </c>
      <c r="D571" s="22">
        <v>4.9491725803818597E-4</v>
      </c>
    </row>
    <row r="572" spans="1:4" x14ac:dyDescent="0.25">
      <c r="A572" s="2">
        <v>570</v>
      </c>
      <c r="B572" s="22">
        <v>-1.29938125610352E-4</v>
      </c>
      <c r="C572" s="22">
        <v>-2.5685306172817902E-4</v>
      </c>
      <c r="D572" s="22">
        <v>1.26914936117827E-4</v>
      </c>
    </row>
    <row r="573" spans="1:4" x14ac:dyDescent="0.25">
      <c r="A573" s="2">
        <v>571</v>
      </c>
      <c r="B573" s="22">
        <v>4.8995018005371105E-4</v>
      </c>
      <c r="C573" s="22">
        <v>-2.3199267161544399E-4</v>
      </c>
      <c r="D573" s="22">
        <v>7.2194285166915495E-4</v>
      </c>
    </row>
    <row r="574" spans="1:4" x14ac:dyDescent="0.25">
      <c r="A574" s="2">
        <v>572</v>
      </c>
      <c r="B574" s="22">
        <v>-6.9975860242266194E-5</v>
      </c>
      <c r="C574" s="22">
        <v>-1.85198266990483E-4</v>
      </c>
      <c r="D574" s="22">
        <v>1.152224067482168E-4</v>
      </c>
    </row>
    <row r="575" spans="1:4" x14ac:dyDescent="0.25">
      <c r="A575" s="2">
        <v>573</v>
      </c>
      <c r="B575" s="22">
        <v>1.80006012669764E-4</v>
      </c>
      <c r="C575" s="22">
        <v>-1.6604804841335901E-4</v>
      </c>
      <c r="D575" s="22">
        <v>3.4605406108312298E-4</v>
      </c>
    </row>
    <row r="576" spans="1:4" x14ac:dyDescent="0.25">
      <c r="A576" s="2">
        <v>574</v>
      </c>
      <c r="B576" s="22">
        <v>-2.00033202418126E-4</v>
      </c>
      <c r="C576" s="22">
        <v>-6.6557477111928206E-5</v>
      </c>
      <c r="D576" s="22">
        <v>1.3347572530619781E-4</v>
      </c>
    </row>
    <row r="577" spans="1:4" x14ac:dyDescent="0.25">
      <c r="A577" s="2">
        <v>575</v>
      </c>
      <c r="B577" s="22">
        <v>-6.0999393463134798E-4</v>
      </c>
      <c r="C577" s="22">
        <v>2.44351977016777E-5</v>
      </c>
      <c r="D577" s="22">
        <v>6.3442913233302566E-4</v>
      </c>
    </row>
    <row r="578" spans="1:4" x14ac:dyDescent="0.25">
      <c r="A578" s="2">
        <v>576</v>
      </c>
      <c r="B578" s="22">
        <v>-4.1997438529506299E-4</v>
      </c>
      <c r="C578" s="22">
        <v>3.1322382710641297E-5</v>
      </c>
      <c r="D578" s="22">
        <v>4.5129676800570429E-4</v>
      </c>
    </row>
    <row r="579" spans="1:4" x14ac:dyDescent="0.25">
      <c r="A579" s="2">
        <v>577</v>
      </c>
      <c r="B579" s="22">
        <v>-7.1001052856445302E-4</v>
      </c>
      <c r="C579" s="22">
        <v>5.8620618801796802E-5</v>
      </c>
      <c r="D579" s="22">
        <v>7.6863114736624983E-4</v>
      </c>
    </row>
    <row r="580" spans="1:4" x14ac:dyDescent="0.25">
      <c r="A580" s="2">
        <v>578</v>
      </c>
      <c r="B580" s="22">
        <v>9.0003006334882202E-5</v>
      </c>
      <c r="C580" s="22">
        <v>6.9783032813575105E-5</v>
      </c>
      <c r="D580" s="22">
        <v>2.0219973521307101E-5</v>
      </c>
    </row>
    <row r="581" spans="1:4" x14ac:dyDescent="0.25">
      <c r="A581" s="2">
        <v>579</v>
      </c>
      <c r="B581" s="22">
        <v>-8.0001354217529297E-4</v>
      </c>
      <c r="C581" s="22">
        <v>-1.11571234810981E-5</v>
      </c>
      <c r="D581" s="22">
        <v>7.8885641869419487E-4</v>
      </c>
    </row>
    <row r="582" spans="1:4" x14ac:dyDescent="0.25">
      <c r="A582" s="2">
        <v>580</v>
      </c>
      <c r="B582" s="22">
        <v>-1.10030196083244E-4</v>
      </c>
      <c r="C582" s="22">
        <v>-1.09666150819976E-4</v>
      </c>
      <c r="D582" s="22">
        <v>3.6404526326800001E-7</v>
      </c>
    </row>
    <row r="583" spans="1:4" x14ac:dyDescent="0.25">
      <c r="A583" s="2">
        <v>581</v>
      </c>
      <c r="B583" s="22">
        <v>7.5006479164585504E-4</v>
      </c>
      <c r="C583" s="22">
        <v>-2.08743469556794E-4</v>
      </c>
      <c r="D583" s="22">
        <v>9.5880826120264904E-4</v>
      </c>
    </row>
    <row r="584" spans="1:4" x14ac:dyDescent="0.25">
      <c r="A584" s="2">
        <v>582</v>
      </c>
      <c r="B584" s="22">
        <v>1.82998192030936E-3</v>
      </c>
      <c r="C584" s="22">
        <v>-2.2073925356380601E-4</v>
      </c>
      <c r="D584" s="22">
        <v>2.050721173873166E-3</v>
      </c>
    </row>
    <row r="585" spans="1:4" x14ac:dyDescent="0.25">
      <c r="A585" s="2">
        <v>583</v>
      </c>
      <c r="B585" s="22">
        <v>-2.6400089263915998E-3</v>
      </c>
      <c r="C585" s="22">
        <v>-2.08358120289631E-4</v>
      </c>
      <c r="D585" s="22">
        <v>2.4316508061019691E-3</v>
      </c>
    </row>
    <row r="586" spans="1:4" x14ac:dyDescent="0.25">
      <c r="A586" s="2">
        <v>584</v>
      </c>
      <c r="B586" s="22">
        <v>-1.38998031616211E-3</v>
      </c>
      <c r="C586" s="22">
        <v>-1.9273028010502501E-4</v>
      </c>
      <c r="D586" s="22">
        <v>1.197250036057085E-3</v>
      </c>
    </row>
    <row r="587" spans="1:4" x14ac:dyDescent="0.25">
      <c r="A587" s="2">
        <v>585</v>
      </c>
      <c r="B587" s="22">
        <v>-5.9008609969168901E-4</v>
      </c>
      <c r="C587" s="22">
        <v>-7.8438279160764095E-5</v>
      </c>
      <c r="D587" s="22">
        <v>5.1164782053092495E-4</v>
      </c>
    </row>
    <row r="588" spans="1:4" x14ac:dyDescent="0.25">
      <c r="A588" s="2">
        <v>586</v>
      </c>
      <c r="B588" s="22">
        <v>1.8200874328613301E-3</v>
      </c>
      <c r="C588" s="22">
        <v>-2.0872974346275401E-5</v>
      </c>
      <c r="D588" s="22">
        <v>1.8409604072076053E-3</v>
      </c>
    </row>
    <row r="589" spans="1:4" x14ac:dyDescent="0.25">
      <c r="A589" s="2">
        <v>587</v>
      </c>
      <c r="B589" s="22">
        <v>-1.20043754577637E-4</v>
      </c>
      <c r="C589" s="22">
        <v>-4.6923767513362698E-5</v>
      </c>
      <c r="D589" s="22">
        <v>7.3119987064274299E-5</v>
      </c>
    </row>
    <row r="590" spans="1:4" x14ac:dyDescent="0.25">
      <c r="A590" s="2">
        <v>588</v>
      </c>
      <c r="B590" s="22">
        <v>-9.0003006334882202E-5</v>
      </c>
      <c r="C590" s="22">
        <v>-7.6981392339803306E-5</v>
      </c>
      <c r="D590" s="22">
        <v>1.30216139950789E-5</v>
      </c>
    </row>
    <row r="591" spans="1:4" x14ac:dyDescent="0.25">
      <c r="A591" s="2">
        <v>589</v>
      </c>
      <c r="B591" s="22">
        <v>-9.0003006334882202E-5</v>
      </c>
      <c r="C591" s="22">
        <v>-1.16445400635712E-4</v>
      </c>
      <c r="D591" s="22">
        <v>2.6442394300829799E-5</v>
      </c>
    </row>
    <row r="592" spans="1:4" x14ac:dyDescent="0.25">
      <c r="A592" s="2">
        <v>590</v>
      </c>
      <c r="B592" s="22">
        <v>2.90036201477051E-4</v>
      </c>
      <c r="C592" s="22">
        <v>-1.2240087380632799E-4</v>
      </c>
      <c r="D592" s="22">
        <v>4.1243707528337901E-4</v>
      </c>
    </row>
    <row r="593" spans="1:4" x14ac:dyDescent="0.25">
      <c r="A593" s="2">
        <v>591</v>
      </c>
      <c r="B593" s="22">
        <v>-1.6999246145132899E-4</v>
      </c>
      <c r="C593" s="22">
        <v>-1.7432673485018299E-4</v>
      </c>
      <c r="D593" s="22">
        <v>4.3342733988540002E-6</v>
      </c>
    </row>
    <row r="594" spans="1:4" x14ac:dyDescent="0.25">
      <c r="A594" s="2">
        <v>592</v>
      </c>
      <c r="B594" s="22">
        <v>-5.0067890697391697E-5</v>
      </c>
      <c r="C594" s="22">
        <v>-1.9722260185517401E-4</v>
      </c>
      <c r="D594" s="22">
        <v>1.471547111577823E-4</v>
      </c>
    </row>
    <row r="595" spans="1:4" x14ac:dyDescent="0.25">
      <c r="A595" s="2">
        <v>593</v>
      </c>
      <c r="B595" s="22">
        <v>-2.4998182198032699E-4</v>
      </c>
      <c r="C595" s="22">
        <v>-1.6021193005144599E-4</v>
      </c>
      <c r="D595" s="22">
        <v>8.9769891928881E-5</v>
      </c>
    </row>
    <row r="596" spans="1:4" x14ac:dyDescent="0.25">
      <c r="A596" s="2">
        <v>594</v>
      </c>
      <c r="B596" s="22">
        <v>8.8000297546386697E-4</v>
      </c>
      <c r="C596" s="22">
        <v>-7.7146927651483606E-5</v>
      </c>
      <c r="D596" s="22">
        <v>9.5714990311535064E-4</v>
      </c>
    </row>
    <row r="597" spans="1:4" x14ac:dyDescent="0.25">
      <c r="A597" s="2">
        <v>595</v>
      </c>
      <c r="B597" s="22">
        <v>6.60061836242676E-4</v>
      </c>
      <c r="C597" s="22">
        <v>4.0151560824597302E-5</v>
      </c>
      <c r="D597" s="22">
        <v>6.1991027541807874E-4</v>
      </c>
    </row>
    <row r="598" spans="1:4" x14ac:dyDescent="0.25">
      <c r="A598" s="2">
        <v>596</v>
      </c>
      <c r="B598" s="22">
        <v>-1.10030196083244E-4</v>
      </c>
      <c r="C598" s="22">
        <v>9.5642055384814699E-5</v>
      </c>
      <c r="D598" s="22">
        <v>2.056722514680587E-4</v>
      </c>
    </row>
    <row r="599" spans="1:4" x14ac:dyDescent="0.25">
      <c r="A599" s="2">
        <v>597</v>
      </c>
      <c r="B599" s="22">
        <v>2.3996829986572301E-4</v>
      </c>
      <c r="C599" s="22">
        <v>-4.4425564738048701E-7</v>
      </c>
      <c r="D599" s="22">
        <v>2.404125555131035E-4</v>
      </c>
    </row>
    <row r="600" spans="1:4" x14ac:dyDescent="0.25">
      <c r="A600" s="2">
        <v>598</v>
      </c>
      <c r="B600" s="22">
        <v>-1.0499953059479601E-3</v>
      </c>
      <c r="C600" s="22">
        <v>-1.2650119606405499E-4</v>
      </c>
      <c r="D600" s="22">
        <v>9.23494109883905E-4</v>
      </c>
    </row>
    <row r="601" spans="1:4" x14ac:dyDescent="0.25">
      <c r="A601" s="2">
        <v>599</v>
      </c>
      <c r="B601" s="22">
        <v>-6.5004825592041005E-4</v>
      </c>
      <c r="C601" s="22">
        <v>-2.1860867855139101E-4</v>
      </c>
      <c r="D601" s="22">
        <v>4.3143957736901901E-4</v>
      </c>
    </row>
    <row r="602" spans="1:4" x14ac:dyDescent="0.25">
      <c r="A602" s="2">
        <v>600</v>
      </c>
      <c r="B602" s="22">
        <v>-8.4996217628940897E-4</v>
      </c>
      <c r="C602" s="22">
        <v>-2.61760520515963E-4</v>
      </c>
      <c r="D602" s="22">
        <v>5.8820165577344596E-4</v>
      </c>
    </row>
    <row r="603" spans="1:4" x14ac:dyDescent="0.25">
      <c r="A603" s="2">
        <v>601</v>
      </c>
      <c r="B603" s="22">
        <v>-1.17993354797363E-3</v>
      </c>
      <c r="C603" s="22">
        <v>-2.3446796694770499E-4</v>
      </c>
      <c r="D603" s="22">
        <v>9.4546558102592501E-4</v>
      </c>
    </row>
    <row r="604" spans="1:4" x14ac:dyDescent="0.25">
      <c r="A604" s="2">
        <v>602</v>
      </c>
      <c r="B604" s="22">
        <v>-4.29987849202007E-4</v>
      </c>
      <c r="C604" s="22">
        <v>-1.84277523658238E-4</v>
      </c>
      <c r="D604" s="22">
        <v>2.4571032554376897E-4</v>
      </c>
    </row>
    <row r="605" spans="1:4" x14ac:dyDescent="0.25">
      <c r="A605" s="2">
        <v>603</v>
      </c>
      <c r="B605" s="22">
        <v>-3.20076971547678E-4</v>
      </c>
      <c r="C605" s="22">
        <v>-8.9120141637977199E-5</v>
      </c>
      <c r="D605" s="22">
        <v>2.3095682990970079E-4</v>
      </c>
    </row>
    <row r="606" spans="1:4" x14ac:dyDescent="0.25">
      <c r="A606" s="2">
        <v>604</v>
      </c>
      <c r="B606" s="22">
        <v>-2.5999546051025401E-4</v>
      </c>
      <c r="C606" s="22">
        <v>-4.5022454287391197E-5</v>
      </c>
      <c r="D606" s="22">
        <v>2.149730062228628E-4</v>
      </c>
    </row>
    <row r="607" spans="1:4" x14ac:dyDescent="0.25">
      <c r="A607" s="2">
        <v>605</v>
      </c>
      <c r="B607" s="22">
        <v>-1.0600090026855499E-3</v>
      </c>
      <c r="C607" s="22">
        <v>-3.2538511732127497E-5</v>
      </c>
      <c r="D607" s="22">
        <v>1.0274704909534224E-3</v>
      </c>
    </row>
    <row r="608" spans="1:4" x14ac:dyDescent="0.25">
      <c r="A608" s="2">
        <v>606</v>
      </c>
      <c r="B608" s="22">
        <v>-1.0013595783675599E-5</v>
      </c>
      <c r="C608" s="22">
        <v>3.9782703424862103E-6</v>
      </c>
      <c r="D608" s="22">
        <v>1.399186612616181E-5</v>
      </c>
    </row>
    <row r="609" spans="1:4" x14ac:dyDescent="0.25">
      <c r="A609" s="2">
        <v>607</v>
      </c>
      <c r="B609" s="22">
        <v>2.20060348510742E-4</v>
      </c>
      <c r="C609" s="22">
        <v>3.4841530577978099E-5</v>
      </c>
      <c r="D609" s="22">
        <v>1.8521881793276391E-4</v>
      </c>
    </row>
    <row r="610" spans="1:4" x14ac:dyDescent="0.25">
      <c r="A610" s="2">
        <v>608</v>
      </c>
      <c r="B610" s="22">
        <v>6.4003467559814496E-4</v>
      </c>
      <c r="C610" s="22">
        <v>4.5745167881250402E-5</v>
      </c>
      <c r="D610" s="22">
        <v>5.9428950771689458E-4</v>
      </c>
    </row>
    <row r="611" spans="1:4" x14ac:dyDescent="0.25">
      <c r="A611" s="2">
        <v>609</v>
      </c>
      <c r="B611" s="22">
        <v>5.9962265368085402E-5</v>
      </c>
      <c r="C611" s="22">
        <v>3.9521169128420297E-6</v>
      </c>
      <c r="D611" s="22">
        <v>5.6010148455243372E-5</v>
      </c>
    </row>
    <row r="612" spans="1:4" x14ac:dyDescent="0.25">
      <c r="A612" s="2">
        <v>610</v>
      </c>
      <c r="B612" s="22">
        <v>8.9001655578613303E-4</v>
      </c>
      <c r="C612" s="22">
        <v>-3.0681934731546803E-5</v>
      </c>
      <c r="D612" s="22">
        <v>9.2069849051767982E-4</v>
      </c>
    </row>
    <row r="613" spans="1:4" x14ac:dyDescent="0.25">
      <c r="A613" s="2">
        <v>611</v>
      </c>
      <c r="B613" s="22">
        <v>-3.9005276630632601E-4</v>
      </c>
      <c r="C613" s="22">
        <v>-8.8640765170566697E-5</v>
      </c>
      <c r="D613" s="22">
        <v>3.0141200113575933E-4</v>
      </c>
    </row>
    <row r="614" spans="1:4" x14ac:dyDescent="0.25">
      <c r="A614" s="2">
        <v>612</v>
      </c>
      <c r="B614" s="22">
        <v>-5.3000438492745204E-4</v>
      </c>
      <c r="C614" s="22">
        <v>-1.59275528858416E-4</v>
      </c>
      <c r="D614" s="22">
        <v>3.7072885606903599E-4</v>
      </c>
    </row>
    <row r="615" spans="1:4" x14ac:dyDescent="0.25">
      <c r="A615" s="2">
        <v>613</v>
      </c>
      <c r="B615" s="22">
        <v>-1.10030196083244E-4</v>
      </c>
      <c r="C615" s="22">
        <v>-1.4489442401099999E-4</v>
      </c>
      <c r="D615" s="22">
        <v>3.4864227927755998E-5</v>
      </c>
    </row>
    <row r="616" spans="1:4" x14ac:dyDescent="0.25">
      <c r="A616" s="2">
        <v>614</v>
      </c>
      <c r="B616" s="22">
        <v>-1.09910979517736E-4</v>
      </c>
      <c r="C616" s="22">
        <v>-1.2673351739067601E-4</v>
      </c>
      <c r="D616" s="22">
        <v>1.682253787294E-5</v>
      </c>
    </row>
    <row r="617" spans="1:4" x14ac:dyDescent="0.25">
      <c r="A617" s="2">
        <v>615</v>
      </c>
      <c r="B617" s="22">
        <v>-4.0054339478956502E-5</v>
      </c>
      <c r="C617" s="22">
        <v>-1.3687813770957299E-4</v>
      </c>
      <c r="D617" s="22">
        <v>9.6823798230616498E-5</v>
      </c>
    </row>
    <row r="618" spans="1:4" x14ac:dyDescent="0.25">
      <c r="A618" s="2">
        <v>616</v>
      </c>
      <c r="B618" s="22">
        <v>-1.00016601209063E-4</v>
      </c>
      <c r="C618" s="22">
        <v>-1.3376123388297899E-4</v>
      </c>
      <c r="D618" s="22">
        <v>3.3744632673915997E-5</v>
      </c>
    </row>
    <row r="619" spans="1:4" x14ac:dyDescent="0.25">
      <c r="A619" s="2">
        <v>617</v>
      </c>
      <c r="B619" s="22">
        <v>1.01006031036377E-3</v>
      </c>
      <c r="C619" s="22">
        <v>-1.9445027282927199E-4</v>
      </c>
      <c r="D619" s="22">
        <v>1.204510583193042E-3</v>
      </c>
    </row>
    <row r="620" spans="1:4" x14ac:dyDescent="0.25">
      <c r="A620" s="2">
        <v>618</v>
      </c>
      <c r="B620" s="22">
        <v>3.6001202533952903E-4</v>
      </c>
      <c r="C620" s="22">
        <v>-2.5130243739113201E-4</v>
      </c>
      <c r="D620" s="22">
        <v>6.1131446273066103E-4</v>
      </c>
    </row>
    <row r="621" spans="1:4" x14ac:dyDescent="0.25">
      <c r="A621" s="2">
        <v>619</v>
      </c>
      <c r="B621" s="22">
        <v>-2.40087509155273E-4</v>
      </c>
      <c r="C621" s="22">
        <v>-2.2797635756432999E-4</v>
      </c>
      <c r="D621" s="22">
        <v>1.2111151590942999E-5</v>
      </c>
    </row>
    <row r="622" spans="1:4" x14ac:dyDescent="0.25">
      <c r="A622" s="2">
        <v>620</v>
      </c>
      <c r="B622" s="22">
        <v>-1.0199545649811599E-3</v>
      </c>
      <c r="C622" s="22">
        <v>-1.4211103552952401E-4</v>
      </c>
      <c r="D622" s="22">
        <v>8.7784352945163597E-4</v>
      </c>
    </row>
    <row r="623" spans="1:4" x14ac:dyDescent="0.25">
      <c r="A623" s="2">
        <v>621</v>
      </c>
      <c r="B623" s="22">
        <v>-2.0027147911605401E-5</v>
      </c>
      <c r="C623" s="22">
        <v>-5.4687438932887702E-6</v>
      </c>
      <c r="D623" s="22">
        <v>1.455840401831663E-5</v>
      </c>
    </row>
    <row r="624" spans="1:4" x14ac:dyDescent="0.25">
      <c r="A624" s="2">
        <v>622</v>
      </c>
      <c r="B624" s="22">
        <v>-1.03998184204102E-3</v>
      </c>
      <c r="C624" s="22">
        <v>6.6187487391289296E-5</v>
      </c>
      <c r="D624" s="22">
        <v>1.1061693294323093E-3</v>
      </c>
    </row>
    <row r="625" spans="1:4" x14ac:dyDescent="0.25">
      <c r="A625" s="2">
        <v>623</v>
      </c>
      <c r="B625" s="22">
        <v>1.01995468139648E-3</v>
      </c>
      <c r="C625" s="22">
        <v>-5.6569774642412102E-6</v>
      </c>
      <c r="D625" s="22">
        <v>1.0256116588607212E-3</v>
      </c>
    </row>
    <row r="626" spans="1:4" x14ac:dyDescent="0.25">
      <c r="A626" s="2">
        <v>624</v>
      </c>
      <c r="B626" s="22">
        <v>7.2002405067905805E-4</v>
      </c>
      <c r="C626" s="22">
        <v>-1.27077975776047E-4</v>
      </c>
      <c r="D626" s="22">
        <v>8.47102026455105E-4</v>
      </c>
    </row>
    <row r="627" spans="1:4" x14ac:dyDescent="0.25">
      <c r="A627" s="2">
        <v>625</v>
      </c>
      <c r="B627" s="22">
        <v>-4.4000148773193397E-4</v>
      </c>
      <c r="C627" s="22">
        <v>-2.6054153568111398E-4</v>
      </c>
      <c r="D627" s="22">
        <v>1.7945995205081999E-4</v>
      </c>
    </row>
    <row r="628" spans="1:4" x14ac:dyDescent="0.25">
      <c r="A628" s="2">
        <v>626</v>
      </c>
      <c r="B628" s="22">
        <v>-1.13999843597412E-3</v>
      </c>
      <c r="C628" s="22">
        <v>-3.4221328678540902E-4</v>
      </c>
      <c r="D628" s="22">
        <v>7.9778514918871105E-4</v>
      </c>
    </row>
    <row r="629" spans="1:4" x14ac:dyDescent="0.25">
      <c r="A629" s="2">
        <v>627</v>
      </c>
      <c r="B629" s="22">
        <v>-2.1299123764038099E-3</v>
      </c>
      <c r="C629" s="22">
        <v>-3.4457328729331499E-4</v>
      </c>
      <c r="D629" s="22">
        <v>1.785339089110495E-3</v>
      </c>
    </row>
    <row r="630" spans="1:4" x14ac:dyDescent="0.25">
      <c r="A630" s="2">
        <v>628</v>
      </c>
      <c r="B630" s="22">
        <v>-1.25002884306014E-3</v>
      </c>
      <c r="C630" s="22">
        <v>-3.1452154507860498E-4</v>
      </c>
      <c r="D630" s="22">
        <v>9.3550729798153498E-4</v>
      </c>
    </row>
    <row r="631" spans="1:4" x14ac:dyDescent="0.25">
      <c r="A631" s="2">
        <v>629</v>
      </c>
      <c r="B631" s="22">
        <v>-4.4000148773193397E-4</v>
      </c>
      <c r="C631" s="22">
        <v>-2.8824195032939299E-4</v>
      </c>
      <c r="D631" s="22">
        <v>1.5175953740254099E-4</v>
      </c>
    </row>
    <row r="632" spans="1:4" x14ac:dyDescent="0.25">
      <c r="A632" s="2">
        <v>630</v>
      </c>
      <c r="B632" s="22">
        <v>-4.5001512626186002E-4</v>
      </c>
      <c r="C632" s="22">
        <v>-2.2243434796109801E-4</v>
      </c>
      <c r="D632" s="22">
        <v>2.2758077830076199E-4</v>
      </c>
    </row>
    <row r="633" spans="1:4" x14ac:dyDescent="0.25">
      <c r="A633" s="2">
        <v>631</v>
      </c>
      <c r="B633" s="22">
        <v>-7.7998643973842296E-4</v>
      </c>
      <c r="C633" s="22">
        <v>-6.5470238041598296E-5</v>
      </c>
      <c r="D633" s="22">
        <v>7.1451620169682472E-4</v>
      </c>
    </row>
    <row r="634" spans="1:4" x14ac:dyDescent="0.25">
      <c r="A634" s="2">
        <v>632</v>
      </c>
      <c r="B634" s="22">
        <v>-7.1001052856445302E-4</v>
      </c>
      <c r="C634" s="22">
        <v>1.12365931272507E-4</v>
      </c>
      <c r="D634" s="22">
        <v>8.2237645983695995E-4</v>
      </c>
    </row>
    <row r="635" spans="1:4" x14ac:dyDescent="0.25">
      <c r="A635" s="2">
        <v>633</v>
      </c>
      <c r="B635" s="22">
        <v>8.8000297546386697E-4</v>
      </c>
      <c r="C635" s="22">
        <v>2.3028510622680201E-4</v>
      </c>
      <c r="D635" s="22">
        <v>6.4971786923706499E-4</v>
      </c>
    </row>
    <row r="636" spans="1:4" x14ac:dyDescent="0.25">
      <c r="A636" s="2">
        <v>634</v>
      </c>
      <c r="B636" s="22">
        <v>1.78003311157227E-3</v>
      </c>
      <c r="C636" s="22">
        <v>2.3716152645647499E-4</v>
      </c>
      <c r="D636" s="22">
        <v>1.5428715851157949E-3</v>
      </c>
    </row>
    <row r="637" spans="1:4" x14ac:dyDescent="0.25">
      <c r="A637" s="2">
        <v>635</v>
      </c>
      <c r="B637" s="22">
        <v>-2.9003623058088102E-4</v>
      </c>
      <c r="C637" s="22">
        <v>4.6477678552037098E-5</v>
      </c>
      <c r="D637" s="22">
        <v>3.3651390913291813E-4</v>
      </c>
    </row>
    <row r="638" spans="1:4" x14ac:dyDescent="0.25">
      <c r="A638" s="2">
        <v>636</v>
      </c>
      <c r="B638" s="22">
        <v>5.9962265368085402E-5</v>
      </c>
      <c r="C638" s="22">
        <v>-8.5967971244826899E-5</v>
      </c>
      <c r="D638" s="22">
        <v>1.4593023661291229E-4</v>
      </c>
    </row>
    <row r="639" spans="1:4" x14ac:dyDescent="0.25">
      <c r="A639" s="2">
        <v>637</v>
      </c>
      <c r="B639" s="22">
        <v>-2.0099878311157201E-3</v>
      </c>
      <c r="C639" s="22">
        <v>-1.3111664156895101E-4</v>
      </c>
      <c r="D639" s="22">
        <v>1.878871189546769E-3</v>
      </c>
    </row>
    <row r="640" spans="1:4" x14ac:dyDescent="0.25">
      <c r="A640" s="2">
        <v>638</v>
      </c>
      <c r="B640" s="22">
        <v>4.5001509715803E-4</v>
      </c>
      <c r="C640" s="22">
        <v>-1.1719431495294001E-4</v>
      </c>
      <c r="D640" s="22">
        <v>5.6720941211096997E-4</v>
      </c>
    </row>
    <row r="641" spans="1:4" x14ac:dyDescent="0.25">
      <c r="A641" s="2">
        <v>639</v>
      </c>
      <c r="B641" s="22">
        <v>-3.6001202533952903E-4</v>
      </c>
      <c r="C641" s="22">
        <v>-1.38596997203422E-5</v>
      </c>
      <c r="D641" s="22">
        <v>3.4615232561918679E-4</v>
      </c>
    </row>
    <row r="642" spans="1:4" x14ac:dyDescent="0.25">
      <c r="A642" s="2">
        <v>640</v>
      </c>
      <c r="B642" s="22">
        <v>4.0054339478956502E-5</v>
      </c>
      <c r="C642" s="22">
        <v>-1.48958588397363E-5</v>
      </c>
      <c r="D642" s="22">
        <v>5.4950198318692801E-5</v>
      </c>
    </row>
    <row r="643" spans="1:4" x14ac:dyDescent="0.25">
      <c r="A643" s="2">
        <v>641</v>
      </c>
      <c r="B643" s="22">
        <v>3.2997131347656299E-4</v>
      </c>
      <c r="C643" s="22">
        <v>3.53432078554761E-5</v>
      </c>
      <c r="D643" s="22">
        <v>2.9462810562108692E-4</v>
      </c>
    </row>
    <row r="644" spans="1:4" x14ac:dyDescent="0.25">
      <c r="A644" s="2">
        <v>642</v>
      </c>
      <c r="B644" s="22">
        <v>1.4996527170296799E-4</v>
      </c>
      <c r="C644" s="22">
        <v>6.2785416957922293E-5</v>
      </c>
      <c r="D644" s="22">
        <v>8.7179854745045697E-5</v>
      </c>
    </row>
    <row r="645" spans="1:4" x14ac:dyDescent="0.25">
      <c r="A645" s="2">
        <v>643</v>
      </c>
      <c r="B645" s="22">
        <v>-1.4699697494506799E-3</v>
      </c>
      <c r="C645" s="22">
        <v>-2.7012387363356501E-5</v>
      </c>
      <c r="D645" s="22">
        <v>1.4429573620873236E-3</v>
      </c>
    </row>
    <row r="646" spans="1:4" x14ac:dyDescent="0.25">
      <c r="A646" s="2">
        <v>644</v>
      </c>
      <c r="B646" s="22">
        <v>4.7004219959490001E-4</v>
      </c>
      <c r="C646" s="22">
        <v>-1.62417811225168E-4</v>
      </c>
      <c r="D646" s="22">
        <v>6.3246001082006799E-4</v>
      </c>
    </row>
    <row r="647" spans="1:4" x14ac:dyDescent="0.25">
      <c r="A647" s="2">
        <v>645</v>
      </c>
      <c r="B647" s="22">
        <v>-6.0081485571572598E-5</v>
      </c>
      <c r="C647" s="22">
        <v>-2.2801247541792699E-4</v>
      </c>
      <c r="D647" s="22">
        <v>1.679309898463544E-4</v>
      </c>
    </row>
    <row r="648" spans="1:4" x14ac:dyDescent="0.25">
      <c r="A648" s="2">
        <v>646</v>
      </c>
      <c r="B648" s="22">
        <v>-3.1995773315429698E-4</v>
      </c>
      <c r="C648" s="22">
        <v>-3.1083723297342701E-4</v>
      </c>
      <c r="D648" s="22">
        <v>9.1205001808699998E-6</v>
      </c>
    </row>
    <row r="649" spans="1:4" x14ac:dyDescent="0.25">
      <c r="A649" s="2">
        <v>647</v>
      </c>
      <c r="B649" s="22">
        <v>-1.10030196083244E-4</v>
      </c>
      <c r="C649" s="22">
        <v>-3.1397398561239199E-4</v>
      </c>
      <c r="D649" s="22">
        <v>2.03943789529148E-4</v>
      </c>
    </row>
    <row r="650" spans="1:4" x14ac:dyDescent="0.25">
      <c r="A650" s="2">
        <v>648</v>
      </c>
      <c r="B650" s="22">
        <v>-3.3998492290265902E-4</v>
      </c>
      <c r="C650" s="22">
        <v>-2.27123528020456E-4</v>
      </c>
      <c r="D650" s="22">
        <v>1.12861394882203E-4</v>
      </c>
    </row>
    <row r="651" spans="1:4" x14ac:dyDescent="0.25">
      <c r="A651" s="2">
        <v>649</v>
      </c>
      <c r="B651" s="22">
        <v>-1.1899471282959E-3</v>
      </c>
      <c r="C651" s="22">
        <v>-1.0673449287423901E-4</v>
      </c>
      <c r="D651" s="22">
        <v>1.0832126354216611E-3</v>
      </c>
    </row>
    <row r="652" spans="1:4" x14ac:dyDescent="0.25">
      <c r="A652" s="2">
        <v>650</v>
      </c>
      <c r="B652" s="22">
        <v>1.94990634918213E-3</v>
      </c>
      <c r="C652" s="22">
        <v>1.2055566185154E-4</v>
      </c>
      <c r="D652" s="22">
        <v>1.82935068733059E-3</v>
      </c>
    </row>
    <row r="653" spans="1:4" x14ac:dyDescent="0.25">
      <c r="A653" s="2">
        <v>651</v>
      </c>
      <c r="B653" s="22">
        <v>3.80039215087891E-4</v>
      </c>
      <c r="C653" s="22">
        <v>2.7529202634468702E-4</v>
      </c>
      <c r="D653" s="22">
        <v>1.04747188743204E-4</v>
      </c>
    </row>
    <row r="654" spans="1:4" x14ac:dyDescent="0.25">
      <c r="A654" s="2">
        <v>652</v>
      </c>
      <c r="B654" s="22">
        <v>1.36005878448486E-3</v>
      </c>
      <c r="C654" s="22">
        <v>2.9390607960522202E-4</v>
      </c>
      <c r="D654" s="22">
        <v>1.0661527048796381E-3</v>
      </c>
    </row>
    <row r="655" spans="1:4" x14ac:dyDescent="0.25">
      <c r="A655" s="2">
        <v>653</v>
      </c>
      <c r="B655" s="22">
        <v>1.2599229812622101E-3</v>
      </c>
      <c r="C655" s="22">
        <v>1.22976722195745E-4</v>
      </c>
      <c r="D655" s="22">
        <v>1.1369462590664649E-3</v>
      </c>
    </row>
    <row r="656" spans="1:4" x14ac:dyDescent="0.25">
      <c r="A656" s="2">
        <v>654</v>
      </c>
      <c r="B656" s="22">
        <v>7.7998643973842296E-4</v>
      </c>
      <c r="C656" s="22">
        <v>-1.02377962321043E-4</v>
      </c>
      <c r="D656" s="22">
        <v>8.8236440205946597E-4</v>
      </c>
    </row>
    <row r="657" spans="1:4" x14ac:dyDescent="0.25">
      <c r="A657" s="2">
        <v>655</v>
      </c>
      <c r="B657" s="22">
        <v>-1.03998184204102E-3</v>
      </c>
      <c r="C657" s="22">
        <v>-2.6208904455415899E-4</v>
      </c>
      <c r="D657" s="22">
        <v>7.7789279748686103E-4</v>
      </c>
    </row>
    <row r="658" spans="1:4" x14ac:dyDescent="0.25">
      <c r="A658" s="2">
        <v>656</v>
      </c>
      <c r="B658" s="22">
        <v>-2.0992758800275599E-4</v>
      </c>
      <c r="C658" s="22">
        <v>-3.0166050419211398E-4</v>
      </c>
      <c r="D658" s="22">
        <v>9.1732916189358004E-5</v>
      </c>
    </row>
    <row r="659" spans="1:4" x14ac:dyDescent="0.25">
      <c r="A659" s="2">
        <v>657</v>
      </c>
      <c r="B659" s="22">
        <v>-2.00009346008301E-3</v>
      </c>
      <c r="C659" s="22">
        <v>-2.21623384277336E-4</v>
      </c>
      <c r="D659" s="22">
        <v>1.7784700758056739E-3</v>
      </c>
    </row>
    <row r="660" spans="1:4" x14ac:dyDescent="0.25">
      <c r="A660" s="2">
        <v>658</v>
      </c>
      <c r="B660" s="22">
        <v>-3.3998492290265902E-4</v>
      </c>
      <c r="C660" s="22">
        <v>-9.4124596216715899E-5</v>
      </c>
      <c r="D660" s="22">
        <v>2.4586032668594309E-4</v>
      </c>
    </row>
    <row r="661" spans="1:4" x14ac:dyDescent="0.25">
      <c r="A661" s="2">
        <v>659</v>
      </c>
      <c r="B661" s="22">
        <v>5.1999092102050803E-4</v>
      </c>
      <c r="C661" s="22">
        <v>3.0852104828227298E-5</v>
      </c>
      <c r="D661" s="22">
        <v>4.8913881619228072E-4</v>
      </c>
    </row>
    <row r="662" spans="1:4" x14ac:dyDescent="0.25">
      <c r="A662" s="2">
        <v>660</v>
      </c>
      <c r="B662" s="22">
        <v>1.9001960754394499E-4</v>
      </c>
      <c r="C662" s="22">
        <v>4.1631887143012102E-5</v>
      </c>
      <c r="D662" s="22">
        <v>1.4838772040093291E-4</v>
      </c>
    </row>
    <row r="663" spans="1:4" x14ac:dyDescent="0.25">
      <c r="A663" s="2">
        <v>661</v>
      </c>
      <c r="B663" s="22">
        <v>-5.6993967154994596E-4</v>
      </c>
      <c r="C663" s="22">
        <v>2.3968681489350301E-5</v>
      </c>
      <c r="D663" s="22">
        <v>5.9390835303929634E-4</v>
      </c>
    </row>
    <row r="664" spans="1:4" x14ac:dyDescent="0.25">
      <c r="A664" s="2">
        <v>662</v>
      </c>
      <c r="B664" s="22">
        <v>-9.5999246696010199E-4</v>
      </c>
      <c r="C664" s="22">
        <v>1.8986833310918899E-5</v>
      </c>
      <c r="D664" s="22">
        <v>9.7897930027102099E-4</v>
      </c>
    </row>
    <row r="665" spans="1:4" x14ac:dyDescent="0.25">
      <c r="A665" s="2">
        <v>663</v>
      </c>
      <c r="B665" s="22">
        <v>9.8943755801883492E-6</v>
      </c>
      <c r="C665" s="22">
        <v>6.1271806771401302E-5</v>
      </c>
      <c r="D665" s="22">
        <v>5.137743119121295E-5</v>
      </c>
    </row>
    <row r="666" spans="1:4" x14ac:dyDescent="0.25">
      <c r="A666" s="2">
        <v>664</v>
      </c>
      <c r="B666" s="22">
        <v>7.9989455116447102E-5</v>
      </c>
      <c r="C666" s="22">
        <v>2.1296183695085301E-4</v>
      </c>
      <c r="D666" s="22">
        <v>1.3297238183440589E-4</v>
      </c>
    </row>
    <row r="667" spans="1:4" x14ac:dyDescent="0.25">
      <c r="A667" s="2">
        <v>665</v>
      </c>
      <c r="B667" s="22">
        <v>2.0003318786621099E-4</v>
      </c>
      <c r="C667" s="22">
        <v>3.0265242094174E-4</v>
      </c>
      <c r="D667" s="22">
        <v>1.02619233075529E-4</v>
      </c>
    </row>
    <row r="668" spans="1:4" x14ac:dyDescent="0.25">
      <c r="A668" s="2">
        <v>666</v>
      </c>
      <c r="B668" s="22">
        <v>-2.4998182198032699E-4</v>
      </c>
      <c r="C668" s="22">
        <v>1.8469974747858901E-4</v>
      </c>
      <c r="D668" s="22">
        <v>4.3468156945891602E-4</v>
      </c>
    </row>
    <row r="669" spans="1:4" x14ac:dyDescent="0.25">
      <c r="A669" s="2">
        <v>667</v>
      </c>
      <c r="B669" s="22">
        <v>1.25002861022949E-3</v>
      </c>
      <c r="C669" s="22">
        <v>-1.0504822057555401E-5</v>
      </c>
      <c r="D669" s="22">
        <v>1.2605334322870454E-3</v>
      </c>
    </row>
    <row r="670" spans="1:4" x14ac:dyDescent="0.25">
      <c r="A670" s="2">
        <v>668</v>
      </c>
      <c r="B670" s="22">
        <v>5.30004501342773E-4</v>
      </c>
      <c r="C670" s="22">
        <v>-1.06621875602286E-4</v>
      </c>
      <c r="D670" s="22">
        <v>6.3662637694505899E-4</v>
      </c>
    </row>
    <row r="671" spans="1:4" x14ac:dyDescent="0.25">
      <c r="A671" s="2">
        <v>669</v>
      </c>
      <c r="B671" s="22">
        <v>-2.1004675363656101E-4</v>
      </c>
      <c r="C671" s="22">
        <v>-1.6448536189273E-4</v>
      </c>
      <c r="D671" s="22">
        <v>4.5561391743830998E-5</v>
      </c>
    </row>
    <row r="672" spans="1:4" x14ac:dyDescent="0.25">
      <c r="A672" s="2">
        <v>670</v>
      </c>
      <c r="B672" s="22">
        <v>6.3002109527587901E-4</v>
      </c>
      <c r="C672" s="22">
        <v>-9.2833506641909494E-5</v>
      </c>
      <c r="D672" s="22">
        <v>7.2285460191778849E-4</v>
      </c>
    </row>
    <row r="673" spans="1:4" x14ac:dyDescent="0.25">
      <c r="A673" s="2">
        <v>671</v>
      </c>
      <c r="B673" s="22">
        <v>-1.39951676828787E-4</v>
      </c>
      <c r="C673" s="22">
        <v>2.8241152904229201E-5</v>
      </c>
      <c r="D673" s="22">
        <v>1.6819282973301621E-4</v>
      </c>
    </row>
    <row r="674" spans="1:4" x14ac:dyDescent="0.25">
      <c r="A674" s="2">
        <v>672</v>
      </c>
      <c r="B674" s="22">
        <v>5.4991245269775401E-4</v>
      </c>
      <c r="C674" s="22">
        <v>5.8232562878401997E-5</v>
      </c>
      <c r="D674" s="22">
        <v>4.9167988981935196E-4</v>
      </c>
    </row>
    <row r="675" spans="1:4" x14ac:dyDescent="0.25">
      <c r="A675" s="2">
        <v>673</v>
      </c>
      <c r="B675" s="22">
        <v>-6.7996978759765603E-4</v>
      </c>
      <c r="C675" s="22">
        <v>3.1841427698964301E-5</v>
      </c>
      <c r="D675" s="22">
        <v>7.1181121529662029E-4</v>
      </c>
    </row>
    <row r="676" spans="1:4" x14ac:dyDescent="0.25">
      <c r="A676" s="2">
        <v>674</v>
      </c>
      <c r="B676" s="22">
        <v>3.9005276630632601E-4</v>
      </c>
      <c r="C676" s="22">
        <v>-1.5193298168014699E-5</v>
      </c>
      <c r="D676" s="22">
        <v>4.0524606447434069E-4</v>
      </c>
    </row>
    <row r="677" spans="1:4" x14ac:dyDescent="0.25">
      <c r="A677" s="2">
        <v>675</v>
      </c>
      <c r="B677" s="22">
        <v>7.8999996185302702E-4</v>
      </c>
      <c r="C677" s="22">
        <v>2.8195450795465102E-5</v>
      </c>
      <c r="D677" s="22">
        <v>7.6180451105756187E-4</v>
      </c>
    </row>
    <row r="678" spans="1:4" x14ac:dyDescent="0.25">
      <c r="A678" s="2">
        <v>676</v>
      </c>
      <c r="B678" s="22">
        <v>6.2990188598632802E-4</v>
      </c>
      <c r="C678" s="22">
        <v>3.8552756450371803E-5</v>
      </c>
      <c r="D678" s="22">
        <v>5.913491295359562E-4</v>
      </c>
    </row>
    <row r="679" spans="1:4" x14ac:dyDescent="0.25">
      <c r="A679" s="2">
        <v>677</v>
      </c>
      <c r="B679" s="22">
        <v>-3.9935119275469299E-5</v>
      </c>
      <c r="C679" s="22">
        <v>-4.3498566810740199E-5</v>
      </c>
      <c r="D679" s="22">
        <v>3.5634475352709E-6</v>
      </c>
    </row>
    <row r="680" spans="1:4" x14ac:dyDescent="0.25">
      <c r="A680" s="2">
        <v>678</v>
      </c>
      <c r="B680" s="22">
        <v>4.58002090454102E-3</v>
      </c>
      <c r="C680" s="22">
        <v>-1.36432441649958E-4</v>
      </c>
      <c r="D680" s="22">
        <v>4.7164533461909776E-3</v>
      </c>
    </row>
    <row r="681" spans="1:4" x14ac:dyDescent="0.25">
      <c r="A681" s="2">
        <v>679</v>
      </c>
      <c r="B681" s="22">
        <v>1.0499954223632799E-3</v>
      </c>
      <c r="C681" s="22">
        <v>-2.3591994249727599E-4</v>
      </c>
      <c r="D681" s="22">
        <v>1.2859153648605559E-3</v>
      </c>
    </row>
    <row r="682" spans="1:4" x14ac:dyDescent="0.25">
      <c r="A682" s="2">
        <v>680</v>
      </c>
      <c r="B682" s="22">
        <v>-2.8899908065795898E-3</v>
      </c>
      <c r="C682" s="22">
        <v>-3.1732447678223301E-4</v>
      </c>
      <c r="D682" s="22">
        <v>2.5726663297973569E-3</v>
      </c>
    </row>
    <row r="683" spans="1:4" x14ac:dyDescent="0.25">
      <c r="A683" s="2">
        <v>681</v>
      </c>
      <c r="B683" s="22">
        <v>-1.82998192030936E-3</v>
      </c>
      <c r="C683" s="22">
        <v>-2.1210766863077901E-4</v>
      </c>
      <c r="D683" s="22">
        <v>1.617874251678581E-3</v>
      </c>
    </row>
    <row r="684" spans="1:4" x14ac:dyDescent="0.25">
      <c r="A684" s="2">
        <v>682</v>
      </c>
      <c r="B684" s="22">
        <v>1.68991088867188E-3</v>
      </c>
      <c r="C684" s="22">
        <v>3.3379834349034402E-5</v>
      </c>
      <c r="D684" s="22">
        <v>1.6565310543228456E-3</v>
      </c>
    </row>
    <row r="685" spans="1:4" x14ac:dyDescent="0.25">
      <c r="A685" s="2">
        <v>683</v>
      </c>
      <c r="B685" s="22">
        <v>1.7700196476653201E-3</v>
      </c>
      <c r="C685" s="22">
        <v>1.4590106729883701E-4</v>
      </c>
      <c r="D685" s="22">
        <v>1.6241185803664831E-3</v>
      </c>
    </row>
    <row r="686" spans="1:4" x14ac:dyDescent="0.25">
      <c r="A686" s="2">
        <v>684</v>
      </c>
      <c r="B686" s="22">
        <v>-3.7002566386945502E-4</v>
      </c>
      <c r="C686" s="22">
        <v>8.7043925304897102E-5</v>
      </c>
      <c r="D686" s="22">
        <v>4.570695891743521E-4</v>
      </c>
    </row>
    <row r="687" spans="1:4" x14ac:dyDescent="0.25">
      <c r="A687" s="2">
        <v>685</v>
      </c>
      <c r="B687" s="22">
        <v>1.9001960754394499E-4</v>
      </c>
      <c r="C687" s="22">
        <v>-1.2182602222310399E-4</v>
      </c>
      <c r="D687" s="22">
        <v>3.11845629767049E-4</v>
      </c>
    </row>
    <row r="688" spans="1:4" x14ac:dyDescent="0.25">
      <c r="A688" s="2">
        <v>686</v>
      </c>
      <c r="B688" s="22">
        <v>-5.79953193664551E-4</v>
      </c>
      <c r="C688" s="22">
        <v>-2.2815357078798099E-4</v>
      </c>
      <c r="D688" s="22">
        <v>3.5179962287657001E-4</v>
      </c>
    </row>
    <row r="689" spans="1:4" x14ac:dyDescent="0.25">
      <c r="A689" s="2">
        <v>687</v>
      </c>
      <c r="B689" s="22">
        <v>-7.3003763100132303E-4</v>
      </c>
      <c r="C689" s="22">
        <v>-1.5886923938524E-4</v>
      </c>
      <c r="D689" s="22">
        <v>5.7116839161608303E-4</v>
      </c>
    </row>
    <row r="690" spans="1:4" x14ac:dyDescent="0.25">
      <c r="A690" s="2">
        <v>688</v>
      </c>
      <c r="B690" s="22">
        <v>2.0027147911605401E-5</v>
      </c>
      <c r="C690" s="22">
        <v>-4.6958671191532597E-6</v>
      </c>
      <c r="D690" s="22">
        <v>2.4723015030758661E-5</v>
      </c>
    </row>
    <row r="691" spans="1:4" x14ac:dyDescent="0.25">
      <c r="A691" s="2">
        <v>689</v>
      </c>
      <c r="B691" s="22">
        <v>1.20043754577637E-4</v>
      </c>
      <c r="C691" s="22">
        <v>8.5633051639888395E-5</v>
      </c>
      <c r="D691" s="22">
        <v>3.4410702937748602E-5</v>
      </c>
    </row>
    <row r="692" spans="1:4" x14ac:dyDescent="0.25">
      <c r="A692" s="2">
        <v>690</v>
      </c>
      <c r="B692" s="22">
        <v>3.5989284515380897E-4</v>
      </c>
      <c r="C692" s="22">
        <v>1.12375462776981E-4</v>
      </c>
      <c r="D692" s="22">
        <v>2.47517382376828E-4</v>
      </c>
    </row>
    <row r="693" spans="1:4" x14ac:dyDescent="0.25">
      <c r="A693" s="2">
        <v>691</v>
      </c>
      <c r="B693" s="22">
        <v>1.10030196083244E-4</v>
      </c>
      <c r="C693" s="22">
        <v>-1.0805978490680001E-5</v>
      </c>
      <c r="D693" s="22">
        <v>1.2083617457392399E-4</v>
      </c>
    </row>
    <row r="694" spans="1:4" x14ac:dyDescent="0.25">
      <c r="A694" s="2">
        <v>692</v>
      </c>
      <c r="B694" s="22">
        <v>-6.4003461739048405E-4</v>
      </c>
      <c r="C694" s="22">
        <v>-1.78010537638329E-4</v>
      </c>
      <c r="D694" s="22">
        <v>4.6202407975215497E-4</v>
      </c>
    </row>
    <row r="695" spans="1:4" x14ac:dyDescent="0.25">
      <c r="A695" s="2">
        <v>693</v>
      </c>
      <c r="B695" s="22">
        <v>1.20043754577637E-4</v>
      </c>
      <c r="C695" s="22">
        <v>-2.5335262762382599E-4</v>
      </c>
      <c r="D695" s="22">
        <v>3.7339638220146298E-4</v>
      </c>
    </row>
    <row r="696" spans="1:4" x14ac:dyDescent="0.25">
      <c r="A696" s="2">
        <v>694</v>
      </c>
      <c r="B696" s="22">
        <v>-3.0040742785786299E-5</v>
      </c>
      <c r="C696" s="22">
        <v>-2.9218455892987501E-4</v>
      </c>
      <c r="D696" s="22">
        <v>2.6214381614408873E-4</v>
      </c>
    </row>
    <row r="697" spans="1:4" x14ac:dyDescent="0.25">
      <c r="A697" s="2">
        <v>695</v>
      </c>
      <c r="B697" s="22">
        <v>-9.0003006334882202E-5</v>
      </c>
      <c r="C697" s="22">
        <v>-2.3608299670741E-4</v>
      </c>
      <c r="D697" s="22">
        <v>1.460799903725278E-4</v>
      </c>
    </row>
    <row r="698" spans="1:4" x14ac:dyDescent="0.25">
      <c r="A698" s="2">
        <v>696</v>
      </c>
      <c r="B698" s="22">
        <v>-3.9935119275469299E-5</v>
      </c>
      <c r="C698" s="22">
        <v>-1.00559263955802E-4</v>
      </c>
      <c r="D698" s="22">
        <v>6.0624144680332697E-5</v>
      </c>
    </row>
    <row r="699" spans="1:4" x14ac:dyDescent="0.25">
      <c r="A699" s="2">
        <v>697</v>
      </c>
      <c r="B699" s="22">
        <v>-5.5003166198730501E-4</v>
      </c>
      <c r="C699" s="22">
        <v>5.1842289394699003E-5</v>
      </c>
      <c r="D699" s="22">
        <v>6.0187395138200405E-4</v>
      </c>
    </row>
    <row r="700" spans="1:4" x14ac:dyDescent="0.25">
      <c r="A700" s="2">
        <v>698</v>
      </c>
      <c r="B700" s="22">
        <v>1.289963722229E-3</v>
      </c>
      <c r="C700" s="22">
        <v>1.85402866918594E-4</v>
      </c>
      <c r="D700" s="22">
        <v>1.1045608553104059E-3</v>
      </c>
    </row>
    <row r="701" spans="1:4" x14ac:dyDescent="0.25">
      <c r="A701" s="2">
        <v>699</v>
      </c>
      <c r="B701" s="22">
        <v>1.15001201629639E-3</v>
      </c>
      <c r="C701" s="22">
        <v>2.66525545157492E-4</v>
      </c>
      <c r="D701" s="22">
        <v>8.8348647113889803E-4</v>
      </c>
    </row>
    <row r="702" spans="1:4" x14ac:dyDescent="0.25">
      <c r="A702" s="2">
        <v>700</v>
      </c>
      <c r="B702" s="22">
        <v>1.1700391769409199E-3</v>
      </c>
      <c r="C702" s="22">
        <v>1.7317532910965399E-4</v>
      </c>
      <c r="D702" s="22">
        <v>9.9686384783126609E-4</v>
      </c>
    </row>
    <row r="703" spans="1:4" x14ac:dyDescent="0.25">
      <c r="A703" s="2">
        <v>701</v>
      </c>
      <c r="B703" s="22">
        <v>-5.6004524230956999E-4</v>
      </c>
      <c r="C703" s="22">
        <v>2.9146283850423101E-5</v>
      </c>
      <c r="D703" s="22">
        <v>5.8919152615999305E-4</v>
      </c>
    </row>
    <row r="704" spans="1:4" x14ac:dyDescent="0.25">
      <c r="A704" s="2">
        <v>702</v>
      </c>
      <c r="B704" s="22">
        <v>1.5300512313842799E-3</v>
      </c>
      <c r="C704" s="22">
        <v>-1.4778475815546701E-5</v>
      </c>
      <c r="D704" s="22">
        <v>1.5448297071998266E-3</v>
      </c>
    </row>
    <row r="705" spans="1:4" x14ac:dyDescent="0.25">
      <c r="A705" s="2">
        <v>703</v>
      </c>
      <c r="B705" s="22">
        <v>6.7996978759765603E-4</v>
      </c>
      <c r="C705" s="22">
        <v>-2.39643941313261E-5</v>
      </c>
      <c r="D705" s="22">
        <v>7.0393418172898215E-4</v>
      </c>
    </row>
    <row r="706" spans="1:4" x14ac:dyDescent="0.25">
      <c r="A706" s="2">
        <v>704</v>
      </c>
      <c r="B706" s="22">
        <v>2.4998188018798801E-4</v>
      </c>
      <c r="C706" s="22">
        <v>-3.4694625355768901E-5</v>
      </c>
      <c r="D706" s="22">
        <v>2.846765055437569E-4</v>
      </c>
    </row>
    <row r="707" spans="1:4" x14ac:dyDescent="0.25">
      <c r="A707" s="2">
        <v>705</v>
      </c>
      <c r="B707" s="22">
        <v>-1.6299486160278301E-3</v>
      </c>
      <c r="C707" s="22">
        <v>-6.28846537438221E-5</v>
      </c>
      <c r="D707" s="22">
        <v>1.567063962284008E-3</v>
      </c>
    </row>
    <row r="708" spans="1:4" x14ac:dyDescent="0.25">
      <c r="A708" s="2">
        <v>706</v>
      </c>
      <c r="B708" s="22">
        <v>8.0001354217529297E-4</v>
      </c>
      <c r="C708" s="22">
        <v>-1.50768246385269E-4</v>
      </c>
      <c r="D708" s="22">
        <v>9.5078178856056205E-4</v>
      </c>
    </row>
    <row r="709" spans="1:4" x14ac:dyDescent="0.25">
      <c r="A709" s="2">
        <v>707</v>
      </c>
      <c r="B709" s="22">
        <v>-5.9962265368085402E-5</v>
      </c>
      <c r="C709" s="22">
        <v>-2.09996636840515E-4</v>
      </c>
      <c r="D709" s="22">
        <v>1.5003437147242959E-4</v>
      </c>
    </row>
    <row r="710" spans="1:4" x14ac:dyDescent="0.25">
      <c r="A710" s="2">
        <v>708</v>
      </c>
      <c r="B710" s="22">
        <v>-5.9008609969168901E-4</v>
      </c>
      <c r="C710" s="22">
        <v>-1.9600927771534801E-4</v>
      </c>
      <c r="D710" s="22">
        <v>3.9407682197634098E-4</v>
      </c>
    </row>
    <row r="711" spans="1:4" x14ac:dyDescent="0.25">
      <c r="A711" s="2">
        <v>709</v>
      </c>
      <c r="B711" s="22">
        <v>-3.2997128437273199E-4</v>
      </c>
      <c r="C711" s="22">
        <v>-1.1518820974743E-4</v>
      </c>
      <c r="D711" s="22">
        <v>2.14783074625302E-4</v>
      </c>
    </row>
    <row r="712" spans="1:4" x14ac:dyDescent="0.25">
      <c r="A712" s="2">
        <v>710</v>
      </c>
      <c r="B712" s="22">
        <v>-4.5001512626186002E-4</v>
      </c>
      <c r="C712" s="22">
        <v>-3.6850695323664702E-5</v>
      </c>
      <c r="D712" s="22">
        <v>4.1316443093819527E-4</v>
      </c>
    </row>
    <row r="713" spans="1:4" x14ac:dyDescent="0.25">
      <c r="A713" s="2">
        <v>711</v>
      </c>
      <c r="B713" s="22">
        <v>3.1995773315429698E-4</v>
      </c>
      <c r="C713" s="22">
        <v>7.9659439506940493E-6</v>
      </c>
      <c r="D713" s="22">
        <v>3.1199178920360293E-4</v>
      </c>
    </row>
    <row r="714" spans="1:4" x14ac:dyDescent="0.25">
      <c r="A714" s="2">
        <v>712</v>
      </c>
      <c r="B714" s="22">
        <v>-9.8943755801883492E-6</v>
      </c>
      <c r="C714" s="22">
        <v>2.1231990103842701E-5</v>
      </c>
      <c r="D714" s="22">
        <v>3.112636568403105E-5</v>
      </c>
    </row>
    <row r="715" spans="1:4" x14ac:dyDescent="0.25">
      <c r="A715" s="2">
        <v>713</v>
      </c>
      <c r="B715" s="22">
        <v>7.39932060241699E-4</v>
      </c>
      <c r="C715" s="22">
        <v>-1.7350374037050601E-5</v>
      </c>
      <c r="D715" s="22">
        <v>7.5728243427874964E-4</v>
      </c>
    </row>
    <row r="716" spans="1:4" x14ac:dyDescent="0.25">
      <c r="A716" s="2">
        <v>714</v>
      </c>
      <c r="B716" s="22">
        <v>8.4996217628940897E-4</v>
      </c>
      <c r="C716" s="22">
        <v>-3.8105525163700797E-5</v>
      </c>
      <c r="D716" s="22">
        <v>8.8806770145310977E-4</v>
      </c>
    </row>
    <row r="717" spans="1:4" x14ac:dyDescent="0.25">
      <c r="A717" s="2">
        <v>715</v>
      </c>
      <c r="B717" s="22">
        <v>2.20060348510742E-4</v>
      </c>
      <c r="C717" s="22">
        <v>-6.6574930315255196E-6</v>
      </c>
      <c r="D717" s="22">
        <v>2.2671784154226752E-4</v>
      </c>
    </row>
    <row r="718" spans="1:4" x14ac:dyDescent="0.25">
      <c r="A718" s="2">
        <v>716</v>
      </c>
      <c r="B718" s="22">
        <v>4.0054339478956502E-5</v>
      </c>
      <c r="C718" s="22">
        <v>-2.3536495064036E-5</v>
      </c>
      <c r="D718" s="22">
        <v>6.3590834542992498E-5</v>
      </c>
    </row>
    <row r="719" spans="1:4" x14ac:dyDescent="0.25">
      <c r="A719" s="2">
        <v>717</v>
      </c>
      <c r="B719" s="22">
        <v>1.6999244689941401E-4</v>
      </c>
      <c r="C719" s="22">
        <v>-1.2798958050552799E-4</v>
      </c>
      <c r="D719" s="22">
        <v>2.97982027404942E-4</v>
      </c>
    </row>
    <row r="720" spans="1:4" x14ac:dyDescent="0.25">
      <c r="A720" s="2">
        <v>718</v>
      </c>
      <c r="B720" s="22">
        <v>-3.9005276630632601E-4</v>
      </c>
      <c r="C720" s="22">
        <v>-2.0060363749507801E-4</v>
      </c>
      <c r="D720" s="22">
        <v>1.89449128811248E-4</v>
      </c>
    </row>
    <row r="721" spans="1:4" x14ac:dyDescent="0.25">
      <c r="A721" s="2">
        <v>719</v>
      </c>
      <c r="B721" s="22">
        <v>3.0004978179931603E-4</v>
      </c>
      <c r="C721" s="22">
        <v>-2.64322297880426E-4</v>
      </c>
      <c r="D721" s="22">
        <v>5.6437207967974202E-4</v>
      </c>
    </row>
    <row r="722" spans="1:4" x14ac:dyDescent="0.25">
      <c r="A722" s="2">
        <v>720</v>
      </c>
      <c r="B722" s="22">
        <v>6.7996978759765603E-4</v>
      </c>
      <c r="C722" s="22">
        <v>-2.6051426539197602E-4</v>
      </c>
      <c r="D722" s="22">
        <v>9.40484052989632E-4</v>
      </c>
    </row>
    <row r="723" spans="1:4" x14ac:dyDescent="0.25">
      <c r="A723" s="2">
        <v>721</v>
      </c>
      <c r="B723" s="22">
        <v>9.3996524810791005E-4</v>
      </c>
      <c r="C723" s="22">
        <v>-9.1344918473623707E-5</v>
      </c>
      <c r="D723" s="22">
        <v>1.0313101665815336E-3</v>
      </c>
    </row>
    <row r="724" spans="1:4" x14ac:dyDescent="0.25">
      <c r="A724" s="2">
        <v>722</v>
      </c>
      <c r="B724" s="22">
        <v>2.0003318786621099E-4</v>
      </c>
      <c r="C724" s="22">
        <v>1.8006392565439499E-5</v>
      </c>
      <c r="D724" s="22">
        <v>1.8202679530077151E-4</v>
      </c>
    </row>
    <row r="725" spans="1:4" x14ac:dyDescent="0.25">
      <c r="A725" s="2">
        <v>723</v>
      </c>
      <c r="B725" s="22">
        <v>4.0996074676513699E-4</v>
      </c>
      <c r="C725" s="22">
        <v>5.8624598750611801E-5</v>
      </c>
      <c r="D725" s="22">
        <v>3.5133614801452522E-4</v>
      </c>
    </row>
    <row r="726" spans="1:4" x14ac:dyDescent="0.25">
      <c r="A726" s="2">
        <v>724</v>
      </c>
      <c r="B726" s="22">
        <v>-6.0999393463134798E-4</v>
      </c>
      <c r="C726" s="22">
        <v>-2.6875584808294699E-5</v>
      </c>
      <c r="D726" s="22">
        <v>5.8311834982305332E-4</v>
      </c>
    </row>
    <row r="727" spans="1:4" x14ac:dyDescent="0.25">
      <c r="A727" s="2">
        <v>725</v>
      </c>
      <c r="B727" s="22">
        <v>6.2000751495361296E-4</v>
      </c>
      <c r="C727" s="22">
        <v>-2.4147065414581399E-4</v>
      </c>
      <c r="D727" s="22">
        <v>8.61478169099427E-4</v>
      </c>
    </row>
    <row r="728" spans="1:4" x14ac:dyDescent="0.25">
      <c r="A728" s="2">
        <v>726</v>
      </c>
      <c r="B728" s="22">
        <v>2.90036201477051E-4</v>
      </c>
      <c r="C728" s="22">
        <v>-3.2284858752973399E-4</v>
      </c>
      <c r="D728" s="22">
        <v>6.1288478900678499E-4</v>
      </c>
    </row>
    <row r="729" spans="1:4" x14ac:dyDescent="0.25">
      <c r="A729" s="2">
        <v>727</v>
      </c>
      <c r="B729" s="22">
        <v>3.1995773315429698E-4</v>
      </c>
      <c r="C729" s="22">
        <v>-3.8573442725464702E-4</v>
      </c>
      <c r="D729" s="22">
        <v>7.05692160408944E-4</v>
      </c>
    </row>
    <row r="730" spans="1:4" x14ac:dyDescent="0.25">
      <c r="A730" s="2">
        <v>728</v>
      </c>
      <c r="B730" s="22">
        <v>-2.9003623058088102E-4</v>
      </c>
      <c r="C730" s="22">
        <v>-3.4441190655343202E-4</v>
      </c>
      <c r="D730" s="22">
        <v>5.4375675972550999E-5</v>
      </c>
    </row>
    <row r="731" spans="1:4" x14ac:dyDescent="0.25">
      <c r="A731" s="2">
        <v>729</v>
      </c>
      <c r="B731" s="22">
        <v>-1.58989429473877E-3</v>
      </c>
      <c r="C731" s="22">
        <v>-2.22108486923389E-4</v>
      </c>
      <c r="D731" s="22">
        <v>1.367785807815381E-3</v>
      </c>
    </row>
    <row r="732" spans="1:4" x14ac:dyDescent="0.25">
      <c r="A732" s="2">
        <v>730</v>
      </c>
      <c r="B732" s="22">
        <v>9.8943755801883492E-6</v>
      </c>
      <c r="C732" s="22">
        <v>-1.2765142309945101E-4</v>
      </c>
      <c r="D732" s="22">
        <v>1.3754579867963934E-4</v>
      </c>
    </row>
    <row r="733" spans="1:4" x14ac:dyDescent="0.25">
      <c r="A733" s="2">
        <v>731</v>
      </c>
      <c r="B733" s="22">
        <v>-1.1992453073617099E-4</v>
      </c>
      <c r="C733" s="22">
        <v>-7.0059832069091499E-5</v>
      </c>
      <c r="D733" s="22">
        <v>4.9864698667079502E-5</v>
      </c>
    </row>
    <row r="734" spans="1:4" x14ac:dyDescent="0.25">
      <c r="A734" s="2">
        <v>732</v>
      </c>
      <c r="B734" s="22">
        <v>-2.9400587081909201E-3</v>
      </c>
      <c r="C734" s="22">
        <v>-1.50649066199549E-4</v>
      </c>
      <c r="D734" s="22">
        <v>2.7894096419913712E-3</v>
      </c>
    </row>
    <row r="735" spans="1:4" x14ac:dyDescent="0.25">
      <c r="A735" s="2">
        <v>733</v>
      </c>
      <c r="B735" s="22">
        <v>-1.00016601209063E-4</v>
      </c>
      <c r="C735" s="22">
        <v>-1.61046686116606E-4</v>
      </c>
      <c r="D735" s="22">
        <v>6.1030084907543002E-5</v>
      </c>
    </row>
    <row r="736" spans="1:4" x14ac:dyDescent="0.25">
      <c r="A736" s="2">
        <v>734</v>
      </c>
      <c r="B736" s="22">
        <v>-6.1988830566406304E-4</v>
      </c>
      <c r="C736" s="22">
        <v>-8.9641980594024103E-5</v>
      </c>
      <c r="D736" s="22">
        <v>5.3024632507003887E-4</v>
      </c>
    </row>
    <row r="737" spans="1:4" x14ac:dyDescent="0.25">
      <c r="A737" s="2">
        <v>735</v>
      </c>
      <c r="B737" s="22">
        <v>-1.01006031036377E-3</v>
      </c>
      <c r="C737" s="22">
        <v>-1.01418030681089E-4</v>
      </c>
      <c r="D737" s="22">
        <v>9.0864227968268096E-4</v>
      </c>
    </row>
    <row r="738" spans="1:4" x14ac:dyDescent="0.25">
      <c r="A738" s="2">
        <v>736</v>
      </c>
      <c r="B738" s="22">
        <v>2.2995470499154199E-4</v>
      </c>
      <c r="C738" s="22">
        <v>-9.5261784736067097E-5</v>
      </c>
      <c r="D738" s="22">
        <v>3.2521648972760908E-4</v>
      </c>
    </row>
    <row r="739" spans="1:4" x14ac:dyDescent="0.25">
      <c r="A739" s="2">
        <v>737</v>
      </c>
      <c r="B739" s="22">
        <v>6.0081485571572598E-5</v>
      </c>
      <c r="C739" s="22">
        <v>-9.7919139079749598E-5</v>
      </c>
      <c r="D739" s="22">
        <v>1.580006246513222E-4</v>
      </c>
    </row>
    <row r="740" spans="1:4" x14ac:dyDescent="0.25">
      <c r="A740" s="2">
        <v>738</v>
      </c>
      <c r="B740" s="22">
        <v>5.5992603302001996E-4</v>
      </c>
      <c r="C740" s="22">
        <v>-1.0383695189375401E-4</v>
      </c>
      <c r="D740" s="22">
        <v>6.6376298491377405E-4</v>
      </c>
    </row>
    <row r="741" spans="1:4" x14ac:dyDescent="0.25">
      <c r="A741" s="2">
        <v>739</v>
      </c>
      <c r="B741" s="22">
        <v>1.0013595783675599E-5</v>
      </c>
      <c r="C741" s="22">
        <v>-1.2992216215934599E-4</v>
      </c>
      <c r="D741" s="22">
        <v>1.399357579430216E-4</v>
      </c>
    </row>
    <row r="742" spans="1:4" x14ac:dyDescent="0.25">
      <c r="A742" s="2">
        <v>740</v>
      </c>
      <c r="B742" s="22">
        <v>-2.0027147911605401E-5</v>
      </c>
      <c r="C742" s="22">
        <v>-1.8364517018199E-4</v>
      </c>
      <c r="D742" s="22">
        <v>1.636180222703846E-4</v>
      </c>
    </row>
    <row r="743" spans="1:4" x14ac:dyDescent="0.25">
      <c r="A743" s="2">
        <v>741</v>
      </c>
      <c r="B743" s="22">
        <v>-2.6988980243913802E-4</v>
      </c>
      <c r="C743" s="22">
        <v>-2.2441898181568799E-4</v>
      </c>
      <c r="D743" s="22">
        <v>4.5470820623450002E-5</v>
      </c>
    </row>
    <row r="744" spans="1:4" x14ac:dyDescent="0.25">
      <c r="A744" s="2">
        <v>742</v>
      </c>
      <c r="B744" s="22">
        <v>-2.00033202418126E-4</v>
      </c>
      <c r="C744" s="22">
        <v>-2.08451543585397E-4</v>
      </c>
      <c r="D744" s="22">
        <v>8.418341167271E-6</v>
      </c>
    </row>
    <row r="745" spans="1:4" x14ac:dyDescent="0.25">
      <c r="A745" s="2">
        <v>743</v>
      </c>
      <c r="B745" s="22">
        <v>-1.1500121327117101E-3</v>
      </c>
      <c r="C745" s="22">
        <v>-1.5705084661021799E-4</v>
      </c>
      <c r="D745" s="22">
        <v>9.9296128610149199E-4</v>
      </c>
    </row>
    <row r="746" spans="1:4" x14ac:dyDescent="0.25">
      <c r="A746" s="2">
        <v>744</v>
      </c>
      <c r="B746" s="22">
        <v>1.01995468139648E-3</v>
      </c>
      <c r="C746" s="22">
        <v>-3.0066634280956401E-5</v>
      </c>
      <c r="D746" s="22">
        <v>1.0500213156774364E-3</v>
      </c>
    </row>
    <row r="747" spans="1:4" x14ac:dyDescent="0.25">
      <c r="A747" s="2">
        <v>745</v>
      </c>
      <c r="B747" s="22">
        <v>5.0008296966552702E-4</v>
      </c>
      <c r="C747" s="22">
        <v>8.7861808424349901E-5</v>
      </c>
      <c r="D747" s="22">
        <v>4.1222116124117709E-4</v>
      </c>
    </row>
    <row r="748" spans="1:4" x14ac:dyDescent="0.25">
      <c r="A748" s="2">
        <v>746</v>
      </c>
      <c r="B748" s="22">
        <v>-8.3005428314208995E-4</v>
      </c>
      <c r="C748" s="22">
        <v>-1.8342710745855601E-6</v>
      </c>
      <c r="D748" s="22">
        <v>8.2822001206750439E-4</v>
      </c>
    </row>
    <row r="749" spans="1:4" x14ac:dyDescent="0.25">
      <c r="A749" s="2">
        <v>747</v>
      </c>
      <c r="B749" s="22">
        <v>6.9975860242266194E-5</v>
      </c>
      <c r="C749" s="22">
        <v>-1.24335987493396E-4</v>
      </c>
      <c r="D749" s="22">
        <v>1.943118477356622E-4</v>
      </c>
    </row>
    <row r="750" spans="1:4" x14ac:dyDescent="0.25">
      <c r="A750" s="2">
        <v>748</v>
      </c>
      <c r="B750" s="22">
        <v>-1.59978866577148E-4</v>
      </c>
      <c r="C750" s="22">
        <v>-2.6980208349414202E-4</v>
      </c>
      <c r="D750" s="22">
        <v>1.0982321691699401E-4</v>
      </c>
    </row>
    <row r="751" spans="1:4" x14ac:dyDescent="0.25">
      <c r="A751" s="2">
        <v>749</v>
      </c>
      <c r="B751" s="22">
        <v>-9.4997877022251498E-4</v>
      </c>
      <c r="C751" s="22">
        <v>-5.08088909555227E-4</v>
      </c>
      <c r="D751" s="22">
        <v>4.4188986066728798E-4</v>
      </c>
    </row>
    <row r="752" spans="1:4" x14ac:dyDescent="0.25">
      <c r="A752" s="2">
        <v>750</v>
      </c>
      <c r="B752" s="22">
        <v>-2.8200147207826402E-3</v>
      </c>
      <c r="C752" s="22">
        <v>-5.3372106049209801E-4</v>
      </c>
      <c r="D752" s="22">
        <v>2.2862936602905419E-3</v>
      </c>
    </row>
    <row r="753" spans="1:4" x14ac:dyDescent="0.25">
      <c r="A753" s="2">
        <v>751</v>
      </c>
      <c r="B753" s="22">
        <v>-3.7599799688905499E-3</v>
      </c>
      <c r="C753" s="22">
        <v>-3.42824350809678E-4</v>
      </c>
      <c r="D753" s="22">
        <v>3.4171556180808719E-3</v>
      </c>
    </row>
    <row r="754" spans="1:4" x14ac:dyDescent="0.25">
      <c r="A754" s="2">
        <v>752</v>
      </c>
      <c r="B754" s="22">
        <v>1.39999389648438E-3</v>
      </c>
      <c r="C754" s="22">
        <v>-7.2913688200060305E-5</v>
      </c>
      <c r="D754" s="22">
        <v>1.4729075846844403E-3</v>
      </c>
    </row>
    <row r="755" spans="1:4" x14ac:dyDescent="0.25">
      <c r="A755" s="2">
        <v>753</v>
      </c>
      <c r="B755" s="22">
        <v>3.8993358612060498E-4</v>
      </c>
      <c r="C755" s="22">
        <v>1.7364010273013299E-4</v>
      </c>
      <c r="D755" s="22">
        <v>2.1629348339047199E-4</v>
      </c>
    </row>
    <row r="756" spans="1:4" x14ac:dyDescent="0.25">
      <c r="A756" s="2">
        <v>754</v>
      </c>
      <c r="B756" s="22">
        <v>5.2011013031005903E-4</v>
      </c>
      <c r="C756" s="22">
        <v>1.85839293408208E-4</v>
      </c>
      <c r="D756" s="22">
        <v>3.34270836901851E-4</v>
      </c>
    </row>
    <row r="757" spans="1:4" x14ac:dyDescent="0.25">
      <c r="A757" s="2">
        <v>755</v>
      </c>
      <c r="B757" s="22">
        <v>-8.9001655578613303E-4</v>
      </c>
      <c r="C757" s="22">
        <v>7.9350014857482206E-5</v>
      </c>
      <c r="D757" s="22">
        <v>9.6936657064361519E-4</v>
      </c>
    </row>
    <row r="758" spans="1:4" x14ac:dyDescent="0.25">
      <c r="A758" s="2">
        <v>756</v>
      </c>
      <c r="B758" s="22">
        <v>-5.9998041251674305E-4</v>
      </c>
      <c r="C758" s="22">
        <v>-1.0235023182758599E-5</v>
      </c>
      <c r="D758" s="22">
        <v>5.8974538933398435E-4</v>
      </c>
    </row>
    <row r="759" spans="1:4" x14ac:dyDescent="0.25">
      <c r="A759" s="2">
        <v>757</v>
      </c>
      <c r="B759" s="22">
        <v>-7.4005132773891102E-4</v>
      </c>
      <c r="C759" s="22">
        <v>-6.5251653722953106E-5</v>
      </c>
      <c r="D759" s="22">
        <v>6.7479967401595786E-4</v>
      </c>
    </row>
    <row r="760" spans="1:4" x14ac:dyDescent="0.25">
      <c r="A760" s="2">
        <v>758</v>
      </c>
      <c r="B760" s="22">
        <v>-6.3002097886055697E-4</v>
      </c>
      <c r="C760" s="22">
        <v>-1.05267245089635E-4</v>
      </c>
      <c r="D760" s="22">
        <v>5.2475373377092204E-4</v>
      </c>
    </row>
    <row r="761" spans="1:4" x14ac:dyDescent="0.25">
      <c r="A761" s="2">
        <v>759</v>
      </c>
      <c r="B761" s="22">
        <v>-4.99963760375977E-4</v>
      </c>
      <c r="C761" s="22">
        <v>-2.0885039702989199E-4</v>
      </c>
      <c r="D761" s="22">
        <v>2.9111336334608501E-4</v>
      </c>
    </row>
    <row r="762" spans="1:4" x14ac:dyDescent="0.25">
      <c r="A762" s="2">
        <v>760</v>
      </c>
      <c r="B762" s="22">
        <v>-3.6001202533952903E-4</v>
      </c>
      <c r="C762" s="22">
        <v>-3.4501231857575498E-4</v>
      </c>
      <c r="D762" s="22">
        <v>1.4999706763774001E-5</v>
      </c>
    </row>
    <row r="763" spans="1:4" x14ac:dyDescent="0.25">
      <c r="A763" s="2">
        <v>761</v>
      </c>
      <c r="B763" s="22">
        <v>-6.8998330971226096E-4</v>
      </c>
      <c r="C763" s="22">
        <v>-4.0045697824098202E-4</v>
      </c>
      <c r="D763" s="22">
        <v>2.8952633147127899E-4</v>
      </c>
    </row>
    <row r="764" spans="1:4" x14ac:dyDescent="0.25">
      <c r="A764" s="2">
        <v>762</v>
      </c>
      <c r="B764" s="22">
        <v>3.1995773315429698E-4</v>
      </c>
      <c r="C764" s="22">
        <v>-3.0187604716047601E-4</v>
      </c>
      <c r="D764" s="22">
        <v>6.21833780314773E-4</v>
      </c>
    </row>
    <row r="765" spans="1:4" x14ac:dyDescent="0.25">
      <c r="A765" s="2">
        <v>763</v>
      </c>
      <c r="B765" s="22">
        <v>-3.89933644328266E-4</v>
      </c>
      <c r="C765" s="22">
        <v>-2.4067529011517801E-4</v>
      </c>
      <c r="D765" s="22">
        <v>1.4925835421308799E-4</v>
      </c>
    </row>
    <row r="766" spans="1:4" x14ac:dyDescent="0.25">
      <c r="A766" s="2">
        <v>764</v>
      </c>
      <c r="B766" s="22">
        <v>-4.0054339478956502E-5</v>
      </c>
      <c r="C766" s="22">
        <v>-1.15022980025969E-4</v>
      </c>
      <c r="D766" s="22">
        <v>7.4968640547012504E-5</v>
      </c>
    </row>
    <row r="767" spans="1:4" x14ac:dyDescent="0.25">
      <c r="A767" s="2">
        <v>765</v>
      </c>
      <c r="B767" s="22">
        <v>3.9005276630632601E-4</v>
      </c>
      <c r="C767" s="22">
        <v>9.8426768090575906E-5</v>
      </c>
      <c r="D767" s="22">
        <v>2.9162599821575008E-4</v>
      </c>
    </row>
    <row r="768" spans="1:4" x14ac:dyDescent="0.25">
      <c r="A768" s="2">
        <v>766</v>
      </c>
      <c r="B768" s="22">
        <v>-6.0081485571572598E-5</v>
      </c>
      <c r="C768" s="22">
        <v>2.25736876018345E-4</v>
      </c>
      <c r="D768" s="22">
        <v>2.8581836158991759E-4</v>
      </c>
    </row>
    <row r="769" spans="1:4" x14ac:dyDescent="0.25">
      <c r="A769" s="2">
        <v>767</v>
      </c>
      <c r="B769" s="22">
        <v>9.3007093528285601E-4</v>
      </c>
      <c r="C769" s="22">
        <v>2.7064213645644502E-4</v>
      </c>
      <c r="D769" s="22">
        <v>6.5942879882641104E-4</v>
      </c>
    </row>
    <row r="770" spans="1:4" x14ac:dyDescent="0.25">
      <c r="A770" s="2">
        <v>768</v>
      </c>
      <c r="B770" s="22">
        <v>2.19941139221191E-4</v>
      </c>
      <c r="C770" s="22">
        <v>2.15089457924478E-4</v>
      </c>
      <c r="D770" s="22">
        <v>4.8516812967129997E-6</v>
      </c>
    </row>
    <row r="771" spans="1:4" x14ac:dyDescent="0.25">
      <c r="A771" s="2">
        <v>769</v>
      </c>
      <c r="B771" s="22">
        <v>8.6998945334926204E-4</v>
      </c>
      <c r="C771" s="22">
        <v>1.4894547348376401E-5</v>
      </c>
      <c r="D771" s="22">
        <v>8.5509490600088557E-4</v>
      </c>
    </row>
    <row r="772" spans="1:4" x14ac:dyDescent="0.25">
      <c r="A772" s="2">
        <v>770</v>
      </c>
      <c r="B772" s="22">
        <v>-1.4996527170296799E-4</v>
      </c>
      <c r="C772" s="22">
        <v>-2.05042961169966E-4</v>
      </c>
      <c r="D772" s="22">
        <v>5.5077689466998001E-5</v>
      </c>
    </row>
    <row r="773" spans="1:4" x14ac:dyDescent="0.25">
      <c r="A773" s="2">
        <v>771</v>
      </c>
      <c r="B773" s="22">
        <v>-1.4300346374511699E-3</v>
      </c>
      <c r="C773" s="22">
        <v>-3.6916392855346197E-4</v>
      </c>
      <c r="D773" s="22">
        <v>1.0608707088977079E-3</v>
      </c>
    </row>
    <row r="774" spans="1:4" x14ac:dyDescent="0.25">
      <c r="A774" s="2">
        <v>772</v>
      </c>
      <c r="B774" s="22">
        <v>-2.79998779296875E-3</v>
      </c>
      <c r="C774" s="22">
        <v>-4.1567065636627398E-4</v>
      </c>
      <c r="D774" s="22">
        <v>2.3843171366024758E-3</v>
      </c>
    </row>
    <row r="775" spans="1:4" x14ac:dyDescent="0.25">
      <c r="A775" s="2">
        <v>773</v>
      </c>
      <c r="B775" s="22">
        <v>-1.51002407073975E-3</v>
      </c>
      <c r="C775" s="22">
        <v>-2.8583718813024499E-4</v>
      </c>
      <c r="D775" s="22">
        <v>1.224186882609505E-3</v>
      </c>
    </row>
    <row r="776" spans="1:4" x14ac:dyDescent="0.25">
      <c r="A776" s="2">
        <v>774</v>
      </c>
      <c r="B776" s="22">
        <v>-5.4991256911307595E-4</v>
      </c>
      <c r="C776" s="22">
        <v>-1.14022201159969E-4</v>
      </c>
      <c r="D776" s="22">
        <v>4.3589036795310698E-4</v>
      </c>
    </row>
    <row r="777" spans="1:4" x14ac:dyDescent="0.25">
      <c r="A777" s="2">
        <v>775</v>
      </c>
      <c r="B777" s="22">
        <v>1.8399953842163099E-3</v>
      </c>
      <c r="C777" s="22">
        <v>9.9959706858498993E-6</v>
      </c>
      <c r="D777" s="22">
        <v>1.82999941353046E-3</v>
      </c>
    </row>
    <row r="778" spans="1:4" x14ac:dyDescent="0.25">
      <c r="A778" s="2">
        <v>776</v>
      </c>
      <c r="B778" s="22">
        <v>1.1999607086181599E-3</v>
      </c>
      <c r="C778" s="22">
        <v>6.9724301283713403E-5</v>
      </c>
      <c r="D778" s="22">
        <v>1.1302364073344465E-3</v>
      </c>
    </row>
    <row r="779" spans="1:4" x14ac:dyDescent="0.25">
      <c r="A779" s="2">
        <v>777</v>
      </c>
      <c r="B779" s="22">
        <v>-3.1499860342592001E-3</v>
      </c>
      <c r="C779" s="22">
        <v>1.01220357464626E-4</v>
      </c>
      <c r="D779" s="22">
        <v>3.2512063917238261E-3</v>
      </c>
    </row>
    <row r="780" spans="1:4" x14ac:dyDescent="0.25">
      <c r="A780" s="2">
        <v>778</v>
      </c>
      <c r="B780" s="22">
        <v>2.7699472848325998E-3</v>
      </c>
      <c r="C780" s="22">
        <v>1.65944817126729E-4</v>
      </c>
      <c r="D780" s="22">
        <v>2.6040024677058708E-3</v>
      </c>
    </row>
    <row r="781" spans="1:4" x14ac:dyDescent="0.25">
      <c r="A781" s="2">
        <v>779</v>
      </c>
      <c r="B781" s="22">
        <v>1.4007090067025301E-4</v>
      </c>
      <c r="C781" s="22">
        <v>1.6311004583258201E-4</v>
      </c>
      <c r="D781" s="22">
        <v>2.3039145162329E-5</v>
      </c>
    </row>
    <row r="782" spans="1:4" x14ac:dyDescent="0.25">
      <c r="A782" s="2">
        <v>780</v>
      </c>
      <c r="B782" s="22">
        <v>2.19941139221191E-4</v>
      </c>
      <c r="C782" s="22">
        <v>6.7592067352961695E-5</v>
      </c>
      <c r="D782" s="22">
        <v>1.5234907186822931E-4</v>
      </c>
    </row>
    <row r="783" spans="1:4" x14ac:dyDescent="0.25">
      <c r="A783" s="2">
        <v>781</v>
      </c>
      <c r="B783" s="22">
        <v>-1.54995918273926E-3</v>
      </c>
      <c r="C783" s="22">
        <v>-6.6775319282896803E-5</v>
      </c>
      <c r="D783" s="22">
        <v>1.4831838634563632E-3</v>
      </c>
    </row>
    <row r="784" spans="1:4" x14ac:dyDescent="0.25">
      <c r="A784" s="2">
        <v>782</v>
      </c>
      <c r="B784" s="22">
        <v>5.0997734069824197E-4</v>
      </c>
      <c r="C784" s="22">
        <v>-1.5054253162816199E-4</v>
      </c>
      <c r="D784" s="22">
        <v>6.6051987232640396E-4</v>
      </c>
    </row>
    <row r="785" spans="1:4" x14ac:dyDescent="0.25">
      <c r="A785" s="2">
        <v>783</v>
      </c>
      <c r="B785" s="22">
        <v>3.0004978179931603E-4</v>
      </c>
      <c r="C785" s="22">
        <v>-8.2863036368507905E-5</v>
      </c>
      <c r="D785" s="22">
        <v>3.8291281816782392E-4</v>
      </c>
    </row>
    <row r="786" spans="1:4" x14ac:dyDescent="0.25">
      <c r="A786" s="2">
        <v>784</v>
      </c>
      <c r="B786" s="22">
        <v>4.7993659973144499E-4</v>
      </c>
      <c r="C786" s="22">
        <v>4.3097784327983399E-6</v>
      </c>
      <c r="D786" s="22">
        <v>4.7562682129864665E-4</v>
      </c>
    </row>
    <row r="787" spans="1:4" x14ac:dyDescent="0.25">
      <c r="A787" s="2">
        <v>785</v>
      </c>
      <c r="B787" s="22">
        <v>3.0004978179931603E-4</v>
      </c>
      <c r="C787" s="22">
        <v>-1.0764605576696299E-5</v>
      </c>
      <c r="D787" s="22">
        <v>3.1081438737601231E-4</v>
      </c>
    </row>
    <row r="788" spans="1:4" x14ac:dyDescent="0.25">
      <c r="A788" s="2">
        <v>786</v>
      </c>
      <c r="B788" s="22">
        <v>-5.1999092102050803E-4</v>
      </c>
      <c r="C788" s="22">
        <v>-4.5701694034505602E-5</v>
      </c>
      <c r="D788" s="22">
        <v>4.7428922698600239E-4</v>
      </c>
    </row>
    <row r="789" spans="1:4" x14ac:dyDescent="0.25">
      <c r="A789" s="2">
        <v>787</v>
      </c>
      <c r="B789" s="22">
        <v>3.4999847412109402E-4</v>
      </c>
      <c r="C789" s="22">
        <v>-1.0871369886444901E-4</v>
      </c>
      <c r="D789" s="22">
        <v>4.58712172985543E-4</v>
      </c>
    </row>
    <row r="790" spans="1:4" x14ac:dyDescent="0.25">
      <c r="A790" s="2">
        <v>788</v>
      </c>
      <c r="B790" s="22">
        <v>1.89995754044503E-3</v>
      </c>
      <c r="C790" s="22">
        <v>-1.4892547915223999E-4</v>
      </c>
      <c r="D790" s="22">
        <v>2.04888301959727E-3</v>
      </c>
    </row>
    <row r="791" spans="1:4" x14ac:dyDescent="0.25">
      <c r="A791" s="2">
        <v>789</v>
      </c>
      <c r="B791" s="22">
        <v>-4.29987849202007E-4</v>
      </c>
      <c r="C791" s="22">
        <v>-2.06110955332406E-4</v>
      </c>
      <c r="D791" s="22">
        <v>2.23876893869601E-4</v>
      </c>
    </row>
    <row r="792" spans="1:4" x14ac:dyDescent="0.25">
      <c r="A792" s="2">
        <v>790</v>
      </c>
      <c r="B792" s="22">
        <v>-5.0997728249058095E-4</v>
      </c>
      <c r="C792" s="22">
        <v>-2.27275202632882E-4</v>
      </c>
      <c r="D792" s="22">
        <v>2.8270207985769898E-4</v>
      </c>
    </row>
    <row r="793" spans="1:4" x14ac:dyDescent="0.25">
      <c r="A793" s="2">
        <v>791</v>
      </c>
      <c r="B793" s="22">
        <v>7.1001052856445302E-4</v>
      </c>
      <c r="C793" s="22">
        <v>-1.98128298507072E-4</v>
      </c>
      <c r="D793" s="22">
        <v>9.0813882707152505E-4</v>
      </c>
    </row>
    <row r="794" spans="1:4" x14ac:dyDescent="0.25">
      <c r="A794" s="2">
        <v>792</v>
      </c>
      <c r="B794" s="22">
        <v>-2.40087509155273E-4</v>
      </c>
      <c r="C794" s="22">
        <v>-1.5219880151562401E-4</v>
      </c>
      <c r="D794" s="22">
        <v>8.7888707639648995E-5</v>
      </c>
    </row>
    <row r="795" spans="1:4" x14ac:dyDescent="0.25">
      <c r="A795" s="2">
        <v>793</v>
      </c>
      <c r="B795" s="22">
        <v>-1.9991399312857501E-4</v>
      </c>
      <c r="C795" s="22">
        <v>-1.0332765668863399E-4</v>
      </c>
      <c r="D795" s="22">
        <v>9.6586336439940997E-5</v>
      </c>
    </row>
    <row r="796" spans="1:4" x14ac:dyDescent="0.25">
      <c r="A796" s="2">
        <v>794</v>
      </c>
      <c r="B796" s="22">
        <v>-5.7005882263183605E-4</v>
      </c>
      <c r="C796" s="22">
        <v>-1.5099457232281601E-4</v>
      </c>
      <c r="D796" s="22">
        <v>4.1906425030902001E-4</v>
      </c>
    </row>
    <row r="797" spans="1:4" x14ac:dyDescent="0.25">
      <c r="A797" s="2">
        <v>795</v>
      </c>
      <c r="B797" s="22">
        <v>-2.0027147911605401E-5</v>
      </c>
      <c r="C797" s="22">
        <v>-2.32546793995425E-4</v>
      </c>
      <c r="D797" s="22">
        <v>2.125196460838196E-4</v>
      </c>
    </row>
    <row r="798" spans="1:4" x14ac:dyDescent="0.25">
      <c r="A798" s="2">
        <v>796</v>
      </c>
      <c r="B798" s="22">
        <v>-1.44994258880615E-3</v>
      </c>
      <c r="C798" s="22">
        <v>-2.6633357629179998E-4</v>
      </c>
      <c r="D798" s="22">
        <v>1.18360901251435E-3</v>
      </c>
    </row>
    <row r="799" spans="1:4" x14ac:dyDescent="0.25">
      <c r="A799" s="2">
        <v>797</v>
      </c>
      <c r="B799" s="22">
        <v>-1.3400313910096899E-3</v>
      </c>
      <c r="C799" s="22">
        <v>-1.82315459824167E-4</v>
      </c>
      <c r="D799" s="22">
        <v>1.1577159311855229E-3</v>
      </c>
    </row>
    <row r="800" spans="1:4" x14ac:dyDescent="0.25">
      <c r="A800" s="2">
        <v>798</v>
      </c>
      <c r="B800" s="22">
        <v>1.48999679367989E-3</v>
      </c>
      <c r="C800" s="22">
        <v>-3.1338873668573797E-5</v>
      </c>
      <c r="D800" s="22">
        <v>1.5213356673484638E-3</v>
      </c>
    </row>
    <row r="801" spans="1:4" x14ac:dyDescent="0.25">
      <c r="A801" s="2">
        <v>799</v>
      </c>
      <c r="B801" s="22">
        <v>-7.9989455116447102E-5</v>
      </c>
      <c r="C801" s="22">
        <v>8.6028849182184799E-5</v>
      </c>
      <c r="D801" s="22">
        <v>1.660183042986319E-4</v>
      </c>
    </row>
    <row r="802" spans="1:4" x14ac:dyDescent="0.25">
      <c r="A802" s="2">
        <v>800</v>
      </c>
      <c r="B802" s="22">
        <v>-7.4994558235630404E-4</v>
      </c>
      <c r="C802" s="22">
        <v>1.7293076962232601E-4</v>
      </c>
      <c r="D802" s="22">
        <v>9.2287635197863004E-4</v>
      </c>
    </row>
    <row r="803" spans="1:4" x14ac:dyDescent="0.25">
      <c r="A803" s="2">
        <v>801</v>
      </c>
      <c r="B803" s="22">
        <v>-4.29987849202007E-4</v>
      </c>
      <c r="C803" s="22">
        <v>1.6307141049765099E-4</v>
      </c>
      <c r="D803" s="22">
        <v>5.9305925969965799E-4</v>
      </c>
    </row>
    <row r="804" spans="1:4" x14ac:dyDescent="0.25">
      <c r="A804" s="2">
        <v>802</v>
      </c>
      <c r="B804" s="22">
        <v>9.5999235054477995E-4</v>
      </c>
      <c r="C804" s="22">
        <v>1.20478427561466E-4</v>
      </c>
      <c r="D804" s="22">
        <v>8.3951392298331397E-4</v>
      </c>
    </row>
    <row r="805" spans="1:4" x14ac:dyDescent="0.25">
      <c r="A805" s="2">
        <v>803</v>
      </c>
      <c r="B805" s="22">
        <v>-3.20076971547678E-4</v>
      </c>
      <c r="C805" s="22">
        <v>-1.81504528882215E-5</v>
      </c>
      <c r="D805" s="22">
        <v>3.0192651865945652E-4</v>
      </c>
    </row>
    <row r="806" spans="1:4" x14ac:dyDescent="0.25">
      <c r="A806" s="2">
        <v>804</v>
      </c>
      <c r="B806" s="22">
        <v>-2.8002256294712403E-4</v>
      </c>
      <c r="C806" s="22">
        <v>-1.9277808314655001E-4</v>
      </c>
      <c r="D806" s="22">
        <v>8.7244479800573994E-5</v>
      </c>
    </row>
    <row r="807" spans="1:4" x14ac:dyDescent="0.25">
      <c r="A807" s="2">
        <v>805</v>
      </c>
      <c r="B807" s="22">
        <v>-3.2997128437273199E-4</v>
      </c>
      <c r="C807" s="22">
        <v>-3.1298276735469699E-4</v>
      </c>
      <c r="D807" s="22">
        <v>1.6988517018035E-5</v>
      </c>
    </row>
    <row r="808" spans="1:4" x14ac:dyDescent="0.25">
      <c r="A808" s="2">
        <v>806</v>
      </c>
      <c r="B808" s="22">
        <v>-2.3996828531380699E-4</v>
      </c>
      <c r="C808" s="22">
        <v>-3.0109431827440901E-4</v>
      </c>
      <c r="D808" s="22">
        <v>6.1126032960602005E-5</v>
      </c>
    </row>
    <row r="809" spans="1:4" x14ac:dyDescent="0.25">
      <c r="A809" s="2">
        <v>807</v>
      </c>
      <c r="B809" s="22">
        <v>1.10030196083244E-4</v>
      </c>
      <c r="C809" s="22">
        <v>-1.7470070451963701E-4</v>
      </c>
      <c r="D809" s="22">
        <v>2.8473090060288097E-4</v>
      </c>
    </row>
    <row r="810" spans="1:4" x14ac:dyDescent="0.25">
      <c r="A810" s="2">
        <v>808</v>
      </c>
      <c r="B810" s="22">
        <v>-9.0003006334882202E-5</v>
      </c>
      <c r="C810" s="22">
        <v>-8.0381447332911193E-5</v>
      </c>
      <c r="D810" s="22">
        <v>9.6215590019710006E-6</v>
      </c>
    </row>
    <row r="811" spans="1:4" x14ac:dyDescent="0.25">
      <c r="A811" s="2">
        <v>809</v>
      </c>
      <c r="B811" s="22">
        <v>0</v>
      </c>
      <c r="C811" s="22">
        <v>-9.2993665020912899E-5</v>
      </c>
      <c r="D811" s="22">
        <v>9.2993665020912899E-5</v>
      </c>
    </row>
    <row r="812" spans="1:4" x14ac:dyDescent="0.25">
      <c r="A812" s="2">
        <v>810</v>
      </c>
      <c r="B812" s="22">
        <v>1.03998184204102E-3</v>
      </c>
      <c r="C812" s="22">
        <v>-9.6113952167797807E-5</v>
      </c>
      <c r="D812" s="22">
        <v>1.1360957942088178E-3</v>
      </c>
    </row>
    <row r="813" spans="1:4" x14ac:dyDescent="0.25">
      <c r="A813" s="2">
        <v>811</v>
      </c>
      <c r="B813" s="22">
        <v>-3.0040742785786299E-5</v>
      </c>
      <c r="C813" s="22">
        <v>-9.1791313025169102E-5</v>
      </c>
      <c r="D813" s="22">
        <v>6.1750570239382796E-5</v>
      </c>
    </row>
    <row r="814" spans="1:4" x14ac:dyDescent="0.25">
      <c r="A814" s="2">
        <v>812</v>
      </c>
      <c r="B814" s="22">
        <v>5.0067890697391697E-5</v>
      </c>
      <c r="C814" s="22">
        <v>-2.3833716113585999E-5</v>
      </c>
      <c r="D814" s="22">
        <v>7.3901606810977696E-5</v>
      </c>
    </row>
    <row r="815" spans="1:4" x14ac:dyDescent="0.25">
      <c r="A815" s="2">
        <v>813</v>
      </c>
      <c r="B815" s="22">
        <v>-2.1004675363656101E-4</v>
      </c>
      <c r="C815" s="22">
        <v>9.6147276053670794E-5</v>
      </c>
      <c r="D815" s="22">
        <v>3.061940296902318E-4</v>
      </c>
    </row>
    <row r="816" spans="1:4" x14ac:dyDescent="0.25">
      <c r="A816" s="2">
        <v>814</v>
      </c>
      <c r="B816" s="22">
        <v>4.9948670493904501E-5</v>
      </c>
      <c r="C816" s="22">
        <v>1.3725977623835201E-4</v>
      </c>
      <c r="D816" s="22">
        <v>8.7311105744447505E-5</v>
      </c>
    </row>
    <row r="817" spans="1:4" x14ac:dyDescent="0.25">
      <c r="A817" s="2">
        <v>815</v>
      </c>
      <c r="B817" s="22">
        <v>7.6007843017578103E-4</v>
      </c>
      <c r="C817" s="22">
        <v>8.4118568338453797E-5</v>
      </c>
      <c r="D817" s="22">
        <v>6.7595986183732716E-4</v>
      </c>
    </row>
    <row r="818" spans="1:4" x14ac:dyDescent="0.25">
      <c r="A818" s="2">
        <v>816</v>
      </c>
      <c r="B818" s="22">
        <v>2.5999546051025401E-4</v>
      </c>
      <c r="C818" s="22">
        <v>-5.2618841436924399E-5</v>
      </c>
      <c r="D818" s="22">
        <v>3.1261430194717837E-4</v>
      </c>
    </row>
    <row r="819" spans="1:4" x14ac:dyDescent="0.25">
      <c r="A819" s="2">
        <v>817</v>
      </c>
      <c r="B819" s="22">
        <v>5.79953193664551E-4</v>
      </c>
      <c r="C819" s="22">
        <v>-2.4876810493878999E-4</v>
      </c>
      <c r="D819" s="22">
        <v>8.2872129860334098E-4</v>
      </c>
    </row>
    <row r="820" spans="1:4" x14ac:dyDescent="0.25">
      <c r="A820" s="2">
        <v>818</v>
      </c>
      <c r="B820" s="22">
        <v>-7.7998643973842296E-4</v>
      </c>
      <c r="C820" s="22">
        <v>-3.9667796227149698E-4</v>
      </c>
      <c r="D820" s="22">
        <v>3.8330847746692598E-4</v>
      </c>
    </row>
    <row r="821" spans="1:4" x14ac:dyDescent="0.25">
      <c r="A821" s="2">
        <v>819</v>
      </c>
      <c r="B821" s="22">
        <v>-4.6002859016880398E-4</v>
      </c>
      <c r="C821" s="22">
        <v>-4.6638128696940801E-4</v>
      </c>
      <c r="D821" s="22">
        <v>6.3526968006040001E-6</v>
      </c>
    </row>
    <row r="822" spans="1:4" x14ac:dyDescent="0.25">
      <c r="A822" s="2">
        <v>820</v>
      </c>
      <c r="B822" s="22">
        <v>-2.2000074386596701E-3</v>
      </c>
      <c r="C822" s="22">
        <v>-4.36853995779529E-4</v>
      </c>
      <c r="D822" s="22">
        <v>1.7631534428801409E-3</v>
      </c>
    </row>
    <row r="823" spans="1:4" x14ac:dyDescent="0.25">
      <c r="A823" s="2">
        <v>821</v>
      </c>
      <c r="B823" s="22">
        <v>8.0108635302167399E-5</v>
      </c>
      <c r="C823" s="22">
        <v>-3.2462464878335601E-4</v>
      </c>
      <c r="D823" s="22">
        <v>4.0473328408552339E-4</v>
      </c>
    </row>
    <row r="824" spans="1:4" x14ac:dyDescent="0.25">
      <c r="A824" s="2">
        <v>822</v>
      </c>
      <c r="B824" s="22">
        <v>-3.4010407398454802E-4</v>
      </c>
      <c r="C824" s="22">
        <v>-1.85151337063871E-4</v>
      </c>
      <c r="D824" s="22">
        <v>1.5495273692067699E-4</v>
      </c>
    </row>
    <row r="825" spans="1:4" x14ac:dyDescent="0.25">
      <c r="A825" s="2">
        <v>823</v>
      </c>
      <c r="B825" s="22">
        <v>-1.2199878692627001E-3</v>
      </c>
      <c r="C825" s="22">
        <v>-6.9978093961253803E-5</v>
      </c>
      <c r="D825" s="22">
        <v>1.1500097753014461E-3</v>
      </c>
    </row>
    <row r="826" spans="1:4" x14ac:dyDescent="0.25">
      <c r="A826" s="2">
        <v>824</v>
      </c>
      <c r="B826" s="22">
        <v>3.6001202533952903E-4</v>
      </c>
      <c r="C826" s="22">
        <v>8.7888001871760894E-5</v>
      </c>
      <c r="D826" s="22">
        <v>2.7212402346776809E-4</v>
      </c>
    </row>
    <row r="827" spans="1:4" x14ac:dyDescent="0.25">
      <c r="A827" s="2">
        <v>825</v>
      </c>
      <c r="B827" s="22">
        <v>2.0027147911605401E-5</v>
      </c>
      <c r="C827" s="22">
        <v>1.74462591530755E-4</v>
      </c>
      <c r="D827" s="22">
        <v>1.544354436191496E-4</v>
      </c>
    </row>
    <row r="828" spans="1:4" x14ac:dyDescent="0.25">
      <c r="A828" s="2">
        <v>826</v>
      </c>
      <c r="B828" s="22">
        <v>1.16002559661865E-3</v>
      </c>
      <c r="C828" s="22">
        <v>1.70946615980938E-4</v>
      </c>
      <c r="D828" s="22">
        <v>9.890789806377121E-4</v>
      </c>
    </row>
    <row r="829" spans="1:4" x14ac:dyDescent="0.25">
      <c r="A829" s="2">
        <v>827</v>
      </c>
      <c r="B829" s="22">
        <v>-3.2997128437273199E-4</v>
      </c>
      <c r="C829" s="22">
        <v>2.7612468329607499E-5</v>
      </c>
      <c r="D829" s="22">
        <v>3.575837527023395E-4</v>
      </c>
    </row>
    <row r="830" spans="1:4" x14ac:dyDescent="0.25">
      <c r="A830" s="2">
        <v>828</v>
      </c>
      <c r="B830" s="22">
        <v>-6.4003461739048405E-4</v>
      </c>
      <c r="C830" s="22">
        <v>-1.6058761684689701E-4</v>
      </c>
      <c r="D830" s="22">
        <v>4.7944700054358702E-4</v>
      </c>
    </row>
    <row r="831" spans="1:4" x14ac:dyDescent="0.25">
      <c r="A831" s="2">
        <v>829</v>
      </c>
      <c r="B831" s="22">
        <v>-3.2997128437273199E-4</v>
      </c>
      <c r="C831" s="22">
        <v>-1.93317071534693E-4</v>
      </c>
      <c r="D831" s="22">
        <v>1.3665421283803899E-4</v>
      </c>
    </row>
    <row r="832" spans="1:4" x14ac:dyDescent="0.25">
      <c r="A832" s="2">
        <v>830</v>
      </c>
      <c r="B832" s="22">
        <v>-4.1007995605468799E-4</v>
      </c>
      <c r="C832" s="22">
        <v>-1.8845505837816699E-4</v>
      </c>
      <c r="D832" s="22">
        <v>2.21624897676521E-4</v>
      </c>
    </row>
    <row r="833" spans="1:4" x14ac:dyDescent="0.25">
      <c r="A833" s="2">
        <v>831</v>
      </c>
      <c r="B833" s="22">
        <v>3.6001202533952903E-4</v>
      </c>
      <c r="C833" s="22">
        <v>-1.3784384645987299E-4</v>
      </c>
      <c r="D833" s="22">
        <v>4.9785587179940205E-4</v>
      </c>
    </row>
    <row r="834" spans="1:4" x14ac:dyDescent="0.25">
      <c r="A834" s="2">
        <v>832</v>
      </c>
      <c r="B834" s="22">
        <v>-3.9994710823521002E-4</v>
      </c>
      <c r="C834" s="22">
        <v>-4.4380605686455999E-5</v>
      </c>
      <c r="D834" s="22">
        <v>3.55566502548754E-4</v>
      </c>
    </row>
    <row r="835" spans="1:4" x14ac:dyDescent="0.25">
      <c r="A835" s="2">
        <v>833</v>
      </c>
      <c r="B835" s="22">
        <v>-2.5999546051025401E-4</v>
      </c>
      <c r="C835" s="22">
        <v>-1.28625088109402E-5</v>
      </c>
      <c r="D835" s="22">
        <v>2.4713295169931382E-4</v>
      </c>
    </row>
    <row r="836" spans="1:4" x14ac:dyDescent="0.25">
      <c r="A836" s="2">
        <v>834</v>
      </c>
      <c r="B836" s="22">
        <v>-7.9989455116447102E-5</v>
      </c>
      <c r="C836" s="22">
        <v>-2.4478975319652801E-5</v>
      </c>
      <c r="D836" s="22">
        <v>5.5510479796794297E-5</v>
      </c>
    </row>
    <row r="837" spans="1:4" x14ac:dyDescent="0.25">
      <c r="A837" s="2">
        <v>835</v>
      </c>
      <c r="B837" s="22">
        <v>-8.8000297546386697E-4</v>
      </c>
      <c r="C837" s="22">
        <v>-2.3956041331985E-5</v>
      </c>
      <c r="D837" s="22">
        <v>8.5604693413188205E-4</v>
      </c>
    </row>
    <row r="838" spans="1:4" x14ac:dyDescent="0.25">
      <c r="A838" s="2">
        <v>836</v>
      </c>
      <c r="B838" s="22">
        <v>9.8943755801883492E-6</v>
      </c>
      <c r="C838" s="22">
        <v>-5.1430965868348696E-6</v>
      </c>
      <c r="D838" s="22">
        <v>1.503747216702322E-5</v>
      </c>
    </row>
    <row r="839" spans="1:4" x14ac:dyDescent="0.25">
      <c r="A839" s="2">
        <v>837</v>
      </c>
      <c r="B839" s="22">
        <v>-3.9994710823521002E-4</v>
      </c>
      <c r="C839" s="22">
        <v>-5.5017811973812099E-5</v>
      </c>
      <c r="D839" s="22">
        <v>3.449292962613979E-4</v>
      </c>
    </row>
    <row r="840" spans="1:4" x14ac:dyDescent="0.25">
      <c r="A840" s="2">
        <v>838</v>
      </c>
      <c r="B840" s="22">
        <v>-1.29938125610352E-4</v>
      </c>
      <c r="C840" s="22">
        <v>-3.5241395380580798E-5</v>
      </c>
      <c r="D840" s="22">
        <v>9.4696730229771198E-5</v>
      </c>
    </row>
    <row r="841" spans="1:4" x14ac:dyDescent="0.25">
      <c r="A841" s="2">
        <v>839</v>
      </c>
      <c r="B841" s="22">
        <v>-9.0003006334882202E-5</v>
      </c>
      <c r="C841" s="22">
        <v>-1.9215696738683602E-5</v>
      </c>
      <c r="D841" s="22">
        <v>7.0787309596198597E-5</v>
      </c>
    </row>
    <row r="842" spans="1:4" x14ac:dyDescent="0.25">
      <c r="A842" s="2">
        <v>840</v>
      </c>
      <c r="B842" s="22">
        <v>-2.5010114768519998E-4</v>
      </c>
      <c r="C842" s="22">
        <v>-3.9572078094352003E-5</v>
      </c>
      <c r="D842" s="22">
        <v>2.1052906959084799E-4</v>
      </c>
    </row>
    <row r="843" spans="1:4" x14ac:dyDescent="0.25">
      <c r="A843" s="2">
        <v>841</v>
      </c>
      <c r="B843" s="22">
        <v>-1.7199516296386699E-3</v>
      </c>
      <c r="C843" s="22">
        <v>1.4814512724115E-5</v>
      </c>
      <c r="D843" s="22">
        <v>1.734766142362785E-3</v>
      </c>
    </row>
    <row r="844" spans="1:4" x14ac:dyDescent="0.25">
      <c r="A844" s="2">
        <v>842</v>
      </c>
      <c r="B844" s="22">
        <v>1.1899471282959E-3</v>
      </c>
      <c r="C844" s="22">
        <v>9.7077419923152802E-5</v>
      </c>
      <c r="D844" s="22">
        <v>1.0928697083727472E-3</v>
      </c>
    </row>
    <row r="845" spans="1:4" x14ac:dyDescent="0.25">
      <c r="A845" s="2">
        <v>843</v>
      </c>
      <c r="B845" s="22">
        <v>2.30073928833008E-4</v>
      </c>
      <c r="C845" s="22">
        <v>1.5241077926475601E-4</v>
      </c>
      <c r="D845" s="22">
        <v>7.7663149568251994E-5</v>
      </c>
    </row>
    <row r="846" spans="1:4" x14ac:dyDescent="0.25">
      <c r="A846" s="2">
        <v>844</v>
      </c>
      <c r="B846" s="22">
        <v>1.2300014495849601E-3</v>
      </c>
      <c r="C846" s="22">
        <v>1.4251675747800599E-4</v>
      </c>
      <c r="D846" s="22">
        <v>1.0874846921069541E-3</v>
      </c>
    </row>
    <row r="847" spans="1:4" x14ac:dyDescent="0.25">
      <c r="A847" s="2">
        <v>845</v>
      </c>
      <c r="B847" s="22">
        <v>2.99930572509766E-4</v>
      </c>
      <c r="C847" s="22">
        <v>6.1321057728491696E-5</v>
      </c>
      <c r="D847" s="22">
        <v>2.3860951478127431E-4</v>
      </c>
    </row>
    <row r="848" spans="1:4" x14ac:dyDescent="0.25">
      <c r="A848" s="2">
        <v>846</v>
      </c>
      <c r="B848" s="22">
        <v>1.1301040649414099E-3</v>
      </c>
      <c r="C848" s="22">
        <v>-6.4171501435339505E-5</v>
      </c>
      <c r="D848" s="22">
        <v>1.1942755663767496E-3</v>
      </c>
    </row>
    <row r="849" spans="1:4" x14ac:dyDescent="0.25">
      <c r="A849" s="2">
        <v>847</v>
      </c>
      <c r="B849" s="22">
        <v>5.6993961334228505E-4</v>
      </c>
      <c r="C849" s="22">
        <v>-1.4756004384253201E-4</v>
      </c>
      <c r="D849" s="22">
        <v>7.1749965718481701E-4</v>
      </c>
    </row>
    <row r="850" spans="1:4" x14ac:dyDescent="0.25">
      <c r="A850" s="2">
        <v>848</v>
      </c>
      <c r="B850" s="22">
        <v>-2.2995473409537199E-4</v>
      </c>
      <c r="C850" s="22">
        <v>-1.78969028638676E-4</v>
      </c>
      <c r="D850" s="22">
        <v>5.0985705456695997E-5</v>
      </c>
    </row>
    <row r="851" spans="1:4" x14ac:dyDescent="0.25">
      <c r="A851" s="2">
        <v>849</v>
      </c>
      <c r="B851" s="22">
        <v>-8.3005428314208995E-4</v>
      </c>
      <c r="C851" s="22">
        <v>-1.7014487821143099E-4</v>
      </c>
      <c r="D851" s="22">
        <v>6.5990940493065896E-4</v>
      </c>
    </row>
    <row r="852" spans="1:4" x14ac:dyDescent="0.25">
      <c r="A852" s="2">
        <v>850</v>
      </c>
      <c r="B852" s="22">
        <v>5.9998035430908203E-4</v>
      </c>
      <c r="C852" s="22">
        <v>-1.2564452481456101E-4</v>
      </c>
      <c r="D852" s="22">
        <v>7.2562487912364304E-4</v>
      </c>
    </row>
    <row r="853" spans="1:4" x14ac:dyDescent="0.25">
      <c r="A853" s="2">
        <v>851</v>
      </c>
      <c r="B853" s="22">
        <v>3.1006336212158198E-4</v>
      </c>
      <c r="C853" s="22">
        <v>-2.5144921892206202E-5</v>
      </c>
      <c r="D853" s="22">
        <v>3.3520828401378822E-4</v>
      </c>
    </row>
    <row r="854" spans="1:4" x14ac:dyDescent="0.25">
      <c r="A854" s="2">
        <v>852</v>
      </c>
      <c r="B854" s="22">
        <v>-3.9005276630632601E-4</v>
      </c>
      <c r="C854" s="22">
        <v>3.7243604310788201E-5</v>
      </c>
      <c r="D854" s="22">
        <v>4.2729637061711422E-4</v>
      </c>
    </row>
    <row r="855" spans="1:4" x14ac:dyDescent="0.25">
      <c r="A855" s="2">
        <v>853</v>
      </c>
      <c r="B855" s="22">
        <v>1.4300346374511699E-3</v>
      </c>
      <c r="C855" s="22">
        <v>6.6218184656463604E-5</v>
      </c>
      <c r="D855" s="22">
        <v>1.3638164527947064E-3</v>
      </c>
    </row>
    <row r="856" spans="1:4" x14ac:dyDescent="0.25">
      <c r="A856" s="2">
        <v>854</v>
      </c>
      <c r="B856" s="22">
        <v>7.1001052856445302E-4</v>
      </c>
      <c r="C856" s="22">
        <v>7.5716678111348301E-5</v>
      </c>
      <c r="D856" s="22">
        <v>6.3429385045310472E-4</v>
      </c>
    </row>
    <row r="857" spans="1:4" x14ac:dyDescent="0.25">
      <c r="A857" s="2">
        <v>855</v>
      </c>
      <c r="B857" s="22">
        <v>-6.0081485571572598E-5</v>
      </c>
      <c r="C857" s="22">
        <v>3.1247640436049598E-5</v>
      </c>
      <c r="D857" s="22">
        <v>9.1329126007622203E-5</v>
      </c>
    </row>
    <row r="858" spans="1:4" x14ac:dyDescent="0.25">
      <c r="A858" s="2">
        <v>856</v>
      </c>
      <c r="B858" s="22">
        <v>1.9001960754394499E-4</v>
      </c>
      <c r="C858" s="22">
        <v>-7.0961592427920604E-5</v>
      </c>
      <c r="D858" s="22">
        <v>2.6098119997186559E-4</v>
      </c>
    </row>
    <row r="859" spans="1:4" x14ac:dyDescent="0.25">
      <c r="A859" s="2">
        <v>857</v>
      </c>
      <c r="B859" s="22">
        <v>6.0081485571572598E-5</v>
      </c>
      <c r="C859" s="22">
        <v>-1.58536466187797E-4</v>
      </c>
      <c r="D859" s="22">
        <v>2.1861795175936961E-4</v>
      </c>
    </row>
    <row r="860" spans="1:4" x14ac:dyDescent="0.25">
      <c r="A860" s="2">
        <v>858</v>
      </c>
      <c r="B860" s="22">
        <v>-4.0054339478956502E-5</v>
      </c>
      <c r="C860" s="22">
        <v>-1.8730951705947499E-4</v>
      </c>
      <c r="D860" s="22">
        <v>1.4725517758051851E-4</v>
      </c>
    </row>
    <row r="861" spans="1:4" x14ac:dyDescent="0.25">
      <c r="A861" s="2">
        <v>859</v>
      </c>
      <c r="B861" s="22">
        <v>-5.0997728249058095E-4</v>
      </c>
      <c r="C861" s="22">
        <v>-2.60366417933255E-4</v>
      </c>
      <c r="D861" s="22">
        <v>2.49610864557326E-4</v>
      </c>
    </row>
    <row r="862" spans="1:4" x14ac:dyDescent="0.25">
      <c r="A862" s="2">
        <v>860</v>
      </c>
      <c r="B862" s="22">
        <v>-5.4001802345737804E-4</v>
      </c>
      <c r="C862" s="22">
        <v>-3.2513740006834301E-4</v>
      </c>
      <c r="D862" s="22">
        <v>2.14880623389035E-4</v>
      </c>
    </row>
    <row r="863" spans="1:4" x14ac:dyDescent="0.25">
      <c r="A863" s="2">
        <v>861</v>
      </c>
      <c r="B863" s="22">
        <v>1.4996527170296799E-4</v>
      </c>
      <c r="C863" s="22">
        <v>-3.0932674417272199E-4</v>
      </c>
      <c r="D863" s="22">
        <v>4.5929201587569001E-4</v>
      </c>
    </row>
    <row r="864" spans="1:4" x14ac:dyDescent="0.25">
      <c r="A864" s="2">
        <v>862</v>
      </c>
      <c r="B864" s="22">
        <v>-6.0999393463134798E-4</v>
      </c>
      <c r="C864" s="22">
        <v>-2.0044755365233901E-4</v>
      </c>
      <c r="D864" s="22">
        <v>4.0954638097900903E-4</v>
      </c>
    </row>
    <row r="865" spans="1:4" x14ac:dyDescent="0.25">
      <c r="A865" s="2">
        <v>863</v>
      </c>
      <c r="B865" s="22">
        <v>3.3998489379882802E-4</v>
      </c>
      <c r="C865" s="22">
        <v>-7.5324205681681606E-5</v>
      </c>
      <c r="D865" s="22">
        <v>4.153090994805096E-4</v>
      </c>
    </row>
    <row r="866" spans="1:4" x14ac:dyDescent="0.25">
      <c r="A866" s="2">
        <v>864</v>
      </c>
      <c r="B866" s="22">
        <v>5.1009654998779297E-4</v>
      </c>
      <c r="C866" s="22">
        <v>8.7554399215150597E-5</v>
      </c>
      <c r="D866" s="22">
        <v>4.225421507726424E-4</v>
      </c>
    </row>
    <row r="867" spans="1:4" x14ac:dyDescent="0.25">
      <c r="A867" s="2">
        <v>865</v>
      </c>
      <c r="B867" s="22">
        <v>2.9000043869018598E-3</v>
      </c>
      <c r="C867" s="22">
        <v>2.1373084746301201E-4</v>
      </c>
      <c r="D867" s="22">
        <v>2.6862735394388481E-3</v>
      </c>
    </row>
    <row r="868" spans="1:4" x14ac:dyDescent="0.25">
      <c r="A868" s="2">
        <v>866</v>
      </c>
      <c r="B868" s="22">
        <v>1.02996826171875E-3</v>
      </c>
      <c r="C868" s="22">
        <v>1.8663068476598699E-4</v>
      </c>
      <c r="D868" s="22">
        <v>8.4333757695276301E-4</v>
      </c>
    </row>
    <row r="869" spans="1:4" x14ac:dyDescent="0.25">
      <c r="A869" s="2">
        <v>867</v>
      </c>
      <c r="B869" s="22">
        <v>-4.8005586722865701E-4</v>
      </c>
      <c r="C869" s="22">
        <v>7.4149887950625298E-5</v>
      </c>
      <c r="D869" s="22">
        <v>5.5420575517928228E-4</v>
      </c>
    </row>
    <row r="870" spans="1:4" x14ac:dyDescent="0.25">
      <c r="A870" s="2">
        <v>868</v>
      </c>
      <c r="B870" s="22">
        <v>2.1004675363656101E-4</v>
      </c>
      <c r="C870" s="22">
        <v>-7.5490483141038594E-5</v>
      </c>
      <c r="D870" s="22">
        <v>2.8553723677759958E-4</v>
      </c>
    </row>
    <row r="871" spans="1:4" x14ac:dyDescent="0.25">
      <c r="A871" s="2">
        <v>869</v>
      </c>
      <c r="B871" s="22">
        <v>-3.2997128437273199E-4</v>
      </c>
      <c r="C871" s="22">
        <v>-2.0874776237178599E-4</v>
      </c>
      <c r="D871" s="22">
        <v>1.21223522000946E-4</v>
      </c>
    </row>
    <row r="872" spans="1:4" x14ac:dyDescent="0.25">
      <c r="A872" s="2">
        <v>870</v>
      </c>
      <c r="B872" s="22">
        <v>-1.16002559661865E-3</v>
      </c>
      <c r="C872" s="22">
        <v>-2.9471842572092999E-4</v>
      </c>
      <c r="D872" s="22">
        <v>8.6530717089771997E-4</v>
      </c>
    </row>
    <row r="873" spans="1:4" x14ac:dyDescent="0.25">
      <c r="A873" s="2">
        <v>871</v>
      </c>
      <c r="B873" s="22">
        <v>-1.8099545268341899E-3</v>
      </c>
      <c r="C873" s="22">
        <v>-3.1929978285916101E-4</v>
      </c>
      <c r="D873" s="22">
        <v>1.490654743975029E-3</v>
      </c>
    </row>
    <row r="874" spans="1:4" x14ac:dyDescent="0.25">
      <c r="A874" s="2">
        <v>872</v>
      </c>
      <c r="B874" s="22">
        <v>-1.6009804676286901E-4</v>
      </c>
      <c r="C874" s="22">
        <v>-3.1857099384069399E-4</v>
      </c>
      <c r="D874" s="22">
        <v>1.5847294707782499E-4</v>
      </c>
    </row>
    <row r="875" spans="1:4" x14ac:dyDescent="0.25">
      <c r="A875" s="2">
        <v>873</v>
      </c>
      <c r="B875" s="22">
        <v>1.0013595783675599E-5</v>
      </c>
      <c r="C875" s="22">
        <v>-2.7869522455148399E-4</v>
      </c>
      <c r="D875" s="22">
        <v>2.887088203351596E-4</v>
      </c>
    </row>
    <row r="876" spans="1:4" x14ac:dyDescent="0.25">
      <c r="A876" s="2">
        <v>874</v>
      </c>
      <c r="B876" s="22">
        <v>-4.6002859016880398E-4</v>
      </c>
      <c r="C876" s="22">
        <v>-2.3594767844770101E-4</v>
      </c>
      <c r="D876" s="22">
        <v>2.24080911721103E-4</v>
      </c>
    </row>
    <row r="877" spans="1:4" x14ac:dyDescent="0.25">
      <c r="A877" s="2">
        <v>875</v>
      </c>
      <c r="B877" s="22">
        <v>-2.6988980243913802E-4</v>
      </c>
      <c r="C877" s="22">
        <v>-3.0350033193826703E-4</v>
      </c>
      <c r="D877" s="22">
        <v>3.3610529499129003E-5</v>
      </c>
    </row>
    <row r="878" spans="1:4" x14ac:dyDescent="0.25">
      <c r="A878" s="2">
        <v>876</v>
      </c>
      <c r="B878" s="22">
        <v>-4.0006640483625201E-4</v>
      </c>
      <c r="C878" s="22">
        <v>-2.7063934248872101E-4</v>
      </c>
      <c r="D878" s="22">
        <v>1.2942706234753099E-4</v>
      </c>
    </row>
    <row r="879" spans="1:4" x14ac:dyDescent="0.25">
      <c r="A879" s="2">
        <v>877</v>
      </c>
      <c r="B879" s="22">
        <v>3.6001202533952903E-4</v>
      </c>
      <c r="C879" s="22">
        <v>-1.05849219835363E-4</v>
      </c>
      <c r="D879" s="22">
        <v>4.6586124517489198E-4</v>
      </c>
    </row>
    <row r="880" spans="1:4" x14ac:dyDescent="0.25">
      <c r="A880" s="2">
        <v>878</v>
      </c>
      <c r="B880" s="22">
        <v>-2.3996828531380699E-4</v>
      </c>
      <c r="C880" s="22">
        <v>-7.4829827099165397E-6</v>
      </c>
      <c r="D880" s="22">
        <v>2.3248530260389045E-4</v>
      </c>
    </row>
    <row r="881" spans="1:4" x14ac:dyDescent="0.25">
      <c r="A881" s="2">
        <v>879</v>
      </c>
      <c r="B881" s="22">
        <v>-1.50084495544434E-4</v>
      </c>
      <c r="C881" s="22">
        <v>1.39958892759751E-5</v>
      </c>
      <c r="D881" s="22">
        <v>1.6408038482040909E-4</v>
      </c>
    </row>
    <row r="882" spans="1:4" x14ac:dyDescent="0.25">
      <c r="A882" s="2">
        <v>880</v>
      </c>
      <c r="B882" s="22">
        <v>2.1004675363656101E-4</v>
      </c>
      <c r="C882" s="22">
        <v>-5.94209195696749E-5</v>
      </c>
      <c r="D882" s="22">
        <v>2.6946767320623589E-4</v>
      </c>
    </row>
    <row r="883" spans="1:4" x14ac:dyDescent="0.25">
      <c r="A883" s="2">
        <v>881</v>
      </c>
      <c r="B883" s="22">
        <v>6.5004825592041005E-4</v>
      </c>
      <c r="C883" s="22">
        <v>-1.8314037879463299E-4</v>
      </c>
      <c r="D883" s="22">
        <v>8.3318863471504301E-4</v>
      </c>
    </row>
    <row r="884" spans="1:4" x14ac:dyDescent="0.25">
      <c r="A884" s="2">
        <v>882</v>
      </c>
      <c r="B884" s="22">
        <v>-4.0054339478956502E-5</v>
      </c>
      <c r="C884" s="22">
        <v>-2.8919134638272199E-4</v>
      </c>
      <c r="D884" s="22">
        <v>2.4913700690376551E-4</v>
      </c>
    </row>
    <row r="885" spans="1:4" x14ac:dyDescent="0.25">
      <c r="A885" s="2">
        <v>883</v>
      </c>
      <c r="B885" s="22">
        <v>-1.29938125610352E-4</v>
      </c>
      <c r="C885" s="22">
        <v>-2.7114909607917097E-4</v>
      </c>
      <c r="D885" s="22">
        <v>1.4121097046881901E-4</v>
      </c>
    </row>
    <row r="886" spans="1:4" x14ac:dyDescent="0.25">
      <c r="A886" s="2">
        <v>884</v>
      </c>
      <c r="B886" s="22">
        <v>-2.24006175994873E-3</v>
      </c>
      <c r="C886" s="22">
        <v>-1.50321749970317E-4</v>
      </c>
      <c r="D886" s="22">
        <v>2.0897400099784131E-3</v>
      </c>
    </row>
    <row r="887" spans="1:4" x14ac:dyDescent="0.25">
      <c r="A887" s="2">
        <v>885</v>
      </c>
      <c r="B887" s="22">
        <v>-2.8002256294712403E-4</v>
      </c>
      <c r="C887" s="22">
        <v>-1.3249620678834601E-4</v>
      </c>
      <c r="D887" s="22">
        <v>1.4752635615877799E-4</v>
      </c>
    </row>
    <row r="888" spans="1:4" x14ac:dyDescent="0.25">
      <c r="A888" s="2">
        <v>886</v>
      </c>
      <c r="B888" s="22">
        <v>5.1999092102050803E-4</v>
      </c>
      <c r="C888" s="22">
        <v>-1.2516694550868099E-4</v>
      </c>
      <c r="D888" s="22">
        <v>6.4515786652918905E-4</v>
      </c>
    </row>
    <row r="889" spans="1:4" x14ac:dyDescent="0.25">
      <c r="A889" s="2">
        <v>887</v>
      </c>
      <c r="B889" s="22">
        <v>6.0081485571572598E-5</v>
      </c>
      <c r="C889" s="22">
        <v>-1.9328374764882001E-4</v>
      </c>
      <c r="D889" s="22">
        <v>2.5336523322039262E-4</v>
      </c>
    </row>
    <row r="890" spans="1:4" x14ac:dyDescent="0.25">
      <c r="A890" s="2">
        <v>888</v>
      </c>
      <c r="B890" s="22">
        <v>-5.0067890697391697E-5</v>
      </c>
      <c r="C890" s="22">
        <v>-3.1427829526364798E-4</v>
      </c>
      <c r="D890" s="22">
        <v>2.6421040456625628E-4</v>
      </c>
    </row>
    <row r="891" spans="1:4" x14ac:dyDescent="0.25">
      <c r="A891" s="2">
        <v>889</v>
      </c>
      <c r="B891" s="22">
        <v>-2.1994118287693701E-4</v>
      </c>
      <c r="C891" s="22">
        <v>-2.8378522256389298E-4</v>
      </c>
      <c r="D891" s="22">
        <v>6.3844039686955999E-5</v>
      </c>
    </row>
    <row r="892" spans="1:4" x14ac:dyDescent="0.25">
      <c r="A892" s="2">
        <v>890</v>
      </c>
      <c r="B892" s="22">
        <v>-3.4999847412109401E-3</v>
      </c>
      <c r="C892" s="22">
        <v>-1.7009476141538501E-4</v>
      </c>
      <c r="D892" s="22">
        <v>3.329889979795555E-3</v>
      </c>
    </row>
    <row r="893" spans="1:4" x14ac:dyDescent="0.25">
      <c r="A893" s="2">
        <v>891</v>
      </c>
      <c r="B893" s="22">
        <v>1.6999243525788201E-3</v>
      </c>
      <c r="C893" s="22">
        <v>1.06322650026414E-5</v>
      </c>
      <c r="D893" s="22">
        <v>1.6892920875761785E-3</v>
      </c>
    </row>
    <row r="894" spans="1:4" x14ac:dyDescent="0.25">
      <c r="A894" s="2">
        <v>892</v>
      </c>
      <c r="B894" s="22">
        <v>-1.4699697494506799E-3</v>
      </c>
      <c r="C894" s="22">
        <v>1.2443216110114E-4</v>
      </c>
      <c r="D894" s="22">
        <v>1.59440191055182E-3</v>
      </c>
    </row>
    <row r="895" spans="1:4" x14ac:dyDescent="0.25">
      <c r="A895" s="2">
        <v>893</v>
      </c>
      <c r="B895" s="22">
        <v>-1.8899440765380901E-3</v>
      </c>
      <c r="C895" s="22">
        <v>5.9972848248435198E-5</v>
      </c>
      <c r="D895" s="22">
        <v>1.9499169247865252E-3</v>
      </c>
    </row>
    <row r="896" spans="1:4" x14ac:dyDescent="0.25">
      <c r="A896" s="2">
        <v>894</v>
      </c>
      <c r="B896" s="22">
        <v>-4.0054339478956502E-5</v>
      </c>
      <c r="C896" s="22">
        <v>4.4887838157592301E-5</v>
      </c>
      <c r="D896" s="22">
        <v>8.4942177636548795E-5</v>
      </c>
    </row>
    <row r="897" spans="1:4" x14ac:dyDescent="0.25">
      <c r="A897" s="2">
        <v>895</v>
      </c>
      <c r="B897" s="22">
        <v>3.9005276630632601E-4</v>
      </c>
      <c r="C897" s="22">
        <v>4.8054221224447196E-6</v>
      </c>
      <c r="D897" s="22">
        <v>3.8524734418388129E-4</v>
      </c>
    </row>
    <row r="898" spans="1:4" x14ac:dyDescent="0.25">
      <c r="A898" s="2">
        <v>896</v>
      </c>
      <c r="B898" s="22">
        <v>1.6999244689941401E-4</v>
      </c>
      <c r="C898" s="22">
        <v>-1.1079524847446E-4</v>
      </c>
      <c r="D898" s="22">
        <v>2.80787695373874E-4</v>
      </c>
    </row>
    <row r="899" spans="1:4" x14ac:dyDescent="0.25">
      <c r="A899" s="2">
        <v>897</v>
      </c>
      <c r="B899" s="22">
        <v>-9.2005729675293001E-4</v>
      </c>
      <c r="C899" s="22">
        <v>-1.7247199139092101E-4</v>
      </c>
      <c r="D899" s="22">
        <v>7.4758530536200905E-4</v>
      </c>
    </row>
    <row r="900" spans="1:4" x14ac:dyDescent="0.25">
      <c r="A900" s="2">
        <v>898</v>
      </c>
      <c r="B900" s="22">
        <v>-3.0994418193586198E-4</v>
      </c>
      <c r="C900" s="22">
        <v>-1.0715521784732101E-4</v>
      </c>
      <c r="D900" s="22">
        <v>2.0278896408854101E-4</v>
      </c>
    </row>
    <row r="901" spans="1:4" x14ac:dyDescent="0.25">
      <c r="A901" s="2">
        <v>899</v>
      </c>
      <c r="B901" s="22">
        <v>-1.27005577087402E-3</v>
      </c>
      <c r="C901" s="22">
        <v>8.4596453234553296E-5</v>
      </c>
      <c r="D901" s="22">
        <v>1.3546522241085733E-3</v>
      </c>
    </row>
    <row r="902" spans="1:4" x14ac:dyDescent="0.25">
      <c r="A902" s="2">
        <v>900</v>
      </c>
      <c r="B902" s="22">
        <v>1.5699863433837899E-3</v>
      </c>
      <c r="C902" s="22">
        <v>2.4485017638653501E-4</v>
      </c>
      <c r="D902" s="22">
        <v>1.325136166997255E-3</v>
      </c>
    </row>
    <row r="903" spans="1:4" x14ac:dyDescent="0.25">
      <c r="A903" s="2">
        <v>901</v>
      </c>
      <c r="B903" s="22">
        <v>-2.8002256294712403E-4</v>
      </c>
      <c r="C903" s="22">
        <v>3.3209819230250998E-4</v>
      </c>
      <c r="D903" s="22">
        <v>6.1212075524963395E-4</v>
      </c>
    </row>
    <row r="904" spans="1:4" x14ac:dyDescent="0.25">
      <c r="A904" s="2">
        <v>902</v>
      </c>
      <c r="B904" s="22">
        <v>-2.2995473409537199E-4</v>
      </c>
      <c r="C904" s="22">
        <v>1.8434468074701699E-4</v>
      </c>
      <c r="D904" s="22">
        <v>4.1429941484238898E-4</v>
      </c>
    </row>
    <row r="905" spans="1:4" x14ac:dyDescent="0.25">
      <c r="A905" s="2">
        <v>903</v>
      </c>
      <c r="B905" s="22">
        <v>6.9975860242266194E-5</v>
      </c>
      <c r="C905" s="22">
        <v>6.1355603975243894E-5</v>
      </c>
      <c r="D905" s="22">
        <v>8.6202562670223008E-6</v>
      </c>
    </row>
    <row r="906" spans="1:4" x14ac:dyDescent="0.25">
      <c r="A906" s="2">
        <v>904</v>
      </c>
      <c r="B906" s="22">
        <v>7.9989455116447102E-5</v>
      </c>
      <c r="C906" s="22">
        <v>-2.7936366677749899E-5</v>
      </c>
      <c r="D906" s="22">
        <v>1.07925821794197E-4</v>
      </c>
    </row>
    <row r="907" spans="1:4" x14ac:dyDescent="0.25">
      <c r="A907" s="2">
        <v>905</v>
      </c>
      <c r="B907" s="22">
        <v>7.4005132773891102E-4</v>
      </c>
      <c r="C907" s="22">
        <v>-8.9649067376740304E-5</v>
      </c>
      <c r="D907" s="22">
        <v>8.297003951156513E-4</v>
      </c>
    </row>
    <row r="908" spans="1:4" x14ac:dyDescent="0.25">
      <c r="A908" s="2">
        <v>906</v>
      </c>
      <c r="B908" s="22">
        <v>-4.6002859016880398E-4</v>
      </c>
      <c r="C908" s="22">
        <v>-1.30569605971687E-4</v>
      </c>
      <c r="D908" s="22">
        <v>3.2945898419711701E-4</v>
      </c>
    </row>
    <row r="909" spans="1:4" x14ac:dyDescent="0.25">
      <c r="A909" s="2">
        <v>907</v>
      </c>
      <c r="B909" s="22">
        <v>2.8002262115478499E-4</v>
      </c>
      <c r="C909" s="22">
        <v>-3.0209679971449099E-4</v>
      </c>
      <c r="D909" s="22">
        <v>5.8211942086927604E-4</v>
      </c>
    </row>
    <row r="910" spans="1:4" x14ac:dyDescent="0.25">
      <c r="A910" s="2">
        <v>908</v>
      </c>
      <c r="B910" s="22">
        <v>6.9975860242266194E-5</v>
      </c>
      <c r="C910" s="22">
        <v>-3.2166740857064702E-4</v>
      </c>
      <c r="D910" s="22">
        <v>3.9164326881291318E-4</v>
      </c>
    </row>
    <row r="911" spans="1:4" x14ac:dyDescent="0.25">
      <c r="A911" s="2">
        <v>909</v>
      </c>
      <c r="B911" s="22">
        <v>-3.3998492290265902E-4</v>
      </c>
      <c r="C911" s="22">
        <v>-2.6465163682587401E-4</v>
      </c>
      <c r="D911" s="22">
        <v>7.5333286076785001E-5</v>
      </c>
    </row>
    <row r="912" spans="1:4" x14ac:dyDescent="0.25">
      <c r="A912" s="2">
        <v>910</v>
      </c>
      <c r="B912" s="22">
        <v>4.8005583812482698E-4</v>
      </c>
      <c r="C912" s="22">
        <v>-1.5664593956898901E-4</v>
      </c>
      <c r="D912" s="22">
        <v>6.3670177769381596E-4</v>
      </c>
    </row>
    <row r="913" spans="1:4" x14ac:dyDescent="0.25">
      <c r="A913" s="2">
        <v>911</v>
      </c>
      <c r="B913" s="22">
        <v>-4.8005586722865701E-4</v>
      </c>
      <c r="C913" s="22">
        <v>2.7161784146301199E-6</v>
      </c>
      <c r="D913" s="22">
        <v>4.8277204564328713E-4</v>
      </c>
    </row>
    <row r="914" spans="1:4" x14ac:dyDescent="0.25">
      <c r="A914" s="2">
        <v>912</v>
      </c>
      <c r="B914" s="22">
        <v>1.1800527572631799E-3</v>
      </c>
      <c r="C914" s="22">
        <v>1.3904519437346599E-4</v>
      </c>
      <c r="D914" s="22">
        <v>1.041007562889714E-3</v>
      </c>
    </row>
    <row r="915" spans="1:4" x14ac:dyDescent="0.25">
      <c r="A915" s="2">
        <v>913</v>
      </c>
      <c r="B915" s="22">
        <v>1.1899471282959E-3</v>
      </c>
      <c r="C915" s="22">
        <v>2.2824584448244401E-4</v>
      </c>
      <c r="D915" s="22">
        <v>9.6170128381345605E-4</v>
      </c>
    </row>
    <row r="916" spans="1:4" x14ac:dyDescent="0.25">
      <c r="A916" s="2">
        <v>914</v>
      </c>
      <c r="B916" s="22">
        <v>1.289963722229E-3</v>
      </c>
      <c r="C916" s="22">
        <v>1.6263133147731399E-4</v>
      </c>
      <c r="D916" s="22">
        <v>1.127332390751686E-3</v>
      </c>
    </row>
    <row r="917" spans="1:4" x14ac:dyDescent="0.25">
      <c r="A917" s="2">
        <v>915</v>
      </c>
      <c r="B917" s="22">
        <v>-7.9989455116447102E-5</v>
      </c>
      <c r="C917" s="22">
        <v>4.35951333201956E-5</v>
      </c>
      <c r="D917" s="22">
        <v>1.2358458843664269E-4</v>
      </c>
    </row>
    <row r="918" spans="1:4" x14ac:dyDescent="0.25">
      <c r="A918" s="2">
        <v>916</v>
      </c>
      <c r="B918" s="22">
        <v>-1.43992900848389E-3</v>
      </c>
      <c r="C918" s="22">
        <v>-9.4283481303136796E-5</v>
      </c>
      <c r="D918" s="22">
        <v>1.3456455271807532E-3</v>
      </c>
    </row>
    <row r="919" spans="1:4" x14ac:dyDescent="0.25">
      <c r="A919" s="2">
        <v>917</v>
      </c>
      <c r="B919" s="22">
        <v>-7.7998643973842296E-4</v>
      </c>
      <c r="C919" s="22">
        <v>-2.1451368229463699E-4</v>
      </c>
      <c r="D919" s="22">
        <v>5.6547275744378599E-4</v>
      </c>
    </row>
    <row r="920" spans="1:4" x14ac:dyDescent="0.25">
      <c r="A920" s="2">
        <v>918</v>
      </c>
      <c r="B920" s="22">
        <v>1.4599561691284199E-3</v>
      </c>
      <c r="C920" s="22">
        <v>-1.6313086962327399E-4</v>
      </c>
      <c r="D920" s="22">
        <v>1.623087038751694E-3</v>
      </c>
    </row>
    <row r="921" spans="1:4" x14ac:dyDescent="0.25">
      <c r="A921" s="2">
        <v>919</v>
      </c>
      <c r="B921" s="22">
        <v>-2.20060348510742E-4</v>
      </c>
      <c r="C921" s="22">
        <v>-1.3932837464381001E-4</v>
      </c>
      <c r="D921" s="22">
        <v>8.0731973866931999E-5</v>
      </c>
    </row>
    <row r="922" spans="1:4" x14ac:dyDescent="0.25">
      <c r="A922" s="2">
        <v>920</v>
      </c>
      <c r="B922" s="22">
        <v>1.52003765106201E-3</v>
      </c>
      <c r="C922" s="22">
        <v>-1.86775127076544E-4</v>
      </c>
      <c r="D922" s="22">
        <v>1.7068127781385541E-3</v>
      </c>
    </row>
    <row r="923" spans="1:4" x14ac:dyDescent="0.25">
      <c r="A923" s="2">
        <v>921</v>
      </c>
      <c r="B923" s="22">
        <v>-1.70004356186837E-3</v>
      </c>
      <c r="C923" s="22">
        <v>-1.5466682089027001E-4</v>
      </c>
      <c r="D923" s="22">
        <v>1.5453767409781001E-3</v>
      </c>
    </row>
    <row r="924" spans="1:4" x14ac:dyDescent="0.25">
      <c r="A924" s="2">
        <v>922</v>
      </c>
      <c r="B924" s="22">
        <v>-2.99215225822991E-5</v>
      </c>
      <c r="C924" s="22">
        <v>-1.3669271720573301E-4</v>
      </c>
      <c r="D924" s="22">
        <v>1.067711946234339E-4</v>
      </c>
    </row>
    <row r="925" spans="1:4" x14ac:dyDescent="0.25">
      <c r="A925" s="2">
        <v>923</v>
      </c>
      <c r="B925" s="22">
        <v>1.0999441146850599E-3</v>
      </c>
      <c r="C925" s="22">
        <v>-1.07983905763831E-4</v>
      </c>
      <c r="D925" s="22">
        <v>1.2079280204488911E-3</v>
      </c>
    </row>
    <row r="926" spans="1:4" x14ac:dyDescent="0.25">
      <c r="A926" s="2">
        <v>924</v>
      </c>
      <c r="B926" s="22">
        <v>-4.6002859016880398E-4</v>
      </c>
      <c r="C926" s="22">
        <v>-8.8242995843756903E-5</v>
      </c>
      <c r="D926" s="22">
        <v>3.7178559432504709E-4</v>
      </c>
    </row>
    <row r="927" spans="1:4" x14ac:dyDescent="0.25">
      <c r="A927" s="2">
        <v>925</v>
      </c>
      <c r="B927" s="22">
        <v>-1.08993065077811E-3</v>
      </c>
      <c r="C927" s="22">
        <v>-1.77630703547038E-4</v>
      </c>
      <c r="D927" s="22">
        <v>9.12299947231072E-4</v>
      </c>
    </row>
    <row r="928" spans="1:4" x14ac:dyDescent="0.25">
      <c r="A928" s="2">
        <v>926</v>
      </c>
      <c r="B928" s="22">
        <v>-2.9003623058088102E-4</v>
      </c>
      <c r="C928" s="22">
        <v>-1.8807324522640599E-4</v>
      </c>
      <c r="D928" s="22">
        <v>1.01962985354475E-4</v>
      </c>
    </row>
    <row r="929" spans="1:4" x14ac:dyDescent="0.25">
      <c r="A929" s="2">
        <v>927</v>
      </c>
      <c r="B929" s="22">
        <v>-2.1994118287693701E-4</v>
      </c>
      <c r="C929" s="22">
        <v>-2.12668252061121E-4</v>
      </c>
      <c r="D929" s="22">
        <v>7.2729308158160001E-6</v>
      </c>
    </row>
    <row r="930" spans="1:4" x14ac:dyDescent="0.25">
      <c r="A930" s="2">
        <v>928</v>
      </c>
      <c r="B930" s="22">
        <v>-1.0013595783675599E-5</v>
      </c>
      <c r="C930" s="22">
        <v>-1.95848333532922E-4</v>
      </c>
      <c r="D930" s="22">
        <v>1.8583473774924639E-4</v>
      </c>
    </row>
    <row r="931" spans="1:4" x14ac:dyDescent="0.25">
      <c r="A931" s="2">
        <v>929</v>
      </c>
      <c r="B931" s="22">
        <v>-3.0040742785786299E-5</v>
      </c>
      <c r="C931" s="22">
        <v>-2.0669585501309501E-4</v>
      </c>
      <c r="D931" s="22">
        <v>1.766551122273087E-4</v>
      </c>
    </row>
    <row r="932" spans="1:4" x14ac:dyDescent="0.25">
      <c r="A932" s="2">
        <v>930</v>
      </c>
      <c r="B932" s="22">
        <v>3.2007694244384798E-4</v>
      </c>
      <c r="C932" s="22">
        <v>-2.26516756811179E-4</v>
      </c>
      <c r="D932" s="22">
        <v>5.4659369925502699E-4</v>
      </c>
    </row>
    <row r="933" spans="1:4" x14ac:dyDescent="0.25">
      <c r="A933" s="2">
        <v>931</v>
      </c>
      <c r="B933" s="22">
        <v>-8.20040702819824E-4</v>
      </c>
      <c r="C933" s="22">
        <v>-1.9988586427643901E-4</v>
      </c>
      <c r="D933" s="22">
        <v>6.2015483854338505E-4</v>
      </c>
    </row>
    <row r="934" spans="1:4" x14ac:dyDescent="0.25">
      <c r="A934" s="2">
        <v>932</v>
      </c>
      <c r="B934" s="22">
        <v>-7.3003763100132303E-4</v>
      </c>
      <c r="C934" s="22">
        <v>-2.4453757214359901E-4</v>
      </c>
      <c r="D934" s="22">
        <v>4.8550005885772402E-4</v>
      </c>
    </row>
    <row r="935" spans="1:4" x14ac:dyDescent="0.25">
      <c r="A935" s="2">
        <v>933</v>
      </c>
      <c r="B935" s="22">
        <v>1.80006012669764E-4</v>
      </c>
      <c r="C935" s="22">
        <v>-1.8671576981432701E-4</v>
      </c>
      <c r="D935" s="22">
        <v>3.6672178248409101E-4</v>
      </c>
    </row>
    <row r="936" spans="1:4" x14ac:dyDescent="0.25">
      <c r="A936" s="2">
        <v>934</v>
      </c>
      <c r="B936" s="22">
        <v>-1.4996527170296799E-4</v>
      </c>
      <c r="C936" s="22">
        <v>-3.2774063583929098E-5</v>
      </c>
      <c r="D936" s="22">
        <v>1.171912081190389E-4</v>
      </c>
    </row>
    <row r="937" spans="1:4" x14ac:dyDescent="0.25">
      <c r="A937" s="2">
        <v>935</v>
      </c>
      <c r="B937" s="22">
        <v>-5.0067890697391697E-5</v>
      </c>
      <c r="C937" s="22">
        <v>1.7601705621928001E-4</v>
      </c>
      <c r="D937" s="22">
        <v>2.2608494691667169E-4</v>
      </c>
    </row>
    <row r="938" spans="1:4" x14ac:dyDescent="0.25">
      <c r="A938" s="2">
        <v>936</v>
      </c>
      <c r="B938" s="22">
        <v>3.0040742785786299E-5</v>
      </c>
      <c r="C938" s="22">
        <v>3.1399575527757401E-4</v>
      </c>
      <c r="D938" s="22">
        <v>2.8395501249178768E-4</v>
      </c>
    </row>
    <row r="939" spans="1:4" x14ac:dyDescent="0.25">
      <c r="A939" s="2">
        <v>937</v>
      </c>
      <c r="B939" s="22">
        <v>-6.5004825592041005E-4</v>
      </c>
      <c r="C939" s="22">
        <v>3.85675200959668E-4</v>
      </c>
      <c r="D939" s="22">
        <v>1.0357234568800779E-3</v>
      </c>
    </row>
    <row r="940" spans="1:4" x14ac:dyDescent="0.25">
      <c r="A940" s="2">
        <v>938</v>
      </c>
      <c r="B940" s="22">
        <v>2.3699998855590799E-3</v>
      </c>
      <c r="C940" s="22">
        <v>2.9477529460564299E-4</v>
      </c>
      <c r="D940" s="22">
        <v>2.0752245909534369E-3</v>
      </c>
    </row>
    <row r="941" spans="1:4" x14ac:dyDescent="0.25">
      <c r="A941" s="2">
        <v>939</v>
      </c>
      <c r="B941" s="22">
        <v>5.0067890697391697E-5</v>
      </c>
      <c r="C941" s="22">
        <v>-6.8053595896344598E-6</v>
      </c>
      <c r="D941" s="22">
        <v>5.687325028702616E-5</v>
      </c>
    </row>
    <row r="942" spans="1:4" x14ac:dyDescent="0.25">
      <c r="A942" s="2">
        <v>940</v>
      </c>
      <c r="B942" s="22">
        <v>4.8995018005371105E-4</v>
      </c>
      <c r="C942" s="22">
        <v>-2.7612075791694202E-4</v>
      </c>
      <c r="D942" s="22">
        <v>7.6607093797065296E-4</v>
      </c>
    </row>
    <row r="943" spans="1:4" x14ac:dyDescent="0.25">
      <c r="A943" s="2">
        <v>941</v>
      </c>
      <c r="B943" s="22">
        <v>-2.3699998855590799E-3</v>
      </c>
      <c r="C943" s="22">
        <v>-4.1657491237856399E-4</v>
      </c>
      <c r="D943" s="22">
        <v>1.9534249731805158E-3</v>
      </c>
    </row>
    <row r="944" spans="1:4" x14ac:dyDescent="0.25">
      <c r="A944" s="2">
        <v>942</v>
      </c>
      <c r="B944" s="22">
        <v>-2.31993198394775E-3</v>
      </c>
      <c r="C944" s="22">
        <v>-4.4313733815215501E-4</v>
      </c>
      <c r="D944" s="22">
        <v>1.8767946457955949E-3</v>
      </c>
    </row>
    <row r="945" spans="1:4" x14ac:dyDescent="0.25">
      <c r="A945" s="2">
        <v>943</v>
      </c>
      <c r="B945" s="22">
        <v>-6.6006189445033702E-4</v>
      </c>
      <c r="C945" s="22">
        <v>-2.1738532814197199E-4</v>
      </c>
      <c r="D945" s="22">
        <v>4.4267656630836498E-4</v>
      </c>
    </row>
    <row r="946" spans="1:4" x14ac:dyDescent="0.25">
      <c r="A946" s="2">
        <v>944</v>
      </c>
      <c r="B946" s="22">
        <v>-1.4599560527131E-3</v>
      </c>
      <c r="C946" s="22">
        <v>-3.3698350307531702E-5</v>
      </c>
      <c r="D946" s="22">
        <v>1.4262577024055684E-3</v>
      </c>
    </row>
    <row r="947" spans="1:4" x14ac:dyDescent="0.25">
      <c r="A947" s="2">
        <v>945</v>
      </c>
      <c r="B947" s="22">
        <v>4.6002864837646501E-4</v>
      </c>
      <c r="C947" s="22">
        <v>-4.2850813770201098E-5</v>
      </c>
      <c r="D947" s="22">
        <v>5.0287946214666612E-4</v>
      </c>
    </row>
    <row r="948" spans="1:4" x14ac:dyDescent="0.25">
      <c r="A948" s="2">
        <v>946</v>
      </c>
      <c r="B948" s="22">
        <v>2.99215225822991E-5</v>
      </c>
      <c r="C948" s="22">
        <v>-1.100763802242E-5</v>
      </c>
      <c r="D948" s="22">
        <v>4.09291606047191E-5</v>
      </c>
    </row>
    <row r="949" spans="1:4" x14ac:dyDescent="0.25">
      <c r="A949" s="2">
        <v>947</v>
      </c>
      <c r="B949" s="22">
        <v>5.30004501342773E-4</v>
      </c>
      <c r="C949" s="22">
        <v>-2.7408272217144299E-5</v>
      </c>
      <c r="D949" s="22">
        <v>5.5741277355991726E-4</v>
      </c>
    </row>
    <row r="950" spans="1:4" x14ac:dyDescent="0.25">
      <c r="A950" s="2">
        <v>948</v>
      </c>
      <c r="B950" s="22">
        <v>-6.0999393463134798E-4</v>
      </c>
      <c r="C950" s="22">
        <v>-7.7620970841962803E-5</v>
      </c>
      <c r="D950" s="22">
        <v>5.3237296378938525E-4</v>
      </c>
    </row>
    <row r="951" spans="1:4" x14ac:dyDescent="0.25">
      <c r="A951" s="2">
        <v>949</v>
      </c>
      <c r="B951" s="22">
        <v>2.0027147911605401E-5</v>
      </c>
      <c r="C951" s="22">
        <v>-4.1135983337881003E-5</v>
      </c>
      <c r="D951" s="22">
        <v>6.1163131249486401E-5</v>
      </c>
    </row>
    <row r="952" spans="1:4" x14ac:dyDescent="0.25">
      <c r="A952" s="2">
        <v>950</v>
      </c>
      <c r="B952" s="22">
        <v>-7.4005132773891102E-4</v>
      </c>
      <c r="C952" s="22">
        <v>-1.36734786792658E-4</v>
      </c>
      <c r="D952" s="22">
        <v>6.0331654094625297E-4</v>
      </c>
    </row>
    <row r="953" spans="1:4" x14ac:dyDescent="0.25">
      <c r="A953" s="2">
        <v>951</v>
      </c>
      <c r="B953" s="22">
        <v>2.8500556945800799E-3</v>
      </c>
      <c r="C953" s="22">
        <v>-2.2298799012787599E-4</v>
      </c>
      <c r="D953" s="22">
        <v>3.0730436847079558E-3</v>
      </c>
    </row>
    <row r="954" spans="1:4" x14ac:dyDescent="0.25">
      <c r="A954" s="2">
        <v>952</v>
      </c>
      <c r="B954" s="22">
        <v>-5.9962265368085402E-5</v>
      </c>
      <c r="C954" s="22">
        <v>-2.7175192371942097E-4</v>
      </c>
      <c r="D954" s="22">
        <v>2.1178965835133559E-4</v>
      </c>
    </row>
    <row r="955" spans="1:4" x14ac:dyDescent="0.25">
      <c r="A955" s="2">
        <v>953</v>
      </c>
      <c r="B955" s="22">
        <v>1.8990039825439499E-4</v>
      </c>
      <c r="C955" s="22">
        <v>-3.0592814437113702E-4</v>
      </c>
      <c r="D955" s="22">
        <v>4.9582854262553199E-4</v>
      </c>
    </row>
    <row r="956" spans="1:4" x14ac:dyDescent="0.25">
      <c r="A956" s="2">
        <v>954</v>
      </c>
      <c r="B956" s="22">
        <v>1.3200044631957999E-3</v>
      </c>
      <c r="C956" s="22">
        <v>-7.7532626164611402E-5</v>
      </c>
      <c r="D956" s="22">
        <v>1.3975370893604113E-3</v>
      </c>
    </row>
    <row r="957" spans="1:4" x14ac:dyDescent="0.25">
      <c r="A957" s="2">
        <v>955</v>
      </c>
      <c r="B957" s="22">
        <v>6.9999694824218804E-4</v>
      </c>
      <c r="C957" s="22">
        <v>1.9047314708586801E-4</v>
      </c>
      <c r="D957" s="22">
        <v>5.0952380115632E-4</v>
      </c>
    </row>
    <row r="958" spans="1:4" x14ac:dyDescent="0.25">
      <c r="A958" s="2">
        <v>956</v>
      </c>
      <c r="B958" s="22">
        <v>-4.5990946819074501E-4</v>
      </c>
      <c r="C958" s="22">
        <v>2.91985255898908E-4</v>
      </c>
      <c r="D958" s="22">
        <v>7.5189472408965295E-4</v>
      </c>
    </row>
    <row r="959" spans="1:4" x14ac:dyDescent="0.25">
      <c r="A959" s="2">
        <v>957</v>
      </c>
      <c r="B959" s="22">
        <v>1.0999441146850599E-3</v>
      </c>
      <c r="C959" s="22">
        <v>2.6533813797868799E-4</v>
      </c>
      <c r="D959" s="22">
        <v>8.3460597670637201E-4</v>
      </c>
    </row>
    <row r="960" spans="1:4" x14ac:dyDescent="0.25">
      <c r="A960" s="2">
        <v>958</v>
      </c>
      <c r="B960" s="22">
        <v>5.7005882263183605E-4</v>
      </c>
      <c r="C960" s="22">
        <v>1.8957269276143099E-5</v>
      </c>
      <c r="D960" s="22">
        <v>5.5110155335569289E-4</v>
      </c>
    </row>
    <row r="961" spans="1:4" x14ac:dyDescent="0.25">
      <c r="A961" s="2">
        <v>959</v>
      </c>
      <c r="B961" s="22">
        <v>3.9994716644287099E-4</v>
      </c>
      <c r="C961" s="22">
        <v>-3.38190409820527E-4</v>
      </c>
      <c r="D961" s="22">
        <v>7.3813757626339804E-4</v>
      </c>
    </row>
    <row r="962" spans="1:4" x14ac:dyDescent="0.25">
      <c r="A962" s="2">
        <v>960</v>
      </c>
      <c r="B962" s="22">
        <v>-1.29938125610352E-4</v>
      </c>
      <c r="C962" s="22">
        <v>-5.0988292787224098E-4</v>
      </c>
      <c r="D962" s="22">
        <v>3.7994480226188898E-4</v>
      </c>
    </row>
    <row r="963" spans="1:4" x14ac:dyDescent="0.25">
      <c r="A963" s="2">
        <v>961</v>
      </c>
      <c r="B963" s="22">
        <v>-1.59001362044364E-3</v>
      </c>
      <c r="C963" s="22">
        <v>-5.4670916870236397E-4</v>
      </c>
      <c r="D963" s="22">
        <v>1.043304451741276E-3</v>
      </c>
    </row>
    <row r="964" spans="1:4" x14ac:dyDescent="0.25">
      <c r="A964" s="2">
        <v>962</v>
      </c>
      <c r="B964" s="22">
        <v>-1.4300346374511699E-3</v>
      </c>
      <c r="C964" s="22">
        <v>-4.9565994413569602E-4</v>
      </c>
      <c r="D964" s="22">
        <v>9.3437469331547401E-4</v>
      </c>
    </row>
    <row r="965" spans="1:4" x14ac:dyDescent="0.25">
      <c r="A965" s="2">
        <v>963</v>
      </c>
      <c r="B965" s="22">
        <v>-1.8199681071564601E-3</v>
      </c>
      <c r="C965" s="22">
        <v>-4.3334387009963399E-4</v>
      </c>
      <c r="D965" s="22">
        <v>1.3866242370568259E-3</v>
      </c>
    </row>
    <row r="966" spans="1:4" x14ac:dyDescent="0.25">
      <c r="A966" s="2">
        <v>964</v>
      </c>
      <c r="B966" s="22">
        <v>-1.0499953059479601E-3</v>
      </c>
      <c r="C966" s="22">
        <v>-3.6745573743246501E-4</v>
      </c>
      <c r="D966" s="22">
        <v>6.8253956851549501E-4</v>
      </c>
    </row>
    <row r="967" spans="1:4" x14ac:dyDescent="0.25">
      <c r="A967" s="2">
        <v>965</v>
      </c>
      <c r="B967" s="22">
        <v>-1.10006332397461E-3</v>
      </c>
      <c r="C967" s="22">
        <v>-3.0602881452068697E-4</v>
      </c>
      <c r="D967" s="22">
        <v>7.9403450945392305E-4</v>
      </c>
    </row>
    <row r="968" spans="1:4" x14ac:dyDescent="0.25">
      <c r="A968" s="2">
        <v>966</v>
      </c>
      <c r="B968" s="22">
        <v>-1.03998184204102E-3</v>
      </c>
      <c r="C968" s="22">
        <v>-2.4447188479825898E-4</v>
      </c>
      <c r="D968" s="22">
        <v>7.9550995724276099E-4</v>
      </c>
    </row>
    <row r="969" spans="1:4" x14ac:dyDescent="0.25">
      <c r="A969" s="2">
        <v>967</v>
      </c>
      <c r="B969" s="22">
        <v>-2.1899938583374002E-3</v>
      </c>
      <c r="C969" s="22">
        <v>9.9494372989283892E-6</v>
      </c>
      <c r="D969" s="22">
        <v>2.1999432956363286E-3</v>
      </c>
    </row>
    <row r="970" spans="1:4" x14ac:dyDescent="0.25">
      <c r="A970" s="2">
        <v>968</v>
      </c>
      <c r="B970" s="22">
        <v>4.1997435619123302E-4</v>
      </c>
      <c r="C970" s="22">
        <v>3.54570656782016E-4</v>
      </c>
      <c r="D970" s="22">
        <v>6.5403699409216995E-5</v>
      </c>
    </row>
    <row r="971" spans="1:4" x14ac:dyDescent="0.25">
      <c r="A971" s="2">
        <v>969</v>
      </c>
      <c r="B971" s="22">
        <v>2.5999546051025401E-4</v>
      </c>
      <c r="C971" s="22">
        <v>4.5862494152970601E-4</v>
      </c>
      <c r="D971" s="22">
        <v>1.98629481019452E-4</v>
      </c>
    </row>
    <row r="972" spans="1:4" x14ac:dyDescent="0.25">
      <c r="A972" s="2">
        <v>970</v>
      </c>
      <c r="B972" s="22">
        <v>1.00016601209063E-4</v>
      </c>
      <c r="C972" s="22">
        <v>3.71594593161717E-4</v>
      </c>
      <c r="D972" s="22">
        <v>2.7157799195265397E-4</v>
      </c>
    </row>
    <row r="973" spans="1:4" x14ac:dyDescent="0.25">
      <c r="A973" s="2">
        <v>971</v>
      </c>
      <c r="B973" s="22">
        <v>-3.89933644328266E-4</v>
      </c>
      <c r="C973" s="22">
        <v>1.0371147800469799E-4</v>
      </c>
      <c r="D973" s="22">
        <v>4.9364512233296398E-4</v>
      </c>
    </row>
    <row r="974" spans="1:4" x14ac:dyDescent="0.25">
      <c r="A974" s="2">
        <v>972</v>
      </c>
      <c r="B974" s="22">
        <v>-5.0067890697391697E-5</v>
      </c>
      <c r="C974" s="22">
        <v>-2.76168866548687E-4</v>
      </c>
      <c r="D974" s="22">
        <v>2.261009758512953E-4</v>
      </c>
    </row>
    <row r="975" spans="1:4" x14ac:dyDescent="0.25">
      <c r="A975" s="2">
        <v>973</v>
      </c>
      <c r="B975" s="22">
        <v>5.0067890697391697E-5</v>
      </c>
      <c r="C975" s="22">
        <v>-3.5423049121163802E-4</v>
      </c>
      <c r="D975" s="22">
        <v>4.0429838190902972E-4</v>
      </c>
    </row>
    <row r="976" spans="1:4" x14ac:dyDescent="0.25">
      <c r="A976" s="2">
        <v>974</v>
      </c>
      <c r="B976" s="22">
        <v>-1.80006012669764E-4</v>
      </c>
      <c r="C976" s="22">
        <v>-3.7009478546678998E-4</v>
      </c>
      <c r="D976" s="22">
        <v>1.9008877279702601E-4</v>
      </c>
    </row>
    <row r="977" spans="1:4" x14ac:dyDescent="0.25">
      <c r="A977" s="2">
        <v>975</v>
      </c>
      <c r="B977" s="22">
        <v>-2.8002256294712403E-4</v>
      </c>
      <c r="C977" s="22">
        <v>-4.1746086208149802E-4</v>
      </c>
      <c r="D977" s="22">
        <v>1.3743829913437399E-4</v>
      </c>
    </row>
    <row r="978" spans="1:4" x14ac:dyDescent="0.25">
      <c r="A978" s="2">
        <v>976</v>
      </c>
      <c r="B978" s="22">
        <v>3.7002566386945502E-4</v>
      </c>
      <c r="C978" s="22">
        <v>-3.9996590930968501E-4</v>
      </c>
      <c r="D978" s="22">
        <v>7.6999157317914004E-4</v>
      </c>
    </row>
    <row r="979" spans="1:4" x14ac:dyDescent="0.25">
      <c r="A979" s="2">
        <v>977</v>
      </c>
      <c r="B979" s="22">
        <v>1.09910979517736E-4</v>
      </c>
      <c r="C979" s="22">
        <v>-4.0994281880557499E-4</v>
      </c>
      <c r="D979" s="22">
        <v>5.1985379832331102E-4</v>
      </c>
    </row>
    <row r="980" spans="1:4" x14ac:dyDescent="0.25">
      <c r="A980" s="2">
        <v>978</v>
      </c>
      <c r="B980" s="22">
        <v>4.2009350727312299E-4</v>
      </c>
      <c r="C980" s="22">
        <v>-2.7014958322979499E-4</v>
      </c>
      <c r="D980" s="22">
        <v>6.9024309050291798E-4</v>
      </c>
    </row>
    <row r="981" spans="1:4" x14ac:dyDescent="0.25">
      <c r="A981" s="2">
        <v>979</v>
      </c>
      <c r="B981" s="22">
        <v>-4.7004222869872998E-4</v>
      </c>
      <c r="C981" s="22">
        <v>-3.9021851989673498E-5</v>
      </c>
      <c r="D981" s="22">
        <v>4.3102037670905648E-4</v>
      </c>
    </row>
    <row r="982" spans="1:4" x14ac:dyDescent="0.25">
      <c r="A982" s="2">
        <v>980</v>
      </c>
      <c r="B982" s="22">
        <v>-1.20043754577637E-4</v>
      </c>
      <c r="C982" s="22">
        <v>2.3926561698317501E-4</v>
      </c>
      <c r="D982" s="22">
        <v>3.59309371560812E-4</v>
      </c>
    </row>
    <row r="983" spans="1:4" x14ac:dyDescent="0.25">
      <c r="A983" s="2">
        <v>981</v>
      </c>
      <c r="B983" s="22">
        <v>5.30004501342773E-4</v>
      </c>
      <c r="C983" s="22">
        <v>3.7569252890534699E-4</v>
      </c>
      <c r="D983" s="22">
        <v>1.5431197243742599E-4</v>
      </c>
    </row>
    <row r="984" spans="1:4" x14ac:dyDescent="0.25">
      <c r="A984" s="2">
        <v>982</v>
      </c>
      <c r="B984" s="22">
        <v>-4.9948670493904501E-5</v>
      </c>
      <c r="C984" s="22">
        <v>2.25430121645331E-4</v>
      </c>
      <c r="D984" s="22">
        <v>2.753787921392355E-4</v>
      </c>
    </row>
    <row r="985" spans="1:4" x14ac:dyDescent="0.25">
      <c r="A985" s="2">
        <v>983</v>
      </c>
      <c r="B985" s="22">
        <v>3.2997131347656299E-4</v>
      </c>
      <c r="C985" s="22">
        <v>3.8668345041514798E-6</v>
      </c>
      <c r="D985" s="22">
        <v>3.261044789724115E-4</v>
      </c>
    </row>
    <row r="986" spans="1:4" x14ac:dyDescent="0.25">
      <c r="A986" s="2">
        <v>984</v>
      </c>
      <c r="B986" s="22">
        <v>4.0996074676513699E-4</v>
      </c>
      <c r="C986" s="22">
        <v>-2.8801182634197203E-4</v>
      </c>
      <c r="D986" s="22">
        <v>6.9797257310710902E-4</v>
      </c>
    </row>
    <row r="987" spans="1:4" x14ac:dyDescent="0.25">
      <c r="A987" s="2">
        <v>985</v>
      </c>
      <c r="B987" s="22">
        <v>-3.9499998092651402E-3</v>
      </c>
      <c r="C987" s="22">
        <v>-5.8171263663098205E-4</v>
      </c>
      <c r="D987" s="22">
        <v>3.368287172634158E-3</v>
      </c>
    </row>
    <row r="988" spans="1:4" x14ac:dyDescent="0.25">
      <c r="A988" s="2">
        <v>986</v>
      </c>
      <c r="B988" s="22">
        <v>-2.4698972702026402E-3</v>
      </c>
      <c r="C988" s="22">
        <v>-5.0999521045014295E-4</v>
      </c>
      <c r="D988" s="22">
        <v>1.9599020597524971E-3</v>
      </c>
    </row>
    <row r="989" spans="1:4" x14ac:dyDescent="0.25">
      <c r="A989" s="2">
        <v>987</v>
      </c>
      <c r="B989" s="22">
        <v>-2.2300481796264601E-3</v>
      </c>
      <c r="C989" s="22">
        <v>-3.2139520044438498E-4</v>
      </c>
      <c r="D989" s="22">
        <v>1.9086529791820751E-3</v>
      </c>
    </row>
    <row r="990" spans="1:4" x14ac:dyDescent="0.25">
      <c r="A990" s="2">
        <v>988</v>
      </c>
      <c r="B990" s="22">
        <v>1.61993515212089E-3</v>
      </c>
      <c r="C990" s="22">
        <v>-1.6779117868281901E-4</v>
      </c>
      <c r="D990" s="22">
        <v>1.787726330803709E-3</v>
      </c>
    </row>
    <row r="991" spans="1:4" x14ac:dyDescent="0.25">
      <c r="A991" s="2">
        <v>989</v>
      </c>
      <c r="B991" s="22">
        <v>-1.3399124145507799E-3</v>
      </c>
      <c r="C991" s="22">
        <v>1.1408596947148899E-6</v>
      </c>
      <c r="D991" s="22">
        <v>1.3410532742454948E-3</v>
      </c>
    </row>
    <row r="992" spans="1:4" x14ac:dyDescent="0.25">
      <c r="A992" s="2">
        <v>990</v>
      </c>
      <c r="B992" s="22">
        <v>2.55000591278076E-3</v>
      </c>
      <c r="C992" s="22">
        <v>2.3087278532329901E-4</v>
      </c>
      <c r="D992" s="22">
        <v>2.319133127457461E-3</v>
      </c>
    </row>
    <row r="993" spans="1:4" x14ac:dyDescent="0.25">
      <c r="A993" s="2">
        <v>991</v>
      </c>
      <c r="B993" s="22">
        <v>3.2997131347656299E-4</v>
      </c>
      <c r="C993" s="22">
        <v>4.1281915036961398E-4</v>
      </c>
      <c r="D993" s="22">
        <v>8.2847836893050995E-5</v>
      </c>
    </row>
    <row r="994" spans="1:4" x14ac:dyDescent="0.25">
      <c r="A994" s="2">
        <v>992</v>
      </c>
      <c r="B994" s="22">
        <v>4.99963760375977E-4</v>
      </c>
      <c r="C994" s="22">
        <v>3.56036354787648E-4</v>
      </c>
      <c r="D994" s="22">
        <v>1.43927405588329E-4</v>
      </c>
    </row>
    <row r="995" spans="1:4" x14ac:dyDescent="0.25">
      <c r="A995" s="2">
        <v>993</v>
      </c>
      <c r="B995" s="22">
        <v>-2.3999214172363299E-3</v>
      </c>
      <c r="C995" s="22">
        <v>2.1757859212812001E-4</v>
      </c>
      <c r="D995" s="22">
        <v>2.6175000093644498E-3</v>
      </c>
    </row>
    <row r="996" spans="1:4" x14ac:dyDescent="0.25">
      <c r="A996" s="2">
        <v>994</v>
      </c>
      <c r="B996" s="22">
        <v>-5.7005882263183605E-4</v>
      </c>
      <c r="C996" s="22">
        <v>5.7950915106630402E-6</v>
      </c>
      <c r="D996" s="22">
        <v>5.7585391414249909E-4</v>
      </c>
    </row>
    <row r="997" spans="1:4" x14ac:dyDescent="0.25">
      <c r="A997" s="2">
        <v>995</v>
      </c>
      <c r="B997" s="22">
        <v>-1.30999099928886E-3</v>
      </c>
      <c r="C997" s="22">
        <v>-3.1472436967305801E-4</v>
      </c>
      <c r="D997" s="22">
        <v>9.9526662961580206E-4</v>
      </c>
    </row>
    <row r="998" spans="1:4" x14ac:dyDescent="0.25">
      <c r="A998" s="2">
        <v>996</v>
      </c>
      <c r="B998" s="22">
        <v>-5.79953193664551E-4</v>
      </c>
      <c r="C998" s="22">
        <v>-3.8465269608423098E-4</v>
      </c>
      <c r="D998" s="22">
        <v>1.9530049758032E-4</v>
      </c>
    </row>
    <row r="999" spans="1:4" x14ac:dyDescent="0.25">
      <c r="A999" s="2">
        <v>997</v>
      </c>
      <c r="B999" s="22">
        <v>6.9975860242266194E-5</v>
      </c>
      <c r="C999" s="22">
        <v>-3.9166098576970398E-4</v>
      </c>
      <c r="D999" s="22">
        <v>4.6163684601197019E-4</v>
      </c>
    </row>
    <row r="1000" spans="1:4" x14ac:dyDescent="0.25">
      <c r="A1000" s="2">
        <v>998</v>
      </c>
      <c r="B1000" s="22">
        <v>2.09927558898926E-4</v>
      </c>
      <c r="C1000" s="22">
        <v>-3.1999201746657502E-4</v>
      </c>
      <c r="D1000" s="22">
        <v>5.2991957636550101E-4</v>
      </c>
    </row>
    <row r="1001" spans="1:4" x14ac:dyDescent="0.25">
      <c r="A1001" s="2">
        <v>999</v>
      </c>
      <c r="B1001" s="22">
        <v>2.20060348510742E-4</v>
      </c>
      <c r="C1001" s="22">
        <v>-1.7559101979713901E-4</v>
      </c>
      <c r="D1001" s="22">
        <v>3.95651368307881E-4</v>
      </c>
    </row>
    <row r="1002" spans="1:4" x14ac:dyDescent="0.25">
      <c r="A1002" s="2">
        <v>1000</v>
      </c>
      <c r="B1002" s="22">
        <v>2.90036201477051E-4</v>
      </c>
      <c r="C1002" s="22">
        <v>-5.3423467761604102E-5</v>
      </c>
      <c r="D1002" s="22">
        <v>3.4345966923865511E-4</v>
      </c>
    </row>
    <row r="1003" spans="1:4" x14ac:dyDescent="0.25">
      <c r="A1003" s="2">
        <v>1001</v>
      </c>
      <c r="B1003" s="22">
        <v>-4.5001512626186002E-4</v>
      </c>
      <c r="C1003" s="22">
        <v>2.0826615582336699E-5</v>
      </c>
      <c r="D1003" s="22">
        <v>4.708417418441967E-4</v>
      </c>
    </row>
    <row r="1004" spans="1:4" x14ac:dyDescent="0.25">
      <c r="A1004" s="2" t="s">
        <v>1</v>
      </c>
      <c r="B1004" s="22">
        <v>-5.9274029571578688E-5</v>
      </c>
      <c r="C1004" s="22">
        <v>-7.555493371590928E-5</v>
      </c>
      <c r="D1004" s="22">
        <v>6.0967340231851241E-4</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54"/>
  <sheetViews>
    <sheetView zoomScale="85" zoomScaleNormal="85" workbookViewId="0">
      <selection activeCell="A2" sqref="A2"/>
    </sheetView>
  </sheetViews>
  <sheetFormatPr defaultRowHeight="15" x14ac:dyDescent="0.25"/>
  <cols>
    <col min="1" max="1" width="16" customWidth="1"/>
    <col min="2" max="2" width="22.85546875" bestFit="1" customWidth="1"/>
    <col min="3" max="3" width="25.5703125" bestFit="1" customWidth="1"/>
    <col min="4" max="4" width="21.7109375" bestFit="1" customWidth="1"/>
  </cols>
  <sheetData>
    <row r="1" spans="1:8" x14ac:dyDescent="0.25">
      <c r="A1" s="1" t="s">
        <v>0</v>
      </c>
      <c r="B1" t="s">
        <v>401</v>
      </c>
      <c r="C1" t="s">
        <v>402</v>
      </c>
      <c r="D1" t="s">
        <v>403</v>
      </c>
      <c r="G1" t="s">
        <v>394</v>
      </c>
      <c r="H1" s="33">
        <f>GETPIVOTDATA("Average of ERRORBASE",$A$1)</f>
        <v>6.0756619160057701E-4</v>
      </c>
    </row>
    <row r="2" spans="1:8" x14ac:dyDescent="0.25">
      <c r="A2" s="2" t="s">
        <v>404</v>
      </c>
      <c r="B2" s="22">
        <v>1.1590445041656501</v>
      </c>
      <c r="C2" s="22">
        <v>1.1590445041656501</v>
      </c>
      <c r="D2" s="22">
        <v>0</v>
      </c>
    </row>
    <row r="3" spans="1:8" x14ac:dyDescent="0.25">
      <c r="A3" s="2" t="s">
        <v>405</v>
      </c>
      <c r="B3" s="22">
        <v>1.1592143774032599</v>
      </c>
      <c r="C3" s="22">
        <v>1.1592143774032599</v>
      </c>
      <c r="D3" s="22">
        <v>0</v>
      </c>
    </row>
    <row r="4" spans="1:8" x14ac:dyDescent="0.25">
      <c r="A4" s="2" t="s">
        <v>406</v>
      </c>
      <c r="B4" s="22">
        <v>1.1570736169815099</v>
      </c>
      <c r="C4" s="22">
        <v>1.1570736169815099</v>
      </c>
      <c r="D4" s="22">
        <v>0</v>
      </c>
    </row>
    <row r="5" spans="1:8" x14ac:dyDescent="0.25">
      <c r="A5" s="2" t="s">
        <v>407</v>
      </c>
      <c r="B5" s="22">
        <v>1.15505599975586</v>
      </c>
      <c r="C5" s="22">
        <v>1.15505599975586</v>
      </c>
      <c r="D5" s="22">
        <v>0</v>
      </c>
    </row>
    <row r="6" spans="1:8" x14ac:dyDescent="0.25">
      <c r="A6" s="2" t="s">
        <v>408</v>
      </c>
      <c r="B6" s="22">
        <v>1.15626060962677</v>
      </c>
      <c r="C6" s="22">
        <v>1.15626060962677</v>
      </c>
      <c r="D6" s="22">
        <v>0</v>
      </c>
    </row>
    <row r="7" spans="1:8" x14ac:dyDescent="0.25">
      <c r="A7" s="2" t="s">
        <v>409</v>
      </c>
      <c r="B7" s="22">
        <v>1.1560755968093901</v>
      </c>
      <c r="C7" s="22">
        <v>1.1560755968093901</v>
      </c>
      <c r="D7" s="22">
        <v>0</v>
      </c>
    </row>
    <row r="8" spans="1:8" x14ac:dyDescent="0.25">
      <c r="A8" s="2" t="s">
        <v>410</v>
      </c>
      <c r="B8" s="22">
        <v>1.1564791202545199</v>
      </c>
      <c r="C8" s="22">
        <v>1.1564791202545199</v>
      </c>
      <c r="D8" s="22">
        <v>0</v>
      </c>
    </row>
    <row r="9" spans="1:8" x14ac:dyDescent="0.25">
      <c r="A9" s="2" t="s">
        <v>411</v>
      </c>
      <c r="B9" s="22">
        <v>1.1566361188888501</v>
      </c>
      <c r="C9" s="22">
        <v>1.1566361188888501</v>
      </c>
      <c r="D9" s="22">
        <v>0</v>
      </c>
    </row>
    <row r="10" spans="1:8" x14ac:dyDescent="0.25">
      <c r="A10" s="2" t="s">
        <v>412</v>
      </c>
      <c r="B10" s="22">
        <v>1.15541160106659</v>
      </c>
      <c r="C10" s="22">
        <v>1.15541160106659</v>
      </c>
      <c r="D10" s="22">
        <v>0</v>
      </c>
    </row>
    <row r="11" spans="1:8" x14ac:dyDescent="0.25">
      <c r="A11" s="2" t="s">
        <v>413</v>
      </c>
      <c r="B11" s="22">
        <v>1.15668725967407</v>
      </c>
      <c r="C11" s="22">
        <v>1.15668725967407</v>
      </c>
      <c r="D11" s="22">
        <v>0</v>
      </c>
    </row>
    <row r="12" spans="1:8" x14ac:dyDescent="0.25">
      <c r="A12" s="2" t="s">
        <v>414</v>
      </c>
      <c r="B12" s="22">
        <v>1.1568969488143901</v>
      </c>
      <c r="C12" s="22">
        <v>1.1568969488143901</v>
      </c>
      <c r="D12" s="22">
        <v>0</v>
      </c>
    </row>
    <row r="13" spans="1:8" x14ac:dyDescent="0.25">
      <c r="A13" s="2" t="s">
        <v>415</v>
      </c>
      <c r="B13" s="22">
        <v>1.15744376182556</v>
      </c>
      <c r="C13" s="22">
        <v>1.15744376182556</v>
      </c>
      <c r="D13" s="22">
        <v>0</v>
      </c>
    </row>
    <row r="14" spans="1:8" x14ac:dyDescent="0.25">
      <c r="A14" s="2" t="s">
        <v>416</v>
      </c>
      <c r="B14" s="22">
        <v>1.15742099285126</v>
      </c>
      <c r="C14" s="22">
        <v>1.15742099285126</v>
      </c>
      <c r="D14" s="22">
        <v>0</v>
      </c>
    </row>
    <row r="15" spans="1:8" x14ac:dyDescent="0.25">
      <c r="A15" s="2" t="s">
        <v>417</v>
      </c>
      <c r="B15" s="22">
        <v>1.1554754972457899</v>
      </c>
      <c r="C15" s="22">
        <v>1.1554754972457899</v>
      </c>
      <c r="D15" s="22">
        <v>0</v>
      </c>
    </row>
    <row r="16" spans="1:8" x14ac:dyDescent="0.25">
      <c r="A16" s="2" t="s">
        <v>418</v>
      </c>
      <c r="B16" s="22">
        <v>1.1560322046279901</v>
      </c>
      <c r="C16" s="22">
        <v>1.1560322046279901</v>
      </c>
      <c r="D16" s="22">
        <v>0</v>
      </c>
    </row>
    <row r="17" spans="1:4" x14ac:dyDescent="0.25">
      <c r="A17" s="2" t="s">
        <v>419</v>
      </c>
      <c r="B17" s="22">
        <v>1.1571400165557899</v>
      </c>
      <c r="C17" s="22">
        <v>1.15719294548035</v>
      </c>
      <c r="D17" s="22">
        <v>5.2928924559999997E-5</v>
      </c>
    </row>
    <row r="18" spans="1:4" x14ac:dyDescent="0.25">
      <c r="A18" s="2" t="s">
        <v>420</v>
      </c>
      <c r="B18" s="22">
        <v>1.15614008903503</v>
      </c>
      <c r="C18" s="22">
        <v>1.1563792228698699</v>
      </c>
      <c r="D18" s="22">
        <v>2.3913383483999999E-4</v>
      </c>
    </row>
    <row r="19" spans="1:4" x14ac:dyDescent="0.25">
      <c r="A19" s="2" t="s">
        <v>421</v>
      </c>
      <c r="B19" s="22">
        <v>1.1574399471282999</v>
      </c>
      <c r="C19" s="22">
        <v>1.15751421451569</v>
      </c>
      <c r="D19" s="22">
        <v>7.4267387390000001E-5</v>
      </c>
    </row>
    <row r="20" spans="1:4" x14ac:dyDescent="0.25">
      <c r="A20" s="2" t="s">
        <v>422</v>
      </c>
      <c r="B20" s="22">
        <v>1.15928995609283</v>
      </c>
      <c r="C20" s="22">
        <v>1.1592092514038099</v>
      </c>
      <c r="D20" s="22">
        <v>8.0704689019999996E-5</v>
      </c>
    </row>
    <row r="21" spans="1:4" x14ac:dyDescent="0.25">
      <c r="A21" s="2" t="s">
        <v>423</v>
      </c>
      <c r="B21" s="22">
        <v>1.16035008430481</v>
      </c>
      <c r="C21" s="22">
        <v>1.1588395833969101</v>
      </c>
      <c r="D21" s="22">
        <v>1.5105009079000001E-3</v>
      </c>
    </row>
    <row r="22" spans="1:4" x14ac:dyDescent="0.25">
      <c r="A22" s="2" t="s">
        <v>424</v>
      </c>
      <c r="B22" s="22">
        <v>1.15959000587463</v>
      </c>
      <c r="C22" s="22">
        <v>1.1597665548324601</v>
      </c>
      <c r="D22" s="22">
        <v>1.7654895783E-4</v>
      </c>
    </row>
    <row r="23" spans="1:4" x14ac:dyDescent="0.25">
      <c r="A23" s="2" t="s">
        <v>425</v>
      </c>
      <c r="B23" s="22">
        <v>1.1594200134277299</v>
      </c>
      <c r="C23" s="22">
        <v>1.15790808200836</v>
      </c>
      <c r="D23" s="22">
        <v>1.5119314193700001E-3</v>
      </c>
    </row>
    <row r="24" spans="1:4" x14ac:dyDescent="0.25">
      <c r="A24" s="2" t="s">
        <v>426</v>
      </c>
      <c r="B24" s="22">
        <v>1.1612900495529199</v>
      </c>
      <c r="C24" s="22">
        <v>1.15982222557068</v>
      </c>
      <c r="D24" s="22">
        <v>1.4678239822400001E-3</v>
      </c>
    </row>
    <row r="25" spans="1:4" x14ac:dyDescent="0.25">
      <c r="A25" s="2" t="s">
        <v>427</v>
      </c>
      <c r="B25" s="22">
        <v>1.1585900783538801</v>
      </c>
      <c r="C25" s="22">
        <v>1.1594153642654399</v>
      </c>
      <c r="D25" s="22">
        <v>8.2528591156000005E-4</v>
      </c>
    </row>
    <row r="26" spans="1:4" x14ac:dyDescent="0.25">
      <c r="A26" s="2" t="s">
        <v>428</v>
      </c>
      <c r="B26" s="22">
        <v>1.1592600345611599</v>
      </c>
      <c r="C26" s="22">
        <v>1.1588394641876201</v>
      </c>
      <c r="D26" s="22">
        <v>4.2057037353999998E-4</v>
      </c>
    </row>
    <row r="27" spans="1:4" x14ac:dyDescent="0.25">
      <c r="A27" s="2" t="s">
        <v>429</v>
      </c>
      <c r="B27" s="22">
        <v>1.1565300226211499</v>
      </c>
      <c r="C27" s="22">
        <v>1.1589766740798999</v>
      </c>
      <c r="D27" s="22">
        <v>2.44665145875E-3</v>
      </c>
    </row>
    <row r="28" spans="1:4" x14ac:dyDescent="0.25">
      <c r="A28" s="2" t="s">
        <v>430</v>
      </c>
      <c r="B28" s="22">
        <v>1.1600599288940401</v>
      </c>
      <c r="C28" s="22">
        <v>1.1587105989456199</v>
      </c>
      <c r="D28" s="22">
        <v>1.3493299484199999E-3</v>
      </c>
    </row>
    <row r="29" spans="1:4" x14ac:dyDescent="0.25">
      <c r="A29" s="2" t="s">
        <v>431</v>
      </c>
      <c r="B29" s="22">
        <v>1.1562299728393599</v>
      </c>
      <c r="C29" s="22">
        <v>1.15666627883911</v>
      </c>
      <c r="D29" s="22">
        <v>4.3630599975000002E-4</v>
      </c>
    </row>
    <row r="30" spans="1:4" x14ac:dyDescent="0.25">
      <c r="A30" s="2" t="s">
        <v>432</v>
      </c>
      <c r="B30" s="22">
        <v>1.1563299894332899</v>
      </c>
      <c r="C30" s="22">
        <v>1.15673828125</v>
      </c>
      <c r="D30" s="22">
        <v>4.0829181671E-4</v>
      </c>
    </row>
    <row r="31" spans="1:4" x14ac:dyDescent="0.25">
      <c r="A31" s="2" t="s">
        <v>433</v>
      </c>
      <c r="B31" s="22">
        <v>1.15715992450714</v>
      </c>
      <c r="C31" s="22">
        <v>1.15674269199371</v>
      </c>
      <c r="D31" s="22">
        <v>4.1723251342999998E-4</v>
      </c>
    </row>
    <row r="32" spans="1:4" x14ac:dyDescent="0.25">
      <c r="A32" s="2" t="s">
        <v>434</v>
      </c>
      <c r="B32" s="22">
        <v>1.1562799215316799</v>
      </c>
      <c r="C32" s="22">
        <v>1.15618979930878</v>
      </c>
      <c r="D32" s="22">
        <v>9.0122222900000001E-5</v>
      </c>
    </row>
    <row r="33" spans="1:4" x14ac:dyDescent="0.25">
      <c r="A33" s="2" t="s">
        <v>435</v>
      </c>
      <c r="B33" s="22">
        <v>1.15524005889893</v>
      </c>
      <c r="C33" s="22">
        <v>1.1570171117782599</v>
      </c>
      <c r="D33" s="22">
        <v>1.77705287933E-3</v>
      </c>
    </row>
    <row r="34" spans="1:4" x14ac:dyDescent="0.25">
      <c r="A34" s="2" t="s">
        <v>436</v>
      </c>
      <c r="B34" s="22">
        <v>1.1578400135040301</v>
      </c>
      <c r="C34" s="22">
        <v>1.15768039226532</v>
      </c>
      <c r="D34" s="22">
        <v>1.5962123870999999E-4</v>
      </c>
    </row>
    <row r="35" spans="1:4" x14ac:dyDescent="0.25">
      <c r="A35" s="2" t="s">
        <v>437</v>
      </c>
      <c r="B35" s="22">
        <v>1.1573399305343599</v>
      </c>
      <c r="C35" s="22">
        <v>1.15738797187805</v>
      </c>
      <c r="D35" s="22">
        <v>4.8041343689999999E-5</v>
      </c>
    </row>
    <row r="36" spans="1:4" x14ac:dyDescent="0.25">
      <c r="A36" s="2" t="s">
        <v>438</v>
      </c>
      <c r="B36" s="22">
        <v>1.16389000415802</v>
      </c>
      <c r="C36" s="22">
        <v>1.16457796096802</v>
      </c>
      <c r="D36" s="22">
        <v>6.8795681E-4</v>
      </c>
    </row>
    <row r="37" spans="1:4" x14ac:dyDescent="0.25">
      <c r="A37" s="2" t="s">
        <v>439</v>
      </c>
      <c r="B37" s="22">
        <v>1.16565012931824</v>
      </c>
      <c r="C37" s="22">
        <v>1.1650353670120199</v>
      </c>
      <c r="D37" s="22">
        <v>6.1476230622000002E-4</v>
      </c>
    </row>
    <row r="38" spans="1:4" x14ac:dyDescent="0.25">
      <c r="A38" s="2" t="s">
        <v>440</v>
      </c>
      <c r="B38" s="22">
        <v>1.1671099662780799</v>
      </c>
      <c r="C38" s="22">
        <v>1.1666344404220601</v>
      </c>
      <c r="D38" s="22">
        <v>4.7552585602000003E-4</v>
      </c>
    </row>
    <row r="39" spans="1:4" x14ac:dyDescent="0.25">
      <c r="A39" s="2" t="s">
        <v>441</v>
      </c>
      <c r="B39" s="22">
        <v>1.16535997390747</v>
      </c>
      <c r="C39" s="22">
        <v>1.1657911539077801</v>
      </c>
      <c r="D39" s="22">
        <v>4.3118000030999999E-4</v>
      </c>
    </row>
    <row r="40" spans="1:4" x14ac:dyDescent="0.25">
      <c r="A40" s="2" t="s">
        <v>442</v>
      </c>
      <c r="B40" s="22">
        <v>1.1721600294113199</v>
      </c>
      <c r="C40" s="22">
        <v>1.1651147603988601</v>
      </c>
      <c r="D40" s="22">
        <v>7.0452690124599999E-3</v>
      </c>
    </row>
    <row r="41" spans="1:4" x14ac:dyDescent="0.25">
      <c r="A41" s="2" t="s">
        <v>443</v>
      </c>
      <c r="B41" s="22">
        <v>1.16519010066986</v>
      </c>
      <c r="C41" s="22">
        <v>1.1647766828537001</v>
      </c>
      <c r="D41" s="22">
        <v>4.1341781616000001E-4</v>
      </c>
    </row>
    <row r="42" spans="1:4" x14ac:dyDescent="0.25">
      <c r="A42" s="2" t="s">
        <v>444</v>
      </c>
      <c r="B42" s="22">
        <v>1.1669999361038199</v>
      </c>
      <c r="C42" s="22">
        <v>1.16518878936768</v>
      </c>
      <c r="D42" s="22">
        <v>1.8111467361399999E-3</v>
      </c>
    </row>
    <row r="43" spans="1:4" x14ac:dyDescent="0.25">
      <c r="A43" s="2" t="s">
        <v>445</v>
      </c>
      <c r="B43" s="22">
        <v>1.1653300523757899</v>
      </c>
      <c r="C43" s="22">
        <v>1.1658236980438199</v>
      </c>
      <c r="D43" s="22">
        <v>4.9364566803000005E-4</v>
      </c>
    </row>
    <row r="44" spans="1:4" x14ac:dyDescent="0.25">
      <c r="A44" s="2" t="s">
        <v>446</v>
      </c>
      <c r="B44" s="22">
        <v>1.16530990600586</v>
      </c>
      <c r="C44" s="22">
        <v>1.16554415225983</v>
      </c>
      <c r="D44" s="22">
        <v>2.3424625397E-4</v>
      </c>
    </row>
    <row r="45" spans="1:4" x14ac:dyDescent="0.25">
      <c r="A45" s="2" t="s">
        <v>447</v>
      </c>
      <c r="B45" s="22">
        <v>1.1657299995422401</v>
      </c>
      <c r="C45" s="22">
        <v>1.1656256914138801</v>
      </c>
      <c r="D45" s="22">
        <v>1.0430812836E-4</v>
      </c>
    </row>
    <row r="46" spans="1:4" x14ac:dyDescent="0.25">
      <c r="A46" s="2" t="s">
        <v>448</v>
      </c>
      <c r="B46" s="22">
        <v>1.1671199798584</v>
      </c>
      <c r="C46" s="22">
        <v>1.1664413213729901</v>
      </c>
      <c r="D46" s="22">
        <v>6.7865848541000002E-4</v>
      </c>
    </row>
    <row r="47" spans="1:4" x14ac:dyDescent="0.25">
      <c r="A47" s="2" t="s">
        <v>449</v>
      </c>
      <c r="B47" s="22">
        <v>1.16622006893158</v>
      </c>
      <c r="C47" s="22">
        <v>1.16546618938446</v>
      </c>
      <c r="D47" s="22">
        <v>7.5387954711999996E-4</v>
      </c>
    </row>
    <row r="48" spans="1:4" x14ac:dyDescent="0.25">
      <c r="A48" s="2" t="s">
        <v>450</v>
      </c>
      <c r="B48" s="22">
        <v>1.1676498651504501</v>
      </c>
      <c r="C48" s="22">
        <v>1.1679446697235101</v>
      </c>
      <c r="D48" s="22">
        <v>2.9480457306000003E-4</v>
      </c>
    </row>
    <row r="49" spans="1:4" x14ac:dyDescent="0.25">
      <c r="A49" s="2" t="s">
        <v>451</v>
      </c>
      <c r="B49" s="22">
        <v>1.1682000160217301</v>
      </c>
      <c r="C49" s="22">
        <v>1.1681932210922199</v>
      </c>
      <c r="D49" s="22">
        <v>6.7949295099999996E-6</v>
      </c>
    </row>
    <row r="50" spans="1:4" x14ac:dyDescent="0.25">
      <c r="A50" s="2" t="s">
        <v>452</v>
      </c>
      <c r="B50" s="22">
        <v>1.1686700582504299</v>
      </c>
      <c r="C50" s="22">
        <v>1.1680018901825</v>
      </c>
      <c r="D50" s="22">
        <v>6.6816806792999997E-4</v>
      </c>
    </row>
    <row r="51" spans="1:4" x14ac:dyDescent="0.25">
      <c r="A51" s="2" t="s">
        <v>453</v>
      </c>
      <c r="B51" s="22">
        <v>1.1670800447464</v>
      </c>
      <c r="C51" s="22">
        <v>1.16808974742889</v>
      </c>
      <c r="D51" s="22">
        <v>1.00970268249E-3</v>
      </c>
    </row>
    <row r="52" spans="1:4" x14ac:dyDescent="0.25">
      <c r="A52" s="2" t="s">
        <v>454</v>
      </c>
      <c r="B52" s="22">
        <v>1.1707298755645801</v>
      </c>
      <c r="C52" s="22">
        <v>1.16835272312164</v>
      </c>
      <c r="D52" s="22">
        <v>2.3771524429400002E-3</v>
      </c>
    </row>
    <row r="53" spans="1:4" x14ac:dyDescent="0.25">
      <c r="A53" s="2" t="s">
        <v>455</v>
      </c>
      <c r="B53" s="22">
        <v>1.1682701110839799</v>
      </c>
      <c r="C53" s="22">
        <v>1.1682705879211399</v>
      </c>
      <c r="D53" s="22">
        <v>4.7683716000000005E-7</v>
      </c>
    </row>
    <row r="54" spans="1:4" x14ac:dyDescent="0.25">
      <c r="A54" s="2" t="s">
        <v>1</v>
      </c>
      <c r="B54" s="22">
        <v>1.1607576608657841</v>
      </c>
      <c r="C54" s="22">
        <v>1.1605207301103153</v>
      </c>
      <c r="D54" s="22">
        <v>6.0756619160057701E-4</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340"/>
  <sheetViews>
    <sheetView workbookViewId="0">
      <selection activeCell="P37" sqref="P37"/>
    </sheetView>
  </sheetViews>
  <sheetFormatPr defaultRowHeight="15" x14ac:dyDescent="0.25"/>
  <cols>
    <col min="1" max="1" width="15.42578125" bestFit="1" customWidth="1"/>
    <col min="2" max="3" width="9.5703125" customWidth="1"/>
    <col min="4" max="4" width="15.28515625" customWidth="1"/>
    <col min="5" max="5" width="15" customWidth="1"/>
    <col min="6" max="6" width="20.140625" bestFit="1" customWidth="1"/>
    <col min="7" max="9" width="7.42578125" customWidth="1"/>
  </cols>
  <sheetData>
    <row r="1" spans="1:5" x14ac:dyDescent="0.25">
      <c r="B1" s="31">
        <f>GETPIVOTDATA("errorH",$A$3)</f>
        <v>6.1394328358208949E-4</v>
      </c>
      <c r="C1" s="31">
        <f>GETPIVOTDATA("errorL",$A$3)</f>
        <v>5.6651044776119422E-4</v>
      </c>
      <c r="D1" s="32">
        <f>GETPIVOTDATA("Average of errHp",$A$3)</f>
        <v>0.42488741065157232</v>
      </c>
      <c r="E1" s="32">
        <f>GETPIVOTDATA("Average of errLp",$A$3)</f>
        <v>0.3920609015411316</v>
      </c>
    </row>
    <row r="3" spans="1:5" x14ac:dyDescent="0.25">
      <c r="A3" s="1" t="s">
        <v>0</v>
      </c>
      <c r="B3" t="s">
        <v>334</v>
      </c>
      <c r="C3" t="s">
        <v>335</v>
      </c>
      <c r="D3" t="s">
        <v>384</v>
      </c>
      <c r="E3" t="s">
        <v>385</v>
      </c>
    </row>
    <row r="4" spans="1:5" x14ac:dyDescent="0.25">
      <c r="A4" s="23">
        <v>43287.958333333336</v>
      </c>
      <c r="B4" s="15">
        <v>6.2199999999999998E-3</v>
      </c>
      <c r="C4" s="15">
        <v>6.058E-3</v>
      </c>
      <c r="D4" s="29">
        <v>7.4939759036144578</v>
      </c>
      <c r="E4" s="29">
        <v>7.2987951807228919</v>
      </c>
    </row>
    <row r="5" spans="1:5" x14ac:dyDescent="0.25">
      <c r="A5" s="23">
        <v>43290</v>
      </c>
      <c r="B5" s="15">
        <v>1.1202999999999999E-2</v>
      </c>
      <c r="C5" s="15">
        <v>1.0441000000000001E-2</v>
      </c>
      <c r="D5" s="29">
        <v>8.4871212121212114</v>
      </c>
      <c r="E5" s="29">
        <v>7.9098484848484851</v>
      </c>
    </row>
    <row r="6" spans="1:5" x14ac:dyDescent="0.25">
      <c r="A6" s="23">
        <v>43290.041666666664</v>
      </c>
      <c r="B6" s="15">
        <v>2.8899999999999998E-4</v>
      </c>
      <c r="C6" s="15">
        <v>4.3000000000000002E-5</v>
      </c>
      <c r="D6" s="29">
        <v>0.31413043478260866</v>
      </c>
      <c r="E6" s="29">
        <v>4.6739130434782609E-2</v>
      </c>
    </row>
    <row r="7" spans="1:5" x14ac:dyDescent="0.25">
      <c r="A7" s="23">
        <v>43290.083333333336</v>
      </c>
      <c r="B7" s="15">
        <v>3.5599999999999998E-4</v>
      </c>
      <c r="C7" s="15">
        <v>2.5700000000000001E-4</v>
      </c>
      <c r="D7" s="29">
        <v>0.39555555555555555</v>
      </c>
      <c r="E7" s="29">
        <v>0.28555555555555556</v>
      </c>
    </row>
    <row r="8" spans="1:5" x14ac:dyDescent="0.25">
      <c r="A8" s="23">
        <v>43290.125</v>
      </c>
      <c r="B8" s="15">
        <v>3.68E-4</v>
      </c>
      <c r="C8" s="15">
        <v>4.7800000000000002E-4</v>
      </c>
      <c r="D8" s="29">
        <v>0.39148936170212767</v>
      </c>
      <c r="E8" s="29">
        <v>0.50851063829787235</v>
      </c>
    </row>
    <row r="9" spans="1:5" x14ac:dyDescent="0.25">
      <c r="A9" s="23">
        <v>43290.166666666664</v>
      </c>
      <c r="B9" s="15">
        <v>7.0699999999999995E-4</v>
      </c>
      <c r="C9" s="15">
        <v>1.36E-4</v>
      </c>
      <c r="D9" s="29">
        <v>0.41588235294117648</v>
      </c>
      <c r="E9" s="29">
        <v>0.08</v>
      </c>
    </row>
    <row r="10" spans="1:5" x14ac:dyDescent="0.25">
      <c r="A10" s="23">
        <v>43290.208333333336</v>
      </c>
      <c r="B10" s="15">
        <v>4.3600000000000003E-4</v>
      </c>
      <c r="C10" s="15">
        <v>6.2000000000000003E-5</v>
      </c>
      <c r="D10" s="29">
        <v>0.55189873417721524</v>
      </c>
      <c r="E10" s="29">
        <v>7.848101265822785E-2</v>
      </c>
    </row>
    <row r="11" spans="1:5" x14ac:dyDescent="0.25">
      <c r="A11" s="23">
        <v>43290.25</v>
      </c>
      <c r="B11" s="15">
        <v>3.0299999999999999E-4</v>
      </c>
      <c r="C11" s="15">
        <v>3.77E-4</v>
      </c>
      <c r="D11" s="29">
        <v>0.3443181818181818</v>
      </c>
      <c r="E11" s="29">
        <v>0.42840909090909091</v>
      </c>
    </row>
    <row r="12" spans="1:5" x14ac:dyDescent="0.25">
      <c r="A12" s="23">
        <v>43290.291666666664</v>
      </c>
      <c r="B12" s="15">
        <v>4.64E-4</v>
      </c>
      <c r="C12" s="15">
        <v>3.2699999999999998E-4</v>
      </c>
      <c r="D12" s="29">
        <v>0.92799999999999994</v>
      </c>
      <c r="E12" s="29">
        <v>0.65399999999999991</v>
      </c>
    </row>
    <row r="13" spans="1:5" x14ac:dyDescent="0.25">
      <c r="A13" s="23">
        <v>43290.333333333336</v>
      </c>
      <c r="B13" s="15">
        <v>4.66E-4</v>
      </c>
      <c r="C13" s="15">
        <v>8.6000000000000003E-5</v>
      </c>
      <c r="D13" s="29">
        <v>0.34776119402985073</v>
      </c>
      <c r="E13" s="29">
        <v>6.4179104477611937E-2</v>
      </c>
    </row>
    <row r="14" spans="1:5" x14ac:dyDescent="0.25">
      <c r="A14" s="23">
        <v>43290.375</v>
      </c>
      <c r="B14" s="15">
        <v>4.9100000000000001E-4</v>
      </c>
      <c r="C14" s="15">
        <v>1.7899999999999999E-4</v>
      </c>
      <c r="D14" s="29">
        <v>0.28057142857142858</v>
      </c>
      <c r="E14" s="29">
        <v>0.10228571428571427</v>
      </c>
    </row>
    <row r="15" spans="1:5" x14ac:dyDescent="0.25">
      <c r="A15" s="23">
        <v>43290.416666666664</v>
      </c>
      <c r="B15" s="15">
        <v>4.0200000000000001E-4</v>
      </c>
      <c r="C15" s="15">
        <v>9.7900000000000005E-4</v>
      </c>
      <c r="D15" s="29">
        <v>0.18190045248868777</v>
      </c>
      <c r="E15" s="29">
        <v>0.4429864253393665</v>
      </c>
    </row>
    <row r="16" spans="1:5" x14ac:dyDescent="0.25">
      <c r="A16" s="23">
        <v>43290.458333333336</v>
      </c>
      <c r="B16" s="15">
        <v>7.3399999999999995E-4</v>
      </c>
      <c r="C16" s="15">
        <v>7.9799999999999999E-4</v>
      </c>
      <c r="D16" s="29">
        <v>0.46751592356687893</v>
      </c>
      <c r="E16" s="29">
        <v>0.50828025477707006</v>
      </c>
    </row>
    <row r="17" spans="1:5" x14ac:dyDescent="0.25">
      <c r="A17" s="23">
        <v>43290.5</v>
      </c>
      <c r="B17" s="15">
        <v>3.2200000000000002E-4</v>
      </c>
      <c r="C17" s="15">
        <v>1.06E-4</v>
      </c>
      <c r="D17" s="29">
        <v>0.2576</v>
      </c>
      <c r="E17" s="29">
        <v>8.48E-2</v>
      </c>
    </row>
    <row r="18" spans="1:5" x14ac:dyDescent="0.25">
      <c r="A18" s="23">
        <v>43290.541666666664</v>
      </c>
      <c r="B18" s="15">
        <v>1.5E-5</v>
      </c>
      <c r="C18" s="15">
        <v>1.7000000000000001E-4</v>
      </c>
      <c r="D18" s="29">
        <v>1.282051282051282E-2</v>
      </c>
      <c r="E18" s="29">
        <v>0.14529914529914531</v>
      </c>
    </row>
    <row r="19" spans="1:5" x14ac:dyDescent="0.25">
      <c r="A19" s="23">
        <v>43290.583333333336</v>
      </c>
      <c r="B19" s="15">
        <v>1.0269999999999999E-3</v>
      </c>
      <c r="C19" s="15">
        <v>7.6199999999999998E-4</v>
      </c>
      <c r="D19" s="29">
        <v>0.54338624338624331</v>
      </c>
      <c r="E19" s="29">
        <v>0.40317460317460319</v>
      </c>
    </row>
    <row r="20" spans="1:5" x14ac:dyDescent="0.25">
      <c r="A20" s="23">
        <v>43290.625</v>
      </c>
      <c r="B20" s="15">
        <v>2.99E-4</v>
      </c>
      <c r="C20" s="15">
        <v>2.2599999999999999E-4</v>
      </c>
      <c r="D20" s="29">
        <v>0.20620689655172417</v>
      </c>
      <c r="E20" s="29">
        <v>0.15586206896551724</v>
      </c>
    </row>
    <row r="21" spans="1:5" x14ac:dyDescent="0.25">
      <c r="A21" s="23">
        <v>43290.666666666664</v>
      </c>
      <c r="B21" s="15">
        <v>3.8299999999999999E-4</v>
      </c>
      <c r="C21" s="15">
        <v>1.472E-3</v>
      </c>
      <c r="D21" s="29">
        <v>0.14132841328413281</v>
      </c>
      <c r="E21" s="29">
        <v>0.54317343173431731</v>
      </c>
    </row>
    <row r="22" spans="1:5" x14ac:dyDescent="0.25">
      <c r="A22" s="23">
        <v>43290.708333333336</v>
      </c>
      <c r="B22" s="15">
        <v>6.8499999999999995E-4</v>
      </c>
      <c r="C22" s="15">
        <v>5.8600000000000004E-4</v>
      </c>
      <c r="D22" s="29">
        <v>0.36631016042780745</v>
      </c>
      <c r="E22" s="29">
        <v>0.31336898395721929</v>
      </c>
    </row>
    <row r="23" spans="1:5" x14ac:dyDescent="0.25">
      <c r="A23" s="23">
        <v>43290.75</v>
      </c>
      <c r="B23" s="15">
        <v>4.4099999999999999E-4</v>
      </c>
      <c r="C23" s="15">
        <v>8.1099999999999998E-4</v>
      </c>
      <c r="D23" s="29">
        <v>0.20900473933649288</v>
      </c>
      <c r="E23" s="29">
        <v>0.38436018957345974</v>
      </c>
    </row>
    <row r="24" spans="1:5" x14ac:dyDescent="0.25">
      <c r="A24" s="23">
        <v>43290.791666666664</v>
      </c>
      <c r="B24" s="15">
        <v>2.13E-4</v>
      </c>
      <c r="C24" s="15">
        <v>6.7599999999999995E-4</v>
      </c>
      <c r="D24" s="29">
        <v>0.23666666666666666</v>
      </c>
      <c r="E24" s="29">
        <v>0.75111111111111106</v>
      </c>
    </row>
    <row r="25" spans="1:5" x14ac:dyDescent="0.25">
      <c r="A25" s="23">
        <v>43290.833333333336</v>
      </c>
      <c r="B25" s="15">
        <v>4.6900000000000002E-4</v>
      </c>
      <c r="C25" s="15">
        <v>7.0399999999999998E-4</v>
      </c>
      <c r="D25" s="29">
        <v>0.2605555555555556</v>
      </c>
      <c r="E25" s="29">
        <v>0.39111111111111113</v>
      </c>
    </row>
    <row r="26" spans="1:5" x14ac:dyDescent="0.25">
      <c r="A26" s="23">
        <v>43290.875</v>
      </c>
      <c r="B26" s="15">
        <v>9.0000000000000006E-5</v>
      </c>
      <c r="C26" s="15">
        <v>1.0970000000000001E-3</v>
      </c>
      <c r="D26" s="29">
        <v>0.1475409836065574</v>
      </c>
      <c r="E26" s="29">
        <v>1.7983606557377052</v>
      </c>
    </row>
    <row r="27" spans="1:5" x14ac:dyDescent="0.25">
      <c r="A27" s="23">
        <v>43290.916666666664</v>
      </c>
      <c r="B27" s="15">
        <v>1.54E-4</v>
      </c>
      <c r="C27" s="15">
        <v>2.5799999999999998E-4</v>
      </c>
      <c r="D27" s="29">
        <v>0.11159420289855074</v>
      </c>
      <c r="E27" s="29">
        <v>0.18695652173913044</v>
      </c>
    </row>
    <row r="28" spans="1:5" x14ac:dyDescent="0.25">
      <c r="A28" s="23">
        <v>43290.958333333336</v>
      </c>
      <c r="B28" s="15">
        <v>6.7999999999999999E-5</v>
      </c>
      <c r="C28" s="15">
        <v>2.5900000000000001E-4</v>
      </c>
      <c r="D28" s="29">
        <v>9.9999999999999992E-2</v>
      </c>
      <c r="E28" s="29">
        <v>0.38088235294117645</v>
      </c>
    </row>
    <row r="29" spans="1:5" x14ac:dyDescent="0.25">
      <c r="A29" s="23">
        <v>43291</v>
      </c>
      <c r="B29" s="15">
        <v>1.8599999999999999E-4</v>
      </c>
      <c r="C29" s="15">
        <v>1.7E-5</v>
      </c>
      <c r="D29" s="29">
        <v>0.21627906976744185</v>
      </c>
      <c r="E29" s="29">
        <v>1.9767441860465116E-2</v>
      </c>
    </row>
    <row r="30" spans="1:5" x14ac:dyDescent="0.25">
      <c r="A30" s="23">
        <v>43291.041666666664</v>
      </c>
      <c r="B30" s="15">
        <v>1.4100000000000001E-4</v>
      </c>
      <c r="C30" s="15">
        <v>1.12E-4</v>
      </c>
      <c r="D30" s="29">
        <v>0.28200000000000003</v>
      </c>
      <c r="E30" s="29">
        <v>0.224</v>
      </c>
    </row>
    <row r="31" spans="1:5" x14ac:dyDescent="0.25">
      <c r="A31" s="23">
        <v>43291.083333333336</v>
      </c>
      <c r="B31" s="15">
        <v>1.75E-4</v>
      </c>
      <c r="C31" s="15">
        <v>7.2000000000000002E-5</v>
      </c>
      <c r="D31" s="29">
        <v>0.20833333333333331</v>
      </c>
      <c r="E31" s="29">
        <v>8.5714285714285715E-2</v>
      </c>
    </row>
    <row r="32" spans="1:5" x14ac:dyDescent="0.25">
      <c r="A32" s="23">
        <v>43291.125</v>
      </c>
      <c r="B32" s="15">
        <v>1.6699999999999999E-4</v>
      </c>
      <c r="C32" s="15">
        <v>1.73E-4</v>
      </c>
      <c r="D32" s="29">
        <v>0.23194444444444443</v>
      </c>
      <c r="E32" s="29">
        <v>0.24027777777777776</v>
      </c>
    </row>
    <row r="33" spans="1:5" x14ac:dyDescent="0.25">
      <c r="A33" s="23">
        <v>43291.166666666664</v>
      </c>
      <c r="B33" s="15">
        <v>2.1699999999999999E-4</v>
      </c>
      <c r="C33" s="15">
        <v>7.9199999999999995E-4</v>
      </c>
      <c r="D33" s="29">
        <v>0.15069444444444444</v>
      </c>
      <c r="E33" s="29">
        <v>0.54999999999999993</v>
      </c>
    </row>
    <row r="34" spans="1:5" x14ac:dyDescent="0.25">
      <c r="A34" s="23">
        <v>43291.208333333336</v>
      </c>
      <c r="B34" s="15">
        <v>1.12E-4</v>
      </c>
      <c r="C34" s="15">
        <v>1.18E-4</v>
      </c>
      <c r="D34" s="29">
        <v>0.12584269662921349</v>
      </c>
      <c r="E34" s="29">
        <v>0.13258426966292136</v>
      </c>
    </row>
    <row r="35" spans="1:5" x14ac:dyDescent="0.25">
      <c r="A35" s="23">
        <v>43291.25</v>
      </c>
      <c r="B35" s="15">
        <v>3.1500000000000001E-4</v>
      </c>
      <c r="C35" s="15">
        <v>1.9000000000000001E-4</v>
      </c>
      <c r="D35" s="29">
        <v>0.33510638297872342</v>
      </c>
      <c r="E35" s="29">
        <v>0.2021276595744681</v>
      </c>
    </row>
    <row r="36" spans="1:5" x14ac:dyDescent="0.25">
      <c r="A36" s="23">
        <v>43291.291666666664</v>
      </c>
      <c r="B36" s="15">
        <v>4.28E-4</v>
      </c>
      <c r="C36" s="15">
        <v>1.7699999999999999E-4</v>
      </c>
      <c r="D36" s="29">
        <v>0.54177215189873418</v>
      </c>
      <c r="E36" s="29">
        <v>0.22405063291139241</v>
      </c>
    </row>
    <row r="37" spans="1:5" x14ac:dyDescent="0.25">
      <c r="A37" s="23">
        <v>43291.333333333336</v>
      </c>
      <c r="B37" s="15">
        <v>2.1000000000000001E-4</v>
      </c>
      <c r="C37" s="15">
        <v>1.2400000000000001E-4</v>
      </c>
      <c r="D37" s="29">
        <v>0.3</v>
      </c>
      <c r="E37" s="29">
        <v>0.17714285714285716</v>
      </c>
    </row>
    <row r="38" spans="1:5" x14ac:dyDescent="0.25">
      <c r="A38" s="23">
        <v>43291.375</v>
      </c>
      <c r="B38" s="15">
        <v>2.99E-4</v>
      </c>
      <c r="C38" s="15">
        <v>4.2999999999999999E-4</v>
      </c>
      <c r="D38" s="29">
        <v>0.17183908045977012</v>
      </c>
      <c r="E38" s="29">
        <v>0.2471264367816092</v>
      </c>
    </row>
    <row r="39" spans="1:5" x14ac:dyDescent="0.25">
      <c r="A39" s="23">
        <v>43291.416666666664</v>
      </c>
      <c r="B39" s="15">
        <v>2.5000000000000001E-4</v>
      </c>
      <c r="C39" s="15">
        <v>1.75E-4</v>
      </c>
      <c r="D39" s="29">
        <v>0.16233766233766234</v>
      </c>
      <c r="E39" s="29">
        <v>0.11363636363636365</v>
      </c>
    </row>
    <row r="40" spans="1:5" x14ac:dyDescent="0.25">
      <c r="A40" s="23">
        <v>43291.458333333336</v>
      </c>
      <c r="B40" s="15">
        <v>2.13E-4</v>
      </c>
      <c r="C40" s="15">
        <v>1.663E-3</v>
      </c>
      <c r="D40" s="29">
        <v>7.8308823529411764E-2</v>
      </c>
      <c r="E40" s="29">
        <v>0.61139705882352935</v>
      </c>
    </row>
    <row r="41" spans="1:5" x14ac:dyDescent="0.25">
      <c r="A41" s="23">
        <v>43291.5</v>
      </c>
      <c r="B41" s="15">
        <v>9.1399999999999999E-4</v>
      </c>
      <c r="C41" s="15">
        <v>3.4999999999999997E-5</v>
      </c>
      <c r="D41" s="29">
        <v>0.75537190082644634</v>
      </c>
      <c r="E41" s="29">
        <v>2.8925619834710745E-2</v>
      </c>
    </row>
    <row r="42" spans="1:5" x14ac:dyDescent="0.25">
      <c r="A42" s="23">
        <v>43291.541666666664</v>
      </c>
      <c r="B42" s="15">
        <v>1.2E-4</v>
      </c>
      <c r="C42" s="15">
        <v>8.2100000000000001E-4</v>
      </c>
      <c r="D42" s="29">
        <v>5.1724137931034482E-2</v>
      </c>
      <c r="E42" s="29">
        <v>0.35387931034482761</v>
      </c>
    </row>
    <row r="43" spans="1:5" x14ac:dyDescent="0.25">
      <c r="A43" s="23">
        <v>43291.583333333336</v>
      </c>
      <c r="B43" s="15">
        <v>4.3600000000000003E-4</v>
      </c>
      <c r="C43" s="15">
        <v>2.1800000000000001E-4</v>
      </c>
      <c r="D43" s="29">
        <v>0.21909547738693469</v>
      </c>
      <c r="E43" s="29">
        <v>0.10954773869346734</v>
      </c>
    </row>
    <row r="44" spans="1:5" x14ac:dyDescent="0.25">
      <c r="A44" s="23">
        <v>43291.625</v>
      </c>
      <c r="B44" s="15">
        <v>6.1799999999999995E-4</v>
      </c>
      <c r="C44" s="15">
        <v>7.0100000000000002E-4</v>
      </c>
      <c r="D44" s="29">
        <v>0.268695652173913</v>
      </c>
      <c r="E44" s="29">
        <v>0.30478260869565221</v>
      </c>
    </row>
    <row r="45" spans="1:5" x14ac:dyDescent="0.25">
      <c r="A45" s="23">
        <v>43291.666666666664</v>
      </c>
      <c r="B45" s="15">
        <v>1.1900000000000001E-4</v>
      </c>
      <c r="C45" s="15">
        <v>5.04E-4</v>
      </c>
      <c r="D45" s="29">
        <v>8.2638888888888887E-2</v>
      </c>
      <c r="E45" s="29">
        <v>0.35</v>
      </c>
    </row>
    <row r="46" spans="1:5" x14ac:dyDescent="0.25">
      <c r="A46" s="23">
        <v>43291.708333333336</v>
      </c>
      <c r="B46" s="15">
        <v>4.7800000000000002E-4</v>
      </c>
      <c r="C46" s="15">
        <v>9.2E-5</v>
      </c>
      <c r="D46" s="29">
        <v>0.24020100502512565</v>
      </c>
      <c r="E46" s="29">
        <v>4.6231155778894473E-2</v>
      </c>
    </row>
    <row r="47" spans="1:5" x14ac:dyDescent="0.25">
      <c r="A47" s="23">
        <v>43291.75</v>
      </c>
      <c r="B47" s="15">
        <v>1.2780000000000001E-3</v>
      </c>
      <c r="C47" s="15">
        <v>7.4899999999999999E-4</v>
      </c>
      <c r="D47" s="29">
        <v>0.63582089552238807</v>
      </c>
      <c r="E47" s="29">
        <v>0.37263681592039799</v>
      </c>
    </row>
    <row r="48" spans="1:5" x14ac:dyDescent="0.25">
      <c r="A48" s="23">
        <v>43291.791666666664</v>
      </c>
      <c r="B48" s="15">
        <v>5.0500000000000002E-4</v>
      </c>
      <c r="C48" s="15">
        <v>2.7799999999999998E-4</v>
      </c>
      <c r="D48" s="29">
        <v>0.31761006289308175</v>
      </c>
      <c r="E48" s="29">
        <v>0.17484276729559747</v>
      </c>
    </row>
    <row r="49" spans="1:5" x14ac:dyDescent="0.25">
      <c r="A49" s="23">
        <v>43291.833333333336</v>
      </c>
      <c r="B49" s="15">
        <v>6.3000000000000003E-4</v>
      </c>
      <c r="C49" s="15">
        <v>6.78E-4</v>
      </c>
      <c r="D49" s="29">
        <v>0.42</v>
      </c>
      <c r="E49" s="29">
        <v>0.45200000000000001</v>
      </c>
    </row>
    <row r="50" spans="1:5" x14ac:dyDescent="0.25">
      <c r="A50" s="23">
        <v>43291.875</v>
      </c>
      <c r="B50" s="15">
        <v>3.4900000000000003E-4</v>
      </c>
      <c r="C50" s="15">
        <v>3.3799999999999998E-4</v>
      </c>
      <c r="D50" s="29">
        <v>0.42560975609756102</v>
      </c>
      <c r="E50" s="29">
        <v>0.41219512195121949</v>
      </c>
    </row>
    <row r="51" spans="1:5" x14ac:dyDescent="0.25">
      <c r="A51" s="23">
        <v>43291.916666666664</v>
      </c>
      <c r="B51" s="15">
        <v>2.2699999999999999E-4</v>
      </c>
      <c r="C51" s="15">
        <v>3.6000000000000002E-4</v>
      </c>
      <c r="D51" s="29">
        <v>0.46326530612244898</v>
      </c>
      <c r="E51" s="29">
        <v>0.73469387755102045</v>
      </c>
    </row>
    <row r="52" spans="1:5" x14ac:dyDescent="0.25">
      <c r="A52" s="23">
        <v>43291.958333333336</v>
      </c>
      <c r="B52" s="15">
        <v>9.2999999999999997E-5</v>
      </c>
      <c r="C52" s="15">
        <v>1.2899999999999999E-4</v>
      </c>
      <c r="D52" s="29">
        <v>0.14531249999999998</v>
      </c>
      <c r="E52" s="29">
        <v>0.20156249999999998</v>
      </c>
    </row>
    <row r="53" spans="1:5" x14ac:dyDescent="0.25">
      <c r="A53" s="23">
        <v>43292</v>
      </c>
      <c r="B53" s="15">
        <v>6.2000000000000003E-5</v>
      </c>
      <c r="C53" s="15">
        <v>8.25E-4</v>
      </c>
      <c r="D53" s="29">
        <v>4.4927536231884065E-2</v>
      </c>
      <c r="E53" s="29">
        <v>0.59782608695652173</v>
      </c>
    </row>
    <row r="54" spans="1:5" x14ac:dyDescent="0.25">
      <c r="A54" s="23">
        <v>43292.041666666664</v>
      </c>
      <c r="B54" s="15">
        <v>6.4700000000000001E-4</v>
      </c>
      <c r="C54" s="15">
        <v>2.8899999999999998E-4</v>
      </c>
      <c r="D54" s="29">
        <v>0.92428571428571427</v>
      </c>
      <c r="E54" s="29">
        <v>0.41285714285714281</v>
      </c>
    </row>
    <row r="55" spans="1:5" x14ac:dyDescent="0.25">
      <c r="A55" s="23">
        <v>43292.083333333336</v>
      </c>
      <c r="B55" s="15">
        <v>1.75E-4</v>
      </c>
      <c r="C55" s="15">
        <v>4.6799999999999999E-4</v>
      </c>
      <c r="D55" s="29">
        <v>0.14462809917355374</v>
      </c>
      <c r="E55" s="29">
        <v>0.38677685950413226</v>
      </c>
    </row>
    <row r="56" spans="1:5" x14ac:dyDescent="0.25">
      <c r="A56" s="23">
        <v>43292.125</v>
      </c>
      <c r="B56" s="15">
        <v>1.22E-4</v>
      </c>
      <c r="C56" s="15">
        <v>2.22E-4</v>
      </c>
      <c r="D56" s="29">
        <v>0.1506172839506173</v>
      </c>
      <c r="E56" s="29">
        <v>0.27407407407407408</v>
      </c>
    </row>
    <row r="57" spans="1:5" x14ac:dyDescent="0.25">
      <c r="A57" s="23">
        <v>43292.166666666664</v>
      </c>
      <c r="B57" s="15">
        <v>9.8999999999999994E-5</v>
      </c>
      <c r="C57" s="15">
        <v>8.7999999999999998E-5</v>
      </c>
      <c r="D57" s="29">
        <v>0.12222222222222222</v>
      </c>
      <c r="E57" s="29">
        <v>0.10864197530864197</v>
      </c>
    </row>
    <row r="58" spans="1:5" x14ac:dyDescent="0.25">
      <c r="A58" s="23">
        <v>43292.208333333336</v>
      </c>
      <c r="B58" s="15">
        <v>1.85E-4</v>
      </c>
      <c r="C58" s="15">
        <v>6.6000000000000005E-5</v>
      </c>
      <c r="D58" s="29">
        <v>0.21511627906976744</v>
      </c>
      <c r="E58" s="29">
        <v>7.6744186046511634E-2</v>
      </c>
    </row>
    <row r="59" spans="1:5" x14ac:dyDescent="0.25">
      <c r="A59" s="23">
        <v>43292.25</v>
      </c>
      <c r="B59" s="15">
        <v>2.22E-4</v>
      </c>
      <c r="C59" s="15">
        <v>2.2000000000000001E-4</v>
      </c>
      <c r="D59" s="29">
        <v>0.29599999999999999</v>
      </c>
      <c r="E59" s="29">
        <v>0.29333333333333333</v>
      </c>
    </row>
    <row r="60" spans="1:5" x14ac:dyDescent="0.25">
      <c r="A60" s="23">
        <v>43292.291666666664</v>
      </c>
      <c r="B60" s="15">
        <v>1.85E-4</v>
      </c>
      <c r="C60" s="15">
        <v>2.3699999999999999E-4</v>
      </c>
      <c r="D60" s="29">
        <v>0.23717948717948717</v>
      </c>
      <c r="E60" s="29">
        <v>0.30384615384615382</v>
      </c>
    </row>
    <row r="61" spans="1:5" x14ac:dyDescent="0.25">
      <c r="A61" s="23">
        <v>43292.333333333336</v>
      </c>
      <c r="B61" s="15">
        <v>1.8799999999999999E-4</v>
      </c>
      <c r="C61" s="15">
        <v>4.6500000000000003E-4</v>
      </c>
      <c r="D61" s="29">
        <v>0.27647058823529408</v>
      </c>
      <c r="E61" s="29">
        <v>0.68382352941176472</v>
      </c>
    </row>
    <row r="62" spans="1:5" x14ac:dyDescent="0.25">
      <c r="A62" s="23">
        <v>43292.375</v>
      </c>
      <c r="B62" s="15">
        <v>6.0400000000000004E-4</v>
      </c>
      <c r="C62" s="15">
        <v>4.8999999999999998E-5</v>
      </c>
      <c r="D62" s="29">
        <v>0.38227848101265827</v>
      </c>
      <c r="E62" s="29">
        <v>3.10126582278481E-2</v>
      </c>
    </row>
    <row r="63" spans="1:5" x14ac:dyDescent="0.25">
      <c r="A63" s="23">
        <v>43292.416666666664</v>
      </c>
      <c r="B63" s="15">
        <v>3.0299999999999999E-4</v>
      </c>
      <c r="C63" s="15">
        <v>3.7399999999999998E-4</v>
      </c>
      <c r="D63" s="29">
        <v>0.19423076923076923</v>
      </c>
      <c r="E63" s="29">
        <v>0.23974358974358972</v>
      </c>
    </row>
    <row r="64" spans="1:5" x14ac:dyDescent="0.25">
      <c r="A64" s="23">
        <v>43292.458333333336</v>
      </c>
      <c r="B64" s="15">
        <v>1.13E-4</v>
      </c>
      <c r="C64" s="15">
        <v>1.6900000000000001E-3</v>
      </c>
      <c r="D64" s="29">
        <v>3.4662576687116566E-2</v>
      </c>
      <c r="E64" s="29">
        <v>0.51840490797546013</v>
      </c>
    </row>
    <row r="65" spans="1:5" x14ac:dyDescent="0.25">
      <c r="A65" s="23">
        <v>43292.5</v>
      </c>
      <c r="B65" s="15">
        <v>1.286E-3</v>
      </c>
      <c r="C65" s="15">
        <v>2.41E-4</v>
      </c>
      <c r="D65" s="29">
        <v>0.78414634146341466</v>
      </c>
      <c r="E65" s="29">
        <v>0.14695121951219511</v>
      </c>
    </row>
    <row r="66" spans="1:5" x14ac:dyDescent="0.25">
      <c r="A66" s="23">
        <v>43292.541666666664</v>
      </c>
      <c r="B66" s="15">
        <v>4.9799999999999996E-4</v>
      </c>
      <c r="C66" s="15">
        <v>7.6400000000000003E-4</v>
      </c>
      <c r="D66" s="29">
        <v>0.32129032258064516</v>
      </c>
      <c r="E66" s="29">
        <v>0.49290322580645163</v>
      </c>
    </row>
    <row r="67" spans="1:5" x14ac:dyDescent="0.25">
      <c r="A67" s="23">
        <v>43292.583333333336</v>
      </c>
      <c r="B67" s="15">
        <v>2.5999999999999998E-5</v>
      </c>
      <c r="C67" s="15">
        <v>5.1900000000000004E-4</v>
      </c>
      <c r="D67" s="29">
        <v>1.268292682926829E-2</v>
      </c>
      <c r="E67" s="29">
        <v>0.25317073170731708</v>
      </c>
    </row>
    <row r="68" spans="1:5" x14ac:dyDescent="0.25">
      <c r="A68" s="23">
        <v>43292.625</v>
      </c>
      <c r="B68" s="15">
        <v>3.614E-3</v>
      </c>
      <c r="C68" s="15">
        <v>2.14E-4</v>
      </c>
      <c r="D68" s="29">
        <v>0.67425373134328359</v>
      </c>
      <c r="E68" s="29">
        <v>3.9925373134328354E-2</v>
      </c>
    </row>
    <row r="69" spans="1:5" x14ac:dyDescent="0.25">
      <c r="A69" s="23">
        <v>43292.666666666664</v>
      </c>
      <c r="B69" s="15">
        <v>1.297E-3</v>
      </c>
      <c r="C69" s="15">
        <v>1.7060000000000001E-3</v>
      </c>
      <c r="D69" s="29">
        <v>0.90069444444444435</v>
      </c>
      <c r="E69" s="29">
        <v>1.1847222222222222</v>
      </c>
    </row>
    <row r="70" spans="1:5" x14ac:dyDescent="0.25">
      <c r="A70" s="23">
        <v>43292.708333333336</v>
      </c>
      <c r="B70" s="15">
        <v>8.0900000000000004E-4</v>
      </c>
      <c r="C70" s="15">
        <v>1.4339999999999999E-3</v>
      </c>
      <c r="D70" s="29">
        <v>0.25440251572327044</v>
      </c>
      <c r="E70" s="29">
        <v>0.45094339622641505</v>
      </c>
    </row>
    <row r="71" spans="1:5" x14ac:dyDescent="0.25">
      <c r="A71" s="23">
        <v>43292.75</v>
      </c>
      <c r="B71" s="15">
        <v>6.4199999999999999E-4</v>
      </c>
      <c r="C71" s="15">
        <v>1.13E-4</v>
      </c>
      <c r="D71" s="29">
        <v>0.35865921787709498</v>
      </c>
      <c r="E71" s="29">
        <v>6.3128491620111735E-2</v>
      </c>
    </row>
    <row r="72" spans="1:5" x14ac:dyDescent="0.25">
      <c r="A72" s="23">
        <v>43292.791666666664</v>
      </c>
      <c r="B72" s="15">
        <v>5.9999999999999995E-4</v>
      </c>
      <c r="C72" s="15">
        <v>1.307E-3</v>
      </c>
      <c r="D72" s="29">
        <v>0.19999999999999998</v>
      </c>
      <c r="E72" s="29">
        <v>0.43566666666666665</v>
      </c>
    </row>
    <row r="73" spans="1:5" x14ac:dyDescent="0.25">
      <c r="A73" s="23">
        <v>43292.833333333336</v>
      </c>
      <c r="B73" s="15">
        <v>1.4829999999999999E-3</v>
      </c>
      <c r="C73" s="15">
        <v>1.874E-3</v>
      </c>
      <c r="D73" s="29">
        <v>0.46199376947040494</v>
      </c>
      <c r="E73" s="29">
        <v>0.58380062305295943</v>
      </c>
    </row>
    <row r="74" spans="1:5" x14ac:dyDescent="0.25">
      <c r="A74" s="23">
        <v>43292.875</v>
      </c>
      <c r="B74" s="15">
        <v>6.4700000000000001E-4</v>
      </c>
      <c r="C74" s="15">
        <v>7.6599999999999997E-4</v>
      </c>
      <c r="D74" s="29">
        <v>0.3718390804597701</v>
      </c>
      <c r="E74" s="29">
        <v>0.44022988505747124</v>
      </c>
    </row>
    <row r="75" spans="1:5" x14ac:dyDescent="0.25">
      <c r="A75" s="23">
        <v>43292.916666666664</v>
      </c>
      <c r="B75" s="15">
        <v>4.7600000000000002E-4</v>
      </c>
      <c r="C75" s="15">
        <v>5.8299999999999997E-4</v>
      </c>
      <c r="D75" s="29">
        <v>0.49072164948453606</v>
      </c>
      <c r="E75" s="29">
        <v>0.60103092783505152</v>
      </c>
    </row>
    <row r="76" spans="1:5" x14ac:dyDescent="0.25">
      <c r="A76" s="23">
        <v>43292.958333333336</v>
      </c>
      <c r="B76" s="15">
        <v>1.56E-4</v>
      </c>
      <c r="C76" s="15">
        <v>5.5699999999999999E-4</v>
      </c>
      <c r="D76" s="29">
        <v>0.26440677966101694</v>
      </c>
      <c r="E76" s="29">
        <v>0.94406779661016937</v>
      </c>
    </row>
    <row r="77" spans="1:5" x14ac:dyDescent="0.25">
      <c r="A77" s="23">
        <v>43293</v>
      </c>
      <c r="B77" s="15">
        <v>1.65E-4</v>
      </c>
      <c r="C77" s="15">
        <v>1.2400000000000001E-4</v>
      </c>
      <c r="D77" s="29">
        <v>0.19879518072289157</v>
      </c>
      <c r="E77" s="29">
        <v>0.14939759036144579</v>
      </c>
    </row>
    <row r="78" spans="1:5" x14ac:dyDescent="0.25">
      <c r="A78" s="23">
        <v>43293.041666666664</v>
      </c>
      <c r="B78" s="15">
        <v>3.86E-4</v>
      </c>
      <c r="C78" s="15">
        <v>1.2E-5</v>
      </c>
      <c r="D78" s="29">
        <v>0.98974358974358978</v>
      </c>
      <c r="E78" s="29">
        <v>3.0769230769230771E-2</v>
      </c>
    </row>
    <row r="79" spans="1:5" x14ac:dyDescent="0.25">
      <c r="A79" s="23">
        <v>43293.083333333336</v>
      </c>
      <c r="B79" s="15">
        <v>1.6799999999999999E-4</v>
      </c>
      <c r="C79" s="15">
        <v>2.1100000000000001E-4</v>
      </c>
      <c r="D79" s="29">
        <v>0.30545454545454542</v>
      </c>
      <c r="E79" s="29">
        <v>0.38363636363636361</v>
      </c>
    </row>
    <row r="80" spans="1:5" x14ac:dyDescent="0.25">
      <c r="A80" s="23">
        <v>43293.125</v>
      </c>
      <c r="B80" s="15">
        <v>5.8E-5</v>
      </c>
      <c r="C80" s="15">
        <v>2.8600000000000001E-4</v>
      </c>
      <c r="D80" s="29">
        <v>6.9879518072289162E-2</v>
      </c>
      <c r="E80" s="29">
        <v>0.34457831325301208</v>
      </c>
    </row>
    <row r="81" spans="1:5" x14ac:dyDescent="0.25">
      <c r="A81" s="23">
        <v>43293.166666666664</v>
      </c>
      <c r="B81" s="15">
        <v>3.5599999999999998E-4</v>
      </c>
      <c r="C81" s="15">
        <v>3.7599999999999998E-4</v>
      </c>
      <c r="D81" s="29">
        <v>0.43950617283950616</v>
      </c>
      <c r="E81" s="29">
        <v>0.46419753086419752</v>
      </c>
    </row>
    <row r="82" spans="1:5" x14ac:dyDescent="0.25">
      <c r="A82" s="23">
        <v>43293.208333333336</v>
      </c>
      <c r="B82" s="15">
        <v>1.3100000000000001E-4</v>
      </c>
      <c r="C82" s="15">
        <v>2.13E-4</v>
      </c>
      <c r="D82" s="29">
        <v>0.17236842105263159</v>
      </c>
      <c r="E82" s="29">
        <v>0.28026315789473683</v>
      </c>
    </row>
    <row r="83" spans="1:5" x14ac:dyDescent="0.25">
      <c r="A83" s="23">
        <v>43293.25</v>
      </c>
      <c r="B83" s="15">
        <v>1.5999999999999999E-5</v>
      </c>
      <c r="C83" s="15">
        <v>4.8000000000000001E-5</v>
      </c>
      <c r="D83" s="29">
        <v>2.5806451612903226E-2</v>
      </c>
      <c r="E83" s="29">
        <v>7.7419354838709681E-2</v>
      </c>
    </row>
    <row r="84" spans="1:5" x14ac:dyDescent="0.25">
      <c r="A84" s="23">
        <v>43293.291666666664</v>
      </c>
      <c r="B84" s="15">
        <v>1.64E-4</v>
      </c>
      <c r="C84" s="15">
        <v>2.8200000000000002E-4</v>
      </c>
      <c r="D84" s="29">
        <v>0.20499999999999999</v>
      </c>
      <c r="E84" s="29">
        <v>0.35250000000000004</v>
      </c>
    </row>
    <row r="85" spans="1:5" x14ac:dyDescent="0.25">
      <c r="A85" s="23">
        <v>43293.333333333336</v>
      </c>
      <c r="B85" s="15">
        <v>1.5799999999999999E-4</v>
      </c>
      <c r="C85" s="15">
        <v>4.6999999999999997E-5</v>
      </c>
      <c r="D85" s="29">
        <v>0.1926829268292683</v>
      </c>
      <c r="E85" s="29">
        <v>5.7317073170731703E-2</v>
      </c>
    </row>
    <row r="86" spans="1:5" x14ac:dyDescent="0.25">
      <c r="A86" s="23">
        <v>43293.375</v>
      </c>
      <c r="B86" s="15">
        <v>2.4399999999999999E-4</v>
      </c>
      <c r="C86" s="15">
        <v>4.8200000000000001E-4</v>
      </c>
      <c r="D86" s="29">
        <v>0.15947712418300655</v>
      </c>
      <c r="E86" s="29">
        <v>0.31503267973856214</v>
      </c>
    </row>
    <row r="87" spans="1:5" x14ac:dyDescent="0.25">
      <c r="A87" s="23">
        <v>43293.416666666664</v>
      </c>
      <c r="B87" s="15">
        <v>2.1800000000000001E-4</v>
      </c>
      <c r="C87" s="15">
        <v>4.3300000000000001E-4</v>
      </c>
      <c r="D87" s="29">
        <v>0.11354166666666667</v>
      </c>
      <c r="E87" s="29">
        <v>0.22552083333333334</v>
      </c>
    </row>
    <row r="88" spans="1:5" x14ac:dyDescent="0.25">
      <c r="A88" s="23">
        <v>43293.458333333336</v>
      </c>
      <c r="B88" s="15">
        <v>2.1999999999999999E-5</v>
      </c>
      <c r="C88" s="15">
        <v>1.37E-4</v>
      </c>
      <c r="D88" s="29">
        <v>1.1111111111111112E-2</v>
      </c>
      <c r="E88" s="29">
        <v>6.9191919191919193E-2</v>
      </c>
    </row>
    <row r="89" spans="1:5" x14ac:dyDescent="0.25">
      <c r="A89" s="23">
        <v>43293.5</v>
      </c>
      <c r="B89" s="15">
        <v>1.7799999999999999E-4</v>
      </c>
      <c r="C89" s="15">
        <v>1.54E-4</v>
      </c>
      <c r="D89" s="29">
        <v>0.12447552447552446</v>
      </c>
      <c r="E89" s="29">
        <v>0.10769230769230768</v>
      </c>
    </row>
    <row r="90" spans="1:5" x14ac:dyDescent="0.25">
      <c r="A90" s="23">
        <v>43293.541666666664</v>
      </c>
      <c r="B90" s="15">
        <v>5.4799999999999998E-4</v>
      </c>
      <c r="C90" s="15">
        <v>7.6099999999999996E-4</v>
      </c>
      <c r="D90" s="29">
        <v>0.26995073891625615</v>
      </c>
      <c r="E90" s="29">
        <v>0.37487684729064036</v>
      </c>
    </row>
    <row r="91" spans="1:5" x14ac:dyDescent="0.25">
      <c r="A91" s="23">
        <v>43293.583333333336</v>
      </c>
      <c r="B91" s="15">
        <v>9.9400000000000009E-4</v>
      </c>
      <c r="C91" s="15">
        <v>4.2900000000000002E-4</v>
      </c>
      <c r="D91" s="29">
        <v>0.69027777777777777</v>
      </c>
      <c r="E91" s="29">
        <v>0.29791666666666666</v>
      </c>
    </row>
    <row r="92" spans="1:5" x14ac:dyDescent="0.25">
      <c r="A92" s="23">
        <v>43293.625</v>
      </c>
      <c r="B92" s="15">
        <v>2.5460000000000001E-3</v>
      </c>
      <c r="C92" s="15">
        <v>7.2499999999999995E-4</v>
      </c>
      <c r="D92" s="29">
        <v>0.73160919540229885</v>
      </c>
      <c r="E92" s="29">
        <v>0.20833333333333331</v>
      </c>
    </row>
    <row r="93" spans="1:5" x14ac:dyDescent="0.25">
      <c r="A93" s="23">
        <v>43293.666666666664</v>
      </c>
      <c r="B93" s="15">
        <v>1.016E-3</v>
      </c>
      <c r="C93" s="15">
        <v>5.3300000000000005E-4</v>
      </c>
      <c r="D93" s="29">
        <v>0.71048951048951048</v>
      </c>
      <c r="E93" s="29">
        <v>0.37272727272727274</v>
      </c>
    </row>
    <row r="94" spans="1:5" x14ac:dyDescent="0.25">
      <c r="A94" s="23">
        <v>43293.708333333336</v>
      </c>
      <c r="B94" s="15">
        <v>2.8E-5</v>
      </c>
      <c r="C94" s="15">
        <v>2.4699999999999999E-4</v>
      </c>
      <c r="D94" s="29">
        <v>1.6666666666666666E-2</v>
      </c>
      <c r="E94" s="29">
        <v>0.1470238095238095</v>
      </c>
    </row>
    <row r="95" spans="1:5" x14ac:dyDescent="0.25">
      <c r="A95" s="23">
        <v>43293.75</v>
      </c>
      <c r="B95" s="15">
        <v>5.8900000000000001E-4</v>
      </c>
      <c r="C95" s="15">
        <v>2.4800000000000001E-4</v>
      </c>
      <c r="D95" s="29">
        <v>0.33657142857142858</v>
      </c>
      <c r="E95" s="29">
        <v>0.14171428571428571</v>
      </c>
    </row>
    <row r="96" spans="1:5" x14ac:dyDescent="0.25">
      <c r="A96" s="23">
        <v>43293.791666666664</v>
      </c>
      <c r="B96" s="15">
        <v>4.8200000000000001E-4</v>
      </c>
      <c r="C96" s="15">
        <v>7.9999999999999996E-6</v>
      </c>
      <c r="D96" s="29">
        <v>0.41551724137931034</v>
      </c>
      <c r="E96" s="29">
        <v>6.8965517241379309E-3</v>
      </c>
    </row>
    <row r="97" spans="1:5" x14ac:dyDescent="0.25">
      <c r="A97" s="23">
        <v>43293.833333333336</v>
      </c>
      <c r="B97" s="15">
        <v>3.2000000000000003E-4</v>
      </c>
      <c r="C97" s="15">
        <v>6.6399999999999999E-4</v>
      </c>
      <c r="D97" s="29">
        <v>0.186046511627907</v>
      </c>
      <c r="E97" s="29">
        <v>0.38604651162790699</v>
      </c>
    </row>
    <row r="98" spans="1:5" x14ac:dyDescent="0.25">
      <c r="A98" s="23">
        <v>43293.875</v>
      </c>
      <c r="B98" s="15">
        <v>5.9199999999999997E-4</v>
      </c>
      <c r="C98" s="15">
        <v>2.32E-4</v>
      </c>
      <c r="D98" s="29">
        <v>0.69647058823529417</v>
      </c>
      <c r="E98" s="29">
        <v>0.27294117647058824</v>
      </c>
    </row>
    <row r="99" spans="1:5" x14ac:dyDescent="0.25">
      <c r="A99" s="23">
        <v>43293.916666666664</v>
      </c>
      <c r="B99" s="15">
        <v>7.4999999999999993E-5</v>
      </c>
      <c r="C99" s="15">
        <v>1.84E-4</v>
      </c>
      <c r="D99" s="29">
        <v>8.152173913043477E-2</v>
      </c>
      <c r="E99" s="29">
        <v>0.19999999999999998</v>
      </c>
    </row>
    <row r="100" spans="1:5" x14ac:dyDescent="0.25">
      <c r="A100" s="23">
        <v>43293.958333333336</v>
      </c>
      <c r="B100" s="15">
        <v>4.3660000000000001E-3</v>
      </c>
      <c r="C100" s="15">
        <v>4.1999999999999997E-3</v>
      </c>
      <c r="D100" s="29">
        <v>7.9381818181818176</v>
      </c>
      <c r="E100" s="29">
        <v>7.6363636363636358</v>
      </c>
    </row>
    <row r="101" spans="1:5" x14ac:dyDescent="0.25">
      <c r="A101" s="23">
        <v>43294</v>
      </c>
      <c r="B101" s="15">
        <v>5.0000000000000001E-4</v>
      </c>
      <c r="C101" s="15">
        <v>5.0799999999999999E-4</v>
      </c>
      <c r="D101" s="29">
        <v>0.81967213114754101</v>
      </c>
      <c r="E101" s="29">
        <v>0.83278688524590161</v>
      </c>
    </row>
    <row r="102" spans="1:5" x14ac:dyDescent="0.25">
      <c r="A102" s="23">
        <v>43294.041666666664</v>
      </c>
      <c r="B102" s="15">
        <v>1.9900000000000001E-4</v>
      </c>
      <c r="C102" s="15">
        <v>1.2750000000000001E-3</v>
      </c>
      <c r="D102" s="29">
        <v>0.14525547445255477</v>
      </c>
      <c r="E102" s="29">
        <v>0.93065693430656948</v>
      </c>
    </row>
    <row r="103" spans="1:5" x14ac:dyDescent="0.25">
      <c r="A103" s="23">
        <v>43294.083333333336</v>
      </c>
      <c r="B103" s="15">
        <v>3.3799999999999998E-4</v>
      </c>
      <c r="C103" s="15">
        <v>3.4900000000000003E-4</v>
      </c>
      <c r="D103" s="29">
        <v>0.58275862068965512</v>
      </c>
      <c r="E103" s="29">
        <v>0.60172413793103452</v>
      </c>
    </row>
    <row r="104" spans="1:5" x14ac:dyDescent="0.25">
      <c r="A104" s="23">
        <v>43294.125</v>
      </c>
      <c r="B104" s="15">
        <v>3.4400000000000001E-4</v>
      </c>
      <c r="C104" s="15">
        <v>2.6200000000000003E-4</v>
      </c>
      <c r="D104" s="29">
        <v>0.39090909090909093</v>
      </c>
      <c r="E104" s="29">
        <v>0.29772727272727273</v>
      </c>
    </row>
    <row r="105" spans="1:5" x14ac:dyDescent="0.25">
      <c r="A105" s="23">
        <v>43294.166666666664</v>
      </c>
      <c r="B105" s="15">
        <v>4.2099999999999999E-4</v>
      </c>
      <c r="C105" s="15">
        <v>1.8100000000000001E-4</v>
      </c>
      <c r="D105" s="29">
        <v>0.38981481481481478</v>
      </c>
      <c r="E105" s="29">
        <v>0.1675925925925926</v>
      </c>
    </row>
    <row r="106" spans="1:5" x14ac:dyDescent="0.25">
      <c r="A106" s="23">
        <v>43294.208333333336</v>
      </c>
      <c r="B106" s="15">
        <v>3.0499999999999999E-4</v>
      </c>
      <c r="C106" s="15">
        <v>2.7799999999999998E-4</v>
      </c>
      <c r="D106" s="29">
        <v>0.36746987951807225</v>
      </c>
      <c r="E106" s="29">
        <v>0.33493975903614454</v>
      </c>
    </row>
    <row r="107" spans="1:5" x14ac:dyDescent="0.25">
      <c r="A107" s="23">
        <v>43294.25</v>
      </c>
      <c r="B107" s="15">
        <v>5.1500000000000005E-4</v>
      </c>
      <c r="C107" s="15">
        <v>4.0099999999999999E-4</v>
      </c>
      <c r="D107" s="29">
        <v>0.57865168539325851</v>
      </c>
      <c r="E107" s="29">
        <v>0.45056179775280902</v>
      </c>
    </row>
    <row r="108" spans="1:5" x14ac:dyDescent="0.25">
      <c r="A108" s="23">
        <v>43294.291666666664</v>
      </c>
      <c r="B108" s="15">
        <v>1.2300000000000001E-4</v>
      </c>
      <c r="C108" s="15">
        <v>1.25E-4</v>
      </c>
      <c r="D108" s="29">
        <v>0.13977272727272727</v>
      </c>
      <c r="E108" s="29">
        <v>0.14204545454545453</v>
      </c>
    </row>
    <row r="109" spans="1:5" x14ac:dyDescent="0.25">
      <c r="A109" s="23">
        <v>43294.333333333336</v>
      </c>
      <c r="B109" s="15">
        <v>3.4999999999999997E-5</v>
      </c>
      <c r="C109" s="15">
        <v>3.3599999999999998E-4</v>
      </c>
      <c r="D109" s="29">
        <v>3.888888888888889E-2</v>
      </c>
      <c r="E109" s="29">
        <v>0.37333333333333335</v>
      </c>
    </row>
    <row r="110" spans="1:5" x14ac:dyDescent="0.25">
      <c r="A110" s="23">
        <v>43294.375</v>
      </c>
      <c r="B110" s="15">
        <v>5.13E-4</v>
      </c>
      <c r="C110" s="15">
        <v>1.6720000000000001E-3</v>
      </c>
      <c r="D110" s="29">
        <v>0.24084507042253522</v>
      </c>
      <c r="E110" s="29">
        <v>0.78497652582159627</v>
      </c>
    </row>
    <row r="111" spans="1:5" x14ac:dyDescent="0.25">
      <c r="A111" s="23">
        <v>43294.416666666664</v>
      </c>
      <c r="B111" s="15">
        <v>3.6999999999999999E-4</v>
      </c>
      <c r="C111" s="15">
        <v>1.206E-3</v>
      </c>
      <c r="D111" s="29">
        <v>0.14624505928853754</v>
      </c>
      <c r="E111" s="29">
        <v>0.47667984189723317</v>
      </c>
    </row>
    <row r="112" spans="1:5" x14ac:dyDescent="0.25">
      <c r="A112" s="23">
        <v>43294.458333333336</v>
      </c>
      <c r="B112" s="15">
        <v>5.8699999999999996E-4</v>
      </c>
      <c r="C112" s="15">
        <v>7.2300000000000001E-4</v>
      </c>
      <c r="D112" s="29">
        <v>0.24978723404255315</v>
      </c>
      <c r="E112" s="29">
        <v>0.30765957446808512</v>
      </c>
    </row>
    <row r="113" spans="1:5" x14ac:dyDescent="0.25">
      <c r="A113" s="23">
        <v>43294.5</v>
      </c>
      <c r="B113" s="15">
        <v>2.9300000000000002E-4</v>
      </c>
      <c r="C113" s="15">
        <v>4.57E-4</v>
      </c>
      <c r="D113" s="29">
        <v>0.13502304147465438</v>
      </c>
      <c r="E113" s="29">
        <v>0.21059907834101382</v>
      </c>
    </row>
    <row r="114" spans="1:5" x14ac:dyDescent="0.25">
      <c r="A114" s="23">
        <v>43294.541666666664</v>
      </c>
      <c r="B114" s="15">
        <v>4.5100000000000001E-4</v>
      </c>
      <c r="C114" s="15">
        <v>3.6900000000000002E-4</v>
      </c>
      <c r="D114" s="29">
        <v>0.27839506172839507</v>
      </c>
      <c r="E114" s="29">
        <v>0.2277777777777778</v>
      </c>
    </row>
    <row r="115" spans="1:5" x14ac:dyDescent="0.25">
      <c r="A115" s="23">
        <v>43294.583333333336</v>
      </c>
      <c r="B115" s="15">
        <v>2.1900000000000001E-4</v>
      </c>
      <c r="C115" s="15">
        <v>8.3100000000000003E-4</v>
      </c>
      <c r="D115" s="29">
        <v>0.14038461538461539</v>
      </c>
      <c r="E115" s="29">
        <v>0.53269230769230769</v>
      </c>
    </row>
    <row r="116" spans="1:5" x14ac:dyDescent="0.25">
      <c r="A116" s="23">
        <v>43294.625</v>
      </c>
      <c r="B116" s="15">
        <v>9.9599999999999992E-4</v>
      </c>
      <c r="C116" s="15">
        <v>5.31E-4</v>
      </c>
      <c r="D116" s="29">
        <v>0.46111111111111108</v>
      </c>
      <c r="E116" s="29">
        <v>0.24583333333333332</v>
      </c>
    </row>
    <row r="117" spans="1:5" x14ac:dyDescent="0.25">
      <c r="A117" s="23">
        <v>43294.666666666664</v>
      </c>
      <c r="B117" s="15">
        <v>5.2099999999999998E-4</v>
      </c>
      <c r="C117" s="15">
        <v>1.45E-4</v>
      </c>
      <c r="D117" s="29">
        <v>0.4869158878504673</v>
      </c>
      <c r="E117" s="29">
        <v>0.1355140186915888</v>
      </c>
    </row>
    <row r="118" spans="1:5" x14ac:dyDescent="0.25">
      <c r="A118" s="23">
        <v>43294.708333333336</v>
      </c>
      <c r="B118" s="15">
        <v>2.006E-3</v>
      </c>
      <c r="C118" s="15">
        <v>3.3E-4</v>
      </c>
      <c r="D118" s="29">
        <v>0.67542087542087537</v>
      </c>
      <c r="E118" s="29">
        <v>0.1111111111111111</v>
      </c>
    </row>
    <row r="119" spans="1:5" x14ac:dyDescent="0.25">
      <c r="A119" s="23">
        <v>43294.75</v>
      </c>
      <c r="B119" s="15">
        <v>4.3899999999999999E-4</v>
      </c>
      <c r="C119" s="15">
        <v>5.0000000000000001E-4</v>
      </c>
      <c r="D119" s="29">
        <v>0.31811594202898552</v>
      </c>
      <c r="E119" s="29">
        <v>0.36231884057971014</v>
      </c>
    </row>
    <row r="120" spans="1:5" x14ac:dyDescent="0.25">
      <c r="A120" s="23">
        <v>43294.791666666664</v>
      </c>
      <c r="B120" s="15">
        <v>3.9399999999999998E-4</v>
      </c>
      <c r="C120" s="15">
        <v>7.4899999999999999E-4</v>
      </c>
      <c r="D120" s="29">
        <v>0.32032520325203251</v>
      </c>
      <c r="E120" s="29">
        <v>0.60894308943089437</v>
      </c>
    </row>
    <row r="121" spans="1:5" x14ac:dyDescent="0.25">
      <c r="A121" s="23">
        <v>43294.833333333336</v>
      </c>
      <c r="B121" s="15">
        <v>7.6099999999999996E-4</v>
      </c>
      <c r="C121" s="15">
        <v>1.93E-4</v>
      </c>
      <c r="D121" s="29">
        <v>0.78453608247422668</v>
      </c>
      <c r="E121" s="29">
        <v>0.19896907216494844</v>
      </c>
    </row>
    <row r="122" spans="1:5" x14ac:dyDescent="0.25">
      <c r="A122" s="23">
        <v>43294.875</v>
      </c>
      <c r="B122" s="15">
        <v>4.6299999999999998E-4</v>
      </c>
      <c r="C122" s="15">
        <v>6.78E-4</v>
      </c>
      <c r="D122" s="29">
        <v>0.53218390804597704</v>
      </c>
      <c r="E122" s="29">
        <v>0.77931034482758621</v>
      </c>
    </row>
    <row r="123" spans="1:5" x14ac:dyDescent="0.25">
      <c r="A123" s="23">
        <v>43294.916666666664</v>
      </c>
      <c r="B123" s="15">
        <v>3.4E-5</v>
      </c>
      <c r="C123" s="15">
        <v>2.4000000000000001E-5</v>
      </c>
      <c r="D123" s="29">
        <v>4.0963855421686748E-2</v>
      </c>
      <c r="E123" s="29">
        <v>2.891566265060241E-2</v>
      </c>
    </row>
    <row r="124" spans="1:5" x14ac:dyDescent="0.25">
      <c r="A124" s="23">
        <v>43294.958333333336</v>
      </c>
      <c r="B124" s="15">
        <v>1.56E-4</v>
      </c>
      <c r="C124" s="15">
        <v>2.5599999999999999E-4</v>
      </c>
      <c r="D124" s="29">
        <v>0.27368421052631581</v>
      </c>
      <c r="E124" s="29">
        <v>0.44912280701754387</v>
      </c>
    </row>
    <row r="125" spans="1:5" x14ac:dyDescent="0.25">
      <c r="A125" s="23">
        <v>43297</v>
      </c>
      <c r="B125" s="15">
        <v>2.7599999999999999E-4</v>
      </c>
      <c r="C125" s="15">
        <v>2.5999999999999998E-4</v>
      </c>
      <c r="D125" s="29">
        <v>0.26538461538461539</v>
      </c>
      <c r="E125" s="29">
        <v>0.25</v>
      </c>
    </row>
    <row r="126" spans="1:5" x14ac:dyDescent="0.25">
      <c r="A126" s="23">
        <v>43297.041666666664</v>
      </c>
      <c r="B126" s="15">
        <v>5.0699999999999996E-4</v>
      </c>
      <c r="C126" s="15">
        <v>4.4999999999999999E-4</v>
      </c>
      <c r="D126" s="29">
        <v>0.74558823529411755</v>
      </c>
      <c r="E126" s="29">
        <v>0.66176470588235292</v>
      </c>
    </row>
    <row r="127" spans="1:5" x14ac:dyDescent="0.25">
      <c r="A127" s="23">
        <v>43297.083333333336</v>
      </c>
      <c r="B127" s="15">
        <v>2.0699999999999999E-4</v>
      </c>
      <c r="C127" s="15">
        <v>3.1999999999999999E-5</v>
      </c>
      <c r="D127" s="29">
        <v>0.30441176470588233</v>
      </c>
      <c r="E127" s="29">
        <v>4.7058823529411757E-2</v>
      </c>
    </row>
    <row r="128" spans="1:5" x14ac:dyDescent="0.25">
      <c r="A128" s="23">
        <v>43297.125</v>
      </c>
      <c r="B128" s="15">
        <v>2.7E-4</v>
      </c>
      <c r="C128" s="15">
        <v>1.3799999999999999E-4</v>
      </c>
      <c r="D128" s="29">
        <v>0.28421052631578947</v>
      </c>
      <c r="E128" s="29">
        <v>0.14526315789473684</v>
      </c>
    </row>
    <row r="129" spans="1:5" x14ac:dyDescent="0.25">
      <c r="A129" s="23">
        <v>43297.166666666664</v>
      </c>
      <c r="B129" s="15">
        <v>2.4000000000000001E-5</v>
      </c>
      <c r="C129" s="15">
        <v>6.2000000000000003E-5</v>
      </c>
      <c r="D129" s="29">
        <v>2.6666666666666668E-2</v>
      </c>
      <c r="E129" s="29">
        <v>6.8888888888888888E-2</v>
      </c>
    </row>
    <row r="130" spans="1:5" x14ac:dyDescent="0.25">
      <c r="A130" s="23">
        <v>43297.208333333336</v>
      </c>
      <c r="B130" s="15">
        <v>1.5899999999999999E-4</v>
      </c>
      <c r="C130" s="15">
        <v>2.5999999999999998E-5</v>
      </c>
      <c r="D130" s="29">
        <v>0.21486486486486486</v>
      </c>
      <c r="E130" s="29">
        <v>3.513513513513513E-2</v>
      </c>
    </row>
    <row r="131" spans="1:5" x14ac:dyDescent="0.25">
      <c r="A131" s="23">
        <v>43297.25</v>
      </c>
      <c r="B131" s="15">
        <v>1.9599999999999999E-4</v>
      </c>
      <c r="C131" s="15">
        <v>1.66E-4</v>
      </c>
      <c r="D131" s="29">
        <v>0.2481012658227848</v>
      </c>
      <c r="E131" s="29">
        <v>0.21012658227848099</v>
      </c>
    </row>
    <row r="132" spans="1:5" x14ac:dyDescent="0.25">
      <c r="A132" s="23">
        <v>43297.291666666664</v>
      </c>
      <c r="B132" s="15">
        <v>2.7700000000000001E-4</v>
      </c>
      <c r="C132" s="15">
        <v>1.2300000000000001E-4</v>
      </c>
      <c r="D132" s="29">
        <v>0.5653061224489796</v>
      </c>
      <c r="E132" s="29">
        <v>0.25102040816326532</v>
      </c>
    </row>
    <row r="133" spans="1:5" x14ac:dyDescent="0.25">
      <c r="A133" s="23">
        <v>43297.333333333336</v>
      </c>
      <c r="B133" s="15">
        <v>1.7780000000000001E-3</v>
      </c>
      <c r="C133" s="15">
        <v>4.5100000000000001E-4</v>
      </c>
      <c r="D133" s="29">
        <v>0.84666666666666679</v>
      </c>
      <c r="E133" s="29">
        <v>0.21476190476190479</v>
      </c>
    </row>
    <row r="134" spans="1:5" x14ac:dyDescent="0.25">
      <c r="A134" s="23">
        <v>43297.375</v>
      </c>
      <c r="B134" s="15">
        <v>6.6200000000000005E-4</v>
      </c>
      <c r="C134" s="15">
        <v>3.1999999999999999E-5</v>
      </c>
      <c r="D134" s="29">
        <v>0.57068965517241388</v>
      </c>
      <c r="E134" s="29">
        <v>2.7586206896551724E-2</v>
      </c>
    </row>
    <row r="135" spans="1:5" x14ac:dyDescent="0.25">
      <c r="A135" s="23">
        <v>43297.416666666664</v>
      </c>
      <c r="B135" s="15">
        <v>4.8999999999999998E-5</v>
      </c>
      <c r="C135" s="15">
        <v>6.8000000000000005E-4</v>
      </c>
      <c r="D135" s="29">
        <v>2.3902439024390241E-2</v>
      </c>
      <c r="E135" s="29">
        <v>0.33170731707317075</v>
      </c>
    </row>
    <row r="136" spans="1:5" x14ac:dyDescent="0.25">
      <c r="A136" s="23">
        <v>43297.458333333336</v>
      </c>
      <c r="B136" s="15">
        <v>8.1000000000000004E-5</v>
      </c>
      <c r="C136" s="15">
        <v>2.1599999999999999E-4</v>
      </c>
      <c r="D136" s="29">
        <v>5.586206896551725E-2</v>
      </c>
      <c r="E136" s="29">
        <v>0.14896551724137932</v>
      </c>
    </row>
    <row r="137" spans="1:5" x14ac:dyDescent="0.25">
      <c r="A137" s="23">
        <v>43297.5</v>
      </c>
      <c r="B137" s="15">
        <v>3.7100000000000002E-4</v>
      </c>
      <c r="C137" s="15">
        <v>1.76E-4</v>
      </c>
      <c r="D137" s="29">
        <v>0.22901234567901238</v>
      </c>
      <c r="E137" s="29">
        <v>0.10864197530864197</v>
      </c>
    </row>
    <row r="138" spans="1:5" x14ac:dyDescent="0.25">
      <c r="A138" s="23">
        <v>43297.541666666664</v>
      </c>
      <c r="B138" s="15">
        <v>3.8200000000000002E-4</v>
      </c>
      <c r="C138" s="15">
        <v>6.02E-4</v>
      </c>
      <c r="D138" s="29">
        <v>0.28296296296296297</v>
      </c>
      <c r="E138" s="29">
        <v>0.44592592592592589</v>
      </c>
    </row>
    <row r="139" spans="1:5" x14ac:dyDescent="0.25">
      <c r="A139" s="23">
        <v>43297.583333333336</v>
      </c>
      <c r="B139" s="15">
        <v>2.7099999999999997E-4</v>
      </c>
      <c r="C139" s="15">
        <v>7.2300000000000001E-4</v>
      </c>
      <c r="D139" s="29">
        <v>0.24636363636363631</v>
      </c>
      <c r="E139" s="29">
        <v>0.65727272727272723</v>
      </c>
    </row>
    <row r="140" spans="1:5" x14ac:dyDescent="0.25">
      <c r="A140" s="23">
        <v>43297.625</v>
      </c>
      <c r="B140" s="15">
        <v>2.3599999999999999E-4</v>
      </c>
      <c r="C140" s="15">
        <v>4.6099999999999998E-4</v>
      </c>
      <c r="D140" s="29">
        <v>0.16388888888888886</v>
      </c>
      <c r="E140" s="29">
        <v>0.32013888888888886</v>
      </c>
    </row>
    <row r="141" spans="1:5" x14ac:dyDescent="0.25">
      <c r="A141" s="23">
        <v>43297.666666666664</v>
      </c>
      <c r="B141" s="15">
        <v>1.8699999999999999E-4</v>
      </c>
      <c r="C141" s="15">
        <v>3.5500000000000001E-4</v>
      </c>
      <c r="D141" s="29">
        <v>0.1272108843537415</v>
      </c>
      <c r="E141" s="29">
        <v>0.2414965986394558</v>
      </c>
    </row>
    <row r="142" spans="1:5" x14ac:dyDescent="0.25">
      <c r="A142" s="23">
        <v>43297.708333333336</v>
      </c>
      <c r="B142" s="15">
        <v>4.1E-5</v>
      </c>
      <c r="C142" s="15">
        <v>5.8200000000000005E-4</v>
      </c>
      <c r="D142" s="29">
        <v>2.0918367346938777E-2</v>
      </c>
      <c r="E142" s="29">
        <v>0.29693877551020414</v>
      </c>
    </row>
    <row r="143" spans="1:5" x14ac:dyDescent="0.25">
      <c r="A143" s="23">
        <v>43297.75</v>
      </c>
      <c r="B143" s="15">
        <v>2.4499999999999999E-4</v>
      </c>
      <c r="C143" s="15">
        <v>3.4200000000000002E-4</v>
      </c>
      <c r="D143" s="29">
        <v>0.20762711864406777</v>
      </c>
      <c r="E143" s="29">
        <v>0.28983050847457625</v>
      </c>
    </row>
    <row r="144" spans="1:5" x14ac:dyDescent="0.25">
      <c r="A144" s="23">
        <v>43297.791666666664</v>
      </c>
      <c r="B144" s="15">
        <v>4.84E-4</v>
      </c>
      <c r="C144" s="15">
        <v>1.098E-3</v>
      </c>
      <c r="D144" s="29">
        <v>0.26021505376344084</v>
      </c>
      <c r="E144" s="29">
        <v>0.5903225806451613</v>
      </c>
    </row>
    <row r="145" spans="1:5" x14ac:dyDescent="0.25">
      <c r="A145" s="23">
        <v>43297.833333333336</v>
      </c>
      <c r="B145" s="15">
        <v>7.6499999999999995E-4</v>
      </c>
      <c r="C145" s="15">
        <v>1.188E-3</v>
      </c>
      <c r="D145" s="29">
        <v>0.701834862385321</v>
      </c>
      <c r="E145" s="29">
        <v>1.0899082568807339</v>
      </c>
    </row>
    <row r="146" spans="1:5" x14ac:dyDescent="0.25">
      <c r="A146" s="23">
        <v>43297.875</v>
      </c>
      <c r="B146" s="15">
        <v>4.1E-5</v>
      </c>
      <c r="C146" s="15">
        <v>4.55E-4</v>
      </c>
      <c r="D146" s="29">
        <v>5.1249999999999997E-2</v>
      </c>
      <c r="E146" s="29">
        <v>0.56874999999999998</v>
      </c>
    </row>
    <row r="147" spans="1:5" x14ac:dyDescent="0.25">
      <c r="A147" s="23">
        <v>43297.916666666664</v>
      </c>
      <c r="B147" s="15">
        <v>4.75E-4</v>
      </c>
      <c r="C147" s="15">
        <v>1.2899999999999999E-4</v>
      </c>
      <c r="D147" s="29">
        <v>0.69852941176470584</v>
      </c>
      <c r="E147" s="29">
        <v>0.18970588235294114</v>
      </c>
    </row>
    <row r="148" spans="1:5" x14ac:dyDescent="0.25">
      <c r="A148" s="23">
        <v>43297.958333333336</v>
      </c>
      <c r="B148" s="15">
        <v>3.0219999999999999E-3</v>
      </c>
      <c r="C148" s="15">
        <v>3.0999999999999999E-3</v>
      </c>
      <c r="D148" s="29">
        <v>4.6492307692307691</v>
      </c>
      <c r="E148" s="29">
        <v>4.7692307692307692</v>
      </c>
    </row>
    <row r="149" spans="1:5" x14ac:dyDescent="0.25">
      <c r="A149" s="23">
        <v>43298</v>
      </c>
      <c r="B149" s="15">
        <v>3.0000000000000001E-6</v>
      </c>
      <c r="C149" s="15">
        <v>7.7999999999999999E-5</v>
      </c>
      <c r="D149" s="29">
        <v>5.1724137931034482E-3</v>
      </c>
      <c r="E149" s="29">
        <v>0.13448275862068965</v>
      </c>
    </row>
    <row r="150" spans="1:5" x14ac:dyDescent="0.25">
      <c r="A150" s="23">
        <v>43298.041666666664</v>
      </c>
      <c r="B150" s="15">
        <v>2.2000000000000001E-4</v>
      </c>
      <c r="C150" s="15">
        <v>1.1E-5</v>
      </c>
      <c r="D150" s="29">
        <v>0.59459459459459463</v>
      </c>
      <c r="E150" s="29">
        <v>2.9729729729729728E-2</v>
      </c>
    </row>
    <row r="151" spans="1:5" x14ac:dyDescent="0.25">
      <c r="A151" s="23">
        <v>43298.083333333336</v>
      </c>
      <c r="B151" s="15">
        <v>3.4099999999999999E-4</v>
      </c>
      <c r="C151" s="15">
        <v>3.39E-4</v>
      </c>
      <c r="D151" s="29">
        <v>0.62</v>
      </c>
      <c r="E151" s="29">
        <v>0.61636363636363634</v>
      </c>
    </row>
    <row r="152" spans="1:5" x14ac:dyDescent="0.25">
      <c r="A152" s="23">
        <v>43298.125</v>
      </c>
      <c r="B152" s="15">
        <v>2.5799999999999998E-4</v>
      </c>
      <c r="C152" s="15">
        <v>7.1000000000000005E-5</v>
      </c>
      <c r="D152" s="29">
        <v>0.29655172413793102</v>
      </c>
      <c r="E152" s="29">
        <v>8.1609195402298856E-2</v>
      </c>
    </row>
    <row r="153" spans="1:5" x14ac:dyDescent="0.25">
      <c r="A153" s="23">
        <v>43298.166666666664</v>
      </c>
      <c r="B153" s="15">
        <v>4.1899999999999999E-4</v>
      </c>
      <c r="C153" s="15">
        <v>1.7000000000000001E-4</v>
      </c>
      <c r="D153" s="29">
        <v>0.57397260273972606</v>
      </c>
      <c r="E153" s="29">
        <v>0.23287671232876714</v>
      </c>
    </row>
    <row r="154" spans="1:5" x14ac:dyDescent="0.25">
      <c r="A154" s="23">
        <v>43298.208333333336</v>
      </c>
      <c r="B154" s="15">
        <v>1.83E-4</v>
      </c>
      <c r="C154" s="15">
        <v>7.4999999999999993E-5</v>
      </c>
      <c r="D154" s="29">
        <v>0.27727272727272728</v>
      </c>
      <c r="E154" s="29">
        <v>0.11363636363636363</v>
      </c>
    </row>
    <row r="155" spans="1:5" x14ac:dyDescent="0.25">
      <c r="A155" s="23">
        <v>43298.25</v>
      </c>
      <c r="B155" s="15">
        <v>1.0939999999999999E-3</v>
      </c>
      <c r="C155" s="15">
        <v>2.5300000000000002E-4</v>
      </c>
      <c r="D155" s="29">
        <v>0.72450331125827805</v>
      </c>
      <c r="E155" s="29">
        <v>0.16754966887417219</v>
      </c>
    </row>
    <row r="156" spans="1:5" x14ac:dyDescent="0.25">
      <c r="A156" s="23">
        <v>43298.291666666664</v>
      </c>
      <c r="B156" s="15">
        <v>5.0799999999999999E-4</v>
      </c>
      <c r="C156" s="15">
        <v>1.05E-4</v>
      </c>
      <c r="D156" s="29">
        <v>0.84666666666666668</v>
      </c>
      <c r="E156" s="29">
        <v>0.17500000000000002</v>
      </c>
    </row>
    <row r="157" spans="1:5" x14ac:dyDescent="0.25">
      <c r="A157" s="23">
        <v>43298.333333333336</v>
      </c>
      <c r="B157" s="15">
        <v>3.3199999999999999E-4</v>
      </c>
      <c r="C157" s="15">
        <v>4.6999999999999997E-5</v>
      </c>
      <c r="D157" s="29">
        <v>0.55333333333333334</v>
      </c>
      <c r="E157" s="29">
        <v>7.8333333333333338E-2</v>
      </c>
    </row>
    <row r="158" spans="1:5" x14ac:dyDescent="0.25">
      <c r="A158" s="23">
        <v>43298.375</v>
      </c>
      <c r="B158" s="15">
        <v>1.835E-3</v>
      </c>
      <c r="C158" s="15">
        <v>1.18E-4</v>
      </c>
      <c r="D158" s="29">
        <v>0.73694779116465869</v>
      </c>
      <c r="E158" s="29">
        <v>4.7389558232931728E-2</v>
      </c>
    </row>
    <row r="159" spans="1:5" x14ac:dyDescent="0.25">
      <c r="A159" s="23">
        <v>43298.416666666664</v>
      </c>
      <c r="B159" s="15">
        <v>6.0899999999999995E-4</v>
      </c>
      <c r="C159" s="15">
        <v>3.3199999999999999E-4</v>
      </c>
      <c r="D159" s="29">
        <v>0.49512195121951219</v>
      </c>
      <c r="E159" s="29">
        <v>0.26991869918699185</v>
      </c>
    </row>
    <row r="160" spans="1:5" x14ac:dyDescent="0.25">
      <c r="A160" s="23">
        <v>43298.458333333336</v>
      </c>
      <c r="B160" s="15">
        <v>6.11E-4</v>
      </c>
      <c r="C160" s="15">
        <v>4.7600000000000002E-4</v>
      </c>
      <c r="D160" s="29">
        <v>0.36369047619047618</v>
      </c>
      <c r="E160" s="29">
        <v>0.28333333333333333</v>
      </c>
    </row>
    <row r="161" spans="1:5" x14ac:dyDescent="0.25">
      <c r="A161" s="23">
        <v>43298.5</v>
      </c>
      <c r="B161" s="15">
        <v>3.4900000000000003E-4</v>
      </c>
      <c r="C161" s="15">
        <v>3.97E-4</v>
      </c>
      <c r="D161" s="29">
        <v>0.22516129032258067</v>
      </c>
      <c r="E161" s="29">
        <v>0.25612903225806455</v>
      </c>
    </row>
    <row r="162" spans="1:5" x14ac:dyDescent="0.25">
      <c r="A162" s="23">
        <v>43298.541666666664</v>
      </c>
      <c r="B162" s="15">
        <v>6.9899999999999997E-4</v>
      </c>
      <c r="C162" s="15">
        <v>7.3700000000000002E-4</v>
      </c>
      <c r="D162" s="29">
        <v>0.47551020408163264</v>
      </c>
      <c r="E162" s="29">
        <v>0.50136054421768705</v>
      </c>
    </row>
    <row r="163" spans="1:5" x14ac:dyDescent="0.25">
      <c r="A163" s="23">
        <v>43298.583333333336</v>
      </c>
      <c r="B163" s="15">
        <v>3.9599999999999998E-4</v>
      </c>
      <c r="C163" s="15">
        <v>8.1800000000000004E-4</v>
      </c>
      <c r="D163" s="29">
        <v>0.20204081632653062</v>
      </c>
      <c r="E163" s="29">
        <v>0.41734693877551021</v>
      </c>
    </row>
    <row r="164" spans="1:5" x14ac:dyDescent="0.25">
      <c r="A164" s="23">
        <v>43298.625</v>
      </c>
      <c r="B164" s="15">
        <v>6.29E-4</v>
      </c>
      <c r="C164" s="15">
        <v>4.55E-4</v>
      </c>
      <c r="D164" s="29">
        <v>0.3437158469945355</v>
      </c>
      <c r="E164" s="29">
        <v>0.24863387978142076</v>
      </c>
    </row>
    <row r="165" spans="1:5" x14ac:dyDescent="0.25">
      <c r="A165" s="23">
        <v>43298.666666666664</v>
      </c>
      <c r="B165" s="15">
        <v>5.2700000000000002E-4</v>
      </c>
      <c r="C165" s="15">
        <v>4.8700000000000002E-4</v>
      </c>
      <c r="D165" s="29">
        <v>0.31000000000000005</v>
      </c>
      <c r="E165" s="29">
        <v>0.28647058823529414</v>
      </c>
    </row>
    <row r="166" spans="1:5" x14ac:dyDescent="0.25">
      <c r="A166" s="23">
        <v>43298.708333333336</v>
      </c>
      <c r="B166" s="15">
        <v>7.8700000000000005E-4</v>
      </c>
      <c r="C166" s="15">
        <v>2.9999999999999997E-4</v>
      </c>
      <c r="D166" s="29">
        <v>0.33347457627118643</v>
      </c>
      <c r="E166" s="29">
        <v>0.1271186440677966</v>
      </c>
    </row>
    <row r="167" spans="1:5" x14ac:dyDescent="0.25">
      <c r="A167" s="23">
        <v>43298.75</v>
      </c>
      <c r="B167" s="15">
        <v>4.6000000000000001E-4</v>
      </c>
      <c r="C167" s="15">
        <v>1.7179999999999999E-3</v>
      </c>
      <c r="D167" s="29">
        <v>0.14886731391585761</v>
      </c>
      <c r="E167" s="29">
        <v>0.55598705501618118</v>
      </c>
    </row>
    <row r="168" spans="1:5" x14ac:dyDescent="0.25">
      <c r="A168" s="23">
        <v>43298.791666666664</v>
      </c>
      <c r="B168" s="15">
        <v>1.689E-3</v>
      </c>
      <c r="C168" s="15">
        <v>3.3399999999999999E-4</v>
      </c>
      <c r="D168" s="29">
        <v>1.2151079136690648</v>
      </c>
      <c r="E168" s="29">
        <v>0.24028776978417266</v>
      </c>
    </row>
    <row r="169" spans="1:5" x14ac:dyDescent="0.25">
      <c r="A169" s="23">
        <v>43298.833333333336</v>
      </c>
      <c r="B169" s="15">
        <v>4.5100000000000001E-4</v>
      </c>
      <c r="C169" s="15">
        <v>1.1E-5</v>
      </c>
      <c r="D169" s="29">
        <v>0.22663316582914572</v>
      </c>
      <c r="E169" s="29">
        <v>5.5276381909547733E-3</v>
      </c>
    </row>
    <row r="170" spans="1:5" x14ac:dyDescent="0.25">
      <c r="A170" s="23">
        <v>43298.875</v>
      </c>
      <c r="B170" s="15">
        <v>8.8800000000000001E-4</v>
      </c>
      <c r="C170" s="15">
        <v>2.2599999999999999E-4</v>
      </c>
      <c r="D170" s="29">
        <v>0.78584070796460181</v>
      </c>
      <c r="E170" s="29">
        <v>0.2</v>
      </c>
    </row>
    <row r="171" spans="1:5" x14ac:dyDescent="0.25">
      <c r="A171" s="23">
        <v>43298.916666666664</v>
      </c>
      <c r="B171" s="15">
        <v>1.5200000000000001E-4</v>
      </c>
      <c r="C171" s="15">
        <v>7.7300000000000003E-4</v>
      </c>
      <c r="D171" s="29">
        <v>0.32340425531914896</v>
      </c>
      <c r="E171" s="29">
        <v>1.64468085106383</v>
      </c>
    </row>
    <row r="172" spans="1:5" x14ac:dyDescent="0.25">
      <c r="A172" s="23">
        <v>43298.958333333336</v>
      </c>
      <c r="B172" s="15">
        <v>2.02E-4</v>
      </c>
      <c r="C172" s="15">
        <v>2.8600000000000001E-4</v>
      </c>
      <c r="D172" s="29">
        <v>0.35438596491228075</v>
      </c>
      <c r="E172" s="29">
        <v>0.50175438596491229</v>
      </c>
    </row>
    <row r="173" spans="1:5" x14ac:dyDescent="0.25">
      <c r="A173" s="23">
        <v>43299</v>
      </c>
      <c r="B173" s="15">
        <v>1.54E-4</v>
      </c>
      <c r="C173" s="15">
        <v>2.1800000000000001E-4</v>
      </c>
      <c r="D173" s="29">
        <v>0.30196078431372547</v>
      </c>
      <c r="E173" s="29">
        <v>0.42745098039215684</v>
      </c>
    </row>
    <row r="174" spans="1:5" x14ac:dyDescent="0.25">
      <c r="A174" s="23">
        <v>43299.041666666664</v>
      </c>
      <c r="B174" s="15">
        <v>1.2899999999999999E-4</v>
      </c>
      <c r="C174" s="15">
        <v>5.3000000000000001E-5</v>
      </c>
      <c r="D174" s="29">
        <v>0.3</v>
      </c>
      <c r="E174" s="29">
        <v>0.12325581395348838</v>
      </c>
    </row>
    <row r="175" spans="1:5" x14ac:dyDescent="0.25">
      <c r="A175" s="23">
        <v>43299.083333333336</v>
      </c>
      <c r="B175" s="15">
        <v>2.7E-4</v>
      </c>
      <c r="C175" s="15">
        <v>6.6200000000000005E-4</v>
      </c>
      <c r="D175" s="29">
        <v>0.28421052631578947</v>
      </c>
      <c r="E175" s="29">
        <v>0.69684210526315793</v>
      </c>
    </row>
    <row r="176" spans="1:5" x14ac:dyDescent="0.25">
      <c r="A176" s="23">
        <v>43299.125</v>
      </c>
      <c r="B176" s="15">
        <v>3.59E-4</v>
      </c>
      <c r="C176" s="15">
        <v>3.9100000000000002E-4</v>
      </c>
      <c r="D176" s="29">
        <v>0.5056338028169014</v>
      </c>
      <c r="E176" s="29">
        <v>0.55070422535211272</v>
      </c>
    </row>
    <row r="177" spans="1:5" x14ac:dyDescent="0.25">
      <c r="A177" s="23">
        <v>43299.166666666664</v>
      </c>
      <c r="B177" s="15">
        <v>2.3499999999999999E-4</v>
      </c>
      <c r="C177" s="15">
        <v>1.4999999999999999E-4</v>
      </c>
      <c r="D177" s="29">
        <v>0.22815533980582522</v>
      </c>
      <c r="E177" s="29">
        <v>0.14563106796116501</v>
      </c>
    </row>
    <row r="178" spans="1:5" x14ac:dyDescent="0.25">
      <c r="A178" s="23">
        <v>43299.208333333336</v>
      </c>
      <c r="B178" s="15">
        <v>8.2999999999999998E-5</v>
      </c>
      <c r="C178" s="15">
        <v>1.25E-4</v>
      </c>
      <c r="D178" s="29">
        <v>0.10641025641025641</v>
      </c>
      <c r="E178" s="29">
        <v>0.16025641025641027</v>
      </c>
    </row>
    <row r="179" spans="1:5" x14ac:dyDescent="0.25">
      <c r="A179" s="23">
        <v>43299.25</v>
      </c>
      <c r="B179" s="15">
        <v>5.4600000000000004E-4</v>
      </c>
      <c r="C179" s="15">
        <v>3.1399999999999999E-4</v>
      </c>
      <c r="D179" s="29">
        <v>1.0705882352941176</v>
      </c>
      <c r="E179" s="29">
        <v>0.61568627450980384</v>
      </c>
    </row>
    <row r="180" spans="1:5" x14ac:dyDescent="0.25">
      <c r="A180" s="23">
        <v>43299.291666666664</v>
      </c>
      <c r="B180" s="15">
        <v>2.3599999999999999E-4</v>
      </c>
      <c r="C180" s="15">
        <v>7.9600000000000005E-4</v>
      </c>
      <c r="D180" s="29">
        <v>0.2185185185185185</v>
      </c>
      <c r="E180" s="29">
        <v>0.73703703703703705</v>
      </c>
    </row>
    <row r="181" spans="1:5" x14ac:dyDescent="0.25">
      <c r="A181" s="23">
        <v>43299.333333333336</v>
      </c>
      <c r="B181" s="15">
        <v>2.1499999999999999E-4</v>
      </c>
      <c r="C181" s="15">
        <v>4.8000000000000001E-4</v>
      </c>
      <c r="D181" s="29">
        <v>0.15925925925925924</v>
      </c>
      <c r="E181" s="29">
        <v>0.35555555555555557</v>
      </c>
    </row>
    <row r="182" spans="1:5" x14ac:dyDescent="0.25">
      <c r="A182" s="23">
        <v>43299.375</v>
      </c>
      <c r="B182" s="15">
        <v>5.1500000000000005E-4</v>
      </c>
      <c r="C182" s="15">
        <v>4.2299999999999998E-4</v>
      </c>
      <c r="D182" s="29">
        <v>0.39312977099236646</v>
      </c>
      <c r="E182" s="29">
        <v>0.3229007633587786</v>
      </c>
    </row>
    <row r="183" spans="1:5" x14ac:dyDescent="0.25">
      <c r="A183" s="23">
        <v>43299.416666666664</v>
      </c>
      <c r="B183" s="15">
        <v>4.28E-4</v>
      </c>
      <c r="C183" s="15">
        <v>4.1199999999999999E-4</v>
      </c>
      <c r="D183" s="29">
        <v>0.19022222222222224</v>
      </c>
      <c r="E183" s="29">
        <v>0.18311111111111111</v>
      </c>
    </row>
    <row r="184" spans="1:5" x14ac:dyDescent="0.25">
      <c r="A184" s="23">
        <v>43299.458333333336</v>
      </c>
      <c r="B184" s="15">
        <v>9.7199999999999999E-4</v>
      </c>
      <c r="C184" s="15">
        <v>7.2099999999999996E-4</v>
      </c>
      <c r="D184" s="29">
        <v>0.52258064516129032</v>
      </c>
      <c r="E184" s="29">
        <v>0.38763440860215048</v>
      </c>
    </row>
    <row r="185" spans="1:5" x14ac:dyDescent="0.25">
      <c r="A185" s="23">
        <v>43299.5</v>
      </c>
      <c r="B185" s="15">
        <v>2.9100000000000003E-4</v>
      </c>
      <c r="C185" s="15">
        <v>7.3099999999999999E-4</v>
      </c>
      <c r="D185" s="29">
        <v>0.20208333333333334</v>
      </c>
      <c r="E185" s="29">
        <v>0.50763888888888886</v>
      </c>
    </row>
    <row r="186" spans="1:5" x14ac:dyDescent="0.25">
      <c r="A186" s="23">
        <v>43299.541666666664</v>
      </c>
      <c r="B186" s="15">
        <v>4.0099999999999999E-4</v>
      </c>
      <c r="C186" s="15">
        <v>1.07E-4</v>
      </c>
      <c r="D186" s="29">
        <v>0.22784090909090907</v>
      </c>
      <c r="E186" s="29">
        <v>6.0795454545454541E-2</v>
      </c>
    </row>
    <row r="187" spans="1:5" x14ac:dyDescent="0.25">
      <c r="A187" s="23">
        <v>43299.583333333336</v>
      </c>
      <c r="B187" s="15">
        <v>5.9299999999999999E-4</v>
      </c>
      <c r="C187" s="15">
        <v>9.4799999999999995E-4</v>
      </c>
      <c r="D187" s="29">
        <v>0.29949494949494948</v>
      </c>
      <c r="E187" s="29">
        <v>0.47878787878787876</v>
      </c>
    </row>
    <row r="188" spans="1:5" x14ac:dyDescent="0.25">
      <c r="A188" s="23">
        <v>43299.625</v>
      </c>
      <c r="B188" s="15">
        <v>1.0020000000000001E-3</v>
      </c>
      <c r="C188" s="15">
        <v>3.5100000000000002E-4</v>
      </c>
      <c r="D188" s="29">
        <v>0.38837209302325587</v>
      </c>
      <c r="E188" s="29">
        <v>0.13604651162790699</v>
      </c>
    </row>
    <row r="189" spans="1:5" x14ac:dyDescent="0.25">
      <c r="A189" s="23">
        <v>43299.666666666664</v>
      </c>
      <c r="B189" s="15">
        <v>5.4799999999999998E-4</v>
      </c>
      <c r="C189" s="15">
        <v>1.1559999999999999E-3</v>
      </c>
      <c r="D189" s="29">
        <v>0.30786516853932583</v>
      </c>
      <c r="E189" s="29">
        <v>0.64943820224719095</v>
      </c>
    </row>
    <row r="190" spans="1:5" x14ac:dyDescent="0.25">
      <c r="A190" s="23">
        <v>43299.708333333336</v>
      </c>
      <c r="B190" s="15">
        <v>3.9599999999999998E-4</v>
      </c>
      <c r="C190" s="15">
        <v>7.2000000000000005E-4</v>
      </c>
      <c r="D190" s="29">
        <v>0.2429447852760736</v>
      </c>
      <c r="E190" s="29">
        <v>0.441717791411043</v>
      </c>
    </row>
    <row r="191" spans="1:5" x14ac:dyDescent="0.25">
      <c r="A191" s="23">
        <v>43299.75</v>
      </c>
      <c r="B191" s="15">
        <v>1.3899999999999999E-4</v>
      </c>
      <c r="C191" s="15">
        <v>1.16E-4</v>
      </c>
      <c r="D191" s="29">
        <v>0.10072463768115941</v>
      </c>
      <c r="E191" s="29">
        <v>8.4057971014492763E-2</v>
      </c>
    </row>
    <row r="192" spans="1:5" x14ac:dyDescent="0.25">
      <c r="A192" s="23">
        <v>43299.791666666664</v>
      </c>
      <c r="B192" s="15">
        <v>1.0380000000000001E-3</v>
      </c>
      <c r="C192" s="15">
        <v>5.8699999999999996E-4</v>
      </c>
      <c r="D192" s="29">
        <v>0.58977272727272734</v>
      </c>
      <c r="E192" s="29">
        <v>0.33352272727272725</v>
      </c>
    </row>
    <row r="193" spans="1:5" x14ac:dyDescent="0.25">
      <c r="A193" s="23">
        <v>43299.833333333336</v>
      </c>
      <c r="B193" s="15">
        <v>1.026E-3</v>
      </c>
      <c r="C193" s="15">
        <v>1.22E-4</v>
      </c>
      <c r="D193" s="29">
        <v>1.2825</v>
      </c>
      <c r="E193" s="29">
        <v>0.1525</v>
      </c>
    </row>
    <row r="194" spans="1:5" x14ac:dyDescent="0.25">
      <c r="A194" s="23">
        <v>43299.875</v>
      </c>
      <c r="B194" s="15">
        <v>4.84E-4</v>
      </c>
      <c r="C194" s="15">
        <v>1.64E-4</v>
      </c>
      <c r="D194" s="29">
        <v>0.74461538461538468</v>
      </c>
      <c r="E194" s="29">
        <v>0.25230769230769234</v>
      </c>
    </row>
    <row r="195" spans="1:5" x14ac:dyDescent="0.25">
      <c r="A195" s="23">
        <v>43299.916666666664</v>
      </c>
      <c r="B195" s="15">
        <v>3.7300000000000001E-4</v>
      </c>
      <c r="C195" s="15">
        <v>8.1899999999999996E-4</v>
      </c>
      <c r="D195" s="29">
        <v>0.3552380952380953</v>
      </c>
      <c r="E195" s="29">
        <v>0.78</v>
      </c>
    </row>
    <row r="196" spans="1:5" x14ac:dyDescent="0.25">
      <c r="A196" s="23">
        <v>43299.958333333336</v>
      </c>
      <c r="B196" s="15">
        <v>2.8760000000000001E-3</v>
      </c>
      <c r="C196" s="15">
        <v>2.7430000000000002E-3</v>
      </c>
      <c r="D196" s="29">
        <v>4.4937499999999995</v>
      </c>
      <c r="E196" s="29">
        <v>4.2859375000000002</v>
      </c>
    </row>
    <row r="197" spans="1:5" x14ac:dyDescent="0.25">
      <c r="A197" s="23">
        <v>43300</v>
      </c>
      <c r="B197" s="15">
        <v>1.8000000000000001E-4</v>
      </c>
      <c r="C197" s="15">
        <v>1.0900000000000001E-4</v>
      </c>
      <c r="D197" s="29">
        <v>0.20930232558139536</v>
      </c>
      <c r="E197" s="29">
        <v>0.12674418604651164</v>
      </c>
    </row>
    <row r="198" spans="1:5" x14ac:dyDescent="0.25">
      <c r="A198" s="23">
        <v>43300.041666666664</v>
      </c>
      <c r="B198" s="15">
        <v>3.79E-4</v>
      </c>
      <c r="C198" s="15">
        <v>1.07E-4</v>
      </c>
      <c r="D198" s="29">
        <v>0.90238095238095228</v>
      </c>
      <c r="E198" s="29">
        <v>0.25476190476190474</v>
      </c>
    </row>
    <row r="199" spans="1:5" x14ac:dyDescent="0.25">
      <c r="A199" s="23">
        <v>43300.083333333336</v>
      </c>
      <c r="B199" s="15">
        <v>1.26E-4</v>
      </c>
      <c r="C199" s="15">
        <v>8.8999999999999995E-5</v>
      </c>
      <c r="D199" s="29">
        <v>0.2930232558139535</v>
      </c>
      <c r="E199" s="29">
        <v>0.2069767441860465</v>
      </c>
    </row>
    <row r="200" spans="1:5" x14ac:dyDescent="0.25">
      <c r="A200" s="23">
        <v>43300.125</v>
      </c>
      <c r="B200" s="15">
        <v>7.5100000000000004E-4</v>
      </c>
      <c r="C200" s="15">
        <v>1.6899999999999999E-4</v>
      </c>
      <c r="D200" s="29">
        <v>0.72912621359223295</v>
      </c>
      <c r="E200" s="29">
        <v>0.16407766990291259</v>
      </c>
    </row>
    <row r="201" spans="1:5" x14ac:dyDescent="0.25">
      <c r="A201" s="23">
        <v>43300.166666666664</v>
      </c>
      <c r="B201" s="15">
        <v>2.0000000000000001E-4</v>
      </c>
      <c r="C201" s="15">
        <v>8.1499999999999997E-4</v>
      </c>
      <c r="D201" s="29">
        <v>0.12820512820512822</v>
      </c>
      <c r="E201" s="29">
        <v>0.52243589743589747</v>
      </c>
    </row>
    <row r="202" spans="1:5" x14ac:dyDescent="0.25">
      <c r="A202" s="23">
        <v>43300.208333333336</v>
      </c>
      <c r="B202" s="15">
        <v>2.8699999999999998E-4</v>
      </c>
      <c r="C202" s="15">
        <v>1.9699999999999999E-4</v>
      </c>
      <c r="D202" s="29">
        <v>0.27333333333333332</v>
      </c>
      <c r="E202" s="29">
        <v>0.18761904761904763</v>
      </c>
    </row>
    <row r="203" spans="1:5" x14ac:dyDescent="0.25">
      <c r="A203" s="23">
        <v>43300.25</v>
      </c>
      <c r="B203" s="15">
        <v>5.71E-4</v>
      </c>
      <c r="C203" s="15">
        <v>4.6099999999999998E-4</v>
      </c>
      <c r="D203" s="29">
        <v>0.46422764227642277</v>
      </c>
      <c r="E203" s="29">
        <v>0.37479674796747969</v>
      </c>
    </row>
    <row r="204" spans="1:5" x14ac:dyDescent="0.25">
      <c r="A204" s="23">
        <v>43300.291666666664</v>
      </c>
      <c r="B204" s="15">
        <v>4.08E-4</v>
      </c>
      <c r="C204" s="15">
        <v>2.3499999999999999E-4</v>
      </c>
      <c r="D204" s="29">
        <v>0.57464788732394367</v>
      </c>
      <c r="E204" s="29">
        <v>0.33098591549295775</v>
      </c>
    </row>
    <row r="205" spans="1:5" x14ac:dyDescent="0.25">
      <c r="A205" s="23">
        <v>43300.333333333336</v>
      </c>
      <c r="B205" s="15">
        <v>3.2200000000000002E-4</v>
      </c>
      <c r="C205" s="15">
        <v>2.2800000000000001E-4</v>
      </c>
      <c r="D205" s="29">
        <v>0.32857142857142863</v>
      </c>
      <c r="E205" s="29">
        <v>0.23265306122448981</v>
      </c>
    </row>
    <row r="206" spans="1:5" x14ac:dyDescent="0.25">
      <c r="A206" s="23">
        <v>43300.375</v>
      </c>
      <c r="B206" s="15">
        <v>2.2499999999999999E-4</v>
      </c>
      <c r="C206" s="15">
        <v>1.5499999999999999E-3</v>
      </c>
      <c r="D206" s="29">
        <v>0.09</v>
      </c>
      <c r="E206" s="29">
        <v>0.62</v>
      </c>
    </row>
    <row r="207" spans="1:5" x14ac:dyDescent="0.25">
      <c r="A207" s="23">
        <v>43300.416666666664</v>
      </c>
      <c r="B207" s="15">
        <v>8.4099999999999995E-4</v>
      </c>
      <c r="C207" s="15">
        <v>9.5699999999999995E-4</v>
      </c>
      <c r="D207" s="29">
        <v>0.39669811320754716</v>
      </c>
      <c r="E207" s="29">
        <v>0.45141509433962262</v>
      </c>
    </row>
    <row r="208" spans="1:5" x14ac:dyDescent="0.25">
      <c r="A208" s="23">
        <v>43300.458333333336</v>
      </c>
      <c r="B208" s="15">
        <v>3.8099999999999999E-4</v>
      </c>
      <c r="C208" s="15">
        <v>3.8499999999999998E-4</v>
      </c>
      <c r="D208" s="29">
        <v>0.25918367346938775</v>
      </c>
      <c r="E208" s="29">
        <v>0.26190476190476192</v>
      </c>
    </row>
    <row r="209" spans="1:5" x14ac:dyDescent="0.25">
      <c r="A209" s="23">
        <v>43300.5</v>
      </c>
      <c r="B209" s="15">
        <v>5.0000000000000001E-4</v>
      </c>
      <c r="C209" s="15">
        <v>1.042E-3</v>
      </c>
      <c r="D209" s="29">
        <v>0.24271844660194172</v>
      </c>
      <c r="E209" s="29">
        <v>0.50582524271844653</v>
      </c>
    </row>
    <row r="210" spans="1:5" x14ac:dyDescent="0.25">
      <c r="A210" s="23">
        <v>43300.541666666664</v>
      </c>
      <c r="B210" s="15">
        <v>1.7799999999999999E-4</v>
      </c>
      <c r="C210" s="15">
        <v>0</v>
      </c>
      <c r="D210" s="29">
        <v>9.3684210526315786E-2</v>
      </c>
      <c r="E210" s="29">
        <v>0</v>
      </c>
    </row>
    <row r="211" spans="1:5" x14ac:dyDescent="0.25">
      <c r="A211" s="23">
        <v>43300.583333333336</v>
      </c>
      <c r="B211" s="15">
        <v>5.8100000000000003E-4</v>
      </c>
      <c r="C211" s="15">
        <v>2.9500000000000001E-4</v>
      </c>
      <c r="D211" s="29">
        <v>0.39256756756756761</v>
      </c>
      <c r="E211" s="29">
        <v>0.19932432432432434</v>
      </c>
    </row>
    <row r="212" spans="1:5" x14ac:dyDescent="0.25">
      <c r="A212" s="23">
        <v>43300.625</v>
      </c>
      <c r="B212" s="15">
        <v>7.0200000000000004E-4</v>
      </c>
      <c r="C212" s="15">
        <v>1.3799999999999999E-3</v>
      </c>
      <c r="D212" s="29">
        <v>0.27209302325581397</v>
      </c>
      <c r="E212" s="29">
        <v>0.53488372093023262</v>
      </c>
    </row>
    <row r="213" spans="1:5" x14ac:dyDescent="0.25">
      <c r="A213" s="23">
        <v>43300.666666666664</v>
      </c>
      <c r="B213" s="15">
        <v>1.7979999999999999E-3</v>
      </c>
      <c r="C213" s="15">
        <v>1.2930000000000001E-3</v>
      </c>
      <c r="D213" s="29">
        <v>0.72793522267206479</v>
      </c>
      <c r="E213" s="29">
        <v>0.52348178137651824</v>
      </c>
    </row>
    <row r="214" spans="1:5" x14ac:dyDescent="0.25">
      <c r="A214" s="23">
        <v>43300.708333333336</v>
      </c>
      <c r="B214" s="15">
        <v>7.9600000000000005E-4</v>
      </c>
      <c r="C214" s="15">
        <v>7.9299999999999998E-4</v>
      </c>
      <c r="D214" s="29">
        <v>0.30733590733590738</v>
      </c>
      <c r="E214" s="29">
        <v>0.3061776061776062</v>
      </c>
    </row>
    <row r="215" spans="1:5" x14ac:dyDescent="0.25">
      <c r="A215" s="23">
        <v>43300.75</v>
      </c>
      <c r="B215" s="15">
        <v>1.5380000000000001E-3</v>
      </c>
      <c r="C215" s="15">
        <v>7.7200000000000001E-4</v>
      </c>
      <c r="D215" s="29">
        <v>0.8738636363636364</v>
      </c>
      <c r="E215" s="29">
        <v>0.4386363636363636</v>
      </c>
    </row>
    <row r="216" spans="1:5" x14ac:dyDescent="0.25">
      <c r="A216" s="23">
        <v>43300.791666666664</v>
      </c>
      <c r="B216" s="15">
        <v>1.35E-4</v>
      </c>
      <c r="C216" s="15">
        <v>6.9300000000000004E-4</v>
      </c>
      <c r="D216" s="29">
        <v>0.16666666666666669</v>
      </c>
      <c r="E216" s="29">
        <v>0.85555555555555562</v>
      </c>
    </row>
    <row r="217" spans="1:5" x14ac:dyDescent="0.25">
      <c r="A217" s="23">
        <v>43300.833333333336</v>
      </c>
      <c r="B217" s="15">
        <v>6.5760000000000002E-3</v>
      </c>
      <c r="C217" s="15">
        <v>3.8699999999999997E-4</v>
      </c>
      <c r="D217" s="29">
        <v>0.90205761316872435</v>
      </c>
      <c r="E217" s="29">
        <v>5.3086419753086422E-2</v>
      </c>
    </row>
    <row r="218" spans="1:5" x14ac:dyDescent="0.25">
      <c r="A218" s="23">
        <v>43300.875</v>
      </c>
      <c r="B218" s="15">
        <v>2.4689999999999998E-3</v>
      </c>
      <c r="C218" s="15">
        <v>1.292E-3</v>
      </c>
      <c r="D218" s="29">
        <v>1.2102941176470587</v>
      </c>
      <c r="E218" s="29">
        <v>0.6333333333333333</v>
      </c>
    </row>
    <row r="219" spans="1:5" x14ac:dyDescent="0.25">
      <c r="A219" s="23">
        <v>43300.916666666664</v>
      </c>
      <c r="B219" s="15">
        <v>2.0769999999999999E-3</v>
      </c>
      <c r="C219" s="15">
        <v>1.7200000000000001E-4</v>
      </c>
      <c r="D219" s="29">
        <v>1.888181818181818</v>
      </c>
      <c r="E219" s="29">
        <v>0.15636363636363637</v>
      </c>
    </row>
    <row r="220" spans="1:5" x14ac:dyDescent="0.25">
      <c r="A220" s="23">
        <v>43300.958333333336</v>
      </c>
      <c r="B220" s="15">
        <v>5.6899999999999995E-4</v>
      </c>
      <c r="C220" s="15">
        <v>6.9999999999999999E-6</v>
      </c>
      <c r="D220" s="29">
        <v>0.34907975460122698</v>
      </c>
      <c r="E220" s="29">
        <v>4.2944785276073623E-3</v>
      </c>
    </row>
    <row r="221" spans="1:5" x14ac:dyDescent="0.25">
      <c r="A221" s="23">
        <v>43301</v>
      </c>
      <c r="B221" s="15">
        <v>4.5800000000000002E-4</v>
      </c>
      <c r="C221" s="15">
        <v>4.2200000000000001E-4</v>
      </c>
      <c r="D221" s="29">
        <v>0.6450704225352113</v>
      </c>
      <c r="E221" s="29">
        <v>0.59436619718309858</v>
      </c>
    </row>
    <row r="222" spans="1:5" x14ac:dyDescent="0.25">
      <c r="A222" s="23">
        <v>43301.041666666664</v>
      </c>
      <c r="B222" s="15">
        <v>3.8200000000000002E-4</v>
      </c>
      <c r="C222" s="15">
        <v>3.4499999999999998E-4</v>
      </c>
      <c r="D222" s="29">
        <v>0.79583333333333339</v>
      </c>
      <c r="E222" s="29">
        <v>0.71875</v>
      </c>
    </row>
    <row r="223" spans="1:5" x14ac:dyDescent="0.25">
      <c r="A223" s="23">
        <v>43301.083333333336</v>
      </c>
      <c r="B223" s="15">
        <v>5.3399999999999997E-4</v>
      </c>
      <c r="C223" s="15">
        <v>5.8100000000000003E-4</v>
      </c>
      <c r="D223" s="29">
        <v>0.39850746268656712</v>
      </c>
      <c r="E223" s="29">
        <v>0.43358208955223881</v>
      </c>
    </row>
    <row r="224" spans="1:5" x14ac:dyDescent="0.25">
      <c r="A224" s="23">
        <v>43301.125</v>
      </c>
      <c r="B224" s="15">
        <v>3.9599999999999998E-4</v>
      </c>
      <c r="C224" s="15">
        <v>3.9300000000000001E-4</v>
      </c>
      <c r="D224" s="29">
        <v>0.46046511627906977</v>
      </c>
      <c r="E224" s="29">
        <v>0.45697674418604656</v>
      </c>
    </row>
    <row r="225" spans="1:5" x14ac:dyDescent="0.25">
      <c r="A225" s="23">
        <v>43301.166666666664</v>
      </c>
      <c r="B225" s="15">
        <v>2.3800000000000001E-4</v>
      </c>
      <c r="C225" s="15">
        <v>2.0539999999999998E-3</v>
      </c>
      <c r="D225" s="29">
        <v>7.0833333333333331E-2</v>
      </c>
      <c r="E225" s="29">
        <v>0.61130952380952375</v>
      </c>
    </row>
    <row r="226" spans="1:5" x14ac:dyDescent="0.25">
      <c r="A226" s="23">
        <v>43301.208333333336</v>
      </c>
      <c r="B226" s="15">
        <v>8.0800000000000002E-4</v>
      </c>
      <c r="C226" s="15">
        <v>1.2030000000000001E-3</v>
      </c>
      <c r="D226" s="29">
        <v>0.3941463414634146</v>
      </c>
      <c r="E226" s="29">
        <v>0.58682926829268289</v>
      </c>
    </row>
    <row r="227" spans="1:5" x14ac:dyDescent="0.25">
      <c r="A227" s="23">
        <v>43301.25</v>
      </c>
      <c r="B227" s="15">
        <v>7.6400000000000003E-4</v>
      </c>
      <c r="C227" s="15">
        <v>4.26E-4</v>
      </c>
      <c r="D227" s="29">
        <v>0.7717171717171718</v>
      </c>
      <c r="E227" s="29">
        <v>0.4303030303030303</v>
      </c>
    </row>
    <row r="228" spans="1:5" x14ac:dyDescent="0.25">
      <c r="A228" s="23">
        <v>43301.291666666664</v>
      </c>
      <c r="B228" s="15">
        <v>8.5700000000000001E-4</v>
      </c>
      <c r="C228" s="15">
        <v>4.8299999999999998E-4</v>
      </c>
      <c r="D228" s="29">
        <v>0.51626506024096386</v>
      </c>
      <c r="E228" s="29">
        <v>0.29096385542168673</v>
      </c>
    </row>
    <row r="229" spans="1:5" x14ac:dyDescent="0.25">
      <c r="A229" s="23">
        <v>43301.333333333336</v>
      </c>
      <c r="B229" s="15">
        <v>1.75E-4</v>
      </c>
      <c r="C229" s="15">
        <v>5.5999999999999995E-4</v>
      </c>
      <c r="D229" s="29">
        <v>0.14830508474576271</v>
      </c>
      <c r="E229" s="29">
        <v>0.47457627118644063</v>
      </c>
    </row>
    <row r="230" spans="1:5" x14ac:dyDescent="0.25">
      <c r="A230" s="23">
        <v>43301.375</v>
      </c>
      <c r="B230" s="15">
        <v>4.1E-5</v>
      </c>
      <c r="C230" s="15">
        <v>1.157E-3</v>
      </c>
      <c r="D230" s="29">
        <v>1.4642857142857143E-2</v>
      </c>
      <c r="E230" s="29">
        <v>0.41321428571428576</v>
      </c>
    </row>
    <row r="231" spans="1:5" x14ac:dyDescent="0.25">
      <c r="A231" s="23">
        <v>43301.416666666664</v>
      </c>
      <c r="B231" s="15">
        <v>8.1899999999999996E-4</v>
      </c>
      <c r="C231" s="15">
        <v>9.3099999999999997E-4</v>
      </c>
      <c r="D231" s="29">
        <v>0.33703703703703702</v>
      </c>
      <c r="E231" s="29">
        <v>0.38312757201646092</v>
      </c>
    </row>
    <row r="232" spans="1:5" x14ac:dyDescent="0.25">
      <c r="A232" s="23">
        <v>43301.458333333336</v>
      </c>
      <c r="B232" s="15">
        <v>2.0000000000000001E-4</v>
      </c>
      <c r="C232" s="15">
        <v>8.9300000000000002E-4</v>
      </c>
      <c r="D232" s="29">
        <v>0.12578616352201258</v>
      </c>
      <c r="E232" s="29">
        <v>0.56163522012578615</v>
      </c>
    </row>
    <row r="233" spans="1:5" x14ac:dyDescent="0.25">
      <c r="A233" s="23">
        <v>43301.5</v>
      </c>
      <c r="B233" s="15">
        <v>3.6499999999999998E-4</v>
      </c>
      <c r="C233" s="15">
        <v>2.0799999999999999E-4</v>
      </c>
      <c r="D233" s="29">
        <v>0.18622448979591835</v>
      </c>
      <c r="E233" s="29">
        <v>0.10612244897959183</v>
      </c>
    </row>
    <row r="234" spans="1:5" x14ac:dyDescent="0.25">
      <c r="A234" s="23">
        <v>43301.541666666664</v>
      </c>
      <c r="B234" s="15">
        <v>9.2199999999999997E-4</v>
      </c>
      <c r="C234" s="15">
        <v>5.6499999999999996E-4</v>
      </c>
      <c r="D234" s="29">
        <v>0.57624999999999993</v>
      </c>
      <c r="E234" s="29">
        <v>0.35312499999999997</v>
      </c>
    </row>
    <row r="235" spans="1:5" x14ac:dyDescent="0.25">
      <c r="A235" s="23">
        <v>43301.583333333336</v>
      </c>
      <c r="B235" s="15">
        <v>9.5E-4</v>
      </c>
      <c r="C235" s="15">
        <v>6.6600000000000003E-4</v>
      </c>
      <c r="D235" s="29">
        <v>0.52777777777777779</v>
      </c>
      <c r="E235" s="29">
        <v>0.37000000000000005</v>
      </c>
    </row>
    <row r="236" spans="1:5" x14ac:dyDescent="0.25">
      <c r="A236" s="23">
        <v>43301.625</v>
      </c>
      <c r="B236" s="15">
        <v>4.1970000000000002E-3</v>
      </c>
      <c r="C236" s="15">
        <v>8.6700000000000004E-4</v>
      </c>
      <c r="D236" s="29">
        <v>0.78011152416356877</v>
      </c>
      <c r="E236" s="29">
        <v>0.16115241635687733</v>
      </c>
    </row>
    <row r="237" spans="1:5" x14ac:dyDescent="0.25">
      <c r="A237" s="23">
        <v>43301.666666666664</v>
      </c>
      <c r="B237" s="15">
        <v>7.9000000000000001E-4</v>
      </c>
      <c r="C237" s="15">
        <v>1.5169999999999999E-3</v>
      </c>
      <c r="D237" s="29">
        <v>0.3779904306220096</v>
      </c>
      <c r="E237" s="29">
        <v>0.72583732057416273</v>
      </c>
    </row>
    <row r="238" spans="1:5" x14ac:dyDescent="0.25">
      <c r="A238" s="23">
        <v>43301.708333333336</v>
      </c>
      <c r="B238" s="15">
        <v>3.7599999999999998E-4</v>
      </c>
      <c r="C238" s="15">
        <v>3.5300000000000002E-4</v>
      </c>
      <c r="D238" s="29">
        <v>0.20888888888888887</v>
      </c>
      <c r="E238" s="29">
        <v>0.19611111111111112</v>
      </c>
    </row>
    <row r="239" spans="1:5" x14ac:dyDescent="0.25">
      <c r="A239" s="23">
        <v>43301.75</v>
      </c>
      <c r="B239" s="15">
        <v>8.7999999999999998E-5</v>
      </c>
      <c r="C239" s="15">
        <v>5.3399999999999997E-4</v>
      </c>
      <c r="D239" s="29">
        <v>8.3018867924528297E-2</v>
      </c>
      <c r="E239" s="29">
        <v>0.50377358490566038</v>
      </c>
    </row>
    <row r="240" spans="1:5" x14ac:dyDescent="0.25">
      <c r="A240" s="23">
        <v>43301.791666666664</v>
      </c>
      <c r="B240" s="15">
        <v>7.5100000000000004E-4</v>
      </c>
      <c r="C240" s="15">
        <v>4.35E-4</v>
      </c>
      <c r="D240" s="29">
        <v>0.72912621359223295</v>
      </c>
      <c r="E240" s="29">
        <v>0.42233009708737862</v>
      </c>
    </row>
    <row r="241" spans="1:5" x14ac:dyDescent="0.25">
      <c r="A241" s="23">
        <v>43301.833333333336</v>
      </c>
      <c r="B241" s="15">
        <v>7.5699999999999997E-4</v>
      </c>
      <c r="C241" s="15">
        <v>5.6400000000000005E-4</v>
      </c>
      <c r="D241" s="29">
        <v>0.45329341317365268</v>
      </c>
      <c r="E241" s="29">
        <v>0.33772455089820363</v>
      </c>
    </row>
    <row r="242" spans="1:5" x14ac:dyDescent="0.25">
      <c r="A242" s="23">
        <v>43301.875</v>
      </c>
      <c r="B242" s="15">
        <v>1.2949999999999999E-3</v>
      </c>
      <c r="C242" s="15">
        <v>1.2830000000000001E-3</v>
      </c>
      <c r="D242" s="29">
        <v>0.65736040609137059</v>
      </c>
      <c r="E242" s="29">
        <v>0.65126903553299498</v>
      </c>
    </row>
    <row r="243" spans="1:5" x14ac:dyDescent="0.25">
      <c r="A243" s="23">
        <v>43301.916666666664</v>
      </c>
      <c r="B243" s="15">
        <v>1.0889999999999999E-3</v>
      </c>
      <c r="C243" s="15">
        <v>2.03E-4</v>
      </c>
      <c r="D243" s="29">
        <v>1.089</v>
      </c>
      <c r="E243" s="29">
        <v>0.20299999999999999</v>
      </c>
    </row>
    <row r="244" spans="1:5" x14ac:dyDescent="0.25">
      <c r="A244" s="23">
        <v>43301.958333333336</v>
      </c>
      <c r="B244" s="15">
        <v>3.1100000000000002E-4</v>
      </c>
      <c r="C244" s="15">
        <v>7.45E-4</v>
      </c>
      <c r="D244" s="29">
        <v>0.2776785714285715</v>
      </c>
      <c r="E244" s="29">
        <v>0.66517857142857151</v>
      </c>
    </row>
    <row r="245" spans="1:5" x14ac:dyDescent="0.25">
      <c r="A245" s="23">
        <v>43304</v>
      </c>
      <c r="B245" s="15">
        <v>6.6399999999999999E-4</v>
      </c>
      <c r="C245" s="15">
        <v>4.1199999999999999E-4</v>
      </c>
      <c r="D245" s="29">
        <v>1.1649122807017545</v>
      </c>
      <c r="E245" s="29">
        <v>0.72280701754385968</v>
      </c>
    </row>
    <row r="246" spans="1:5" x14ac:dyDescent="0.25">
      <c r="A246" s="23">
        <v>43304.041666666664</v>
      </c>
      <c r="B246" s="15">
        <v>7.2999999999999999E-5</v>
      </c>
      <c r="C246" s="15">
        <v>5.1999999999999997E-5</v>
      </c>
      <c r="D246" s="29">
        <v>6.5178571428571433E-2</v>
      </c>
      <c r="E246" s="29">
        <v>4.642857142857143E-2</v>
      </c>
    </row>
    <row r="247" spans="1:5" x14ac:dyDescent="0.25">
      <c r="A247" s="23">
        <v>43304.083333333336</v>
      </c>
      <c r="B247" s="15">
        <v>6.7199999999999996E-4</v>
      </c>
      <c r="C247" s="15">
        <v>8.8000000000000003E-4</v>
      </c>
      <c r="D247" s="29">
        <v>0.54634146341463408</v>
      </c>
      <c r="E247" s="29">
        <v>0.71544715447154472</v>
      </c>
    </row>
    <row r="248" spans="1:5" x14ac:dyDescent="0.25">
      <c r="A248" s="23">
        <v>43304.125</v>
      </c>
      <c r="B248" s="15">
        <v>2.7799999999999998E-4</v>
      </c>
      <c r="C248" s="15">
        <v>2.6999999999999999E-5</v>
      </c>
      <c r="D248" s="29">
        <v>0.23166666666666666</v>
      </c>
      <c r="E248" s="29">
        <v>2.2500000000000003E-2</v>
      </c>
    </row>
    <row r="249" spans="1:5" x14ac:dyDescent="0.25">
      <c r="A249" s="23">
        <v>43304.166666666664</v>
      </c>
      <c r="B249" s="15">
        <v>4.5000000000000003E-5</v>
      </c>
      <c r="C249" s="15">
        <v>3.4400000000000001E-4</v>
      </c>
      <c r="D249" s="29">
        <v>2.7439024390243906E-2</v>
      </c>
      <c r="E249" s="29">
        <v>0.20975609756097563</v>
      </c>
    </row>
    <row r="250" spans="1:5" x14ac:dyDescent="0.25">
      <c r="A250" s="23">
        <v>43304.208333333336</v>
      </c>
      <c r="B250" s="15">
        <v>2.3499999999999999E-4</v>
      </c>
      <c r="C250" s="15">
        <v>4.8999999999999998E-5</v>
      </c>
      <c r="D250" s="29">
        <v>0.23039215686274508</v>
      </c>
      <c r="E250" s="29">
        <v>4.8039215686274506E-2</v>
      </c>
    </row>
    <row r="251" spans="1:5" x14ac:dyDescent="0.25">
      <c r="A251" s="23">
        <v>43304.25</v>
      </c>
      <c r="B251" s="15">
        <v>2.9599999999999998E-4</v>
      </c>
      <c r="C251" s="15">
        <v>1.8200000000000001E-4</v>
      </c>
      <c r="D251" s="29">
        <v>0.31489361702127661</v>
      </c>
      <c r="E251" s="29">
        <v>0.19361702127659575</v>
      </c>
    </row>
    <row r="252" spans="1:5" x14ac:dyDescent="0.25">
      <c r="A252" s="23">
        <v>43304.291666666664</v>
      </c>
      <c r="B252" s="15">
        <v>8.8199999999999997E-4</v>
      </c>
      <c r="C252" s="15">
        <v>5.9999999999999995E-4</v>
      </c>
      <c r="D252" s="29">
        <v>0.88200000000000001</v>
      </c>
      <c r="E252" s="29">
        <v>0.6</v>
      </c>
    </row>
    <row r="253" spans="1:5" x14ac:dyDescent="0.25">
      <c r="A253" s="23">
        <v>43304.333333333336</v>
      </c>
      <c r="B253" s="15">
        <v>1.07E-4</v>
      </c>
      <c r="C253" s="15">
        <v>4.6700000000000002E-4</v>
      </c>
      <c r="D253" s="29">
        <v>6.604938271604939E-2</v>
      </c>
      <c r="E253" s="29">
        <v>0.28827160493827164</v>
      </c>
    </row>
    <row r="254" spans="1:5" x14ac:dyDescent="0.25">
      <c r="A254" s="23">
        <v>43304.375</v>
      </c>
      <c r="B254" s="15">
        <v>2.04E-4</v>
      </c>
      <c r="C254" s="15">
        <v>4.6E-5</v>
      </c>
      <c r="D254" s="29">
        <v>0.13076923076923078</v>
      </c>
      <c r="E254" s="29">
        <v>2.9487179487179487E-2</v>
      </c>
    </row>
    <row r="255" spans="1:5" x14ac:dyDescent="0.25">
      <c r="A255" s="23">
        <v>43304.416666666664</v>
      </c>
      <c r="B255" s="15">
        <v>1.1490000000000001E-3</v>
      </c>
      <c r="C255" s="15">
        <v>3.4999999999999997E-5</v>
      </c>
      <c r="D255" s="29">
        <v>0.4031578947368421</v>
      </c>
      <c r="E255" s="29">
        <v>1.2280701754385963E-2</v>
      </c>
    </row>
    <row r="256" spans="1:5" x14ac:dyDescent="0.25">
      <c r="A256" s="23">
        <v>43304.458333333336</v>
      </c>
      <c r="B256" s="15">
        <v>1.238E-3</v>
      </c>
      <c r="C256" s="15">
        <v>2.1090000000000002E-3</v>
      </c>
      <c r="D256" s="29">
        <v>0.41266666666666663</v>
      </c>
      <c r="E256" s="29">
        <v>0.70300000000000007</v>
      </c>
    </row>
    <row r="257" spans="1:5" x14ac:dyDescent="0.25">
      <c r="A257" s="23">
        <v>43304.5</v>
      </c>
      <c r="B257" s="15">
        <v>1.2310000000000001E-3</v>
      </c>
      <c r="C257" s="15">
        <v>8.7900000000000001E-4</v>
      </c>
      <c r="D257" s="29">
        <v>0.59182692307692319</v>
      </c>
      <c r="E257" s="29">
        <v>0.4225961538461539</v>
      </c>
    </row>
    <row r="258" spans="1:5" x14ac:dyDescent="0.25">
      <c r="A258" s="23">
        <v>43304.541666666664</v>
      </c>
      <c r="B258" s="15">
        <v>9.6299999999999999E-4</v>
      </c>
      <c r="C258" s="15">
        <v>1.379E-3</v>
      </c>
      <c r="D258" s="29">
        <v>0.49384615384615388</v>
      </c>
      <c r="E258" s="29">
        <v>0.7071794871794872</v>
      </c>
    </row>
    <row r="259" spans="1:5" x14ac:dyDescent="0.25">
      <c r="A259" s="23">
        <v>43304.583333333336</v>
      </c>
      <c r="B259" s="15">
        <v>5.9299999999999999E-4</v>
      </c>
      <c r="C259" s="15">
        <v>1.168E-3</v>
      </c>
      <c r="D259" s="29">
        <v>0.8471428571428572</v>
      </c>
      <c r="E259" s="29">
        <v>1.6685714285714286</v>
      </c>
    </row>
    <row r="260" spans="1:5" x14ac:dyDescent="0.25">
      <c r="A260" s="23">
        <v>43304.625</v>
      </c>
      <c r="B260" s="15">
        <v>5.2999999999999998E-4</v>
      </c>
      <c r="C260" s="15">
        <v>3.0499999999999999E-4</v>
      </c>
      <c r="D260" s="29">
        <v>0.34640522875816993</v>
      </c>
      <c r="E260" s="29">
        <v>0.19934640522875818</v>
      </c>
    </row>
    <row r="261" spans="1:5" x14ac:dyDescent="0.25">
      <c r="A261" s="23">
        <v>43304.666666666664</v>
      </c>
      <c r="B261" s="15">
        <v>2.99E-4</v>
      </c>
      <c r="C261" s="15">
        <v>1.3090000000000001E-3</v>
      </c>
      <c r="D261" s="29">
        <v>0.13056768558951964</v>
      </c>
      <c r="E261" s="29">
        <v>0.57161572052401755</v>
      </c>
    </row>
    <row r="262" spans="1:5" x14ac:dyDescent="0.25">
      <c r="A262" s="23">
        <v>43304.708333333336</v>
      </c>
      <c r="B262" s="15">
        <v>4.1999999999999998E-5</v>
      </c>
      <c r="C262" s="15">
        <v>6.02E-4</v>
      </c>
      <c r="D262" s="29">
        <v>3.5593220338983045E-2</v>
      </c>
      <c r="E262" s="29">
        <v>0.51016949152542368</v>
      </c>
    </row>
    <row r="263" spans="1:5" x14ac:dyDescent="0.25">
      <c r="A263" s="23">
        <v>43304.75</v>
      </c>
      <c r="B263" s="15">
        <v>5.6400000000000005E-4</v>
      </c>
      <c r="C263" s="15">
        <v>9.7000000000000005E-4</v>
      </c>
      <c r="D263" s="29">
        <v>0.36153846153846159</v>
      </c>
      <c r="E263" s="29">
        <v>0.62179487179487181</v>
      </c>
    </row>
    <row r="264" spans="1:5" x14ac:dyDescent="0.25">
      <c r="A264" s="23">
        <v>43304.791666666664</v>
      </c>
      <c r="B264" s="15">
        <v>1.45E-4</v>
      </c>
      <c r="C264" s="15">
        <v>1.6799999999999999E-4</v>
      </c>
      <c r="D264" s="29">
        <v>0.11068702290076336</v>
      </c>
      <c r="E264" s="29">
        <v>0.12824427480916031</v>
      </c>
    </row>
    <row r="265" spans="1:5" x14ac:dyDescent="0.25">
      <c r="A265" s="23">
        <v>43304.833333333336</v>
      </c>
      <c r="B265" s="15">
        <v>8.6000000000000003E-5</v>
      </c>
      <c r="C265" s="15">
        <v>5.62E-4</v>
      </c>
      <c r="D265" s="29">
        <v>3.6134453781512602E-2</v>
      </c>
      <c r="E265" s="29">
        <v>0.2361344537815126</v>
      </c>
    </row>
    <row r="266" spans="1:5" x14ac:dyDescent="0.25">
      <c r="A266" s="23">
        <v>43304.875</v>
      </c>
      <c r="B266" s="15">
        <v>6.5700000000000003E-4</v>
      </c>
      <c r="C266" s="15">
        <v>3.6699999999999998E-4</v>
      </c>
      <c r="D266" s="29">
        <v>0.67040816326530617</v>
      </c>
      <c r="E266" s="29">
        <v>0.37448979591836734</v>
      </c>
    </row>
    <row r="267" spans="1:5" x14ac:dyDescent="0.25">
      <c r="A267" s="23">
        <v>43304.916666666664</v>
      </c>
      <c r="B267" s="15">
        <v>2.34E-4</v>
      </c>
      <c r="C267" s="15">
        <v>3.3500000000000001E-4</v>
      </c>
      <c r="D267" s="29">
        <v>0.21869158878504671</v>
      </c>
      <c r="E267" s="29">
        <v>0.31308411214953275</v>
      </c>
    </row>
    <row r="268" spans="1:5" x14ac:dyDescent="0.25">
      <c r="A268" s="23">
        <v>43304.958333333336</v>
      </c>
      <c r="B268" s="15">
        <v>5.7000000000000003E-5</v>
      </c>
      <c r="C268" s="15">
        <v>1.4999999999999999E-4</v>
      </c>
      <c r="D268" s="29">
        <v>8.6363636363636365E-2</v>
      </c>
      <c r="E268" s="29">
        <v>0.22727272727272727</v>
      </c>
    </row>
    <row r="269" spans="1:5" x14ac:dyDescent="0.25">
      <c r="A269" s="23">
        <v>43305</v>
      </c>
      <c r="B269" s="15">
        <v>6.3999999999999997E-5</v>
      </c>
      <c r="C269" s="15">
        <v>5.5400000000000002E-4</v>
      </c>
      <c r="D269" s="29">
        <v>6.6666666666666666E-2</v>
      </c>
      <c r="E269" s="29">
        <v>0.57708333333333339</v>
      </c>
    </row>
    <row r="270" spans="1:5" x14ac:dyDescent="0.25">
      <c r="A270" s="23">
        <v>43305.041666666664</v>
      </c>
      <c r="B270" s="15">
        <v>4.2999999999999999E-4</v>
      </c>
      <c r="C270" s="15">
        <v>4.2499999999999998E-4</v>
      </c>
      <c r="D270" s="29">
        <v>0.63235294117647056</v>
      </c>
      <c r="E270" s="29">
        <v>0.62499999999999989</v>
      </c>
    </row>
    <row r="271" spans="1:5" x14ac:dyDescent="0.25">
      <c r="A271" s="27">
        <v>43305.083333333336</v>
      </c>
      <c r="B271" s="28">
        <v>5.4299999999999997E-4</v>
      </c>
      <c r="C271" s="28">
        <v>4.1999999999999998E-5</v>
      </c>
      <c r="D271" s="30">
        <v>0.74383561643835616</v>
      </c>
      <c r="E271" s="30">
        <v>5.7534246575342465E-2</v>
      </c>
    </row>
    <row r="272" spans="1:5" x14ac:dyDescent="0.25">
      <c r="A272" s="23">
        <v>43305.125</v>
      </c>
      <c r="B272" s="15">
        <v>5.7000000000000003E-5</v>
      </c>
      <c r="C272" s="15">
        <v>1.9000000000000001E-4</v>
      </c>
      <c r="D272" s="29">
        <v>9.3442622950819676E-2</v>
      </c>
      <c r="E272" s="29">
        <v>0.31147540983606559</v>
      </c>
    </row>
    <row r="273" spans="1:5" x14ac:dyDescent="0.25">
      <c r="A273" s="23">
        <v>43305.166666666664</v>
      </c>
      <c r="B273" s="15">
        <v>4.7699999999999999E-4</v>
      </c>
      <c r="C273" s="15">
        <v>2.81E-4</v>
      </c>
      <c r="D273" s="29">
        <v>0.40769230769230769</v>
      </c>
      <c r="E273" s="29">
        <v>0.24017094017094015</v>
      </c>
    </row>
    <row r="274" spans="1:5" x14ac:dyDescent="0.25">
      <c r="A274" s="23">
        <v>43305.208333333336</v>
      </c>
      <c r="B274" s="15">
        <v>1.6100000000000001E-4</v>
      </c>
      <c r="C274" s="15">
        <v>7.1100000000000004E-4</v>
      </c>
      <c r="D274" s="29">
        <v>0.10062500000000001</v>
      </c>
      <c r="E274" s="29">
        <v>0.44437500000000002</v>
      </c>
    </row>
    <row r="275" spans="1:5" x14ac:dyDescent="0.25">
      <c r="A275" s="23">
        <v>43305.25</v>
      </c>
      <c r="B275" s="15">
        <v>3.2699999999999998E-4</v>
      </c>
      <c r="C275" s="15">
        <v>1.6699999999999999E-4</v>
      </c>
      <c r="D275" s="29">
        <v>0.51904761904761898</v>
      </c>
      <c r="E275" s="29">
        <v>0.26507936507936508</v>
      </c>
    </row>
    <row r="276" spans="1:5" x14ac:dyDescent="0.25">
      <c r="A276" s="23">
        <v>43305.291666666664</v>
      </c>
      <c r="B276" s="15">
        <v>1.83E-4</v>
      </c>
      <c r="C276" s="15">
        <v>7.5799999999999999E-4</v>
      </c>
      <c r="D276" s="29">
        <v>0.13455882352941176</v>
      </c>
      <c r="E276" s="29">
        <v>0.5573529411764705</v>
      </c>
    </row>
    <row r="277" spans="1:5" x14ac:dyDescent="0.25">
      <c r="A277" s="23">
        <v>43305.333333333336</v>
      </c>
      <c r="B277" s="15">
        <v>1.8799999999999999E-4</v>
      </c>
      <c r="C277" s="15">
        <v>5.6300000000000002E-4</v>
      </c>
      <c r="D277" s="29">
        <v>0.20659340659340658</v>
      </c>
      <c r="E277" s="29">
        <v>0.6186813186813187</v>
      </c>
    </row>
    <row r="278" spans="1:5" x14ac:dyDescent="0.25">
      <c r="A278" s="23">
        <v>43305.375</v>
      </c>
      <c r="B278" s="15">
        <v>8.0199999999999998E-4</v>
      </c>
      <c r="C278" s="15">
        <v>2.1610000000000002E-3</v>
      </c>
      <c r="D278" s="29">
        <v>0.30264150943396223</v>
      </c>
      <c r="E278" s="29">
        <v>0.81547169811320763</v>
      </c>
    </row>
    <row r="279" spans="1:5" x14ac:dyDescent="0.25">
      <c r="A279" s="23">
        <v>43305.416666666664</v>
      </c>
      <c r="B279" s="15">
        <v>3.6319999999999998E-3</v>
      </c>
      <c r="C279" s="15">
        <v>6.3299999999999999E-4</v>
      </c>
      <c r="D279" s="29">
        <v>0.72785571142284566</v>
      </c>
      <c r="E279" s="29">
        <v>0.12685370741482965</v>
      </c>
    </row>
    <row r="280" spans="1:5" x14ac:dyDescent="0.25">
      <c r="A280" s="23">
        <v>43305.458333333336</v>
      </c>
      <c r="B280" s="15">
        <v>1.91E-3</v>
      </c>
      <c r="C280" s="15">
        <v>2.6499999999999999E-4</v>
      </c>
      <c r="D280" s="29">
        <v>1.0159574468085106</v>
      </c>
      <c r="E280" s="29">
        <v>0.14095744680851063</v>
      </c>
    </row>
    <row r="281" spans="1:5" x14ac:dyDescent="0.25">
      <c r="A281" s="23">
        <v>43305.5</v>
      </c>
      <c r="B281" s="15">
        <v>2.12E-4</v>
      </c>
      <c r="C281" s="15">
        <v>1.379E-3</v>
      </c>
      <c r="D281" s="29">
        <v>0.17815126050420166</v>
      </c>
      <c r="E281" s="29">
        <v>1.1588235294117646</v>
      </c>
    </row>
    <row r="282" spans="1:5" x14ac:dyDescent="0.25">
      <c r="A282" s="23">
        <v>43305.541666666664</v>
      </c>
      <c r="B282" s="15">
        <v>1.8469999999999999E-3</v>
      </c>
      <c r="C282" s="15">
        <v>7.67E-4</v>
      </c>
      <c r="D282" s="29">
        <v>0.76322314049586781</v>
      </c>
      <c r="E282" s="29">
        <v>0.31694214876033061</v>
      </c>
    </row>
    <row r="283" spans="1:5" x14ac:dyDescent="0.25">
      <c r="A283" s="23">
        <v>43305.583333333336</v>
      </c>
      <c r="B283" s="15">
        <v>6.02E-4</v>
      </c>
      <c r="C283" s="15">
        <v>1.64E-4</v>
      </c>
      <c r="D283" s="29">
        <v>0.4123287671232877</v>
      </c>
      <c r="E283" s="29">
        <v>0.11232876712328768</v>
      </c>
    </row>
    <row r="284" spans="1:5" x14ac:dyDescent="0.25">
      <c r="A284" s="23">
        <v>43305.625</v>
      </c>
      <c r="B284" s="15">
        <v>8.0000000000000004E-4</v>
      </c>
      <c r="C284" s="15">
        <v>8.1800000000000004E-4</v>
      </c>
      <c r="D284" s="29">
        <v>0.38095238095238099</v>
      </c>
      <c r="E284" s="29">
        <v>0.38952380952380955</v>
      </c>
    </row>
    <row r="285" spans="1:5" x14ac:dyDescent="0.25">
      <c r="A285" s="23">
        <v>43305.666666666664</v>
      </c>
      <c r="B285" s="15">
        <v>1.2899999999999999E-3</v>
      </c>
      <c r="C285" s="15">
        <v>8.9300000000000002E-4</v>
      </c>
      <c r="D285" s="29">
        <v>0.56828193832599116</v>
      </c>
      <c r="E285" s="29">
        <v>0.39339207048458152</v>
      </c>
    </row>
    <row r="286" spans="1:5" x14ac:dyDescent="0.25">
      <c r="A286" s="23">
        <v>43305.708333333336</v>
      </c>
      <c r="B286" s="15">
        <v>2.7599999999999999E-4</v>
      </c>
      <c r="C286" s="15">
        <v>9.7999999999999997E-5</v>
      </c>
      <c r="D286" s="29">
        <v>0.18278145695364237</v>
      </c>
      <c r="E286" s="29">
        <v>6.4900662251655625E-2</v>
      </c>
    </row>
    <row r="287" spans="1:5" x14ac:dyDescent="0.25">
      <c r="A287" s="23">
        <v>43305.75</v>
      </c>
      <c r="B287" s="15">
        <v>5.6999999999999998E-4</v>
      </c>
      <c r="C287" s="15">
        <v>1.554E-3</v>
      </c>
      <c r="D287" s="29">
        <v>0.21673003802281368</v>
      </c>
      <c r="E287" s="29">
        <v>0.59087452471482893</v>
      </c>
    </row>
    <row r="288" spans="1:5" x14ac:dyDescent="0.25">
      <c r="A288" s="23">
        <v>43305.791666666664</v>
      </c>
      <c r="B288" s="15">
        <v>7.0500000000000001E-4</v>
      </c>
      <c r="C288" s="15">
        <v>1.2999999999999999E-5</v>
      </c>
      <c r="D288" s="29">
        <v>0.55511811023622049</v>
      </c>
      <c r="E288" s="29">
        <v>1.0236220472440943E-2</v>
      </c>
    </row>
    <row r="289" spans="1:5" x14ac:dyDescent="0.25">
      <c r="A289" s="23">
        <v>43305.833333333336</v>
      </c>
      <c r="B289" s="15">
        <v>5.6999999999999998E-4</v>
      </c>
      <c r="C289" s="15">
        <v>2.1599999999999999E-4</v>
      </c>
      <c r="D289" s="29">
        <v>0.4351145038167939</v>
      </c>
      <c r="E289" s="29">
        <v>0.16488549618320611</v>
      </c>
    </row>
    <row r="290" spans="1:5" x14ac:dyDescent="0.25">
      <c r="A290" s="23">
        <v>43305.875</v>
      </c>
      <c r="B290" s="15">
        <v>1.84E-4</v>
      </c>
      <c r="C290" s="15">
        <v>6.3E-5</v>
      </c>
      <c r="D290" s="29">
        <v>0.16283185840707964</v>
      </c>
      <c r="E290" s="29">
        <v>5.5752212389380537E-2</v>
      </c>
    </row>
    <row r="291" spans="1:5" x14ac:dyDescent="0.25">
      <c r="A291" s="23">
        <v>43305.916666666664</v>
      </c>
      <c r="B291" s="15">
        <v>3.0499999999999999E-4</v>
      </c>
      <c r="C291" s="15">
        <v>6.6399999999999999E-4</v>
      </c>
      <c r="D291" s="29">
        <v>0.37195121951219512</v>
      </c>
      <c r="E291" s="29">
        <v>0.80975609756097566</v>
      </c>
    </row>
    <row r="292" spans="1:5" x14ac:dyDescent="0.25">
      <c r="A292" s="23">
        <v>43305.958333333336</v>
      </c>
      <c r="B292" s="15"/>
      <c r="C292" s="15"/>
      <c r="D292" s="29">
        <v>0</v>
      </c>
      <c r="E292" s="29">
        <v>0</v>
      </c>
    </row>
    <row r="293" spans="1:5" x14ac:dyDescent="0.25">
      <c r="A293" s="23">
        <v>43306</v>
      </c>
      <c r="B293" s="15">
        <v>3.6699999999999998E-4</v>
      </c>
      <c r="C293" s="15">
        <v>6.1899999999999998E-4</v>
      </c>
      <c r="D293" s="29">
        <v>0.42183908045977009</v>
      </c>
      <c r="E293" s="29">
        <v>0.71149425287356316</v>
      </c>
    </row>
    <row r="294" spans="1:5" x14ac:dyDescent="0.25">
      <c r="A294" s="23">
        <v>43306.041666666664</v>
      </c>
      <c r="B294" s="15">
        <v>1.66E-4</v>
      </c>
      <c r="C294" s="15">
        <v>1.8100000000000001E-4</v>
      </c>
      <c r="D294" s="29">
        <v>0.48823529411764699</v>
      </c>
      <c r="E294" s="29">
        <v>0.53235294117647058</v>
      </c>
    </row>
    <row r="295" spans="1:5" x14ac:dyDescent="0.25">
      <c r="A295" s="23">
        <v>43306.083333333336</v>
      </c>
      <c r="B295" s="15">
        <v>4.5000000000000003E-5</v>
      </c>
      <c r="C295" s="15">
        <v>4.8000000000000001E-4</v>
      </c>
      <c r="D295" s="29">
        <v>0.10975609756097562</v>
      </c>
      <c r="E295" s="29">
        <v>1.1707317073170733</v>
      </c>
    </row>
    <row r="296" spans="1:5" x14ac:dyDescent="0.25">
      <c r="A296" s="23">
        <v>43306.125</v>
      </c>
      <c r="B296" s="15">
        <v>5.1999999999999995E-4</v>
      </c>
      <c r="C296" s="15">
        <v>7.7999999999999999E-5</v>
      </c>
      <c r="D296" s="29">
        <v>0.5</v>
      </c>
      <c r="E296" s="29">
        <v>7.5000000000000011E-2</v>
      </c>
    </row>
    <row r="297" spans="1:5" x14ac:dyDescent="0.25">
      <c r="A297" s="23">
        <v>43306.166666666664</v>
      </c>
      <c r="B297" s="15">
        <v>3.3700000000000001E-4</v>
      </c>
      <c r="C297" s="15">
        <v>1.73E-4</v>
      </c>
      <c r="D297" s="29">
        <v>0.25149253731343285</v>
      </c>
      <c r="E297" s="29">
        <v>0.1291044776119403</v>
      </c>
    </row>
    <row r="298" spans="1:5" x14ac:dyDescent="0.25">
      <c r="A298" s="23">
        <v>43306.208333333336</v>
      </c>
      <c r="B298" s="15">
        <v>1.0939999999999999E-3</v>
      </c>
      <c r="C298" s="15">
        <v>6.9899999999999997E-4</v>
      </c>
      <c r="D298" s="29">
        <v>1.2431818181818179</v>
      </c>
      <c r="E298" s="29">
        <v>0.7943181818181817</v>
      </c>
    </row>
    <row r="299" spans="1:5" x14ac:dyDescent="0.25">
      <c r="A299" s="23">
        <v>43306.25</v>
      </c>
      <c r="B299" s="15">
        <v>2.5900000000000001E-4</v>
      </c>
      <c r="C299" s="15">
        <v>2.9E-4</v>
      </c>
      <c r="D299" s="29">
        <v>0.33636363636363636</v>
      </c>
      <c r="E299" s="29">
        <v>0.37662337662337664</v>
      </c>
    </row>
    <row r="300" spans="1:5" x14ac:dyDescent="0.25">
      <c r="A300" s="23">
        <v>43306.291666666664</v>
      </c>
      <c r="B300" s="15">
        <v>2.3E-5</v>
      </c>
      <c r="C300" s="15">
        <v>3.4999999999999997E-5</v>
      </c>
      <c r="D300" s="29">
        <v>4.1818181818181817E-2</v>
      </c>
      <c r="E300" s="29">
        <v>6.363636363636363E-2</v>
      </c>
    </row>
    <row r="301" spans="1:5" x14ac:dyDescent="0.25">
      <c r="A301" s="23">
        <v>43306.333333333336</v>
      </c>
      <c r="B301" s="15">
        <v>8.2899999999999998E-4</v>
      </c>
      <c r="C301" s="15">
        <v>5.7600000000000001E-4</v>
      </c>
      <c r="D301" s="29">
        <v>0.67398373983739834</v>
      </c>
      <c r="E301" s="29">
        <v>0.4682926829268293</v>
      </c>
    </row>
    <row r="302" spans="1:5" x14ac:dyDescent="0.25">
      <c r="A302" s="23">
        <v>43306.375</v>
      </c>
      <c r="B302" s="15">
        <v>5.9699999999999998E-4</v>
      </c>
      <c r="C302" s="15">
        <v>3.4999999999999997E-5</v>
      </c>
      <c r="D302" s="29">
        <v>0.31925133689839574</v>
      </c>
      <c r="E302" s="29">
        <v>1.871657754010695E-2</v>
      </c>
    </row>
    <row r="303" spans="1:5" x14ac:dyDescent="0.25">
      <c r="A303" s="23">
        <v>43306.416666666664</v>
      </c>
      <c r="B303" s="15">
        <v>8.9800000000000004E-4</v>
      </c>
      <c r="C303" s="15">
        <v>3.3500000000000001E-4</v>
      </c>
      <c r="D303" s="29">
        <v>0.627972027972028</v>
      </c>
      <c r="E303" s="29">
        <v>0.23426573426573427</v>
      </c>
    </row>
    <row r="304" spans="1:5" x14ac:dyDescent="0.25">
      <c r="A304" s="23">
        <v>43306.458333333336</v>
      </c>
      <c r="B304" s="15">
        <v>4.2299999999999998E-4</v>
      </c>
      <c r="C304" s="15">
        <v>1.73E-4</v>
      </c>
      <c r="D304" s="29">
        <v>0.25792682926829269</v>
      </c>
      <c r="E304" s="29">
        <v>0.10548780487804879</v>
      </c>
    </row>
    <row r="305" spans="1:5" x14ac:dyDescent="0.25">
      <c r="A305" s="23">
        <v>43306.5</v>
      </c>
      <c r="B305" s="15">
        <v>3.3799999999999998E-4</v>
      </c>
      <c r="C305" s="15">
        <v>8.34E-4</v>
      </c>
      <c r="D305" s="29">
        <v>0.32500000000000001</v>
      </c>
      <c r="E305" s="29">
        <v>0.80192307692307696</v>
      </c>
    </row>
    <row r="306" spans="1:5" x14ac:dyDescent="0.25">
      <c r="A306" s="23">
        <v>43306.541666666664</v>
      </c>
      <c r="B306" s="15">
        <v>2.2499999999999999E-4</v>
      </c>
      <c r="C306" s="15">
        <v>7.3099999999999999E-4</v>
      </c>
      <c r="D306" s="29">
        <v>0.14423076923076922</v>
      </c>
      <c r="E306" s="29">
        <v>0.46858974358974359</v>
      </c>
    </row>
    <row r="307" spans="1:5" x14ac:dyDescent="0.25">
      <c r="A307" s="23">
        <v>43306.583333333336</v>
      </c>
      <c r="B307" s="15">
        <v>2.3499999999999999E-4</v>
      </c>
      <c r="C307" s="15">
        <v>6.1700000000000004E-4</v>
      </c>
      <c r="D307" s="29">
        <v>0.25543478260869562</v>
      </c>
      <c r="E307" s="29">
        <v>0.67065217391304355</v>
      </c>
    </row>
    <row r="308" spans="1:5" x14ac:dyDescent="0.25">
      <c r="A308" s="23">
        <v>43306.625</v>
      </c>
      <c r="B308" s="15">
        <v>4.7699999999999999E-4</v>
      </c>
      <c r="C308" s="15">
        <v>3.88E-4</v>
      </c>
      <c r="D308" s="29">
        <v>0.33591549295774648</v>
      </c>
      <c r="E308" s="29">
        <v>0.27323943661971828</v>
      </c>
    </row>
    <row r="309" spans="1:5" x14ac:dyDescent="0.25">
      <c r="A309" s="23">
        <v>43306.666666666664</v>
      </c>
      <c r="B309" s="15">
        <v>9.19E-4</v>
      </c>
      <c r="C309" s="15">
        <v>6.4400000000000004E-4</v>
      </c>
      <c r="D309" s="29">
        <v>0.53742690058479536</v>
      </c>
      <c r="E309" s="29">
        <v>0.37660818713450295</v>
      </c>
    </row>
    <row r="310" spans="1:5" x14ac:dyDescent="0.25">
      <c r="A310" s="23">
        <v>43306.708333333336</v>
      </c>
      <c r="B310" s="15">
        <v>7.7300000000000003E-4</v>
      </c>
      <c r="C310" s="15">
        <v>2.0699999999999998E-3</v>
      </c>
      <c r="D310" s="29">
        <v>0.28629629629629627</v>
      </c>
      <c r="E310" s="29">
        <v>0.7666666666666665</v>
      </c>
    </row>
    <row r="311" spans="1:5" x14ac:dyDescent="0.25">
      <c r="A311" s="23">
        <v>43306.75</v>
      </c>
      <c r="B311" s="15">
        <v>6.5899999999999997E-4</v>
      </c>
      <c r="C311" s="15">
        <v>2.8600000000000001E-4</v>
      </c>
      <c r="D311" s="29">
        <v>0.37443181818181814</v>
      </c>
      <c r="E311" s="29">
        <v>0.16250000000000001</v>
      </c>
    </row>
    <row r="312" spans="1:5" x14ac:dyDescent="0.25">
      <c r="A312" s="23">
        <v>43306.791666666664</v>
      </c>
      <c r="B312" s="15">
        <v>1.15E-4</v>
      </c>
      <c r="C312" s="15">
        <v>1.3999999999999999E-4</v>
      </c>
      <c r="D312" s="29">
        <v>6.8047337278106509E-2</v>
      </c>
      <c r="E312" s="29">
        <v>8.2840236686390525E-2</v>
      </c>
    </row>
    <row r="313" spans="1:5" x14ac:dyDescent="0.25">
      <c r="A313" s="23">
        <v>43306.833333333336</v>
      </c>
      <c r="B313" s="15">
        <v>1.5920000000000001E-3</v>
      </c>
      <c r="C313" s="15">
        <v>8.5700000000000001E-4</v>
      </c>
      <c r="D313" s="29">
        <v>0.7013215859030838</v>
      </c>
      <c r="E313" s="29">
        <v>0.37753303964757712</v>
      </c>
    </row>
    <row r="314" spans="1:5" x14ac:dyDescent="0.25">
      <c r="A314" s="23">
        <v>43306.875</v>
      </c>
      <c r="B314" s="15">
        <v>2.7099999999999997E-4</v>
      </c>
      <c r="C314" s="15">
        <v>6.1799999999999995E-4</v>
      </c>
      <c r="D314" s="29">
        <v>0.15224719101123596</v>
      </c>
      <c r="E314" s="29">
        <v>0.34719101123595503</v>
      </c>
    </row>
    <row r="315" spans="1:5" x14ac:dyDescent="0.25">
      <c r="A315" s="23">
        <v>43306.916666666664</v>
      </c>
      <c r="B315" s="15">
        <v>2.702E-3</v>
      </c>
      <c r="C315" s="15">
        <v>6.6200000000000005E-4</v>
      </c>
      <c r="D315" s="29">
        <v>0.678894472361809</v>
      </c>
      <c r="E315" s="29">
        <v>0.1663316582914573</v>
      </c>
    </row>
    <row r="316" spans="1:5" x14ac:dyDescent="0.25">
      <c r="A316" s="23">
        <v>43306.958333333336</v>
      </c>
      <c r="B316" s="15">
        <v>1.1709999999999999E-3</v>
      </c>
      <c r="C316" s="15">
        <v>2.1999999999999999E-5</v>
      </c>
      <c r="D316" s="29">
        <v>0.59744897959183674</v>
      </c>
      <c r="E316" s="29">
        <v>1.1224489795918367E-2</v>
      </c>
    </row>
    <row r="317" spans="1:5" x14ac:dyDescent="0.25">
      <c r="A317" s="23">
        <v>43307</v>
      </c>
      <c r="B317" s="15">
        <v>4.4999999999999999E-4</v>
      </c>
      <c r="C317" s="15">
        <v>5.5800000000000001E-4</v>
      </c>
      <c r="D317" s="29">
        <v>0.33834586466165412</v>
      </c>
      <c r="E317" s="29">
        <v>0.41954887218045112</v>
      </c>
    </row>
    <row r="318" spans="1:5" x14ac:dyDescent="0.25">
      <c r="A318" s="23">
        <v>43307.041666666664</v>
      </c>
      <c r="B318" s="15">
        <v>7.8999999999999996E-5</v>
      </c>
      <c r="C318" s="15">
        <v>5.9000000000000003E-4</v>
      </c>
      <c r="D318" s="29">
        <v>7.7450980392156851E-2</v>
      </c>
      <c r="E318" s="29">
        <v>0.57843137254901955</v>
      </c>
    </row>
    <row r="319" spans="1:5" x14ac:dyDescent="0.25">
      <c r="A319" s="23">
        <v>43307.083333333336</v>
      </c>
      <c r="B319" s="15">
        <v>1.01E-4</v>
      </c>
      <c r="C319" s="15">
        <v>6.5099999999999999E-4</v>
      </c>
      <c r="D319" s="29">
        <v>0.13466666666666666</v>
      </c>
      <c r="E319" s="29">
        <v>0.86799999999999999</v>
      </c>
    </row>
    <row r="320" spans="1:5" x14ac:dyDescent="0.25">
      <c r="A320" s="23">
        <v>43307.125</v>
      </c>
      <c r="B320" s="15">
        <v>5.6400000000000005E-4</v>
      </c>
      <c r="C320" s="15">
        <v>2.33E-4</v>
      </c>
      <c r="D320" s="29">
        <v>0.69629629629629641</v>
      </c>
      <c r="E320" s="29">
        <v>0.28765432098765431</v>
      </c>
    </row>
    <row r="321" spans="1:5" x14ac:dyDescent="0.25">
      <c r="A321" s="23">
        <v>43307.166666666664</v>
      </c>
      <c r="B321" s="15">
        <v>3.6699999999999998E-4</v>
      </c>
      <c r="C321" s="15">
        <v>2.6200000000000003E-4</v>
      </c>
      <c r="D321" s="29">
        <v>0.28015267175572517</v>
      </c>
      <c r="E321" s="29">
        <v>0.2</v>
      </c>
    </row>
    <row r="322" spans="1:5" x14ac:dyDescent="0.25">
      <c r="A322" s="23">
        <v>43307.208333333336</v>
      </c>
      <c r="B322" s="15">
        <v>1.2E-4</v>
      </c>
      <c r="C322" s="15">
        <v>1.4999999999999999E-4</v>
      </c>
      <c r="D322" s="29">
        <v>0.14285714285714285</v>
      </c>
      <c r="E322" s="29">
        <v>0.17857142857142855</v>
      </c>
    </row>
    <row r="323" spans="1:5" x14ac:dyDescent="0.25">
      <c r="A323" s="23">
        <v>43307.25</v>
      </c>
      <c r="B323" s="15">
        <v>1.3999999999999999E-4</v>
      </c>
      <c r="C323" s="15">
        <v>3.1100000000000002E-4</v>
      </c>
      <c r="D323" s="29">
        <v>0.16470588235294117</v>
      </c>
      <c r="E323" s="29">
        <v>0.36588235294117649</v>
      </c>
    </row>
    <row r="324" spans="1:5" x14ac:dyDescent="0.25">
      <c r="A324" s="23">
        <v>43307.291666666664</v>
      </c>
      <c r="B324" s="15">
        <v>1.11E-4</v>
      </c>
      <c r="C324" s="15">
        <v>6.3999999999999997E-5</v>
      </c>
      <c r="D324" s="29">
        <v>0.22653061224489796</v>
      </c>
      <c r="E324" s="29">
        <v>0.1306122448979592</v>
      </c>
    </row>
    <row r="325" spans="1:5" x14ac:dyDescent="0.25">
      <c r="A325" s="23">
        <v>43307.333333333336</v>
      </c>
      <c r="B325" s="15">
        <v>3.1999999999999999E-5</v>
      </c>
      <c r="C325" s="15">
        <v>3.3E-4</v>
      </c>
      <c r="D325" s="29">
        <v>2.9090909090909087E-2</v>
      </c>
      <c r="E325" s="29">
        <v>0.3</v>
      </c>
    </row>
    <row r="326" spans="1:5" x14ac:dyDescent="0.25">
      <c r="A326" s="23">
        <v>43307.375</v>
      </c>
      <c r="B326" s="15">
        <v>3.7500000000000001E-4</v>
      </c>
      <c r="C326" s="15">
        <v>2.6499999999999999E-4</v>
      </c>
      <c r="D326" s="29">
        <v>0.19329896907216496</v>
      </c>
      <c r="E326" s="29">
        <v>0.13659793814432988</v>
      </c>
    </row>
    <row r="327" spans="1:5" x14ac:dyDescent="0.25">
      <c r="A327" s="23">
        <v>43307.416666666664</v>
      </c>
      <c r="B327" s="15">
        <v>3.1000000000000001E-5</v>
      </c>
      <c r="C327" s="15">
        <v>4.0299999999999998E-4</v>
      </c>
      <c r="D327" s="29">
        <v>1.9496855345911949E-2</v>
      </c>
      <c r="E327" s="29">
        <v>0.25345911949685535</v>
      </c>
    </row>
    <row r="328" spans="1:5" x14ac:dyDescent="0.25">
      <c r="A328" s="23">
        <v>43307.458333333336</v>
      </c>
      <c r="B328" s="15">
        <v>1.2780000000000001E-3</v>
      </c>
      <c r="C328" s="15">
        <v>1.438E-3</v>
      </c>
      <c r="D328" s="29">
        <v>0.73448275862068968</v>
      </c>
      <c r="E328" s="29">
        <v>0.82643678160919543</v>
      </c>
    </row>
    <row r="329" spans="1:5" x14ac:dyDescent="0.25">
      <c r="A329" s="23">
        <v>43307.5</v>
      </c>
      <c r="B329" s="15">
        <v>3.57E-4</v>
      </c>
      <c r="C329" s="15">
        <v>6.6000000000000005E-5</v>
      </c>
      <c r="D329" s="29">
        <v>0.30775862068965515</v>
      </c>
      <c r="E329" s="29">
        <v>5.6896551724137934E-2</v>
      </c>
    </row>
    <row r="330" spans="1:5" x14ac:dyDescent="0.25">
      <c r="A330" s="23">
        <v>43307.541666666664</v>
      </c>
      <c r="B330" s="15">
        <v>6.9999999999999999E-6</v>
      </c>
      <c r="C330" s="15">
        <v>1.7100000000000001E-4</v>
      </c>
      <c r="D330" s="29">
        <v>6.9306930693069299E-3</v>
      </c>
      <c r="E330" s="29">
        <v>0.16930693069306932</v>
      </c>
    </row>
    <row r="331" spans="1:5" x14ac:dyDescent="0.25">
      <c r="A331" s="23">
        <v>43307.583333333336</v>
      </c>
      <c r="B331" s="15">
        <v>7.4999999999999993E-5</v>
      </c>
      <c r="C331" s="15">
        <v>9.1000000000000003E-5</v>
      </c>
      <c r="D331" s="29">
        <v>6.8181818181818177E-2</v>
      </c>
      <c r="E331" s="29">
        <v>8.2727272727272719E-2</v>
      </c>
    </row>
    <row r="332" spans="1:5" x14ac:dyDescent="0.25">
      <c r="A332" s="23">
        <v>43307.625</v>
      </c>
      <c r="B332" s="15">
        <v>1.3879999999999999E-3</v>
      </c>
      <c r="C332" s="15">
        <v>1.276E-3</v>
      </c>
      <c r="D332" s="29">
        <v>0.35865633074935399</v>
      </c>
      <c r="E332" s="29">
        <v>0.32971576227390181</v>
      </c>
    </row>
    <row r="333" spans="1:5" x14ac:dyDescent="0.25">
      <c r="A333" s="23">
        <v>43307.666666666664</v>
      </c>
      <c r="B333" s="15">
        <v>1.6559999999999999E-3</v>
      </c>
      <c r="C333" s="15">
        <v>1.516E-3</v>
      </c>
      <c r="D333" s="29">
        <v>0.61333333333333329</v>
      </c>
      <c r="E333" s="29">
        <v>0.56148148148148147</v>
      </c>
    </row>
    <row r="334" spans="1:5" x14ac:dyDescent="0.25">
      <c r="A334" s="23">
        <v>43307.708333333336</v>
      </c>
      <c r="B334" s="15">
        <v>1.6329999999999999E-3</v>
      </c>
      <c r="C334" s="15">
        <v>1.8519999999999999E-3</v>
      </c>
      <c r="D334" s="29">
        <v>0.54433333333333334</v>
      </c>
      <c r="E334" s="29">
        <v>0.61733333333333329</v>
      </c>
    </row>
    <row r="335" spans="1:5" x14ac:dyDescent="0.25">
      <c r="A335" s="23">
        <v>43307.75</v>
      </c>
      <c r="B335" s="15">
        <v>1.3100000000000001E-4</v>
      </c>
      <c r="C335" s="15">
        <v>8.0099999999999995E-4</v>
      </c>
      <c r="D335" s="29">
        <v>7.4011299435028252E-2</v>
      </c>
      <c r="E335" s="29">
        <v>0.4525423728813559</v>
      </c>
    </row>
    <row r="336" spans="1:5" x14ac:dyDescent="0.25">
      <c r="A336" s="23">
        <v>43307.791666666664</v>
      </c>
      <c r="B336" s="15">
        <v>1.1E-4</v>
      </c>
      <c r="C336" s="15">
        <v>1.16E-4</v>
      </c>
      <c r="D336" s="29">
        <v>6.2857142857142861E-2</v>
      </c>
      <c r="E336" s="29">
        <v>6.6285714285714281E-2</v>
      </c>
    </row>
    <row r="337" spans="1:5" x14ac:dyDescent="0.25">
      <c r="A337" s="23">
        <v>43307.833333333336</v>
      </c>
      <c r="B337" s="15">
        <v>8.3600000000000005E-4</v>
      </c>
      <c r="C337" s="15">
        <v>1.7E-5</v>
      </c>
      <c r="D337" s="29">
        <v>0.81165048543689322</v>
      </c>
      <c r="E337" s="29">
        <v>1.6504854368932037E-2</v>
      </c>
    </row>
    <row r="338" spans="1:5" x14ac:dyDescent="0.25">
      <c r="A338" s="23">
        <v>43307.875</v>
      </c>
      <c r="B338" s="15">
        <v>5.3499999999999999E-4</v>
      </c>
      <c r="C338" s="15">
        <v>6.2100000000000002E-4</v>
      </c>
      <c r="D338" s="29">
        <v>0.31845238095238093</v>
      </c>
      <c r="E338" s="29">
        <v>0.36964285714285716</v>
      </c>
    </row>
    <row r="339" spans="1:5" x14ac:dyDescent="0.25">
      <c r="A339" s="23">
        <v>43307.916666666664</v>
      </c>
      <c r="B339" s="15">
        <v>4.44E-4</v>
      </c>
      <c r="C339" s="15">
        <v>3.1100000000000002E-4</v>
      </c>
      <c r="D339" s="29">
        <v>0.59199999999999997</v>
      </c>
      <c r="E339" s="29">
        <v>0.41466666666666668</v>
      </c>
    </row>
    <row r="340" spans="1:5" x14ac:dyDescent="0.25">
      <c r="A340" s="23" t="s">
        <v>1</v>
      </c>
      <c r="B340" s="15">
        <v>6.1394328358208949E-4</v>
      </c>
      <c r="C340" s="15">
        <v>5.6651044776119422E-4</v>
      </c>
      <c r="D340" s="29">
        <v>0.42488741065157232</v>
      </c>
      <c r="E340" s="29">
        <v>0.3920609015411316</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54"/>
  <sheetViews>
    <sheetView workbookViewId="0"/>
  </sheetViews>
  <sheetFormatPr defaultRowHeight="15" x14ac:dyDescent="0.25"/>
  <cols>
    <col min="1" max="1" width="19.42578125" bestFit="1" customWidth="1"/>
    <col min="2" max="2" width="36.7109375" bestFit="1" customWidth="1"/>
  </cols>
  <sheetData>
    <row r="1" spans="1:2" x14ac:dyDescent="0.25">
      <c r="A1" t="s">
        <v>41</v>
      </c>
      <c r="B1" s="5" t="s">
        <v>43</v>
      </c>
    </row>
    <row r="2" spans="1:2" x14ac:dyDescent="0.25">
      <c r="A2" t="s">
        <v>42</v>
      </c>
      <c r="B2" s="5" t="s">
        <v>40</v>
      </c>
    </row>
    <row r="3" spans="1:2" x14ac:dyDescent="0.25">
      <c r="A3" t="s">
        <v>57</v>
      </c>
      <c r="B3" s="11" t="str">
        <f>$B$1&amp;"DataShapes"&amp;"\"</f>
        <v>Config\DataShapes\</v>
      </c>
    </row>
    <row r="4" spans="1:2" x14ac:dyDescent="0.25">
      <c r="A4" t="s">
        <v>44</v>
      </c>
      <c r="B4" s="11" t="str">
        <f>$B$1&amp;"DataSets"&amp;"\"</f>
        <v>Config\DataSets\</v>
      </c>
    </row>
    <row r="5" spans="1:2" x14ac:dyDescent="0.25">
      <c r="A5" t="s">
        <v>45</v>
      </c>
      <c r="B5" s="11" t="str">
        <f>$B$1&amp;"Engines"&amp;"\"</f>
        <v>Config\Engines\</v>
      </c>
    </row>
    <row r="7" spans="1:2" x14ac:dyDescent="0.25">
      <c r="A7" t="s">
        <v>52</v>
      </c>
      <c r="B7" s="6" t="s">
        <v>89</v>
      </c>
    </row>
    <row r="8" spans="1:2" x14ac:dyDescent="0.25">
      <c r="A8" s="12" t="s">
        <v>54</v>
      </c>
      <c r="B8" s="13" t="s">
        <v>90</v>
      </c>
    </row>
    <row r="9" spans="1:2" x14ac:dyDescent="0.25">
      <c r="A9" t="s">
        <v>58</v>
      </c>
      <c r="B9" s="6" t="s">
        <v>53</v>
      </c>
    </row>
    <row r="10" spans="1:2" x14ac:dyDescent="0.25">
      <c r="A10" s="12"/>
      <c r="B10" s="12"/>
    </row>
    <row r="11" spans="1:2" x14ac:dyDescent="0.25">
      <c r="A11" s="10" t="s">
        <v>34</v>
      </c>
      <c r="B11" s="14" t="s">
        <v>64</v>
      </c>
    </row>
    <row r="12" spans="1:2" x14ac:dyDescent="0.25">
      <c r="A12" s="10" t="s">
        <v>38</v>
      </c>
      <c r="B12" s="14" t="s">
        <v>66</v>
      </c>
    </row>
    <row r="13" spans="1:2" x14ac:dyDescent="0.25">
      <c r="A13" s="10" t="s">
        <v>39</v>
      </c>
      <c r="B13" s="14" t="s">
        <v>67</v>
      </c>
    </row>
    <row r="14" spans="1:2" x14ac:dyDescent="0.25">
      <c r="A14" s="10" t="s">
        <v>51</v>
      </c>
      <c r="B14" s="14" t="s">
        <v>65</v>
      </c>
    </row>
    <row r="15" spans="1:2" x14ac:dyDescent="0.25">
      <c r="A15" s="10" t="s">
        <v>55</v>
      </c>
      <c r="B15" s="14" t="s">
        <v>68</v>
      </c>
    </row>
    <row r="16" spans="1:2" x14ac:dyDescent="0.25">
      <c r="A16" s="10" t="s">
        <v>56</v>
      </c>
      <c r="B16" s="14" t="s">
        <v>69</v>
      </c>
    </row>
    <row r="17" spans="1:6" x14ac:dyDescent="0.25">
      <c r="A17" s="10" t="s">
        <v>62</v>
      </c>
      <c r="B17" s="14" t="s">
        <v>70</v>
      </c>
      <c r="D17" t="s">
        <v>27</v>
      </c>
      <c r="E17" s="7" t="s">
        <v>59</v>
      </c>
    </row>
    <row r="18" spans="1:6" x14ac:dyDescent="0.25">
      <c r="A18" s="10" t="s">
        <v>63</v>
      </c>
      <c r="B18" s="14" t="s">
        <v>71</v>
      </c>
      <c r="D18" t="s">
        <v>28</v>
      </c>
      <c r="E18" s="7" t="s">
        <v>30</v>
      </c>
      <c r="F18" s="7">
        <v>7240</v>
      </c>
    </row>
    <row r="19" spans="1:6" x14ac:dyDescent="0.25">
      <c r="A19" s="10" t="s">
        <v>61</v>
      </c>
      <c r="B19" s="14" t="s">
        <v>72</v>
      </c>
      <c r="D19" t="s">
        <v>29</v>
      </c>
      <c r="E19" t="str">
        <f>"zzz "&amp;E18&amp;" config\"&amp;E17&amp;"\Client.xml Config\"&amp;E17&amp;"\DataShape.xml Config\"&amp;E17&amp;"\"&amp;IF(E18="Both","Train",E18)&amp;".xml Config\"&amp;E17&amp;"\Engine.xml"&amp;IF(E18="Infer"," "&amp;F18, "")</f>
        <v>zzz Infer config\Wholes\Client.xml Config\Wholes\DataShape.xml Config\Wholes\Infer.xml Config\Wholes\Engine.xml 7240</v>
      </c>
    </row>
    <row r="20" spans="1:6" x14ac:dyDescent="0.25">
      <c r="B20" s="14"/>
    </row>
    <row r="21" spans="1:6" x14ac:dyDescent="0.25">
      <c r="A21" s="10" t="s">
        <v>35</v>
      </c>
      <c r="B21" s="9" t="s">
        <v>73</v>
      </c>
    </row>
    <row r="22" spans="1:6" x14ac:dyDescent="0.25">
      <c r="A22" s="10" t="s">
        <v>36</v>
      </c>
      <c r="B22" s="9" t="s">
        <v>74</v>
      </c>
    </row>
    <row r="23" spans="1:6" x14ac:dyDescent="0.25">
      <c r="A23" s="10" t="s">
        <v>37</v>
      </c>
      <c r="B23" s="9" t="s">
        <v>75</v>
      </c>
    </row>
    <row r="24" spans="1:6" x14ac:dyDescent="0.25">
      <c r="A24" s="12"/>
      <c r="B24" s="12"/>
    </row>
    <row r="25" spans="1:6" x14ac:dyDescent="0.25">
      <c r="A25" s="10" t="s">
        <v>46</v>
      </c>
      <c r="B25" s="14" t="s">
        <v>82</v>
      </c>
    </row>
    <row r="26" spans="1:6" x14ac:dyDescent="0.25">
      <c r="A26" s="10" t="s">
        <v>47</v>
      </c>
      <c r="B26" s="14" t="s">
        <v>83</v>
      </c>
    </row>
    <row r="27" spans="1:6" x14ac:dyDescent="0.25">
      <c r="A27" s="8" t="s">
        <v>48</v>
      </c>
      <c r="B27" s="14" t="s">
        <v>84</v>
      </c>
    </row>
    <row r="28" spans="1:6" x14ac:dyDescent="0.25">
      <c r="A28" s="8" t="s">
        <v>76</v>
      </c>
      <c r="B28" s="14" t="s">
        <v>85</v>
      </c>
    </row>
    <row r="29" spans="1:6" x14ac:dyDescent="0.25">
      <c r="A29" s="8" t="s">
        <v>77</v>
      </c>
      <c r="B29" s="14" t="s">
        <v>49</v>
      </c>
    </row>
    <row r="30" spans="1:6" x14ac:dyDescent="0.25">
      <c r="A30" s="8" t="s">
        <v>78</v>
      </c>
      <c r="B30" s="14" t="s">
        <v>50</v>
      </c>
    </row>
    <row r="31" spans="1:6" x14ac:dyDescent="0.25">
      <c r="A31" s="8" t="s">
        <v>79</v>
      </c>
      <c r="B31" s="14" t="s">
        <v>86</v>
      </c>
    </row>
    <row r="32" spans="1:6" x14ac:dyDescent="0.25">
      <c r="A32" s="8" t="s">
        <v>80</v>
      </c>
      <c r="B32" s="14" t="s">
        <v>87</v>
      </c>
    </row>
    <row r="33" spans="1:2" x14ac:dyDescent="0.25">
      <c r="A33" s="8" t="s">
        <v>81</v>
      </c>
      <c r="B33" s="14" t="s">
        <v>88</v>
      </c>
    </row>
    <row r="34" spans="1:2" x14ac:dyDescent="0.25">
      <c r="A34" s="8"/>
      <c r="B34" s="14"/>
    </row>
    <row r="35" spans="1:2" x14ac:dyDescent="0.25">
      <c r="A35" s="18"/>
      <c r="B35" s="19"/>
    </row>
    <row r="37" spans="1:2" x14ac:dyDescent="0.25">
      <c r="A37" s="12"/>
      <c r="B37" s="12"/>
    </row>
    <row r="38" spans="1:2" x14ac:dyDescent="0.25">
      <c r="A38" s="12"/>
      <c r="B38" s="12"/>
    </row>
    <row r="39" spans="1:2" x14ac:dyDescent="0.25">
      <c r="A39" s="12"/>
      <c r="B39" s="12"/>
    </row>
    <row r="40" spans="1:2" x14ac:dyDescent="0.25">
      <c r="A40" s="12"/>
      <c r="B40" s="12"/>
    </row>
    <row r="41" spans="1:2" x14ac:dyDescent="0.25">
      <c r="A41" s="12"/>
      <c r="B41" s="12"/>
    </row>
    <row r="42" spans="1:2" x14ac:dyDescent="0.25">
      <c r="A42" s="12"/>
      <c r="B42" s="12"/>
    </row>
    <row r="43" spans="1:2" x14ac:dyDescent="0.25">
      <c r="A43" s="12"/>
      <c r="B43" s="12"/>
    </row>
    <row r="44" spans="1:2" x14ac:dyDescent="0.25">
      <c r="A44" s="12"/>
      <c r="B44" s="12"/>
    </row>
    <row r="45" spans="1:2" x14ac:dyDescent="0.25">
      <c r="A45" s="12"/>
      <c r="B45" s="12"/>
    </row>
    <row r="46" spans="1:2" x14ac:dyDescent="0.25">
      <c r="A46" s="12"/>
      <c r="B46" s="12"/>
    </row>
    <row r="47" spans="1:2" x14ac:dyDescent="0.25">
      <c r="A47" s="12"/>
      <c r="B47" s="12"/>
    </row>
    <row r="48" spans="1:2" x14ac:dyDescent="0.25">
      <c r="A48" s="12"/>
      <c r="B48" s="12"/>
    </row>
    <row r="49" spans="1:2" x14ac:dyDescent="0.25">
      <c r="A49" s="12"/>
      <c r="B49" s="12"/>
    </row>
    <row r="50" spans="1:2" x14ac:dyDescent="0.25">
      <c r="A50" s="12"/>
      <c r="B50" s="12"/>
    </row>
    <row r="51" spans="1:2" x14ac:dyDescent="0.25">
      <c r="A51" s="12"/>
      <c r="B51" s="12"/>
    </row>
    <row r="54" spans="1:2" x14ac:dyDescent="0.25">
      <c r="B54" s="17"/>
    </row>
  </sheetData>
  <hyperlinks>
    <hyperlink ref="B3" r:id="rId1" display="Config\DataShapes"/>
    <hyperlink ref="B4" r:id="rId2" display="Config/DataSets"/>
    <hyperlink ref="B5" r:id="rId3" display="Config/Engines"/>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P4"/>
  <sheetViews>
    <sheetView tabSelected="1" zoomScaleNormal="100" workbookViewId="0">
      <selection activeCell="C4" sqref="C4"/>
    </sheetView>
  </sheetViews>
  <sheetFormatPr defaultRowHeight="15" x14ac:dyDescent="0.25"/>
  <cols>
    <col min="1" max="1" width="16.7109375" style="4" bestFit="1" customWidth="1"/>
    <col min="2" max="2" width="13" bestFit="1" customWidth="1"/>
    <col min="3" max="3" width="16.5703125" style="4" customWidth="1"/>
    <col min="4" max="4" width="22" bestFit="1" customWidth="1"/>
    <col min="5" max="5" width="15.5703125" bestFit="1" customWidth="1"/>
    <col min="6" max="6" width="12.85546875" bestFit="1" customWidth="1"/>
    <col min="7" max="7" width="14.85546875" style="4" bestFit="1" customWidth="1"/>
    <col min="8" max="8" width="15.5703125" hidden="1" customWidth="1"/>
    <col min="9" max="9" width="14" hidden="1" customWidth="1"/>
    <col min="10" max="10" width="26" bestFit="1" customWidth="1"/>
    <col min="11" max="11" width="25.7109375" bestFit="1" customWidth="1"/>
    <col min="12" max="12" width="25.85546875" bestFit="1" customWidth="1"/>
    <col min="13" max="13" width="41.7109375" bestFit="1" customWidth="1"/>
    <col min="14" max="14" width="43.5703125" customWidth="1"/>
    <col min="15" max="15" width="44" bestFit="1" customWidth="1"/>
    <col min="16" max="16" width="16.42578125" bestFit="1" customWidth="1"/>
    <col min="18" max="18" width="10" bestFit="1" customWidth="1"/>
    <col min="19" max="19" width="20.42578125" bestFit="1" customWidth="1"/>
    <col min="20" max="20" width="18.140625" bestFit="1" customWidth="1"/>
    <col min="21" max="21" width="81.140625" bestFit="1" customWidth="1"/>
    <col min="22" max="22" width="15.42578125" bestFit="1" customWidth="1"/>
    <col min="23" max="23" width="19.7109375" bestFit="1" customWidth="1"/>
    <col min="24" max="24" width="17.5703125" bestFit="1" customWidth="1"/>
    <col min="25" max="25" width="46.7109375" bestFit="1" customWidth="1"/>
    <col min="26" max="26" width="48.28515625" bestFit="1" customWidth="1"/>
    <col min="27" max="27" width="25" customWidth="1"/>
    <col min="29" max="29" width="25" bestFit="1" customWidth="1"/>
    <col min="30" max="30" width="14" bestFit="1" customWidth="1"/>
  </cols>
  <sheetData>
    <row r="1" spans="1:16" x14ac:dyDescent="0.25">
      <c r="A1" s="4" t="s">
        <v>14</v>
      </c>
      <c r="B1" t="s">
        <v>3</v>
      </c>
      <c r="C1" s="4" t="s">
        <v>458</v>
      </c>
      <c r="D1" t="s">
        <v>4</v>
      </c>
      <c r="E1" t="s">
        <v>5</v>
      </c>
      <c r="F1" s="4" t="s">
        <v>6</v>
      </c>
      <c r="G1" t="s">
        <v>7</v>
      </c>
      <c r="H1" t="s">
        <v>8</v>
      </c>
      <c r="I1" t="s">
        <v>9</v>
      </c>
      <c r="J1" t="s">
        <v>11</v>
      </c>
      <c r="K1" t="s">
        <v>12</v>
      </c>
      <c r="L1" t="s">
        <v>13</v>
      </c>
      <c r="M1" t="s">
        <v>92</v>
      </c>
      <c r="N1" t="s">
        <v>94</v>
      </c>
      <c r="O1" t="s">
        <v>95</v>
      </c>
      <c r="P1" t="s">
        <v>93</v>
      </c>
    </row>
    <row r="2" spans="1:16" x14ac:dyDescent="0.25">
      <c r="A2" s="4">
        <v>1</v>
      </c>
      <c r="B2">
        <v>11164</v>
      </c>
      <c r="C2" s="4">
        <v>11164</v>
      </c>
      <c r="D2" t="s">
        <v>10</v>
      </c>
      <c r="E2" s="26">
        <v>43688.764178240737</v>
      </c>
      <c r="F2" s="4">
        <v>9042.1471999999994</v>
      </c>
      <c r="G2">
        <v>1</v>
      </c>
      <c r="I2">
        <v>0</v>
      </c>
      <c r="J2" s="26" t="s">
        <v>456</v>
      </c>
      <c r="K2" s="26"/>
      <c r="L2" s="26"/>
      <c r="M2" s="26" t="s">
        <v>395</v>
      </c>
      <c r="N2" s="26" t="s">
        <v>397</v>
      </c>
      <c r="O2" s="26" t="s">
        <v>396</v>
      </c>
      <c r="P2" s="26"/>
    </row>
    <row r="3" spans="1:16" x14ac:dyDescent="0.25">
      <c r="A3" s="4">
        <v>31360</v>
      </c>
      <c r="B3">
        <v>1656</v>
      </c>
      <c r="D3" t="s">
        <v>457</v>
      </c>
      <c r="E3" s="26">
        <v>43688.764537037037</v>
      </c>
      <c r="F3" s="4">
        <v>0</v>
      </c>
      <c r="G3">
        <v>0</v>
      </c>
      <c r="I3">
        <v>1</v>
      </c>
      <c r="J3" s="26"/>
      <c r="K3" s="26"/>
      <c r="L3" s="26"/>
      <c r="M3" s="26"/>
      <c r="N3" s="26"/>
      <c r="O3" s="26"/>
      <c r="P3" s="26"/>
    </row>
    <row r="4" spans="1:16" x14ac:dyDescent="0.25">
      <c r="A4" s="4">
        <v>32111</v>
      </c>
      <c r="B4">
        <v>13124</v>
      </c>
      <c r="C4" s="4">
        <v>11164</v>
      </c>
      <c r="D4" t="s">
        <v>457</v>
      </c>
      <c r="E4" s="26">
        <v>43688.767210648148</v>
      </c>
      <c r="F4" s="4">
        <v>0</v>
      </c>
      <c r="G4">
        <v>0</v>
      </c>
      <c r="I4">
        <v>1</v>
      </c>
      <c r="J4" s="26"/>
      <c r="K4" s="26"/>
      <c r="L4" s="26"/>
      <c r="M4" s="26"/>
      <c r="N4" s="26"/>
      <c r="O4" s="26"/>
      <c r="P4" s="26"/>
    </row>
  </sheetData>
  <pageMargins left="0.7" right="0.7" top="0.75" bottom="0.75" header="0.3" footer="0.3"/>
  <pageSetup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50"/>
  <sheetViews>
    <sheetView workbookViewId="0"/>
  </sheetViews>
  <sheetFormatPr defaultRowHeight="15" x14ac:dyDescent="0.25"/>
  <cols>
    <col min="1" max="1" width="13" bestFit="1" customWidth="1"/>
    <col min="2" max="2" width="14.140625" bestFit="1" customWidth="1"/>
    <col min="3" max="3" width="13.140625" bestFit="1" customWidth="1"/>
    <col min="4" max="4" width="14.5703125" bestFit="1" customWidth="1"/>
    <col min="5" max="5" width="8.7109375" customWidth="1"/>
    <col min="6" max="6" width="13.7109375" bestFit="1" customWidth="1"/>
    <col min="7" max="7" width="15.85546875" bestFit="1" customWidth="1"/>
    <col min="8" max="10" width="11.7109375" bestFit="1" customWidth="1"/>
    <col min="11" max="11" width="14" bestFit="1" customWidth="1"/>
    <col min="12" max="12" width="25.5703125" bestFit="1" customWidth="1"/>
    <col min="13" max="13" width="12.42578125" bestFit="1" customWidth="1"/>
    <col min="14" max="14" width="14.140625" bestFit="1" customWidth="1"/>
    <col min="15" max="15" width="13.140625" bestFit="1" customWidth="1"/>
    <col min="16" max="16" width="13.7109375" bestFit="1" customWidth="1"/>
    <col min="17" max="17" width="15.85546875" bestFit="1" customWidth="1"/>
    <col min="18" max="18" width="14.5703125" bestFit="1" customWidth="1"/>
    <col min="19" max="19" width="8.7109375" bestFit="1" customWidth="1"/>
    <col min="20" max="20" width="10.7109375" bestFit="1" customWidth="1"/>
    <col min="21" max="21" width="14" bestFit="1" customWidth="1"/>
    <col min="22" max="22" width="25.5703125" bestFit="1" customWidth="1"/>
    <col min="23" max="24" width="15.85546875" bestFit="1" customWidth="1"/>
  </cols>
  <sheetData>
    <row r="1" spans="1:12" x14ac:dyDescent="0.25">
      <c r="A1" t="s">
        <v>3</v>
      </c>
      <c r="B1" t="s">
        <v>352</v>
      </c>
      <c r="C1" t="s">
        <v>353</v>
      </c>
      <c r="D1" t="s">
        <v>354</v>
      </c>
      <c r="E1" t="s">
        <v>355</v>
      </c>
      <c r="F1" t="s">
        <v>356</v>
      </c>
      <c r="G1" t="s">
        <v>357</v>
      </c>
      <c r="H1" t="s">
        <v>358</v>
      </c>
      <c r="I1" t="s">
        <v>359</v>
      </c>
      <c r="J1" t="s">
        <v>360</v>
      </c>
      <c r="K1" t="s">
        <v>361</v>
      </c>
      <c r="L1" t="s">
        <v>362</v>
      </c>
    </row>
    <row r="2" spans="1:12" x14ac:dyDescent="0.25">
      <c r="A2">
        <v>5932</v>
      </c>
      <c r="B2">
        <v>1002</v>
      </c>
      <c r="C2" t="s">
        <v>363</v>
      </c>
      <c r="D2">
        <v>200</v>
      </c>
      <c r="F2">
        <v>50</v>
      </c>
      <c r="G2" t="s">
        <v>364</v>
      </c>
      <c r="H2" t="s">
        <v>365</v>
      </c>
      <c r="I2" t="s">
        <v>366</v>
      </c>
      <c r="J2" t="s">
        <v>367</v>
      </c>
      <c r="K2" t="s">
        <v>368</v>
      </c>
      <c r="L2" t="s">
        <v>369</v>
      </c>
    </row>
    <row r="3" spans="1:12" x14ac:dyDescent="0.25">
      <c r="A3">
        <v>6312</v>
      </c>
      <c r="B3">
        <v>600</v>
      </c>
      <c r="F3">
        <v>50</v>
      </c>
      <c r="G3" t="s">
        <v>370</v>
      </c>
      <c r="H3" t="s">
        <v>365</v>
      </c>
      <c r="K3" t="s">
        <v>368</v>
      </c>
      <c r="L3" t="s">
        <v>369</v>
      </c>
    </row>
    <row r="4" spans="1:12" x14ac:dyDescent="0.25">
      <c r="A4">
        <v>7552</v>
      </c>
      <c r="B4">
        <v>122</v>
      </c>
      <c r="F4">
        <v>50</v>
      </c>
      <c r="G4" t="s">
        <v>371</v>
      </c>
      <c r="H4" t="s">
        <v>365</v>
      </c>
      <c r="I4" t="s">
        <v>366</v>
      </c>
      <c r="J4" t="s">
        <v>367</v>
      </c>
      <c r="K4" t="s">
        <v>368</v>
      </c>
      <c r="L4" t="s">
        <v>369</v>
      </c>
    </row>
    <row r="5" spans="1:12" x14ac:dyDescent="0.25">
      <c r="A5">
        <v>7756</v>
      </c>
      <c r="B5">
        <v>60</v>
      </c>
      <c r="F5">
        <v>50</v>
      </c>
      <c r="G5" t="s">
        <v>370</v>
      </c>
      <c r="H5" t="s">
        <v>365</v>
      </c>
      <c r="K5" t="s">
        <v>368</v>
      </c>
      <c r="L5" t="s">
        <v>369</v>
      </c>
    </row>
    <row r="6" spans="1:12" x14ac:dyDescent="0.25">
      <c r="A6">
        <v>9752</v>
      </c>
      <c r="B6">
        <v>1002</v>
      </c>
      <c r="C6" t="s">
        <v>363</v>
      </c>
      <c r="D6">
        <v>200</v>
      </c>
      <c r="F6">
        <v>50</v>
      </c>
      <c r="G6" t="s">
        <v>364</v>
      </c>
      <c r="H6" t="s">
        <v>365</v>
      </c>
      <c r="I6" t="s">
        <v>366</v>
      </c>
      <c r="J6" t="s">
        <v>367</v>
      </c>
      <c r="K6" t="s">
        <v>368</v>
      </c>
      <c r="L6" t="s">
        <v>369</v>
      </c>
    </row>
    <row r="7" spans="1:12" x14ac:dyDescent="0.25">
      <c r="A7">
        <v>10064</v>
      </c>
      <c r="B7">
        <v>90</v>
      </c>
      <c r="F7">
        <v>50</v>
      </c>
      <c r="G7" t="s">
        <v>370</v>
      </c>
      <c r="H7" t="s">
        <v>365</v>
      </c>
      <c r="K7" t="s">
        <v>368</v>
      </c>
      <c r="L7" t="s">
        <v>369</v>
      </c>
    </row>
    <row r="8" spans="1:12" x14ac:dyDescent="0.25">
      <c r="A8">
        <v>10364</v>
      </c>
      <c r="B8">
        <v>10002</v>
      </c>
      <c r="C8" t="s">
        <v>363</v>
      </c>
      <c r="D8">
        <v>200</v>
      </c>
      <c r="F8">
        <v>50</v>
      </c>
      <c r="G8" t="s">
        <v>372</v>
      </c>
      <c r="H8" t="s">
        <v>365</v>
      </c>
      <c r="K8" t="s">
        <v>368</v>
      </c>
      <c r="L8" t="s">
        <v>369</v>
      </c>
    </row>
    <row r="9" spans="1:12" x14ac:dyDescent="0.25">
      <c r="A9">
        <v>1172</v>
      </c>
      <c r="B9">
        <v>60</v>
      </c>
      <c r="F9">
        <v>50</v>
      </c>
      <c r="G9" t="s">
        <v>370</v>
      </c>
      <c r="H9" t="s">
        <v>365</v>
      </c>
      <c r="K9" t="s">
        <v>368</v>
      </c>
      <c r="L9" t="s">
        <v>369</v>
      </c>
    </row>
    <row r="10" spans="1:12" x14ac:dyDescent="0.25">
      <c r="A10">
        <v>4228</v>
      </c>
      <c r="B10">
        <v>10012</v>
      </c>
      <c r="C10" t="s">
        <v>373</v>
      </c>
      <c r="D10">
        <v>100</v>
      </c>
      <c r="F10">
        <v>50</v>
      </c>
      <c r="G10" t="s">
        <v>374</v>
      </c>
      <c r="H10" t="s">
        <v>365</v>
      </c>
      <c r="K10" t="s">
        <v>368</v>
      </c>
      <c r="L10" t="s">
        <v>369</v>
      </c>
    </row>
    <row r="11" spans="1:12" x14ac:dyDescent="0.25">
      <c r="A11">
        <v>4600</v>
      </c>
      <c r="B11">
        <v>90</v>
      </c>
      <c r="F11">
        <v>50</v>
      </c>
      <c r="G11" t="s">
        <v>370</v>
      </c>
      <c r="H11" t="s">
        <v>365</v>
      </c>
      <c r="K11" t="s">
        <v>368</v>
      </c>
      <c r="L11" t="s">
        <v>369</v>
      </c>
    </row>
    <row r="12" spans="1:12" x14ac:dyDescent="0.25">
      <c r="A12">
        <v>7300</v>
      </c>
      <c r="B12">
        <v>122</v>
      </c>
      <c r="F12">
        <v>50</v>
      </c>
      <c r="G12" t="s">
        <v>371</v>
      </c>
      <c r="H12" t="s">
        <v>365</v>
      </c>
      <c r="I12" t="s">
        <v>366</v>
      </c>
      <c r="J12" t="s">
        <v>367</v>
      </c>
      <c r="K12" t="s">
        <v>368</v>
      </c>
      <c r="L12" t="s">
        <v>375</v>
      </c>
    </row>
    <row r="13" spans="1:12" x14ac:dyDescent="0.25">
      <c r="A13">
        <v>8256</v>
      </c>
      <c r="B13">
        <v>600</v>
      </c>
      <c r="F13">
        <v>50</v>
      </c>
      <c r="G13" t="s">
        <v>370</v>
      </c>
      <c r="H13" t="s">
        <v>365</v>
      </c>
      <c r="K13" t="s">
        <v>368</v>
      </c>
      <c r="L13" t="s">
        <v>369</v>
      </c>
    </row>
    <row r="14" spans="1:12" x14ac:dyDescent="0.25">
      <c r="A14">
        <v>8668</v>
      </c>
      <c r="B14">
        <v>122</v>
      </c>
      <c r="F14">
        <v>50</v>
      </c>
      <c r="G14" t="s">
        <v>371</v>
      </c>
      <c r="H14" t="s">
        <v>365</v>
      </c>
      <c r="K14" t="s">
        <v>368</v>
      </c>
      <c r="L14" t="s">
        <v>369</v>
      </c>
    </row>
    <row r="15" spans="1:12" x14ac:dyDescent="0.25">
      <c r="A15">
        <v>5904</v>
      </c>
      <c r="B15">
        <v>74</v>
      </c>
      <c r="F15">
        <v>50</v>
      </c>
      <c r="G15" t="s">
        <v>370</v>
      </c>
      <c r="H15" t="s">
        <v>365</v>
      </c>
      <c r="K15" t="s">
        <v>368</v>
      </c>
      <c r="L15" t="s">
        <v>369</v>
      </c>
    </row>
    <row r="16" spans="1:12" x14ac:dyDescent="0.25">
      <c r="A16">
        <v>7283</v>
      </c>
      <c r="B16">
        <v>10012</v>
      </c>
      <c r="C16" t="s">
        <v>373</v>
      </c>
      <c r="D16">
        <v>100</v>
      </c>
      <c r="F16">
        <v>50</v>
      </c>
      <c r="G16" t="s">
        <v>374</v>
      </c>
      <c r="H16" t="s">
        <v>365</v>
      </c>
      <c r="K16" t="s">
        <v>368</v>
      </c>
      <c r="L16" t="s">
        <v>369</v>
      </c>
    </row>
    <row r="17" spans="1:12" x14ac:dyDescent="0.25">
      <c r="A17">
        <v>8004</v>
      </c>
      <c r="B17">
        <v>122</v>
      </c>
      <c r="F17">
        <v>50</v>
      </c>
      <c r="G17" t="s">
        <v>371</v>
      </c>
      <c r="H17" t="s">
        <v>365</v>
      </c>
      <c r="I17" t="s">
        <v>366</v>
      </c>
      <c r="J17" t="s">
        <v>367</v>
      </c>
      <c r="K17" t="s">
        <v>368</v>
      </c>
      <c r="L17" t="s">
        <v>369</v>
      </c>
    </row>
    <row r="18" spans="1:12" x14ac:dyDescent="0.25">
      <c r="A18">
        <v>9176</v>
      </c>
      <c r="B18">
        <v>1002</v>
      </c>
      <c r="C18" t="s">
        <v>363</v>
      </c>
      <c r="D18">
        <v>100</v>
      </c>
      <c r="F18">
        <v>50</v>
      </c>
      <c r="G18" t="s">
        <v>364</v>
      </c>
      <c r="H18" t="s">
        <v>365</v>
      </c>
      <c r="I18" t="s">
        <v>366</v>
      </c>
      <c r="J18" t="s">
        <v>367</v>
      </c>
      <c r="K18" t="s">
        <v>368</v>
      </c>
      <c r="L18" t="s">
        <v>369</v>
      </c>
    </row>
    <row r="19" spans="1:12" x14ac:dyDescent="0.25">
      <c r="A19">
        <v>10592</v>
      </c>
      <c r="B19">
        <v>10012</v>
      </c>
      <c r="C19" t="s">
        <v>373</v>
      </c>
      <c r="D19">
        <v>20</v>
      </c>
      <c r="F19">
        <v>50</v>
      </c>
      <c r="G19" t="s">
        <v>374</v>
      </c>
      <c r="H19" t="s">
        <v>365</v>
      </c>
      <c r="K19" t="s">
        <v>368</v>
      </c>
      <c r="L19" t="s">
        <v>375</v>
      </c>
    </row>
    <row r="20" spans="1:12" x14ac:dyDescent="0.25">
      <c r="A20">
        <v>1476</v>
      </c>
      <c r="B20">
        <v>62</v>
      </c>
      <c r="F20">
        <v>50</v>
      </c>
      <c r="G20" t="s">
        <v>376</v>
      </c>
      <c r="H20" t="s">
        <v>365</v>
      </c>
      <c r="K20" t="s">
        <v>368</v>
      </c>
      <c r="L20" t="s">
        <v>369</v>
      </c>
    </row>
    <row r="21" spans="1:12" x14ac:dyDescent="0.25">
      <c r="A21">
        <v>2068</v>
      </c>
      <c r="B21">
        <v>122</v>
      </c>
      <c r="F21">
        <v>50</v>
      </c>
      <c r="G21" t="s">
        <v>371</v>
      </c>
      <c r="H21" t="s">
        <v>365</v>
      </c>
      <c r="I21" t="s">
        <v>367</v>
      </c>
      <c r="K21" t="s">
        <v>368</v>
      </c>
      <c r="L21" t="s">
        <v>369</v>
      </c>
    </row>
    <row r="22" spans="1:12" x14ac:dyDescent="0.25">
      <c r="A22">
        <v>7260</v>
      </c>
      <c r="B22">
        <v>10002</v>
      </c>
      <c r="C22" t="s">
        <v>363</v>
      </c>
      <c r="D22">
        <v>200</v>
      </c>
      <c r="F22">
        <v>50</v>
      </c>
      <c r="G22" t="s">
        <v>372</v>
      </c>
      <c r="H22" t="s">
        <v>365</v>
      </c>
      <c r="I22" t="s">
        <v>366</v>
      </c>
      <c r="J22" t="s">
        <v>367</v>
      </c>
      <c r="K22" t="s">
        <v>368</v>
      </c>
      <c r="L22" t="s">
        <v>369</v>
      </c>
    </row>
    <row r="23" spans="1:12" x14ac:dyDescent="0.25">
      <c r="A23">
        <v>9272</v>
      </c>
      <c r="B23">
        <v>122</v>
      </c>
      <c r="F23">
        <v>50</v>
      </c>
      <c r="G23" t="s">
        <v>371</v>
      </c>
      <c r="H23" t="s">
        <v>365</v>
      </c>
      <c r="I23" t="s">
        <v>366</v>
      </c>
      <c r="J23" t="s">
        <v>367</v>
      </c>
      <c r="K23" t="s">
        <v>368</v>
      </c>
      <c r="L23" t="s">
        <v>369</v>
      </c>
    </row>
    <row r="24" spans="1:12" x14ac:dyDescent="0.25">
      <c r="A24">
        <v>2548</v>
      </c>
      <c r="B24">
        <v>60</v>
      </c>
      <c r="F24">
        <v>50</v>
      </c>
      <c r="G24" t="s">
        <v>370</v>
      </c>
      <c r="H24" t="s">
        <v>365</v>
      </c>
      <c r="K24" t="s">
        <v>368</v>
      </c>
      <c r="L24" t="s">
        <v>369</v>
      </c>
    </row>
    <row r="25" spans="1:12" x14ac:dyDescent="0.25">
      <c r="A25">
        <v>3284</v>
      </c>
      <c r="B25">
        <v>122</v>
      </c>
      <c r="F25">
        <v>50</v>
      </c>
      <c r="G25" t="s">
        <v>364</v>
      </c>
      <c r="H25" t="s">
        <v>365</v>
      </c>
      <c r="I25" t="s">
        <v>366</v>
      </c>
      <c r="J25" t="s">
        <v>367</v>
      </c>
      <c r="K25" t="s">
        <v>368</v>
      </c>
      <c r="L25" t="s">
        <v>369</v>
      </c>
    </row>
    <row r="26" spans="1:12" x14ac:dyDescent="0.25">
      <c r="A26">
        <v>4144</v>
      </c>
      <c r="B26">
        <v>60</v>
      </c>
      <c r="F26">
        <v>50</v>
      </c>
      <c r="G26" t="s">
        <v>370</v>
      </c>
      <c r="H26" t="s">
        <v>365</v>
      </c>
      <c r="K26" t="s">
        <v>368</v>
      </c>
      <c r="L26" t="s">
        <v>369</v>
      </c>
    </row>
    <row r="27" spans="1:12" x14ac:dyDescent="0.25">
      <c r="A27">
        <v>4336</v>
      </c>
      <c r="B27">
        <v>60</v>
      </c>
      <c r="F27">
        <v>50</v>
      </c>
      <c r="G27" t="s">
        <v>370</v>
      </c>
      <c r="H27" t="s">
        <v>365</v>
      </c>
      <c r="K27" t="s">
        <v>368</v>
      </c>
      <c r="L27" t="s">
        <v>369</v>
      </c>
    </row>
    <row r="28" spans="1:12" x14ac:dyDescent="0.25">
      <c r="A28">
        <v>5004</v>
      </c>
      <c r="B28">
        <v>10012</v>
      </c>
      <c r="C28" t="s">
        <v>373</v>
      </c>
      <c r="D28">
        <v>100</v>
      </c>
      <c r="F28">
        <v>50</v>
      </c>
      <c r="G28" t="s">
        <v>374</v>
      </c>
      <c r="H28" t="s">
        <v>365</v>
      </c>
      <c r="K28" t="s">
        <v>368</v>
      </c>
      <c r="L28" t="s">
        <v>369</v>
      </c>
    </row>
    <row r="29" spans="1:12" x14ac:dyDescent="0.25">
      <c r="A29">
        <v>5992</v>
      </c>
      <c r="B29">
        <v>10002</v>
      </c>
      <c r="C29" t="s">
        <v>363</v>
      </c>
      <c r="D29">
        <v>200</v>
      </c>
      <c r="F29">
        <v>50</v>
      </c>
      <c r="G29" t="s">
        <v>372</v>
      </c>
      <c r="H29" t="s">
        <v>365</v>
      </c>
      <c r="I29" t="s">
        <v>367</v>
      </c>
      <c r="K29" t="s">
        <v>368</v>
      </c>
      <c r="L29" t="s">
        <v>369</v>
      </c>
    </row>
    <row r="30" spans="1:12" x14ac:dyDescent="0.25">
      <c r="A30">
        <v>7188</v>
      </c>
      <c r="B30">
        <v>122</v>
      </c>
      <c r="F30">
        <v>50</v>
      </c>
      <c r="G30" t="s">
        <v>377</v>
      </c>
      <c r="H30" t="s">
        <v>365</v>
      </c>
      <c r="I30" t="s">
        <v>367</v>
      </c>
      <c r="K30" t="s">
        <v>368</v>
      </c>
      <c r="L30" t="s">
        <v>369</v>
      </c>
    </row>
    <row r="31" spans="1:12" x14ac:dyDescent="0.25">
      <c r="A31">
        <v>9256</v>
      </c>
      <c r="B31">
        <v>10002</v>
      </c>
      <c r="C31" t="s">
        <v>363</v>
      </c>
      <c r="D31">
        <v>200</v>
      </c>
      <c r="F31">
        <v>50</v>
      </c>
      <c r="G31" t="s">
        <v>372</v>
      </c>
      <c r="H31" t="s">
        <v>365</v>
      </c>
      <c r="I31" t="s">
        <v>367</v>
      </c>
      <c r="K31" t="s">
        <v>368</v>
      </c>
      <c r="L31" t="s">
        <v>369</v>
      </c>
    </row>
    <row r="32" spans="1:12" x14ac:dyDescent="0.25">
      <c r="A32">
        <v>10420</v>
      </c>
      <c r="B32">
        <v>122</v>
      </c>
      <c r="F32">
        <v>50</v>
      </c>
      <c r="G32" t="s">
        <v>371</v>
      </c>
      <c r="H32" t="s">
        <v>365</v>
      </c>
      <c r="I32" t="s">
        <v>367</v>
      </c>
      <c r="K32" t="s">
        <v>368</v>
      </c>
      <c r="L32" t="s">
        <v>369</v>
      </c>
    </row>
    <row r="33" spans="1:12" x14ac:dyDescent="0.25">
      <c r="A33">
        <v>1264</v>
      </c>
      <c r="B33">
        <v>10012</v>
      </c>
      <c r="C33" t="s">
        <v>373</v>
      </c>
      <c r="D33">
        <v>100</v>
      </c>
      <c r="F33">
        <v>50</v>
      </c>
      <c r="G33" t="s">
        <v>374</v>
      </c>
      <c r="H33" t="s">
        <v>365</v>
      </c>
      <c r="K33" t="s">
        <v>368</v>
      </c>
      <c r="L33" t="s">
        <v>375</v>
      </c>
    </row>
    <row r="34" spans="1:12" x14ac:dyDescent="0.25">
      <c r="A34">
        <v>3056</v>
      </c>
      <c r="B34">
        <v>1002</v>
      </c>
      <c r="C34" t="s">
        <v>363</v>
      </c>
      <c r="D34">
        <v>200</v>
      </c>
      <c r="F34">
        <v>50</v>
      </c>
      <c r="G34" t="s">
        <v>364</v>
      </c>
      <c r="H34" t="s">
        <v>365</v>
      </c>
      <c r="I34" t="s">
        <v>366</v>
      </c>
      <c r="J34" t="s">
        <v>367</v>
      </c>
      <c r="K34" t="s">
        <v>368</v>
      </c>
      <c r="L34" t="s">
        <v>369</v>
      </c>
    </row>
    <row r="35" spans="1:12" x14ac:dyDescent="0.25">
      <c r="A35">
        <v>7284</v>
      </c>
      <c r="B35">
        <v>10012</v>
      </c>
      <c r="C35" t="s">
        <v>373</v>
      </c>
      <c r="D35">
        <v>100</v>
      </c>
      <c r="F35">
        <v>50</v>
      </c>
      <c r="G35" t="s">
        <v>374</v>
      </c>
      <c r="H35" t="s">
        <v>365</v>
      </c>
      <c r="K35" t="s">
        <v>368</v>
      </c>
      <c r="L35" t="s">
        <v>369</v>
      </c>
    </row>
    <row r="36" spans="1:12" x14ac:dyDescent="0.25">
      <c r="A36">
        <v>7528</v>
      </c>
      <c r="B36">
        <v>60</v>
      </c>
      <c r="F36">
        <v>50</v>
      </c>
      <c r="G36" t="s">
        <v>370</v>
      </c>
      <c r="H36" t="s">
        <v>365</v>
      </c>
      <c r="K36" t="s">
        <v>368</v>
      </c>
      <c r="L36" t="s">
        <v>369</v>
      </c>
    </row>
    <row r="37" spans="1:12" x14ac:dyDescent="0.25">
      <c r="A37">
        <v>8144</v>
      </c>
      <c r="B37">
        <v>122</v>
      </c>
      <c r="F37">
        <v>50</v>
      </c>
      <c r="G37" t="s">
        <v>364</v>
      </c>
      <c r="H37" t="s">
        <v>365</v>
      </c>
      <c r="I37" t="s">
        <v>366</v>
      </c>
      <c r="J37" t="s">
        <v>367</v>
      </c>
      <c r="K37" t="s">
        <v>368</v>
      </c>
      <c r="L37" t="s">
        <v>369</v>
      </c>
    </row>
    <row r="38" spans="1:12" x14ac:dyDescent="0.25">
      <c r="A38">
        <v>8804</v>
      </c>
      <c r="B38">
        <v>10002</v>
      </c>
      <c r="C38" t="s">
        <v>363</v>
      </c>
      <c r="D38">
        <v>200</v>
      </c>
      <c r="F38">
        <v>50</v>
      </c>
      <c r="G38" t="s">
        <v>372</v>
      </c>
      <c r="H38" t="s">
        <v>365</v>
      </c>
      <c r="I38" t="s">
        <v>366</v>
      </c>
      <c r="J38" t="s">
        <v>367</v>
      </c>
      <c r="K38" t="s">
        <v>368</v>
      </c>
      <c r="L38" t="s">
        <v>369</v>
      </c>
    </row>
    <row r="39" spans="1:12" x14ac:dyDescent="0.25">
      <c r="A39">
        <v>9072</v>
      </c>
      <c r="B39">
        <v>122</v>
      </c>
      <c r="F39">
        <v>50</v>
      </c>
      <c r="G39" t="s">
        <v>364</v>
      </c>
      <c r="H39" t="s">
        <v>365</v>
      </c>
      <c r="I39" t="s">
        <v>366</v>
      </c>
      <c r="J39" t="s">
        <v>367</v>
      </c>
      <c r="K39" t="s">
        <v>368</v>
      </c>
      <c r="L39" t="s">
        <v>369</v>
      </c>
    </row>
    <row r="40" spans="1:12" x14ac:dyDescent="0.25">
      <c r="A40">
        <v>476</v>
      </c>
      <c r="B40">
        <v>10012</v>
      </c>
      <c r="C40" t="s">
        <v>373</v>
      </c>
      <c r="D40">
        <v>100</v>
      </c>
      <c r="F40">
        <v>50</v>
      </c>
      <c r="G40" t="s">
        <v>374</v>
      </c>
      <c r="H40" t="s">
        <v>365</v>
      </c>
      <c r="K40" t="s">
        <v>368</v>
      </c>
      <c r="L40" t="s">
        <v>369</v>
      </c>
    </row>
    <row r="41" spans="1:12" x14ac:dyDescent="0.25">
      <c r="A41">
        <v>2168</v>
      </c>
      <c r="B41">
        <v>1002</v>
      </c>
      <c r="C41" t="s">
        <v>363</v>
      </c>
      <c r="D41">
        <v>200</v>
      </c>
      <c r="F41">
        <v>50</v>
      </c>
      <c r="G41" t="s">
        <v>364</v>
      </c>
      <c r="H41" t="s">
        <v>365</v>
      </c>
      <c r="I41" t="s">
        <v>366</v>
      </c>
      <c r="J41" t="s">
        <v>367</v>
      </c>
      <c r="K41" t="s">
        <v>368</v>
      </c>
      <c r="L41" t="s">
        <v>369</v>
      </c>
    </row>
    <row r="42" spans="1:12" x14ac:dyDescent="0.25">
      <c r="A42">
        <v>2472</v>
      </c>
      <c r="B42">
        <v>1002</v>
      </c>
      <c r="C42" t="s">
        <v>363</v>
      </c>
      <c r="D42">
        <v>200</v>
      </c>
      <c r="F42">
        <v>50</v>
      </c>
      <c r="G42" t="s">
        <v>364</v>
      </c>
      <c r="H42" t="s">
        <v>365</v>
      </c>
      <c r="I42" t="s">
        <v>366</v>
      </c>
      <c r="J42" t="s">
        <v>367</v>
      </c>
      <c r="K42" t="s">
        <v>368</v>
      </c>
      <c r="L42" t="s">
        <v>369</v>
      </c>
    </row>
    <row r="43" spans="1:12" x14ac:dyDescent="0.25">
      <c r="A43">
        <v>3100</v>
      </c>
      <c r="B43">
        <v>1002</v>
      </c>
      <c r="C43" t="s">
        <v>363</v>
      </c>
      <c r="D43">
        <v>200</v>
      </c>
      <c r="F43">
        <v>50</v>
      </c>
      <c r="G43" t="s">
        <v>364</v>
      </c>
      <c r="H43" t="s">
        <v>365</v>
      </c>
      <c r="I43" t="s">
        <v>366</v>
      </c>
      <c r="J43" t="s">
        <v>367</v>
      </c>
      <c r="K43" t="s">
        <v>368</v>
      </c>
      <c r="L43" t="s">
        <v>369</v>
      </c>
    </row>
    <row r="44" spans="1:12" x14ac:dyDescent="0.25">
      <c r="A44">
        <v>4124</v>
      </c>
      <c r="B44">
        <v>10002</v>
      </c>
      <c r="C44" t="s">
        <v>363</v>
      </c>
      <c r="D44">
        <v>200</v>
      </c>
      <c r="F44">
        <v>50</v>
      </c>
      <c r="G44" t="s">
        <v>372</v>
      </c>
      <c r="H44" t="s">
        <v>365</v>
      </c>
      <c r="I44" t="s">
        <v>367</v>
      </c>
      <c r="K44" t="s">
        <v>368</v>
      </c>
      <c r="L44" t="s">
        <v>369</v>
      </c>
    </row>
    <row r="45" spans="1:12" x14ac:dyDescent="0.25">
      <c r="A45">
        <v>5892</v>
      </c>
      <c r="B45">
        <v>90</v>
      </c>
      <c r="F45">
        <v>50</v>
      </c>
      <c r="G45" t="s">
        <v>370</v>
      </c>
      <c r="H45" t="s">
        <v>365</v>
      </c>
      <c r="K45" t="s">
        <v>368</v>
      </c>
      <c r="L45" t="s">
        <v>369</v>
      </c>
    </row>
    <row r="46" spans="1:12" x14ac:dyDescent="0.25">
      <c r="A46">
        <v>9032</v>
      </c>
      <c r="B46">
        <v>122</v>
      </c>
      <c r="F46">
        <v>50</v>
      </c>
      <c r="G46" t="s">
        <v>371</v>
      </c>
      <c r="H46" t="s">
        <v>365</v>
      </c>
      <c r="I46" t="s">
        <v>366</v>
      </c>
      <c r="J46" t="s">
        <v>367</v>
      </c>
      <c r="K46" t="s">
        <v>368</v>
      </c>
      <c r="L46" t="s">
        <v>375</v>
      </c>
    </row>
    <row r="47" spans="1:12" x14ac:dyDescent="0.25">
      <c r="A47">
        <v>10012</v>
      </c>
      <c r="B47">
        <v>62</v>
      </c>
      <c r="F47">
        <v>50</v>
      </c>
      <c r="G47" t="s">
        <v>370</v>
      </c>
      <c r="H47" t="s">
        <v>365</v>
      </c>
      <c r="K47" t="s">
        <v>368</v>
      </c>
      <c r="L47" t="s">
        <v>369</v>
      </c>
    </row>
    <row r="48" spans="1:12" x14ac:dyDescent="0.25">
      <c r="A48">
        <v>6280</v>
      </c>
      <c r="B48">
        <v>90</v>
      </c>
      <c r="F48">
        <v>50</v>
      </c>
      <c r="G48" t="s">
        <v>370</v>
      </c>
      <c r="H48" t="s">
        <v>365</v>
      </c>
      <c r="K48" t="s">
        <v>368</v>
      </c>
      <c r="L48" t="s">
        <v>369</v>
      </c>
    </row>
    <row r="49" spans="1:12" x14ac:dyDescent="0.25">
      <c r="A49">
        <v>9356</v>
      </c>
      <c r="B49">
        <v>10012</v>
      </c>
      <c r="C49" t="s">
        <v>373</v>
      </c>
      <c r="D49">
        <v>100</v>
      </c>
      <c r="F49">
        <v>50</v>
      </c>
      <c r="G49" t="s">
        <v>374</v>
      </c>
      <c r="H49" t="s">
        <v>365</v>
      </c>
      <c r="K49" t="s">
        <v>368</v>
      </c>
      <c r="L49" t="s">
        <v>369</v>
      </c>
    </row>
    <row r="50" spans="1:12" x14ac:dyDescent="0.25">
      <c r="A50">
        <v>10100</v>
      </c>
      <c r="B50">
        <v>62</v>
      </c>
      <c r="F50">
        <v>50</v>
      </c>
      <c r="G50" t="s">
        <v>370</v>
      </c>
      <c r="H50" t="s">
        <v>365</v>
      </c>
      <c r="K50" t="s">
        <v>368</v>
      </c>
      <c r="L50" t="s">
        <v>369</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3871"/>
  <sheetViews>
    <sheetView workbookViewId="0"/>
  </sheetViews>
  <sheetFormatPr defaultRowHeight="15" x14ac:dyDescent="0.25"/>
  <cols>
    <col min="1" max="1" width="16.7109375" bestFit="1" customWidth="1"/>
    <col min="2" max="2" width="13" bestFit="1" customWidth="1"/>
    <col min="3" max="3" width="12.140625" bestFit="1" customWidth="1"/>
    <col min="4" max="4" width="8.5703125" bestFit="1" customWidth="1"/>
    <col min="5" max="5" width="10.5703125" bestFit="1" customWidth="1"/>
    <col min="6" max="7" width="81.140625" bestFit="1" customWidth="1"/>
  </cols>
  <sheetData>
    <row r="1" spans="1:7" x14ac:dyDescent="0.25">
      <c r="A1" t="s">
        <v>14</v>
      </c>
      <c r="B1" t="s">
        <v>3</v>
      </c>
      <c r="C1" t="s">
        <v>108</v>
      </c>
      <c r="D1" t="s">
        <v>109</v>
      </c>
      <c r="E1" t="s">
        <v>110</v>
      </c>
      <c r="F1" t="s">
        <v>111</v>
      </c>
      <c r="G1" t="s">
        <v>112</v>
      </c>
    </row>
    <row r="2" spans="1:7" hidden="1" x14ac:dyDescent="0.25">
      <c r="A2">
        <v>50</v>
      </c>
      <c r="B2">
        <v>476</v>
      </c>
      <c r="C2">
        <v>0</v>
      </c>
      <c r="D2">
        <v>0</v>
      </c>
      <c r="E2">
        <v>8</v>
      </c>
      <c r="F2" t="s">
        <v>200</v>
      </c>
      <c r="G2" t="s">
        <v>155</v>
      </c>
    </row>
    <row r="3" spans="1:7" hidden="1" x14ac:dyDescent="0.25">
      <c r="A3">
        <v>50</v>
      </c>
      <c r="B3">
        <v>1172</v>
      </c>
      <c r="C3">
        <v>0</v>
      </c>
      <c r="D3">
        <v>0</v>
      </c>
      <c r="E3">
        <v>8</v>
      </c>
      <c r="F3" t="s">
        <v>200</v>
      </c>
      <c r="G3" t="s">
        <v>155</v>
      </c>
    </row>
    <row r="4" spans="1:7" hidden="1" x14ac:dyDescent="0.25">
      <c r="A4">
        <v>50</v>
      </c>
      <c r="B4">
        <v>1264</v>
      </c>
      <c r="C4">
        <v>0</v>
      </c>
      <c r="D4">
        <v>0</v>
      </c>
      <c r="E4">
        <v>8</v>
      </c>
      <c r="F4" t="s">
        <v>200</v>
      </c>
      <c r="G4" t="s">
        <v>155</v>
      </c>
    </row>
    <row r="5" spans="1:7" hidden="1" x14ac:dyDescent="0.25">
      <c r="A5">
        <v>50</v>
      </c>
      <c r="B5">
        <v>1476</v>
      </c>
      <c r="C5">
        <v>0</v>
      </c>
      <c r="D5">
        <v>0</v>
      </c>
      <c r="E5">
        <v>8</v>
      </c>
      <c r="F5" t="s">
        <v>200</v>
      </c>
      <c r="G5" t="s">
        <v>155</v>
      </c>
    </row>
    <row r="6" spans="1:7" hidden="1" x14ac:dyDescent="0.25">
      <c r="A6">
        <v>50</v>
      </c>
      <c r="B6">
        <v>2548</v>
      </c>
      <c r="C6">
        <v>0</v>
      </c>
      <c r="D6">
        <v>0</v>
      </c>
      <c r="E6">
        <v>8</v>
      </c>
      <c r="F6" t="s">
        <v>200</v>
      </c>
      <c r="G6" t="s">
        <v>155</v>
      </c>
    </row>
    <row r="7" spans="1:7" hidden="1" x14ac:dyDescent="0.25">
      <c r="A7">
        <v>50</v>
      </c>
      <c r="B7">
        <v>4144</v>
      </c>
      <c r="C7">
        <v>0</v>
      </c>
      <c r="D7">
        <v>0</v>
      </c>
      <c r="E7">
        <v>8</v>
      </c>
      <c r="F7" t="s">
        <v>200</v>
      </c>
      <c r="G7" t="s">
        <v>155</v>
      </c>
    </row>
    <row r="8" spans="1:7" hidden="1" x14ac:dyDescent="0.25">
      <c r="A8">
        <v>50</v>
      </c>
      <c r="B8">
        <v>4228</v>
      </c>
      <c r="C8">
        <v>0</v>
      </c>
      <c r="D8">
        <v>0</v>
      </c>
      <c r="E8">
        <v>8</v>
      </c>
      <c r="F8" t="s">
        <v>200</v>
      </c>
      <c r="G8" t="s">
        <v>155</v>
      </c>
    </row>
    <row r="9" spans="1:7" hidden="1" x14ac:dyDescent="0.25">
      <c r="A9">
        <v>50</v>
      </c>
      <c r="B9">
        <v>4336</v>
      </c>
      <c r="C9">
        <v>0</v>
      </c>
      <c r="D9">
        <v>0</v>
      </c>
      <c r="E9">
        <v>8</v>
      </c>
      <c r="F9" t="s">
        <v>200</v>
      </c>
      <c r="G9" t="s">
        <v>155</v>
      </c>
    </row>
    <row r="10" spans="1:7" hidden="1" x14ac:dyDescent="0.25">
      <c r="A10">
        <v>50</v>
      </c>
      <c r="B10">
        <v>4600</v>
      </c>
      <c r="C10">
        <v>0</v>
      </c>
      <c r="D10">
        <v>0</v>
      </c>
      <c r="E10">
        <v>8</v>
      </c>
      <c r="F10" t="s">
        <v>200</v>
      </c>
      <c r="G10" t="s">
        <v>155</v>
      </c>
    </row>
    <row r="11" spans="1:7" hidden="1" x14ac:dyDescent="0.25">
      <c r="A11">
        <v>50</v>
      </c>
      <c r="B11">
        <v>5004</v>
      </c>
      <c r="C11">
        <v>0</v>
      </c>
      <c r="D11">
        <v>0</v>
      </c>
      <c r="E11">
        <v>8</v>
      </c>
      <c r="F11" t="s">
        <v>200</v>
      </c>
      <c r="G11" t="s">
        <v>155</v>
      </c>
    </row>
    <row r="12" spans="1:7" hidden="1" x14ac:dyDescent="0.25">
      <c r="A12">
        <v>50</v>
      </c>
      <c r="B12">
        <v>5892</v>
      </c>
      <c r="C12">
        <v>0</v>
      </c>
      <c r="D12">
        <v>0</v>
      </c>
      <c r="E12">
        <v>8</v>
      </c>
      <c r="F12" t="s">
        <v>200</v>
      </c>
      <c r="G12" t="s">
        <v>155</v>
      </c>
    </row>
    <row r="13" spans="1:7" hidden="1" x14ac:dyDescent="0.25">
      <c r="A13">
        <v>50</v>
      </c>
      <c r="B13">
        <v>5904</v>
      </c>
      <c r="C13">
        <v>0</v>
      </c>
      <c r="D13">
        <v>0</v>
      </c>
      <c r="E13">
        <v>8</v>
      </c>
      <c r="F13" t="s">
        <v>200</v>
      </c>
      <c r="G13" t="s">
        <v>155</v>
      </c>
    </row>
    <row r="14" spans="1:7" hidden="1" x14ac:dyDescent="0.25">
      <c r="A14">
        <v>50</v>
      </c>
      <c r="B14">
        <v>6280</v>
      </c>
      <c r="C14">
        <v>0</v>
      </c>
      <c r="D14">
        <v>0</v>
      </c>
      <c r="E14">
        <v>8</v>
      </c>
      <c r="F14" t="s">
        <v>200</v>
      </c>
      <c r="G14" t="s">
        <v>155</v>
      </c>
    </row>
    <row r="15" spans="1:7" hidden="1" x14ac:dyDescent="0.25">
      <c r="A15">
        <v>50</v>
      </c>
      <c r="B15">
        <v>6312</v>
      </c>
      <c r="C15">
        <v>0</v>
      </c>
      <c r="D15">
        <v>0</v>
      </c>
      <c r="E15">
        <v>8</v>
      </c>
      <c r="F15" t="s">
        <v>200</v>
      </c>
      <c r="G15" t="s">
        <v>155</v>
      </c>
    </row>
    <row r="16" spans="1:7" hidden="1" x14ac:dyDescent="0.25">
      <c r="A16">
        <v>50</v>
      </c>
      <c r="B16">
        <v>7283</v>
      </c>
      <c r="C16">
        <v>0</v>
      </c>
      <c r="D16">
        <v>0</v>
      </c>
      <c r="E16">
        <v>8</v>
      </c>
      <c r="F16" t="s">
        <v>200</v>
      </c>
      <c r="G16" t="s">
        <v>155</v>
      </c>
    </row>
    <row r="17" spans="1:7" hidden="1" x14ac:dyDescent="0.25">
      <c r="A17">
        <v>50</v>
      </c>
      <c r="B17">
        <v>7284</v>
      </c>
      <c r="C17">
        <v>0</v>
      </c>
      <c r="D17">
        <v>0</v>
      </c>
      <c r="E17">
        <v>8</v>
      </c>
      <c r="F17" t="s">
        <v>200</v>
      </c>
      <c r="G17" t="s">
        <v>155</v>
      </c>
    </row>
    <row r="18" spans="1:7" hidden="1" x14ac:dyDescent="0.25">
      <c r="A18">
        <v>50</v>
      </c>
      <c r="B18">
        <v>7528</v>
      </c>
      <c r="C18">
        <v>0</v>
      </c>
      <c r="D18">
        <v>0</v>
      </c>
      <c r="E18">
        <v>8</v>
      </c>
      <c r="F18" t="s">
        <v>200</v>
      </c>
      <c r="G18" t="s">
        <v>155</v>
      </c>
    </row>
    <row r="19" spans="1:7" hidden="1" x14ac:dyDescent="0.25">
      <c r="A19">
        <v>50</v>
      </c>
      <c r="B19">
        <v>7756</v>
      </c>
      <c r="C19">
        <v>0</v>
      </c>
      <c r="D19">
        <v>0</v>
      </c>
      <c r="E19">
        <v>8</v>
      </c>
      <c r="F19" t="s">
        <v>200</v>
      </c>
      <c r="G19" t="s">
        <v>155</v>
      </c>
    </row>
    <row r="20" spans="1:7" hidden="1" x14ac:dyDescent="0.25">
      <c r="A20">
        <v>50</v>
      </c>
      <c r="B20">
        <v>8256</v>
      </c>
      <c r="C20">
        <v>0</v>
      </c>
      <c r="D20">
        <v>0</v>
      </c>
      <c r="E20">
        <v>8</v>
      </c>
      <c r="F20" t="s">
        <v>200</v>
      </c>
      <c r="G20" t="s">
        <v>155</v>
      </c>
    </row>
    <row r="21" spans="1:7" hidden="1" x14ac:dyDescent="0.25">
      <c r="A21">
        <v>50</v>
      </c>
      <c r="B21">
        <v>9356</v>
      </c>
      <c r="C21">
        <v>0</v>
      </c>
      <c r="D21">
        <v>0</v>
      </c>
      <c r="E21">
        <v>8</v>
      </c>
      <c r="F21" t="s">
        <v>200</v>
      </c>
      <c r="G21" t="s">
        <v>155</v>
      </c>
    </row>
    <row r="22" spans="1:7" hidden="1" x14ac:dyDescent="0.25">
      <c r="A22">
        <v>50</v>
      </c>
      <c r="B22">
        <v>10012</v>
      </c>
      <c r="C22">
        <v>0</v>
      </c>
      <c r="D22">
        <v>0</v>
      </c>
      <c r="E22">
        <v>8</v>
      </c>
      <c r="F22" t="s">
        <v>200</v>
      </c>
      <c r="G22" t="s">
        <v>155</v>
      </c>
    </row>
    <row r="23" spans="1:7" hidden="1" x14ac:dyDescent="0.25">
      <c r="A23">
        <v>50</v>
      </c>
      <c r="B23">
        <v>10064</v>
      </c>
      <c r="C23">
        <v>0</v>
      </c>
      <c r="D23">
        <v>0</v>
      </c>
      <c r="E23">
        <v>8</v>
      </c>
      <c r="F23" t="s">
        <v>200</v>
      </c>
      <c r="G23" t="s">
        <v>155</v>
      </c>
    </row>
    <row r="24" spans="1:7" hidden="1" x14ac:dyDescent="0.25">
      <c r="A24">
        <v>50</v>
      </c>
      <c r="B24">
        <v>10100</v>
      </c>
      <c r="C24">
        <v>0</v>
      </c>
      <c r="D24">
        <v>0</v>
      </c>
      <c r="E24">
        <v>8</v>
      </c>
      <c r="F24" t="s">
        <v>200</v>
      </c>
      <c r="G24" t="s">
        <v>155</v>
      </c>
    </row>
    <row r="25" spans="1:7" hidden="1" x14ac:dyDescent="0.25">
      <c r="A25">
        <v>50</v>
      </c>
      <c r="B25">
        <v>10592</v>
      </c>
      <c r="C25">
        <v>0</v>
      </c>
      <c r="D25">
        <v>0</v>
      </c>
      <c r="E25">
        <v>8</v>
      </c>
      <c r="F25" t="s">
        <v>200</v>
      </c>
      <c r="G25" t="s">
        <v>155</v>
      </c>
    </row>
    <row r="26" spans="1:7" hidden="1" x14ac:dyDescent="0.25">
      <c r="A26">
        <v>99</v>
      </c>
      <c r="B26">
        <v>2068</v>
      </c>
      <c r="C26">
        <v>0</v>
      </c>
      <c r="D26">
        <v>0</v>
      </c>
      <c r="E26">
        <v>8</v>
      </c>
      <c r="F26" t="s">
        <v>200</v>
      </c>
      <c r="G26" t="s">
        <v>155</v>
      </c>
    </row>
    <row r="27" spans="1:7" hidden="1" x14ac:dyDescent="0.25">
      <c r="A27">
        <v>99</v>
      </c>
      <c r="B27">
        <v>2168</v>
      </c>
      <c r="C27">
        <v>0</v>
      </c>
      <c r="D27">
        <v>0</v>
      </c>
      <c r="E27">
        <v>8</v>
      </c>
      <c r="F27" t="s">
        <v>200</v>
      </c>
      <c r="G27" t="s">
        <v>155</v>
      </c>
    </row>
    <row r="28" spans="1:7" hidden="1" x14ac:dyDescent="0.25">
      <c r="A28">
        <v>99</v>
      </c>
      <c r="B28">
        <v>2472</v>
      </c>
      <c r="C28">
        <v>0</v>
      </c>
      <c r="D28">
        <v>0</v>
      </c>
      <c r="E28">
        <v>8</v>
      </c>
      <c r="F28" t="s">
        <v>200</v>
      </c>
      <c r="G28" t="s">
        <v>155</v>
      </c>
    </row>
    <row r="29" spans="1:7" hidden="1" x14ac:dyDescent="0.25">
      <c r="A29">
        <v>99</v>
      </c>
      <c r="B29">
        <v>3056</v>
      </c>
      <c r="C29">
        <v>0</v>
      </c>
      <c r="D29">
        <v>0</v>
      </c>
      <c r="E29">
        <v>8</v>
      </c>
      <c r="F29" t="s">
        <v>200</v>
      </c>
      <c r="G29" t="s">
        <v>155</v>
      </c>
    </row>
    <row r="30" spans="1:7" hidden="1" x14ac:dyDescent="0.25">
      <c r="A30">
        <v>99</v>
      </c>
      <c r="B30">
        <v>3100</v>
      </c>
      <c r="C30">
        <v>0</v>
      </c>
      <c r="D30">
        <v>0</v>
      </c>
      <c r="E30">
        <v>8</v>
      </c>
      <c r="F30" t="s">
        <v>200</v>
      </c>
      <c r="G30" t="s">
        <v>155</v>
      </c>
    </row>
    <row r="31" spans="1:7" hidden="1" x14ac:dyDescent="0.25">
      <c r="A31">
        <v>99</v>
      </c>
      <c r="B31">
        <v>3284</v>
      </c>
      <c r="C31">
        <v>0</v>
      </c>
      <c r="D31">
        <v>0</v>
      </c>
      <c r="E31">
        <v>8</v>
      </c>
      <c r="F31" t="s">
        <v>200</v>
      </c>
      <c r="G31" t="s">
        <v>155</v>
      </c>
    </row>
    <row r="32" spans="1:7" x14ac:dyDescent="0.25">
      <c r="A32">
        <v>99</v>
      </c>
      <c r="B32">
        <v>4124</v>
      </c>
      <c r="C32">
        <v>0</v>
      </c>
      <c r="D32">
        <v>0</v>
      </c>
      <c r="E32">
        <v>8</v>
      </c>
      <c r="F32" t="s">
        <v>200</v>
      </c>
      <c r="G32" t="s">
        <v>155</v>
      </c>
    </row>
    <row r="33" spans="1:7" hidden="1" x14ac:dyDescent="0.25">
      <c r="A33">
        <v>99</v>
      </c>
      <c r="B33">
        <v>5932</v>
      </c>
      <c r="C33">
        <v>0</v>
      </c>
      <c r="D33">
        <v>0</v>
      </c>
      <c r="E33">
        <v>8</v>
      </c>
      <c r="F33" t="s">
        <v>200</v>
      </c>
      <c r="G33" t="s">
        <v>155</v>
      </c>
    </row>
    <row r="34" spans="1:7" hidden="1" x14ac:dyDescent="0.25">
      <c r="A34">
        <v>99</v>
      </c>
      <c r="B34">
        <v>5992</v>
      </c>
      <c r="C34">
        <v>0</v>
      </c>
      <c r="D34">
        <v>0</v>
      </c>
      <c r="E34">
        <v>8</v>
      </c>
      <c r="F34" t="s">
        <v>200</v>
      </c>
      <c r="G34" t="s">
        <v>155</v>
      </c>
    </row>
    <row r="35" spans="1:7" hidden="1" x14ac:dyDescent="0.25">
      <c r="A35">
        <v>99</v>
      </c>
      <c r="B35">
        <v>7188</v>
      </c>
      <c r="C35">
        <v>0</v>
      </c>
      <c r="D35">
        <v>0</v>
      </c>
      <c r="E35">
        <v>8</v>
      </c>
      <c r="F35" t="s">
        <v>200</v>
      </c>
      <c r="G35" t="s">
        <v>155</v>
      </c>
    </row>
    <row r="36" spans="1:7" hidden="1" x14ac:dyDescent="0.25">
      <c r="A36">
        <v>99</v>
      </c>
      <c r="B36">
        <v>7260</v>
      </c>
      <c r="C36">
        <v>0</v>
      </c>
      <c r="D36">
        <v>0</v>
      </c>
      <c r="E36">
        <v>8</v>
      </c>
      <c r="F36" t="s">
        <v>200</v>
      </c>
      <c r="G36" t="s">
        <v>155</v>
      </c>
    </row>
    <row r="37" spans="1:7" hidden="1" x14ac:dyDescent="0.25">
      <c r="A37">
        <v>99</v>
      </c>
      <c r="B37">
        <v>7300</v>
      </c>
      <c r="C37">
        <v>0</v>
      </c>
      <c r="D37">
        <v>0</v>
      </c>
      <c r="E37">
        <v>8</v>
      </c>
      <c r="F37" t="s">
        <v>200</v>
      </c>
      <c r="G37" t="s">
        <v>155</v>
      </c>
    </row>
    <row r="38" spans="1:7" hidden="1" x14ac:dyDescent="0.25">
      <c r="A38">
        <v>99</v>
      </c>
      <c r="B38">
        <v>7552</v>
      </c>
      <c r="C38">
        <v>0</v>
      </c>
      <c r="D38">
        <v>0</v>
      </c>
      <c r="E38">
        <v>8</v>
      </c>
      <c r="F38" t="s">
        <v>200</v>
      </c>
      <c r="G38" t="s">
        <v>155</v>
      </c>
    </row>
    <row r="39" spans="1:7" hidden="1" x14ac:dyDescent="0.25">
      <c r="A39">
        <v>99</v>
      </c>
      <c r="B39">
        <v>8004</v>
      </c>
      <c r="C39">
        <v>0</v>
      </c>
      <c r="D39">
        <v>0</v>
      </c>
      <c r="E39">
        <v>8</v>
      </c>
      <c r="F39" t="s">
        <v>200</v>
      </c>
      <c r="G39" t="s">
        <v>155</v>
      </c>
    </row>
    <row r="40" spans="1:7" hidden="1" x14ac:dyDescent="0.25">
      <c r="A40">
        <v>99</v>
      </c>
      <c r="B40">
        <v>8144</v>
      </c>
      <c r="C40">
        <v>0</v>
      </c>
      <c r="D40">
        <v>0</v>
      </c>
      <c r="E40">
        <v>8</v>
      </c>
      <c r="F40" t="s">
        <v>200</v>
      </c>
      <c r="G40" t="s">
        <v>155</v>
      </c>
    </row>
    <row r="41" spans="1:7" hidden="1" x14ac:dyDescent="0.25">
      <c r="A41">
        <v>99</v>
      </c>
      <c r="B41">
        <v>8668</v>
      </c>
      <c r="C41">
        <v>0</v>
      </c>
      <c r="D41">
        <v>0</v>
      </c>
      <c r="E41">
        <v>8</v>
      </c>
      <c r="F41" t="s">
        <v>200</v>
      </c>
      <c r="G41" t="s">
        <v>155</v>
      </c>
    </row>
    <row r="42" spans="1:7" hidden="1" x14ac:dyDescent="0.25">
      <c r="A42">
        <v>99</v>
      </c>
      <c r="B42">
        <v>8804</v>
      </c>
      <c r="C42">
        <v>0</v>
      </c>
      <c r="D42">
        <v>0</v>
      </c>
      <c r="E42">
        <v>8</v>
      </c>
      <c r="F42" t="s">
        <v>200</v>
      </c>
      <c r="G42" t="s">
        <v>155</v>
      </c>
    </row>
    <row r="43" spans="1:7" hidden="1" x14ac:dyDescent="0.25">
      <c r="A43">
        <v>99</v>
      </c>
      <c r="B43">
        <v>9032</v>
      </c>
      <c r="C43">
        <v>0</v>
      </c>
      <c r="D43">
        <v>0</v>
      </c>
      <c r="E43">
        <v>8</v>
      </c>
      <c r="F43" t="s">
        <v>200</v>
      </c>
      <c r="G43" t="s">
        <v>155</v>
      </c>
    </row>
    <row r="44" spans="1:7" hidden="1" x14ac:dyDescent="0.25">
      <c r="A44">
        <v>99</v>
      </c>
      <c r="B44">
        <v>9072</v>
      </c>
      <c r="C44">
        <v>0</v>
      </c>
      <c r="D44">
        <v>0</v>
      </c>
      <c r="E44">
        <v>8</v>
      </c>
      <c r="F44" t="s">
        <v>200</v>
      </c>
      <c r="G44" t="s">
        <v>155</v>
      </c>
    </row>
    <row r="45" spans="1:7" hidden="1" x14ac:dyDescent="0.25">
      <c r="A45">
        <v>99</v>
      </c>
      <c r="B45">
        <v>9176</v>
      </c>
      <c r="C45">
        <v>0</v>
      </c>
      <c r="D45">
        <v>0</v>
      </c>
      <c r="E45">
        <v>8</v>
      </c>
      <c r="F45" t="s">
        <v>200</v>
      </c>
      <c r="G45" t="s">
        <v>155</v>
      </c>
    </row>
    <row r="46" spans="1:7" hidden="1" x14ac:dyDescent="0.25">
      <c r="A46">
        <v>99</v>
      </c>
      <c r="B46">
        <v>9256</v>
      </c>
      <c r="C46">
        <v>0</v>
      </c>
      <c r="D46">
        <v>0</v>
      </c>
      <c r="E46">
        <v>8</v>
      </c>
      <c r="F46" t="s">
        <v>200</v>
      </c>
      <c r="G46" t="s">
        <v>155</v>
      </c>
    </row>
    <row r="47" spans="1:7" hidden="1" x14ac:dyDescent="0.25">
      <c r="A47">
        <v>99</v>
      </c>
      <c r="B47">
        <v>9272</v>
      </c>
      <c r="C47">
        <v>0</v>
      </c>
      <c r="D47">
        <v>0</v>
      </c>
      <c r="E47">
        <v>8</v>
      </c>
      <c r="F47" t="s">
        <v>200</v>
      </c>
      <c r="G47" t="s">
        <v>155</v>
      </c>
    </row>
    <row r="48" spans="1:7" hidden="1" x14ac:dyDescent="0.25">
      <c r="A48">
        <v>99</v>
      </c>
      <c r="B48">
        <v>9752</v>
      </c>
      <c r="C48">
        <v>0</v>
      </c>
      <c r="D48">
        <v>0</v>
      </c>
      <c r="E48">
        <v>8</v>
      </c>
      <c r="F48" t="s">
        <v>200</v>
      </c>
      <c r="G48" t="s">
        <v>155</v>
      </c>
    </row>
    <row r="49" spans="1:7" hidden="1" x14ac:dyDescent="0.25">
      <c r="A49">
        <v>99</v>
      </c>
      <c r="B49">
        <v>10364</v>
      </c>
      <c r="C49">
        <v>0</v>
      </c>
      <c r="D49">
        <v>0</v>
      </c>
      <c r="E49">
        <v>8</v>
      </c>
      <c r="F49" t="s">
        <v>200</v>
      </c>
      <c r="G49" t="s">
        <v>155</v>
      </c>
    </row>
    <row r="50" spans="1:7" hidden="1" x14ac:dyDescent="0.25">
      <c r="A50">
        <v>99</v>
      </c>
      <c r="B50">
        <v>10420</v>
      </c>
      <c r="C50">
        <v>0</v>
      </c>
      <c r="D50">
        <v>0</v>
      </c>
      <c r="E50">
        <v>8</v>
      </c>
      <c r="F50" t="s">
        <v>200</v>
      </c>
      <c r="G50" t="s">
        <v>155</v>
      </c>
    </row>
    <row r="51" spans="1:7" hidden="1" x14ac:dyDescent="0.25">
      <c r="A51">
        <v>50</v>
      </c>
      <c r="B51">
        <v>476</v>
      </c>
      <c r="C51">
        <v>0</v>
      </c>
      <c r="D51">
        <v>0</v>
      </c>
      <c r="E51">
        <v>6</v>
      </c>
      <c r="F51" t="s">
        <v>198</v>
      </c>
      <c r="G51" t="s">
        <v>128</v>
      </c>
    </row>
    <row r="52" spans="1:7" hidden="1" x14ac:dyDescent="0.25">
      <c r="A52">
        <v>50</v>
      </c>
      <c r="B52">
        <v>1172</v>
      </c>
      <c r="C52">
        <v>0</v>
      </c>
      <c r="D52">
        <v>0</v>
      </c>
      <c r="E52">
        <v>6</v>
      </c>
      <c r="F52" t="s">
        <v>198</v>
      </c>
      <c r="G52" t="s">
        <v>128</v>
      </c>
    </row>
    <row r="53" spans="1:7" hidden="1" x14ac:dyDescent="0.25">
      <c r="A53">
        <v>50</v>
      </c>
      <c r="B53">
        <v>1264</v>
      </c>
      <c r="C53">
        <v>0</v>
      </c>
      <c r="D53">
        <v>0</v>
      </c>
      <c r="E53">
        <v>6</v>
      </c>
      <c r="F53" t="s">
        <v>198</v>
      </c>
      <c r="G53" t="s">
        <v>128</v>
      </c>
    </row>
    <row r="54" spans="1:7" hidden="1" x14ac:dyDescent="0.25">
      <c r="A54">
        <v>50</v>
      </c>
      <c r="B54">
        <v>1476</v>
      </c>
      <c r="C54">
        <v>0</v>
      </c>
      <c r="D54">
        <v>0</v>
      </c>
      <c r="E54">
        <v>6</v>
      </c>
      <c r="F54" t="s">
        <v>198</v>
      </c>
      <c r="G54" t="s">
        <v>128</v>
      </c>
    </row>
    <row r="55" spans="1:7" hidden="1" x14ac:dyDescent="0.25">
      <c r="A55">
        <v>50</v>
      </c>
      <c r="B55">
        <v>2548</v>
      </c>
      <c r="C55">
        <v>0</v>
      </c>
      <c r="D55">
        <v>0</v>
      </c>
      <c r="E55">
        <v>6</v>
      </c>
      <c r="F55" t="s">
        <v>198</v>
      </c>
      <c r="G55" t="s">
        <v>128</v>
      </c>
    </row>
    <row r="56" spans="1:7" hidden="1" x14ac:dyDescent="0.25">
      <c r="A56">
        <v>50</v>
      </c>
      <c r="B56">
        <v>4144</v>
      </c>
      <c r="C56">
        <v>0</v>
      </c>
      <c r="D56">
        <v>0</v>
      </c>
      <c r="E56">
        <v>6</v>
      </c>
      <c r="F56" t="s">
        <v>198</v>
      </c>
      <c r="G56" t="s">
        <v>128</v>
      </c>
    </row>
    <row r="57" spans="1:7" hidden="1" x14ac:dyDescent="0.25">
      <c r="A57">
        <v>50</v>
      </c>
      <c r="B57">
        <v>4228</v>
      </c>
      <c r="C57">
        <v>0</v>
      </c>
      <c r="D57">
        <v>0</v>
      </c>
      <c r="E57">
        <v>6</v>
      </c>
      <c r="F57" t="s">
        <v>198</v>
      </c>
      <c r="G57" t="s">
        <v>128</v>
      </c>
    </row>
    <row r="58" spans="1:7" hidden="1" x14ac:dyDescent="0.25">
      <c r="A58">
        <v>50</v>
      </c>
      <c r="B58">
        <v>4336</v>
      </c>
      <c r="C58">
        <v>0</v>
      </c>
      <c r="D58">
        <v>0</v>
      </c>
      <c r="E58">
        <v>6</v>
      </c>
      <c r="F58" t="s">
        <v>198</v>
      </c>
      <c r="G58" t="s">
        <v>128</v>
      </c>
    </row>
    <row r="59" spans="1:7" hidden="1" x14ac:dyDescent="0.25">
      <c r="A59">
        <v>50</v>
      </c>
      <c r="B59">
        <v>4600</v>
      </c>
      <c r="C59">
        <v>0</v>
      </c>
      <c r="D59">
        <v>0</v>
      </c>
      <c r="E59">
        <v>6</v>
      </c>
      <c r="F59" t="s">
        <v>198</v>
      </c>
      <c r="G59" t="s">
        <v>128</v>
      </c>
    </row>
    <row r="60" spans="1:7" hidden="1" x14ac:dyDescent="0.25">
      <c r="A60">
        <v>50</v>
      </c>
      <c r="B60">
        <v>5004</v>
      </c>
      <c r="C60">
        <v>0</v>
      </c>
      <c r="D60">
        <v>0</v>
      </c>
      <c r="E60">
        <v>6</v>
      </c>
      <c r="F60" t="s">
        <v>198</v>
      </c>
      <c r="G60" t="s">
        <v>128</v>
      </c>
    </row>
    <row r="61" spans="1:7" hidden="1" x14ac:dyDescent="0.25">
      <c r="A61">
        <v>50</v>
      </c>
      <c r="B61">
        <v>5892</v>
      </c>
      <c r="C61">
        <v>0</v>
      </c>
      <c r="D61">
        <v>0</v>
      </c>
      <c r="E61">
        <v>6</v>
      </c>
      <c r="F61" t="s">
        <v>198</v>
      </c>
      <c r="G61" t="s">
        <v>128</v>
      </c>
    </row>
    <row r="62" spans="1:7" hidden="1" x14ac:dyDescent="0.25">
      <c r="A62">
        <v>50</v>
      </c>
      <c r="B62">
        <v>5904</v>
      </c>
      <c r="C62">
        <v>0</v>
      </c>
      <c r="D62">
        <v>0</v>
      </c>
      <c r="E62">
        <v>6</v>
      </c>
      <c r="F62" t="s">
        <v>198</v>
      </c>
      <c r="G62" t="s">
        <v>128</v>
      </c>
    </row>
    <row r="63" spans="1:7" hidden="1" x14ac:dyDescent="0.25">
      <c r="A63">
        <v>50</v>
      </c>
      <c r="B63">
        <v>6280</v>
      </c>
      <c r="C63">
        <v>0</v>
      </c>
      <c r="D63">
        <v>0</v>
      </c>
      <c r="E63">
        <v>6</v>
      </c>
      <c r="F63" t="s">
        <v>198</v>
      </c>
      <c r="G63" t="s">
        <v>128</v>
      </c>
    </row>
    <row r="64" spans="1:7" hidden="1" x14ac:dyDescent="0.25">
      <c r="A64">
        <v>50</v>
      </c>
      <c r="B64">
        <v>6312</v>
      </c>
      <c r="C64">
        <v>0</v>
      </c>
      <c r="D64">
        <v>0</v>
      </c>
      <c r="E64">
        <v>6</v>
      </c>
      <c r="F64" t="s">
        <v>198</v>
      </c>
      <c r="G64" t="s">
        <v>128</v>
      </c>
    </row>
    <row r="65" spans="1:7" hidden="1" x14ac:dyDescent="0.25">
      <c r="A65">
        <v>50</v>
      </c>
      <c r="B65">
        <v>7283</v>
      </c>
      <c r="C65">
        <v>0</v>
      </c>
      <c r="D65">
        <v>0</v>
      </c>
      <c r="E65">
        <v>6</v>
      </c>
      <c r="F65" t="s">
        <v>198</v>
      </c>
      <c r="G65" t="s">
        <v>128</v>
      </c>
    </row>
    <row r="66" spans="1:7" hidden="1" x14ac:dyDescent="0.25">
      <c r="A66">
        <v>50</v>
      </c>
      <c r="B66">
        <v>7284</v>
      </c>
      <c r="C66">
        <v>0</v>
      </c>
      <c r="D66">
        <v>0</v>
      </c>
      <c r="E66">
        <v>6</v>
      </c>
      <c r="F66" t="s">
        <v>198</v>
      </c>
      <c r="G66" t="s">
        <v>128</v>
      </c>
    </row>
    <row r="67" spans="1:7" hidden="1" x14ac:dyDescent="0.25">
      <c r="A67">
        <v>50</v>
      </c>
      <c r="B67">
        <v>7528</v>
      </c>
      <c r="C67">
        <v>0</v>
      </c>
      <c r="D67">
        <v>0</v>
      </c>
      <c r="E67">
        <v>6</v>
      </c>
      <c r="F67" t="s">
        <v>198</v>
      </c>
      <c r="G67" t="s">
        <v>128</v>
      </c>
    </row>
    <row r="68" spans="1:7" hidden="1" x14ac:dyDescent="0.25">
      <c r="A68">
        <v>50</v>
      </c>
      <c r="B68">
        <v>7756</v>
      </c>
      <c r="C68">
        <v>0</v>
      </c>
      <c r="D68">
        <v>0</v>
      </c>
      <c r="E68">
        <v>6</v>
      </c>
      <c r="F68" t="s">
        <v>198</v>
      </c>
      <c r="G68" t="s">
        <v>128</v>
      </c>
    </row>
    <row r="69" spans="1:7" hidden="1" x14ac:dyDescent="0.25">
      <c r="A69">
        <v>50</v>
      </c>
      <c r="B69">
        <v>8256</v>
      </c>
      <c r="C69">
        <v>0</v>
      </c>
      <c r="D69">
        <v>0</v>
      </c>
      <c r="E69">
        <v>6</v>
      </c>
      <c r="F69" t="s">
        <v>198</v>
      </c>
      <c r="G69" t="s">
        <v>128</v>
      </c>
    </row>
    <row r="70" spans="1:7" hidden="1" x14ac:dyDescent="0.25">
      <c r="A70">
        <v>50</v>
      </c>
      <c r="B70">
        <v>9356</v>
      </c>
      <c r="C70">
        <v>0</v>
      </c>
      <c r="D70">
        <v>0</v>
      </c>
      <c r="E70">
        <v>6</v>
      </c>
      <c r="F70" t="s">
        <v>198</v>
      </c>
      <c r="G70" t="s">
        <v>128</v>
      </c>
    </row>
    <row r="71" spans="1:7" hidden="1" x14ac:dyDescent="0.25">
      <c r="A71">
        <v>50</v>
      </c>
      <c r="B71">
        <v>10012</v>
      </c>
      <c r="C71">
        <v>0</v>
      </c>
      <c r="D71">
        <v>0</v>
      </c>
      <c r="E71">
        <v>6</v>
      </c>
      <c r="F71" t="s">
        <v>198</v>
      </c>
      <c r="G71" t="s">
        <v>128</v>
      </c>
    </row>
    <row r="72" spans="1:7" hidden="1" x14ac:dyDescent="0.25">
      <c r="A72">
        <v>50</v>
      </c>
      <c r="B72">
        <v>10064</v>
      </c>
      <c r="C72">
        <v>0</v>
      </c>
      <c r="D72">
        <v>0</v>
      </c>
      <c r="E72">
        <v>6</v>
      </c>
      <c r="F72" t="s">
        <v>198</v>
      </c>
      <c r="G72" t="s">
        <v>128</v>
      </c>
    </row>
    <row r="73" spans="1:7" hidden="1" x14ac:dyDescent="0.25">
      <c r="A73">
        <v>50</v>
      </c>
      <c r="B73">
        <v>10100</v>
      </c>
      <c r="C73">
        <v>0</v>
      </c>
      <c r="D73">
        <v>0</v>
      </c>
      <c r="E73">
        <v>6</v>
      </c>
      <c r="F73" t="s">
        <v>198</v>
      </c>
      <c r="G73" t="s">
        <v>128</v>
      </c>
    </row>
    <row r="74" spans="1:7" hidden="1" x14ac:dyDescent="0.25">
      <c r="A74">
        <v>50</v>
      </c>
      <c r="B74">
        <v>10592</v>
      </c>
      <c r="C74">
        <v>0</v>
      </c>
      <c r="D74">
        <v>0</v>
      </c>
      <c r="E74">
        <v>6</v>
      </c>
      <c r="F74" t="s">
        <v>198</v>
      </c>
      <c r="G74" t="s">
        <v>128</v>
      </c>
    </row>
    <row r="75" spans="1:7" hidden="1" x14ac:dyDescent="0.25">
      <c r="A75">
        <v>99</v>
      </c>
      <c r="B75">
        <v>2068</v>
      </c>
      <c r="C75">
        <v>0</v>
      </c>
      <c r="D75">
        <v>0</v>
      </c>
      <c r="E75">
        <v>6</v>
      </c>
      <c r="F75" t="s">
        <v>198</v>
      </c>
      <c r="G75" t="s">
        <v>128</v>
      </c>
    </row>
    <row r="76" spans="1:7" hidden="1" x14ac:dyDescent="0.25">
      <c r="A76">
        <v>99</v>
      </c>
      <c r="B76">
        <v>2168</v>
      </c>
      <c r="C76">
        <v>0</v>
      </c>
      <c r="D76">
        <v>0</v>
      </c>
      <c r="E76">
        <v>6</v>
      </c>
      <c r="F76" t="s">
        <v>198</v>
      </c>
      <c r="G76" t="s">
        <v>128</v>
      </c>
    </row>
    <row r="77" spans="1:7" hidden="1" x14ac:dyDescent="0.25">
      <c r="A77">
        <v>99</v>
      </c>
      <c r="B77">
        <v>2472</v>
      </c>
      <c r="C77">
        <v>0</v>
      </c>
      <c r="D77">
        <v>0</v>
      </c>
      <c r="E77">
        <v>6</v>
      </c>
      <c r="F77" t="s">
        <v>198</v>
      </c>
      <c r="G77" t="s">
        <v>128</v>
      </c>
    </row>
    <row r="78" spans="1:7" hidden="1" x14ac:dyDescent="0.25">
      <c r="A78">
        <v>99</v>
      </c>
      <c r="B78">
        <v>3056</v>
      </c>
      <c r="C78">
        <v>0</v>
      </c>
      <c r="D78">
        <v>0</v>
      </c>
      <c r="E78">
        <v>6</v>
      </c>
      <c r="F78" t="s">
        <v>198</v>
      </c>
      <c r="G78" t="s">
        <v>128</v>
      </c>
    </row>
    <row r="79" spans="1:7" hidden="1" x14ac:dyDescent="0.25">
      <c r="A79">
        <v>99</v>
      </c>
      <c r="B79">
        <v>3100</v>
      </c>
      <c r="C79">
        <v>0</v>
      </c>
      <c r="D79">
        <v>0</v>
      </c>
      <c r="E79">
        <v>6</v>
      </c>
      <c r="F79" t="s">
        <v>198</v>
      </c>
      <c r="G79" t="s">
        <v>128</v>
      </c>
    </row>
    <row r="80" spans="1:7" hidden="1" x14ac:dyDescent="0.25">
      <c r="A80">
        <v>99</v>
      </c>
      <c r="B80">
        <v>3284</v>
      </c>
      <c r="C80">
        <v>0</v>
      </c>
      <c r="D80">
        <v>0</v>
      </c>
      <c r="E80">
        <v>6</v>
      </c>
      <c r="F80" t="s">
        <v>198</v>
      </c>
      <c r="G80" t="s">
        <v>128</v>
      </c>
    </row>
    <row r="81" spans="1:7" x14ac:dyDescent="0.25">
      <c r="A81">
        <v>99</v>
      </c>
      <c r="B81">
        <v>4124</v>
      </c>
      <c r="C81">
        <v>0</v>
      </c>
      <c r="D81">
        <v>0</v>
      </c>
      <c r="E81">
        <v>6</v>
      </c>
      <c r="F81" t="s">
        <v>198</v>
      </c>
      <c r="G81" t="s">
        <v>128</v>
      </c>
    </row>
    <row r="82" spans="1:7" hidden="1" x14ac:dyDescent="0.25">
      <c r="A82">
        <v>99</v>
      </c>
      <c r="B82">
        <v>5932</v>
      </c>
      <c r="C82">
        <v>0</v>
      </c>
      <c r="D82">
        <v>0</v>
      </c>
      <c r="E82">
        <v>6</v>
      </c>
      <c r="F82" t="s">
        <v>198</v>
      </c>
      <c r="G82" t="s">
        <v>128</v>
      </c>
    </row>
    <row r="83" spans="1:7" hidden="1" x14ac:dyDescent="0.25">
      <c r="A83">
        <v>99</v>
      </c>
      <c r="B83">
        <v>5992</v>
      </c>
      <c r="C83">
        <v>0</v>
      </c>
      <c r="D83">
        <v>0</v>
      </c>
      <c r="E83">
        <v>6</v>
      </c>
      <c r="F83" t="s">
        <v>198</v>
      </c>
      <c r="G83" t="s">
        <v>128</v>
      </c>
    </row>
    <row r="84" spans="1:7" hidden="1" x14ac:dyDescent="0.25">
      <c r="A84">
        <v>99</v>
      </c>
      <c r="B84">
        <v>7188</v>
      </c>
      <c r="C84">
        <v>0</v>
      </c>
      <c r="D84">
        <v>0</v>
      </c>
      <c r="E84">
        <v>6</v>
      </c>
      <c r="F84" t="s">
        <v>198</v>
      </c>
      <c r="G84" t="s">
        <v>128</v>
      </c>
    </row>
    <row r="85" spans="1:7" hidden="1" x14ac:dyDescent="0.25">
      <c r="A85">
        <v>99</v>
      </c>
      <c r="B85">
        <v>7260</v>
      </c>
      <c r="C85">
        <v>0</v>
      </c>
      <c r="D85">
        <v>0</v>
      </c>
      <c r="E85">
        <v>6</v>
      </c>
      <c r="F85" t="s">
        <v>198</v>
      </c>
      <c r="G85" t="s">
        <v>128</v>
      </c>
    </row>
    <row r="86" spans="1:7" hidden="1" x14ac:dyDescent="0.25">
      <c r="A86">
        <v>99</v>
      </c>
      <c r="B86">
        <v>7300</v>
      </c>
      <c r="C86">
        <v>0</v>
      </c>
      <c r="D86">
        <v>0</v>
      </c>
      <c r="E86">
        <v>6</v>
      </c>
      <c r="F86" t="s">
        <v>198</v>
      </c>
      <c r="G86" t="s">
        <v>128</v>
      </c>
    </row>
    <row r="87" spans="1:7" hidden="1" x14ac:dyDescent="0.25">
      <c r="A87">
        <v>99</v>
      </c>
      <c r="B87">
        <v>7552</v>
      </c>
      <c r="C87">
        <v>0</v>
      </c>
      <c r="D87">
        <v>0</v>
      </c>
      <c r="E87">
        <v>6</v>
      </c>
      <c r="F87" t="s">
        <v>198</v>
      </c>
      <c r="G87" t="s">
        <v>128</v>
      </c>
    </row>
    <row r="88" spans="1:7" hidden="1" x14ac:dyDescent="0.25">
      <c r="A88">
        <v>99</v>
      </c>
      <c r="B88">
        <v>8004</v>
      </c>
      <c r="C88">
        <v>0</v>
      </c>
      <c r="D88">
        <v>0</v>
      </c>
      <c r="E88">
        <v>6</v>
      </c>
      <c r="F88" t="s">
        <v>198</v>
      </c>
      <c r="G88" t="s">
        <v>128</v>
      </c>
    </row>
    <row r="89" spans="1:7" hidden="1" x14ac:dyDescent="0.25">
      <c r="A89">
        <v>99</v>
      </c>
      <c r="B89">
        <v>8144</v>
      </c>
      <c r="C89">
        <v>0</v>
      </c>
      <c r="D89">
        <v>0</v>
      </c>
      <c r="E89">
        <v>6</v>
      </c>
      <c r="F89" t="s">
        <v>198</v>
      </c>
      <c r="G89" t="s">
        <v>128</v>
      </c>
    </row>
    <row r="90" spans="1:7" hidden="1" x14ac:dyDescent="0.25">
      <c r="A90">
        <v>99</v>
      </c>
      <c r="B90">
        <v>8668</v>
      </c>
      <c r="C90">
        <v>0</v>
      </c>
      <c r="D90">
        <v>0</v>
      </c>
      <c r="E90">
        <v>6</v>
      </c>
      <c r="F90" t="s">
        <v>198</v>
      </c>
      <c r="G90" t="s">
        <v>128</v>
      </c>
    </row>
    <row r="91" spans="1:7" hidden="1" x14ac:dyDescent="0.25">
      <c r="A91">
        <v>99</v>
      </c>
      <c r="B91">
        <v>8804</v>
      </c>
      <c r="C91">
        <v>0</v>
      </c>
      <c r="D91">
        <v>0</v>
      </c>
      <c r="E91">
        <v>6</v>
      </c>
      <c r="F91" t="s">
        <v>198</v>
      </c>
      <c r="G91" t="s">
        <v>128</v>
      </c>
    </row>
    <row r="92" spans="1:7" hidden="1" x14ac:dyDescent="0.25">
      <c r="A92">
        <v>99</v>
      </c>
      <c r="B92">
        <v>9032</v>
      </c>
      <c r="C92">
        <v>0</v>
      </c>
      <c r="D92">
        <v>0</v>
      </c>
      <c r="E92">
        <v>6</v>
      </c>
      <c r="F92" t="s">
        <v>198</v>
      </c>
      <c r="G92" t="s">
        <v>128</v>
      </c>
    </row>
    <row r="93" spans="1:7" hidden="1" x14ac:dyDescent="0.25">
      <c r="A93">
        <v>99</v>
      </c>
      <c r="B93">
        <v>9072</v>
      </c>
      <c r="C93">
        <v>0</v>
      </c>
      <c r="D93">
        <v>0</v>
      </c>
      <c r="E93">
        <v>6</v>
      </c>
      <c r="F93" t="s">
        <v>198</v>
      </c>
      <c r="G93" t="s">
        <v>128</v>
      </c>
    </row>
    <row r="94" spans="1:7" hidden="1" x14ac:dyDescent="0.25">
      <c r="A94">
        <v>99</v>
      </c>
      <c r="B94">
        <v>9176</v>
      </c>
      <c r="C94">
        <v>0</v>
      </c>
      <c r="D94">
        <v>0</v>
      </c>
      <c r="E94">
        <v>6</v>
      </c>
      <c r="F94" t="s">
        <v>198</v>
      </c>
      <c r="G94" t="s">
        <v>128</v>
      </c>
    </row>
    <row r="95" spans="1:7" hidden="1" x14ac:dyDescent="0.25">
      <c r="A95">
        <v>99</v>
      </c>
      <c r="B95">
        <v>9256</v>
      </c>
      <c r="C95">
        <v>0</v>
      </c>
      <c r="D95">
        <v>0</v>
      </c>
      <c r="E95">
        <v>6</v>
      </c>
      <c r="F95" t="s">
        <v>198</v>
      </c>
      <c r="G95" t="s">
        <v>128</v>
      </c>
    </row>
    <row r="96" spans="1:7" hidden="1" x14ac:dyDescent="0.25">
      <c r="A96">
        <v>99</v>
      </c>
      <c r="B96">
        <v>9272</v>
      </c>
      <c r="C96">
        <v>0</v>
      </c>
      <c r="D96">
        <v>0</v>
      </c>
      <c r="E96">
        <v>6</v>
      </c>
      <c r="F96" t="s">
        <v>198</v>
      </c>
      <c r="G96" t="s">
        <v>128</v>
      </c>
    </row>
    <row r="97" spans="1:7" hidden="1" x14ac:dyDescent="0.25">
      <c r="A97">
        <v>99</v>
      </c>
      <c r="B97">
        <v>9752</v>
      </c>
      <c r="C97">
        <v>0</v>
      </c>
      <c r="D97">
        <v>0</v>
      </c>
      <c r="E97">
        <v>6</v>
      </c>
      <c r="F97" t="s">
        <v>198</v>
      </c>
      <c r="G97" t="s">
        <v>128</v>
      </c>
    </row>
    <row r="98" spans="1:7" hidden="1" x14ac:dyDescent="0.25">
      <c r="A98">
        <v>99</v>
      </c>
      <c r="B98">
        <v>10364</v>
      </c>
      <c r="C98">
        <v>0</v>
      </c>
      <c r="D98">
        <v>0</v>
      </c>
      <c r="E98">
        <v>6</v>
      </c>
      <c r="F98" t="s">
        <v>198</v>
      </c>
      <c r="G98" t="s">
        <v>128</v>
      </c>
    </row>
    <row r="99" spans="1:7" hidden="1" x14ac:dyDescent="0.25">
      <c r="A99">
        <v>99</v>
      </c>
      <c r="B99">
        <v>10420</v>
      </c>
      <c r="C99">
        <v>0</v>
      </c>
      <c r="D99">
        <v>0</v>
      </c>
      <c r="E99">
        <v>6</v>
      </c>
      <c r="F99" t="s">
        <v>198</v>
      </c>
      <c r="G99" t="s">
        <v>128</v>
      </c>
    </row>
    <row r="100" spans="1:7" hidden="1" x14ac:dyDescent="0.25">
      <c r="A100">
        <v>50</v>
      </c>
      <c r="B100">
        <v>476</v>
      </c>
      <c r="C100">
        <v>0</v>
      </c>
      <c r="D100">
        <v>0</v>
      </c>
      <c r="E100">
        <v>7</v>
      </c>
      <c r="F100" t="s">
        <v>199</v>
      </c>
      <c r="G100" t="s">
        <v>129</v>
      </c>
    </row>
    <row r="101" spans="1:7" hidden="1" x14ac:dyDescent="0.25">
      <c r="A101">
        <v>50</v>
      </c>
      <c r="B101">
        <v>1172</v>
      </c>
      <c r="C101">
        <v>0</v>
      </c>
      <c r="D101">
        <v>0</v>
      </c>
      <c r="E101">
        <v>7</v>
      </c>
      <c r="F101" t="s">
        <v>199</v>
      </c>
      <c r="G101" t="s">
        <v>129</v>
      </c>
    </row>
    <row r="102" spans="1:7" hidden="1" x14ac:dyDescent="0.25">
      <c r="A102">
        <v>50</v>
      </c>
      <c r="B102">
        <v>1264</v>
      </c>
      <c r="C102">
        <v>0</v>
      </c>
      <c r="D102">
        <v>0</v>
      </c>
      <c r="E102">
        <v>7</v>
      </c>
      <c r="F102" t="s">
        <v>199</v>
      </c>
      <c r="G102" t="s">
        <v>129</v>
      </c>
    </row>
    <row r="103" spans="1:7" hidden="1" x14ac:dyDescent="0.25">
      <c r="A103">
        <v>50</v>
      </c>
      <c r="B103">
        <v>1476</v>
      </c>
      <c r="C103">
        <v>0</v>
      </c>
      <c r="D103">
        <v>0</v>
      </c>
      <c r="E103">
        <v>7</v>
      </c>
      <c r="F103" t="s">
        <v>199</v>
      </c>
      <c r="G103" t="s">
        <v>129</v>
      </c>
    </row>
    <row r="104" spans="1:7" hidden="1" x14ac:dyDescent="0.25">
      <c r="A104">
        <v>50</v>
      </c>
      <c r="B104">
        <v>2548</v>
      </c>
      <c r="C104">
        <v>0</v>
      </c>
      <c r="D104">
        <v>0</v>
      </c>
      <c r="E104">
        <v>7</v>
      </c>
      <c r="F104" t="s">
        <v>199</v>
      </c>
      <c r="G104" t="s">
        <v>129</v>
      </c>
    </row>
    <row r="105" spans="1:7" hidden="1" x14ac:dyDescent="0.25">
      <c r="A105">
        <v>50</v>
      </c>
      <c r="B105">
        <v>4144</v>
      </c>
      <c r="C105">
        <v>0</v>
      </c>
      <c r="D105">
        <v>0</v>
      </c>
      <c r="E105">
        <v>7</v>
      </c>
      <c r="F105" t="s">
        <v>199</v>
      </c>
      <c r="G105" t="s">
        <v>129</v>
      </c>
    </row>
    <row r="106" spans="1:7" hidden="1" x14ac:dyDescent="0.25">
      <c r="A106">
        <v>50</v>
      </c>
      <c r="B106">
        <v>4228</v>
      </c>
      <c r="C106">
        <v>0</v>
      </c>
      <c r="D106">
        <v>0</v>
      </c>
      <c r="E106">
        <v>7</v>
      </c>
      <c r="F106" t="s">
        <v>199</v>
      </c>
      <c r="G106" t="s">
        <v>129</v>
      </c>
    </row>
    <row r="107" spans="1:7" hidden="1" x14ac:dyDescent="0.25">
      <c r="A107">
        <v>50</v>
      </c>
      <c r="B107">
        <v>4336</v>
      </c>
      <c r="C107">
        <v>0</v>
      </c>
      <c r="D107">
        <v>0</v>
      </c>
      <c r="E107">
        <v>7</v>
      </c>
      <c r="F107" t="s">
        <v>199</v>
      </c>
      <c r="G107" t="s">
        <v>129</v>
      </c>
    </row>
    <row r="108" spans="1:7" hidden="1" x14ac:dyDescent="0.25">
      <c r="A108">
        <v>50</v>
      </c>
      <c r="B108">
        <v>4600</v>
      </c>
      <c r="C108">
        <v>0</v>
      </c>
      <c r="D108">
        <v>0</v>
      </c>
      <c r="E108">
        <v>7</v>
      </c>
      <c r="F108" t="s">
        <v>199</v>
      </c>
      <c r="G108" t="s">
        <v>129</v>
      </c>
    </row>
    <row r="109" spans="1:7" hidden="1" x14ac:dyDescent="0.25">
      <c r="A109">
        <v>50</v>
      </c>
      <c r="B109">
        <v>5004</v>
      </c>
      <c r="C109">
        <v>0</v>
      </c>
      <c r="D109">
        <v>0</v>
      </c>
      <c r="E109">
        <v>7</v>
      </c>
      <c r="F109" t="s">
        <v>199</v>
      </c>
      <c r="G109" t="s">
        <v>129</v>
      </c>
    </row>
    <row r="110" spans="1:7" hidden="1" x14ac:dyDescent="0.25">
      <c r="A110">
        <v>50</v>
      </c>
      <c r="B110">
        <v>5892</v>
      </c>
      <c r="C110">
        <v>0</v>
      </c>
      <c r="D110">
        <v>0</v>
      </c>
      <c r="E110">
        <v>7</v>
      </c>
      <c r="F110" t="s">
        <v>199</v>
      </c>
      <c r="G110" t="s">
        <v>129</v>
      </c>
    </row>
    <row r="111" spans="1:7" hidden="1" x14ac:dyDescent="0.25">
      <c r="A111">
        <v>50</v>
      </c>
      <c r="B111">
        <v>5904</v>
      </c>
      <c r="C111">
        <v>0</v>
      </c>
      <c r="D111">
        <v>0</v>
      </c>
      <c r="E111">
        <v>7</v>
      </c>
      <c r="F111" t="s">
        <v>199</v>
      </c>
      <c r="G111" t="s">
        <v>129</v>
      </c>
    </row>
    <row r="112" spans="1:7" hidden="1" x14ac:dyDescent="0.25">
      <c r="A112">
        <v>50</v>
      </c>
      <c r="B112">
        <v>6280</v>
      </c>
      <c r="C112">
        <v>0</v>
      </c>
      <c r="D112">
        <v>0</v>
      </c>
      <c r="E112">
        <v>7</v>
      </c>
      <c r="F112" t="s">
        <v>199</v>
      </c>
      <c r="G112" t="s">
        <v>129</v>
      </c>
    </row>
    <row r="113" spans="1:7" hidden="1" x14ac:dyDescent="0.25">
      <c r="A113">
        <v>50</v>
      </c>
      <c r="B113">
        <v>6312</v>
      </c>
      <c r="C113">
        <v>0</v>
      </c>
      <c r="D113">
        <v>0</v>
      </c>
      <c r="E113">
        <v>7</v>
      </c>
      <c r="F113" t="s">
        <v>199</v>
      </c>
      <c r="G113" t="s">
        <v>129</v>
      </c>
    </row>
    <row r="114" spans="1:7" hidden="1" x14ac:dyDescent="0.25">
      <c r="A114">
        <v>50</v>
      </c>
      <c r="B114">
        <v>7283</v>
      </c>
      <c r="C114">
        <v>0</v>
      </c>
      <c r="D114">
        <v>0</v>
      </c>
      <c r="E114">
        <v>7</v>
      </c>
      <c r="F114" t="s">
        <v>199</v>
      </c>
      <c r="G114" t="s">
        <v>129</v>
      </c>
    </row>
    <row r="115" spans="1:7" hidden="1" x14ac:dyDescent="0.25">
      <c r="A115">
        <v>50</v>
      </c>
      <c r="B115">
        <v>7284</v>
      </c>
      <c r="C115">
        <v>0</v>
      </c>
      <c r="D115">
        <v>0</v>
      </c>
      <c r="E115">
        <v>7</v>
      </c>
      <c r="F115" t="s">
        <v>199</v>
      </c>
      <c r="G115" t="s">
        <v>129</v>
      </c>
    </row>
    <row r="116" spans="1:7" hidden="1" x14ac:dyDescent="0.25">
      <c r="A116">
        <v>50</v>
      </c>
      <c r="B116">
        <v>7528</v>
      </c>
      <c r="C116">
        <v>0</v>
      </c>
      <c r="D116">
        <v>0</v>
      </c>
      <c r="E116">
        <v>7</v>
      </c>
      <c r="F116" t="s">
        <v>199</v>
      </c>
      <c r="G116" t="s">
        <v>129</v>
      </c>
    </row>
    <row r="117" spans="1:7" hidden="1" x14ac:dyDescent="0.25">
      <c r="A117">
        <v>50</v>
      </c>
      <c r="B117">
        <v>7756</v>
      </c>
      <c r="C117">
        <v>0</v>
      </c>
      <c r="D117">
        <v>0</v>
      </c>
      <c r="E117">
        <v>7</v>
      </c>
      <c r="F117" t="s">
        <v>199</v>
      </c>
      <c r="G117" t="s">
        <v>129</v>
      </c>
    </row>
    <row r="118" spans="1:7" hidden="1" x14ac:dyDescent="0.25">
      <c r="A118">
        <v>50</v>
      </c>
      <c r="B118">
        <v>8256</v>
      </c>
      <c r="C118">
        <v>0</v>
      </c>
      <c r="D118">
        <v>0</v>
      </c>
      <c r="E118">
        <v>7</v>
      </c>
      <c r="F118" t="s">
        <v>199</v>
      </c>
      <c r="G118" t="s">
        <v>129</v>
      </c>
    </row>
    <row r="119" spans="1:7" hidden="1" x14ac:dyDescent="0.25">
      <c r="A119">
        <v>50</v>
      </c>
      <c r="B119">
        <v>9356</v>
      </c>
      <c r="C119">
        <v>0</v>
      </c>
      <c r="D119">
        <v>0</v>
      </c>
      <c r="E119">
        <v>7</v>
      </c>
      <c r="F119" t="s">
        <v>199</v>
      </c>
      <c r="G119" t="s">
        <v>129</v>
      </c>
    </row>
    <row r="120" spans="1:7" hidden="1" x14ac:dyDescent="0.25">
      <c r="A120">
        <v>50</v>
      </c>
      <c r="B120">
        <v>10012</v>
      </c>
      <c r="C120">
        <v>0</v>
      </c>
      <c r="D120">
        <v>0</v>
      </c>
      <c r="E120">
        <v>7</v>
      </c>
      <c r="F120" t="s">
        <v>199</v>
      </c>
      <c r="G120" t="s">
        <v>129</v>
      </c>
    </row>
    <row r="121" spans="1:7" hidden="1" x14ac:dyDescent="0.25">
      <c r="A121">
        <v>50</v>
      </c>
      <c r="B121">
        <v>10064</v>
      </c>
      <c r="C121">
        <v>0</v>
      </c>
      <c r="D121">
        <v>0</v>
      </c>
      <c r="E121">
        <v>7</v>
      </c>
      <c r="F121" t="s">
        <v>199</v>
      </c>
      <c r="G121" t="s">
        <v>129</v>
      </c>
    </row>
    <row r="122" spans="1:7" hidden="1" x14ac:dyDescent="0.25">
      <c r="A122">
        <v>50</v>
      </c>
      <c r="B122">
        <v>10100</v>
      </c>
      <c r="C122">
        <v>0</v>
      </c>
      <c r="D122">
        <v>0</v>
      </c>
      <c r="E122">
        <v>7</v>
      </c>
      <c r="F122" t="s">
        <v>199</v>
      </c>
      <c r="G122" t="s">
        <v>129</v>
      </c>
    </row>
    <row r="123" spans="1:7" hidden="1" x14ac:dyDescent="0.25">
      <c r="A123">
        <v>50</v>
      </c>
      <c r="B123">
        <v>10592</v>
      </c>
      <c r="C123">
        <v>0</v>
      </c>
      <c r="D123">
        <v>0</v>
      </c>
      <c r="E123">
        <v>7</v>
      </c>
      <c r="F123" t="s">
        <v>199</v>
      </c>
      <c r="G123" t="s">
        <v>129</v>
      </c>
    </row>
    <row r="124" spans="1:7" hidden="1" x14ac:dyDescent="0.25">
      <c r="A124">
        <v>99</v>
      </c>
      <c r="B124">
        <v>2068</v>
      </c>
      <c r="C124">
        <v>0</v>
      </c>
      <c r="D124">
        <v>0</v>
      </c>
      <c r="E124">
        <v>7</v>
      </c>
      <c r="F124" t="s">
        <v>199</v>
      </c>
      <c r="G124" t="s">
        <v>129</v>
      </c>
    </row>
    <row r="125" spans="1:7" hidden="1" x14ac:dyDescent="0.25">
      <c r="A125">
        <v>99</v>
      </c>
      <c r="B125">
        <v>2168</v>
      </c>
      <c r="C125">
        <v>0</v>
      </c>
      <c r="D125">
        <v>0</v>
      </c>
      <c r="E125">
        <v>7</v>
      </c>
      <c r="F125" t="s">
        <v>199</v>
      </c>
      <c r="G125" t="s">
        <v>129</v>
      </c>
    </row>
    <row r="126" spans="1:7" hidden="1" x14ac:dyDescent="0.25">
      <c r="A126">
        <v>99</v>
      </c>
      <c r="B126">
        <v>2472</v>
      </c>
      <c r="C126">
        <v>0</v>
      </c>
      <c r="D126">
        <v>0</v>
      </c>
      <c r="E126">
        <v>7</v>
      </c>
      <c r="F126" t="s">
        <v>199</v>
      </c>
      <c r="G126" t="s">
        <v>129</v>
      </c>
    </row>
    <row r="127" spans="1:7" hidden="1" x14ac:dyDescent="0.25">
      <c r="A127">
        <v>99</v>
      </c>
      <c r="B127">
        <v>3056</v>
      </c>
      <c r="C127">
        <v>0</v>
      </c>
      <c r="D127">
        <v>0</v>
      </c>
      <c r="E127">
        <v>7</v>
      </c>
      <c r="F127" t="s">
        <v>199</v>
      </c>
      <c r="G127" t="s">
        <v>129</v>
      </c>
    </row>
    <row r="128" spans="1:7" hidden="1" x14ac:dyDescent="0.25">
      <c r="A128">
        <v>99</v>
      </c>
      <c r="B128">
        <v>3100</v>
      </c>
      <c r="C128">
        <v>0</v>
      </c>
      <c r="D128">
        <v>0</v>
      </c>
      <c r="E128">
        <v>7</v>
      </c>
      <c r="F128" t="s">
        <v>199</v>
      </c>
      <c r="G128" t="s">
        <v>129</v>
      </c>
    </row>
    <row r="129" spans="1:7" hidden="1" x14ac:dyDescent="0.25">
      <c r="A129">
        <v>99</v>
      </c>
      <c r="B129">
        <v>3284</v>
      </c>
      <c r="C129">
        <v>0</v>
      </c>
      <c r="D129">
        <v>0</v>
      </c>
      <c r="E129">
        <v>7</v>
      </c>
      <c r="F129" t="s">
        <v>199</v>
      </c>
      <c r="G129" t="s">
        <v>129</v>
      </c>
    </row>
    <row r="130" spans="1:7" x14ac:dyDescent="0.25">
      <c r="A130">
        <v>99</v>
      </c>
      <c r="B130">
        <v>4124</v>
      </c>
      <c r="C130">
        <v>0</v>
      </c>
      <c r="D130">
        <v>0</v>
      </c>
      <c r="E130">
        <v>7</v>
      </c>
      <c r="F130" t="s">
        <v>199</v>
      </c>
      <c r="G130" t="s">
        <v>129</v>
      </c>
    </row>
    <row r="131" spans="1:7" hidden="1" x14ac:dyDescent="0.25">
      <c r="A131">
        <v>99</v>
      </c>
      <c r="B131">
        <v>5932</v>
      </c>
      <c r="C131">
        <v>0</v>
      </c>
      <c r="D131">
        <v>0</v>
      </c>
      <c r="E131">
        <v>7</v>
      </c>
      <c r="F131" t="s">
        <v>199</v>
      </c>
      <c r="G131" t="s">
        <v>129</v>
      </c>
    </row>
    <row r="132" spans="1:7" hidden="1" x14ac:dyDescent="0.25">
      <c r="A132">
        <v>99</v>
      </c>
      <c r="B132">
        <v>5992</v>
      </c>
      <c r="C132">
        <v>0</v>
      </c>
      <c r="D132">
        <v>0</v>
      </c>
      <c r="E132">
        <v>7</v>
      </c>
      <c r="F132" t="s">
        <v>199</v>
      </c>
      <c r="G132" t="s">
        <v>129</v>
      </c>
    </row>
    <row r="133" spans="1:7" hidden="1" x14ac:dyDescent="0.25">
      <c r="A133">
        <v>99</v>
      </c>
      <c r="B133">
        <v>7188</v>
      </c>
      <c r="C133">
        <v>0</v>
      </c>
      <c r="D133">
        <v>0</v>
      </c>
      <c r="E133">
        <v>7</v>
      </c>
      <c r="F133" t="s">
        <v>199</v>
      </c>
      <c r="G133" t="s">
        <v>129</v>
      </c>
    </row>
    <row r="134" spans="1:7" hidden="1" x14ac:dyDescent="0.25">
      <c r="A134">
        <v>99</v>
      </c>
      <c r="B134">
        <v>7260</v>
      </c>
      <c r="C134">
        <v>0</v>
      </c>
      <c r="D134">
        <v>0</v>
      </c>
      <c r="E134">
        <v>7</v>
      </c>
      <c r="F134" t="s">
        <v>199</v>
      </c>
      <c r="G134" t="s">
        <v>129</v>
      </c>
    </row>
    <row r="135" spans="1:7" hidden="1" x14ac:dyDescent="0.25">
      <c r="A135">
        <v>99</v>
      </c>
      <c r="B135">
        <v>7300</v>
      </c>
      <c r="C135">
        <v>0</v>
      </c>
      <c r="D135">
        <v>0</v>
      </c>
      <c r="E135">
        <v>7</v>
      </c>
      <c r="F135" t="s">
        <v>199</v>
      </c>
      <c r="G135" t="s">
        <v>129</v>
      </c>
    </row>
    <row r="136" spans="1:7" hidden="1" x14ac:dyDescent="0.25">
      <c r="A136">
        <v>99</v>
      </c>
      <c r="B136">
        <v>7552</v>
      </c>
      <c r="C136">
        <v>0</v>
      </c>
      <c r="D136">
        <v>0</v>
      </c>
      <c r="E136">
        <v>7</v>
      </c>
      <c r="F136" t="s">
        <v>199</v>
      </c>
      <c r="G136" t="s">
        <v>129</v>
      </c>
    </row>
    <row r="137" spans="1:7" hidden="1" x14ac:dyDescent="0.25">
      <c r="A137">
        <v>99</v>
      </c>
      <c r="B137">
        <v>8004</v>
      </c>
      <c r="C137">
        <v>0</v>
      </c>
      <c r="D137">
        <v>0</v>
      </c>
      <c r="E137">
        <v>7</v>
      </c>
      <c r="F137" t="s">
        <v>199</v>
      </c>
      <c r="G137" t="s">
        <v>129</v>
      </c>
    </row>
    <row r="138" spans="1:7" hidden="1" x14ac:dyDescent="0.25">
      <c r="A138">
        <v>99</v>
      </c>
      <c r="B138">
        <v>8144</v>
      </c>
      <c r="C138">
        <v>0</v>
      </c>
      <c r="D138">
        <v>0</v>
      </c>
      <c r="E138">
        <v>7</v>
      </c>
      <c r="F138" t="s">
        <v>199</v>
      </c>
      <c r="G138" t="s">
        <v>129</v>
      </c>
    </row>
    <row r="139" spans="1:7" hidden="1" x14ac:dyDescent="0.25">
      <c r="A139">
        <v>99</v>
      </c>
      <c r="B139">
        <v>8668</v>
      </c>
      <c r="C139">
        <v>0</v>
      </c>
      <c r="D139">
        <v>0</v>
      </c>
      <c r="E139">
        <v>7</v>
      </c>
      <c r="F139" t="s">
        <v>199</v>
      </c>
      <c r="G139" t="s">
        <v>129</v>
      </c>
    </row>
    <row r="140" spans="1:7" hidden="1" x14ac:dyDescent="0.25">
      <c r="A140">
        <v>99</v>
      </c>
      <c r="B140">
        <v>8804</v>
      </c>
      <c r="C140">
        <v>0</v>
      </c>
      <c r="D140">
        <v>0</v>
      </c>
      <c r="E140">
        <v>7</v>
      </c>
      <c r="F140" t="s">
        <v>199</v>
      </c>
      <c r="G140" t="s">
        <v>129</v>
      </c>
    </row>
    <row r="141" spans="1:7" hidden="1" x14ac:dyDescent="0.25">
      <c r="A141">
        <v>99</v>
      </c>
      <c r="B141">
        <v>9032</v>
      </c>
      <c r="C141">
        <v>0</v>
      </c>
      <c r="D141">
        <v>0</v>
      </c>
      <c r="E141">
        <v>7</v>
      </c>
      <c r="F141" t="s">
        <v>199</v>
      </c>
      <c r="G141" t="s">
        <v>129</v>
      </c>
    </row>
    <row r="142" spans="1:7" hidden="1" x14ac:dyDescent="0.25">
      <c r="A142">
        <v>99</v>
      </c>
      <c r="B142">
        <v>9072</v>
      </c>
      <c r="C142">
        <v>0</v>
      </c>
      <c r="D142">
        <v>0</v>
      </c>
      <c r="E142">
        <v>7</v>
      </c>
      <c r="F142" t="s">
        <v>199</v>
      </c>
      <c r="G142" t="s">
        <v>129</v>
      </c>
    </row>
    <row r="143" spans="1:7" hidden="1" x14ac:dyDescent="0.25">
      <c r="A143">
        <v>99</v>
      </c>
      <c r="B143">
        <v>9176</v>
      </c>
      <c r="C143">
        <v>0</v>
      </c>
      <c r="D143">
        <v>0</v>
      </c>
      <c r="E143">
        <v>7</v>
      </c>
      <c r="F143" t="s">
        <v>199</v>
      </c>
      <c r="G143" t="s">
        <v>129</v>
      </c>
    </row>
    <row r="144" spans="1:7" hidden="1" x14ac:dyDescent="0.25">
      <c r="A144">
        <v>99</v>
      </c>
      <c r="B144">
        <v>9256</v>
      </c>
      <c r="C144">
        <v>0</v>
      </c>
      <c r="D144">
        <v>0</v>
      </c>
      <c r="E144">
        <v>7</v>
      </c>
      <c r="F144" t="s">
        <v>199</v>
      </c>
      <c r="G144" t="s">
        <v>129</v>
      </c>
    </row>
    <row r="145" spans="1:7" hidden="1" x14ac:dyDescent="0.25">
      <c r="A145">
        <v>99</v>
      </c>
      <c r="B145">
        <v>9272</v>
      </c>
      <c r="C145">
        <v>0</v>
      </c>
      <c r="D145">
        <v>0</v>
      </c>
      <c r="E145">
        <v>7</v>
      </c>
      <c r="F145" t="s">
        <v>199</v>
      </c>
      <c r="G145" t="s">
        <v>129</v>
      </c>
    </row>
    <row r="146" spans="1:7" hidden="1" x14ac:dyDescent="0.25">
      <c r="A146">
        <v>99</v>
      </c>
      <c r="B146">
        <v>9752</v>
      </c>
      <c r="C146">
        <v>0</v>
      </c>
      <c r="D146">
        <v>0</v>
      </c>
      <c r="E146">
        <v>7</v>
      </c>
      <c r="F146" t="s">
        <v>199</v>
      </c>
      <c r="G146" t="s">
        <v>129</v>
      </c>
    </row>
    <row r="147" spans="1:7" hidden="1" x14ac:dyDescent="0.25">
      <c r="A147">
        <v>99</v>
      </c>
      <c r="B147">
        <v>10364</v>
      </c>
      <c r="C147">
        <v>0</v>
      </c>
      <c r="D147">
        <v>0</v>
      </c>
      <c r="E147">
        <v>7</v>
      </c>
      <c r="F147" t="s">
        <v>199</v>
      </c>
      <c r="G147" t="s">
        <v>129</v>
      </c>
    </row>
    <row r="148" spans="1:7" hidden="1" x14ac:dyDescent="0.25">
      <c r="A148">
        <v>99</v>
      </c>
      <c r="B148">
        <v>10420</v>
      </c>
      <c r="C148">
        <v>0</v>
      </c>
      <c r="D148">
        <v>0</v>
      </c>
      <c r="E148">
        <v>7</v>
      </c>
      <c r="F148" t="s">
        <v>199</v>
      </c>
      <c r="G148" t="s">
        <v>129</v>
      </c>
    </row>
    <row r="149" spans="1:7" hidden="1" x14ac:dyDescent="0.25">
      <c r="A149">
        <v>50</v>
      </c>
      <c r="B149">
        <v>476</v>
      </c>
      <c r="C149">
        <v>0</v>
      </c>
      <c r="D149">
        <v>0</v>
      </c>
      <c r="E149">
        <v>9</v>
      </c>
      <c r="F149" t="s">
        <v>201</v>
      </c>
      <c r="G149" t="s">
        <v>122</v>
      </c>
    </row>
    <row r="150" spans="1:7" hidden="1" x14ac:dyDescent="0.25">
      <c r="A150">
        <v>50</v>
      </c>
      <c r="B150">
        <v>1172</v>
      </c>
      <c r="C150">
        <v>0</v>
      </c>
      <c r="D150">
        <v>0</v>
      </c>
      <c r="E150">
        <v>9</v>
      </c>
      <c r="F150" t="s">
        <v>201</v>
      </c>
      <c r="G150" t="s">
        <v>122</v>
      </c>
    </row>
    <row r="151" spans="1:7" hidden="1" x14ac:dyDescent="0.25">
      <c r="A151">
        <v>50</v>
      </c>
      <c r="B151">
        <v>1264</v>
      </c>
      <c r="C151">
        <v>0</v>
      </c>
      <c r="D151">
        <v>0</v>
      </c>
      <c r="E151">
        <v>9</v>
      </c>
      <c r="F151" t="s">
        <v>201</v>
      </c>
      <c r="G151" t="s">
        <v>122</v>
      </c>
    </row>
    <row r="152" spans="1:7" hidden="1" x14ac:dyDescent="0.25">
      <c r="A152">
        <v>50</v>
      </c>
      <c r="B152">
        <v>1476</v>
      </c>
      <c r="C152">
        <v>0</v>
      </c>
      <c r="D152">
        <v>0</v>
      </c>
      <c r="E152">
        <v>9</v>
      </c>
      <c r="F152" t="s">
        <v>201</v>
      </c>
      <c r="G152" t="s">
        <v>122</v>
      </c>
    </row>
    <row r="153" spans="1:7" hidden="1" x14ac:dyDescent="0.25">
      <c r="A153">
        <v>50</v>
      </c>
      <c r="B153">
        <v>2548</v>
      </c>
      <c r="C153">
        <v>0</v>
      </c>
      <c r="D153">
        <v>0</v>
      </c>
      <c r="E153">
        <v>9</v>
      </c>
      <c r="F153" t="s">
        <v>201</v>
      </c>
      <c r="G153" t="s">
        <v>122</v>
      </c>
    </row>
    <row r="154" spans="1:7" hidden="1" x14ac:dyDescent="0.25">
      <c r="A154">
        <v>50</v>
      </c>
      <c r="B154">
        <v>4144</v>
      </c>
      <c r="C154">
        <v>0</v>
      </c>
      <c r="D154">
        <v>0</v>
      </c>
      <c r="E154">
        <v>9</v>
      </c>
      <c r="F154" t="s">
        <v>201</v>
      </c>
      <c r="G154" t="s">
        <v>122</v>
      </c>
    </row>
    <row r="155" spans="1:7" hidden="1" x14ac:dyDescent="0.25">
      <c r="A155">
        <v>50</v>
      </c>
      <c r="B155">
        <v>4228</v>
      </c>
      <c r="C155">
        <v>0</v>
      </c>
      <c r="D155">
        <v>0</v>
      </c>
      <c r="E155">
        <v>9</v>
      </c>
      <c r="F155" t="s">
        <v>201</v>
      </c>
      <c r="G155" t="s">
        <v>122</v>
      </c>
    </row>
    <row r="156" spans="1:7" hidden="1" x14ac:dyDescent="0.25">
      <c r="A156">
        <v>50</v>
      </c>
      <c r="B156">
        <v>4336</v>
      </c>
      <c r="C156">
        <v>0</v>
      </c>
      <c r="D156">
        <v>0</v>
      </c>
      <c r="E156">
        <v>9</v>
      </c>
      <c r="F156" t="s">
        <v>201</v>
      </c>
      <c r="G156" t="s">
        <v>122</v>
      </c>
    </row>
    <row r="157" spans="1:7" hidden="1" x14ac:dyDescent="0.25">
      <c r="A157">
        <v>50</v>
      </c>
      <c r="B157">
        <v>4600</v>
      </c>
      <c r="C157">
        <v>0</v>
      </c>
      <c r="D157">
        <v>0</v>
      </c>
      <c r="E157">
        <v>9</v>
      </c>
      <c r="F157" t="s">
        <v>201</v>
      </c>
      <c r="G157" t="s">
        <v>122</v>
      </c>
    </row>
    <row r="158" spans="1:7" hidden="1" x14ac:dyDescent="0.25">
      <c r="A158">
        <v>50</v>
      </c>
      <c r="B158">
        <v>5004</v>
      </c>
      <c r="C158">
        <v>0</v>
      </c>
      <c r="D158">
        <v>0</v>
      </c>
      <c r="E158">
        <v>9</v>
      </c>
      <c r="F158" t="s">
        <v>201</v>
      </c>
      <c r="G158" t="s">
        <v>122</v>
      </c>
    </row>
    <row r="159" spans="1:7" hidden="1" x14ac:dyDescent="0.25">
      <c r="A159">
        <v>50</v>
      </c>
      <c r="B159">
        <v>5892</v>
      </c>
      <c r="C159">
        <v>0</v>
      </c>
      <c r="D159">
        <v>0</v>
      </c>
      <c r="E159">
        <v>9</v>
      </c>
      <c r="F159" t="s">
        <v>201</v>
      </c>
      <c r="G159" t="s">
        <v>122</v>
      </c>
    </row>
    <row r="160" spans="1:7" hidden="1" x14ac:dyDescent="0.25">
      <c r="A160">
        <v>50</v>
      </c>
      <c r="B160">
        <v>5904</v>
      </c>
      <c r="C160">
        <v>0</v>
      </c>
      <c r="D160">
        <v>0</v>
      </c>
      <c r="E160">
        <v>9</v>
      </c>
      <c r="F160" t="s">
        <v>201</v>
      </c>
      <c r="G160" t="s">
        <v>122</v>
      </c>
    </row>
    <row r="161" spans="1:7" hidden="1" x14ac:dyDescent="0.25">
      <c r="A161">
        <v>50</v>
      </c>
      <c r="B161">
        <v>6280</v>
      </c>
      <c r="C161">
        <v>0</v>
      </c>
      <c r="D161">
        <v>0</v>
      </c>
      <c r="E161">
        <v>9</v>
      </c>
      <c r="F161" t="s">
        <v>201</v>
      </c>
      <c r="G161" t="s">
        <v>122</v>
      </c>
    </row>
    <row r="162" spans="1:7" hidden="1" x14ac:dyDescent="0.25">
      <c r="A162">
        <v>50</v>
      </c>
      <c r="B162">
        <v>6312</v>
      </c>
      <c r="C162">
        <v>0</v>
      </c>
      <c r="D162">
        <v>0</v>
      </c>
      <c r="E162">
        <v>9</v>
      </c>
      <c r="F162" t="s">
        <v>201</v>
      </c>
      <c r="G162" t="s">
        <v>122</v>
      </c>
    </row>
    <row r="163" spans="1:7" hidden="1" x14ac:dyDescent="0.25">
      <c r="A163">
        <v>50</v>
      </c>
      <c r="B163">
        <v>7283</v>
      </c>
      <c r="C163">
        <v>0</v>
      </c>
      <c r="D163">
        <v>0</v>
      </c>
      <c r="E163">
        <v>9</v>
      </c>
      <c r="F163" t="s">
        <v>201</v>
      </c>
      <c r="G163" t="s">
        <v>122</v>
      </c>
    </row>
    <row r="164" spans="1:7" hidden="1" x14ac:dyDescent="0.25">
      <c r="A164">
        <v>50</v>
      </c>
      <c r="B164">
        <v>7284</v>
      </c>
      <c r="C164">
        <v>0</v>
      </c>
      <c r="D164">
        <v>0</v>
      </c>
      <c r="E164">
        <v>9</v>
      </c>
      <c r="F164" t="s">
        <v>201</v>
      </c>
      <c r="G164" t="s">
        <v>122</v>
      </c>
    </row>
    <row r="165" spans="1:7" hidden="1" x14ac:dyDescent="0.25">
      <c r="A165">
        <v>50</v>
      </c>
      <c r="B165">
        <v>7528</v>
      </c>
      <c r="C165">
        <v>0</v>
      </c>
      <c r="D165">
        <v>0</v>
      </c>
      <c r="E165">
        <v>9</v>
      </c>
      <c r="F165" t="s">
        <v>201</v>
      </c>
      <c r="G165" t="s">
        <v>122</v>
      </c>
    </row>
    <row r="166" spans="1:7" hidden="1" x14ac:dyDescent="0.25">
      <c r="A166">
        <v>50</v>
      </c>
      <c r="B166">
        <v>7756</v>
      </c>
      <c r="C166">
        <v>0</v>
      </c>
      <c r="D166">
        <v>0</v>
      </c>
      <c r="E166">
        <v>9</v>
      </c>
      <c r="F166" t="s">
        <v>201</v>
      </c>
      <c r="G166" t="s">
        <v>122</v>
      </c>
    </row>
    <row r="167" spans="1:7" hidden="1" x14ac:dyDescent="0.25">
      <c r="A167">
        <v>50</v>
      </c>
      <c r="B167">
        <v>8256</v>
      </c>
      <c r="C167">
        <v>0</v>
      </c>
      <c r="D167">
        <v>0</v>
      </c>
      <c r="E167">
        <v>9</v>
      </c>
      <c r="F167" t="s">
        <v>201</v>
      </c>
      <c r="G167" t="s">
        <v>122</v>
      </c>
    </row>
    <row r="168" spans="1:7" hidden="1" x14ac:dyDescent="0.25">
      <c r="A168">
        <v>50</v>
      </c>
      <c r="B168">
        <v>9356</v>
      </c>
      <c r="C168">
        <v>0</v>
      </c>
      <c r="D168">
        <v>0</v>
      </c>
      <c r="E168">
        <v>9</v>
      </c>
      <c r="F168" t="s">
        <v>201</v>
      </c>
      <c r="G168" t="s">
        <v>122</v>
      </c>
    </row>
    <row r="169" spans="1:7" hidden="1" x14ac:dyDescent="0.25">
      <c r="A169">
        <v>50</v>
      </c>
      <c r="B169">
        <v>10012</v>
      </c>
      <c r="C169">
        <v>0</v>
      </c>
      <c r="D169">
        <v>0</v>
      </c>
      <c r="E169">
        <v>9</v>
      </c>
      <c r="F169" t="s">
        <v>201</v>
      </c>
      <c r="G169" t="s">
        <v>122</v>
      </c>
    </row>
    <row r="170" spans="1:7" hidden="1" x14ac:dyDescent="0.25">
      <c r="A170">
        <v>50</v>
      </c>
      <c r="B170">
        <v>10064</v>
      </c>
      <c r="C170">
        <v>0</v>
      </c>
      <c r="D170">
        <v>0</v>
      </c>
      <c r="E170">
        <v>9</v>
      </c>
      <c r="F170" t="s">
        <v>201</v>
      </c>
      <c r="G170" t="s">
        <v>122</v>
      </c>
    </row>
    <row r="171" spans="1:7" hidden="1" x14ac:dyDescent="0.25">
      <c r="A171">
        <v>50</v>
      </c>
      <c r="B171">
        <v>10100</v>
      </c>
      <c r="C171">
        <v>0</v>
      </c>
      <c r="D171">
        <v>0</v>
      </c>
      <c r="E171">
        <v>9</v>
      </c>
      <c r="F171" t="s">
        <v>201</v>
      </c>
      <c r="G171" t="s">
        <v>122</v>
      </c>
    </row>
    <row r="172" spans="1:7" hidden="1" x14ac:dyDescent="0.25">
      <c r="A172">
        <v>50</v>
      </c>
      <c r="B172">
        <v>10592</v>
      </c>
      <c r="C172">
        <v>0</v>
      </c>
      <c r="D172">
        <v>0</v>
      </c>
      <c r="E172">
        <v>9</v>
      </c>
      <c r="F172" t="s">
        <v>201</v>
      </c>
      <c r="G172" t="s">
        <v>122</v>
      </c>
    </row>
    <row r="173" spans="1:7" hidden="1" x14ac:dyDescent="0.25">
      <c r="A173">
        <v>99</v>
      </c>
      <c r="B173">
        <v>2068</v>
      </c>
      <c r="C173">
        <v>0</v>
      </c>
      <c r="D173">
        <v>0</v>
      </c>
      <c r="E173">
        <v>9</v>
      </c>
      <c r="F173" t="s">
        <v>201</v>
      </c>
      <c r="G173" t="s">
        <v>122</v>
      </c>
    </row>
    <row r="174" spans="1:7" hidden="1" x14ac:dyDescent="0.25">
      <c r="A174">
        <v>99</v>
      </c>
      <c r="B174">
        <v>2168</v>
      </c>
      <c r="C174">
        <v>0</v>
      </c>
      <c r="D174">
        <v>0</v>
      </c>
      <c r="E174">
        <v>9</v>
      </c>
      <c r="F174" t="s">
        <v>201</v>
      </c>
      <c r="G174" t="s">
        <v>122</v>
      </c>
    </row>
    <row r="175" spans="1:7" hidden="1" x14ac:dyDescent="0.25">
      <c r="A175">
        <v>99</v>
      </c>
      <c r="B175">
        <v>2472</v>
      </c>
      <c r="C175">
        <v>0</v>
      </c>
      <c r="D175">
        <v>0</v>
      </c>
      <c r="E175">
        <v>9</v>
      </c>
      <c r="F175" t="s">
        <v>201</v>
      </c>
      <c r="G175" t="s">
        <v>122</v>
      </c>
    </row>
    <row r="176" spans="1:7" hidden="1" x14ac:dyDescent="0.25">
      <c r="A176">
        <v>99</v>
      </c>
      <c r="B176">
        <v>3056</v>
      </c>
      <c r="C176">
        <v>0</v>
      </c>
      <c r="D176">
        <v>0</v>
      </c>
      <c r="E176">
        <v>9</v>
      </c>
      <c r="F176" t="s">
        <v>201</v>
      </c>
      <c r="G176" t="s">
        <v>122</v>
      </c>
    </row>
    <row r="177" spans="1:7" hidden="1" x14ac:dyDescent="0.25">
      <c r="A177">
        <v>99</v>
      </c>
      <c r="B177">
        <v>3100</v>
      </c>
      <c r="C177">
        <v>0</v>
      </c>
      <c r="D177">
        <v>0</v>
      </c>
      <c r="E177">
        <v>9</v>
      </c>
      <c r="F177" t="s">
        <v>201</v>
      </c>
      <c r="G177" t="s">
        <v>122</v>
      </c>
    </row>
    <row r="178" spans="1:7" hidden="1" x14ac:dyDescent="0.25">
      <c r="A178">
        <v>99</v>
      </c>
      <c r="B178">
        <v>3284</v>
      </c>
      <c r="C178">
        <v>0</v>
      </c>
      <c r="D178">
        <v>0</v>
      </c>
      <c r="E178">
        <v>9</v>
      </c>
      <c r="F178" t="s">
        <v>201</v>
      </c>
      <c r="G178" t="s">
        <v>122</v>
      </c>
    </row>
    <row r="179" spans="1:7" x14ac:dyDescent="0.25">
      <c r="A179">
        <v>99</v>
      </c>
      <c r="B179">
        <v>4124</v>
      </c>
      <c r="C179">
        <v>0</v>
      </c>
      <c r="D179">
        <v>0</v>
      </c>
      <c r="E179">
        <v>9</v>
      </c>
      <c r="F179" t="s">
        <v>201</v>
      </c>
      <c r="G179" t="s">
        <v>122</v>
      </c>
    </row>
    <row r="180" spans="1:7" hidden="1" x14ac:dyDescent="0.25">
      <c r="A180">
        <v>99</v>
      </c>
      <c r="B180">
        <v>5932</v>
      </c>
      <c r="C180">
        <v>0</v>
      </c>
      <c r="D180">
        <v>0</v>
      </c>
      <c r="E180">
        <v>9</v>
      </c>
      <c r="F180" t="s">
        <v>201</v>
      </c>
      <c r="G180" t="s">
        <v>122</v>
      </c>
    </row>
    <row r="181" spans="1:7" hidden="1" x14ac:dyDescent="0.25">
      <c r="A181">
        <v>99</v>
      </c>
      <c r="B181">
        <v>5992</v>
      </c>
      <c r="C181">
        <v>0</v>
      </c>
      <c r="D181">
        <v>0</v>
      </c>
      <c r="E181">
        <v>9</v>
      </c>
      <c r="F181" t="s">
        <v>201</v>
      </c>
      <c r="G181" t="s">
        <v>122</v>
      </c>
    </row>
    <row r="182" spans="1:7" hidden="1" x14ac:dyDescent="0.25">
      <c r="A182">
        <v>99</v>
      </c>
      <c r="B182">
        <v>7260</v>
      </c>
      <c r="C182">
        <v>0</v>
      </c>
      <c r="D182">
        <v>0</v>
      </c>
      <c r="E182">
        <v>9</v>
      </c>
      <c r="F182" t="s">
        <v>201</v>
      </c>
      <c r="G182" t="s">
        <v>122</v>
      </c>
    </row>
    <row r="183" spans="1:7" hidden="1" x14ac:dyDescent="0.25">
      <c r="A183">
        <v>99</v>
      </c>
      <c r="B183">
        <v>7300</v>
      </c>
      <c r="C183">
        <v>0</v>
      </c>
      <c r="D183">
        <v>0</v>
      </c>
      <c r="E183">
        <v>9</v>
      </c>
      <c r="F183" t="s">
        <v>201</v>
      </c>
      <c r="G183" t="s">
        <v>122</v>
      </c>
    </row>
    <row r="184" spans="1:7" hidden="1" x14ac:dyDescent="0.25">
      <c r="A184">
        <v>99</v>
      </c>
      <c r="B184">
        <v>7552</v>
      </c>
      <c r="C184">
        <v>0</v>
      </c>
      <c r="D184">
        <v>0</v>
      </c>
      <c r="E184">
        <v>9</v>
      </c>
      <c r="F184" t="s">
        <v>201</v>
      </c>
      <c r="G184" t="s">
        <v>122</v>
      </c>
    </row>
    <row r="185" spans="1:7" hidden="1" x14ac:dyDescent="0.25">
      <c r="A185">
        <v>99</v>
      </c>
      <c r="B185">
        <v>8004</v>
      </c>
      <c r="C185">
        <v>0</v>
      </c>
      <c r="D185">
        <v>0</v>
      </c>
      <c r="E185">
        <v>9</v>
      </c>
      <c r="F185" t="s">
        <v>201</v>
      </c>
      <c r="G185" t="s">
        <v>122</v>
      </c>
    </row>
    <row r="186" spans="1:7" hidden="1" x14ac:dyDescent="0.25">
      <c r="A186">
        <v>99</v>
      </c>
      <c r="B186">
        <v>8144</v>
      </c>
      <c r="C186">
        <v>0</v>
      </c>
      <c r="D186">
        <v>0</v>
      </c>
      <c r="E186">
        <v>9</v>
      </c>
      <c r="F186" t="s">
        <v>201</v>
      </c>
      <c r="G186" t="s">
        <v>122</v>
      </c>
    </row>
    <row r="187" spans="1:7" hidden="1" x14ac:dyDescent="0.25">
      <c r="A187">
        <v>99</v>
      </c>
      <c r="B187">
        <v>8668</v>
      </c>
      <c r="C187">
        <v>0</v>
      </c>
      <c r="D187">
        <v>0</v>
      </c>
      <c r="E187">
        <v>9</v>
      </c>
      <c r="F187" t="s">
        <v>201</v>
      </c>
      <c r="G187" t="s">
        <v>122</v>
      </c>
    </row>
    <row r="188" spans="1:7" hidden="1" x14ac:dyDescent="0.25">
      <c r="A188">
        <v>99</v>
      </c>
      <c r="B188">
        <v>8804</v>
      </c>
      <c r="C188">
        <v>0</v>
      </c>
      <c r="D188">
        <v>0</v>
      </c>
      <c r="E188">
        <v>9</v>
      </c>
      <c r="F188" t="s">
        <v>201</v>
      </c>
      <c r="G188" t="s">
        <v>122</v>
      </c>
    </row>
    <row r="189" spans="1:7" hidden="1" x14ac:dyDescent="0.25">
      <c r="A189">
        <v>99</v>
      </c>
      <c r="B189">
        <v>9032</v>
      </c>
      <c r="C189">
        <v>0</v>
      </c>
      <c r="D189">
        <v>0</v>
      </c>
      <c r="E189">
        <v>9</v>
      </c>
      <c r="F189" t="s">
        <v>201</v>
      </c>
      <c r="G189" t="s">
        <v>122</v>
      </c>
    </row>
    <row r="190" spans="1:7" hidden="1" x14ac:dyDescent="0.25">
      <c r="A190">
        <v>99</v>
      </c>
      <c r="B190">
        <v>9072</v>
      </c>
      <c r="C190">
        <v>0</v>
      </c>
      <c r="D190">
        <v>0</v>
      </c>
      <c r="E190">
        <v>9</v>
      </c>
      <c r="F190" t="s">
        <v>201</v>
      </c>
      <c r="G190" t="s">
        <v>122</v>
      </c>
    </row>
    <row r="191" spans="1:7" hidden="1" x14ac:dyDescent="0.25">
      <c r="A191">
        <v>99</v>
      </c>
      <c r="B191">
        <v>9176</v>
      </c>
      <c r="C191">
        <v>0</v>
      </c>
      <c r="D191">
        <v>0</v>
      </c>
      <c r="E191">
        <v>9</v>
      </c>
      <c r="F191" t="s">
        <v>201</v>
      </c>
      <c r="G191" t="s">
        <v>122</v>
      </c>
    </row>
    <row r="192" spans="1:7" hidden="1" x14ac:dyDescent="0.25">
      <c r="A192">
        <v>99</v>
      </c>
      <c r="B192">
        <v>9272</v>
      </c>
      <c r="C192">
        <v>0</v>
      </c>
      <c r="D192">
        <v>0</v>
      </c>
      <c r="E192">
        <v>9</v>
      </c>
      <c r="F192" t="s">
        <v>201</v>
      </c>
      <c r="G192" t="s">
        <v>122</v>
      </c>
    </row>
    <row r="193" spans="1:7" hidden="1" x14ac:dyDescent="0.25">
      <c r="A193">
        <v>99</v>
      </c>
      <c r="B193">
        <v>9752</v>
      </c>
      <c r="C193">
        <v>0</v>
      </c>
      <c r="D193">
        <v>0</v>
      </c>
      <c r="E193">
        <v>9</v>
      </c>
      <c r="F193" t="s">
        <v>201</v>
      </c>
      <c r="G193" t="s">
        <v>122</v>
      </c>
    </row>
    <row r="194" spans="1:7" hidden="1" x14ac:dyDescent="0.25">
      <c r="A194">
        <v>99</v>
      </c>
      <c r="B194">
        <v>10364</v>
      </c>
      <c r="C194">
        <v>0</v>
      </c>
      <c r="D194">
        <v>0</v>
      </c>
      <c r="E194">
        <v>9</v>
      </c>
      <c r="F194" t="s">
        <v>201</v>
      </c>
      <c r="G194" t="s">
        <v>122</v>
      </c>
    </row>
    <row r="195" spans="1:7" hidden="1" x14ac:dyDescent="0.25">
      <c r="A195">
        <v>99</v>
      </c>
      <c r="B195">
        <v>10420</v>
      </c>
      <c r="C195">
        <v>0</v>
      </c>
      <c r="D195">
        <v>0</v>
      </c>
      <c r="E195">
        <v>9</v>
      </c>
      <c r="F195" t="s">
        <v>201</v>
      </c>
      <c r="G195" t="s">
        <v>122</v>
      </c>
    </row>
    <row r="196" spans="1:7" hidden="1" x14ac:dyDescent="0.25">
      <c r="A196">
        <v>50</v>
      </c>
      <c r="B196">
        <v>476</v>
      </c>
      <c r="C196">
        <v>0</v>
      </c>
      <c r="D196">
        <v>0</v>
      </c>
      <c r="E196">
        <v>12</v>
      </c>
      <c r="F196" t="s">
        <v>205</v>
      </c>
      <c r="G196" t="s">
        <v>155</v>
      </c>
    </row>
    <row r="197" spans="1:7" hidden="1" x14ac:dyDescent="0.25">
      <c r="A197">
        <v>50</v>
      </c>
      <c r="B197">
        <v>1172</v>
      </c>
      <c r="C197">
        <v>0</v>
      </c>
      <c r="D197">
        <v>0</v>
      </c>
      <c r="E197">
        <v>12</v>
      </c>
      <c r="F197" t="s">
        <v>205</v>
      </c>
      <c r="G197" t="s">
        <v>155</v>
      </c>
    </row>
    <row r="198" spans="1:7" hidden="1" x14ac:dyDescent="0.25">
      <c r="A198">
        <v>50</v>
      </c>
      <c r="B198">
        <v>1264</v>
      </c>
      <c r="C198">
        <v>0</v>
      </c>
      <c r="D198">
        <v>0</v>
      </c>
      <c r="E198">
        <v>12</v>
      </c>
      <c r="F198" t="s">
        <v>205</v>
      </c>
      <c r="G198" t="s">
        <v>155</v>
      </c>
    </row>
    <row r="199" spans="1:7" hidden="1" x14ac:dyDescent="0.25">
      <c r="A199">
        <v>50</v>
      </c>
      <c r="B199">
        <v>1476</v>
      </c>
      <c r="C199">
        <v>0</v>
      </c>
      <c r="D199">
        <v>0</v>
      </c>
      <c r="E199">
        <v>12</v>
      </c>
      <c r="F199" t="s">
        <v>205</v>
      </c>
      <c r="G199" t="s">
        <v>155</v>
      </c>
    </row>
    <row r="200" spans="1:7" hidden="1" x14ac:dyDescent="0.25">
      <c r="A200">
        <v>50</v>
      </c>
      <c r="B200">
        <v>2548</v>
      </c>
      <c r="C200">
        <v>0</v>
      </c>
      <c r="D200">
        <v>0</v>
      </c>
      <c r="E200">
        <v>12</v>
      </c>
      <c r="F200" t="s">
        <v>205</v>
      </c>
      <c r="G200" t="s">
        <v>155</v>
      </c>
    </row>
    <row r="201" spans="1:7" hidden="1" x14ac:dyDescent="0.25">
      <c r="A201">
        <v>50</v>
      </c>
      <c r="B201">
        <v>4144</v>
      </c>
      <c r="C201">
        <v>0</v>
      </c>
      <c r="D201">
        <v>0</v>
      </c>
      <c r="E201">
        <v>12</v>
      </c>
      <c r="F201" t="s">
        <v>205</v>
      </c>
      <c r="G201" t="s">
        <v>155</v>
      </c>
    </row>
    <row r="202" spans="1:7" hidden="1" x14ac:dyDescent="0.25">
      <c r="A202">
        <v>50</v>
      </c>
      <c r="B202">
        <v>4228</v>
      </c>
      <c r="C202">
        <v>0</v>
      </c>
      <c r="D202">
        <v>0</v>
      </c>
      <c r="E202">
        <v>12</v>
      </c>
      <c r="F202" t="s">
        <v>205</v>
      </c>
      <c r="G202" t="s">
        <v>155</v>
      </c>
    </row>
    <row r="203" spans="1:7" hidden="1" x14ac:dyDescent="0.25">
      <c r="A203">
        <v>50</v>
      </c>
      <c r="B203">
        <v>4336</v>
      </c>
      <c r="C203">
        <v>0</v>
      </c>
      <c r="D203">
        <v>0</v>
      </c>
      <c r="E203">
        <v>12</v>
      </c>
      <c r="F203" t="s">
        <v>205</v>
      </c>
      <c r="G203" t="s">
        <v>155</v>
      </c>
    </row>
    <row r="204" spans="1:7" hidden="1" x14ac:dyDescent="0.25">
      <c r="A204">
        <v>50</v>
      </c>
      <c r="B204">
        <v>4600</v>
      </c>
      <c r="C204">
        <v>0</v>
      </c>
      <c r="D204">
        <v>0</v>
      </c>
      <c r="E204">
        <v>12</v>
      </c>
      <c r="F204" t="s">
        <v>205</v>
      </c>
      <c r="G204" t="s">
        <v>155</v>
      </c>
    </row>
    <row r="205" spans="1:7" hidden="1" x14ac:dyDescent="0.25">
      <c r="A205">
        <v>50</v>
      </c>
      <c r="B205">
        <v>5004</v>
      </c>
      <c r="C205">
        <v>0</v>
      </c>
      <c r="D205">
        <v>0</v>
      </c>
      <c r="E205">
        <v>12</v>
      </c>
      <c r="F205" t="s">
        <v>205</v>
      </c>
      <c r="G205" t="s">
        <v>155</v>
      </c>
    </row>
    <row r="206" spans="1:7" hidden="1" x14ac:dyDescent="0.25">
      <c r="A206">
        <v>50</v>
      </c>
      <c r="B206">
        <v>5892</v>
      </c>
      <c r="C206">
        <v>0</v>
      </c>
      <c r="D206">
        <v>0</v>
      </c>
      <c r="E206">
        <v>12</v>
      </c>
      <c r="F206" t="s">
        <v>205</v>
      </c>
      <c r="G206" t="s">
        <v>155</v>
      </c>
    </row>
    <row r="207" spans="1:7" hidden="1" x14ac:dyDescent="0.25">
      <c r="A207">
        <v>50</v>
      </c>
      <c r="B207">
        <v>5904</v>
      </c>
      <c r="C207">
        <v>0</v>
      </c>
      <c r="D207">
        <v>0</v>
      </c>
      <c r="E207">
        <v>12</v>
      </c>
      <c r="F207" t="s">
        <v>205</v>
      </c>
      <c r="G207" t="s">
        <v>155</v>
      </c>
    </row>
    <row r="208" spans="1:7" hidden="1" x14ac:dyDescent="0.25">
      <c r="A208">
        <v>50</v>
      </c>
      <c r="B208">
        <v>6280</v>
      </c>
      <c r="C208">
        <v>0</v>
      </c>
      <c r="D208">
        <v>0</v>
      </c>
      <c r="E208">
        <v>12</v>
      </c>
      <c r="F208" t="s">
        <v>205</v>
      </c>
      <c r="G208" t="s">
        <v>155</v>
      </c>
    </row>
    <row r="209" spans="1:7" hidden="1" x14ac:dyDescent="0.25">
      <c r="A209">
        <v>50</v>
      </c>
      <c r="B209">
        <v>6312</v>
      </c>
      <c r="C209">
        <v>0</v>
      </c>
      <c r="D209">
        <v>0</v>
      </c>
      <c r="E209">
        <v>12</v>
      </c>
      <c r="F209" t="s">
        <v>205</v>
      </c>
      <c r="G209" t="s">
        <v>155</v>
      </c>
    </row>
    <row r="210" spans="1:7" hidden="1" x14ac:dyDescent="0.25">
      <c r="A210">
        <v>50</v>
      </c>
      <c r="B210">
        <v>7283</v>
      </c>
      <c r="C210">
        <v>0</v>
      </c>
      <c r="D210">
        <v>0</v>
      </c>
      <c r="E210">
        <v>12</v>
      </c>
      <c r="F210" t="s">
        <v>205</v>
      </c>
      <c r="G210" t="s">
        <v>155</v>
      </c>
    </row>
    <row r="211" spans="1:7" hidden="1" x14ac:dyDescent="0.25">
      <c r="A211">
        <v>50</v>
      </c>
      <c r="B211">
        <v>7284</v>
      </c>
      <c r="C211">
        <v>0</v>
      </c>
      <c r="D211">
        <v>0</v>
      </c>
      <c r="E211">
        <v>12</v>
      </c>
      <c r="F211" t="s">
        <v>205</v>
      </c>
      <c r="G211" t="s">
        <v>155</v>
      </c>
    </row>
    <row r="212" spans="1:7" hidden="1" x14ac:dyDescent="0.25">
      <c r="A212">
        <v>50</v>
      </c>
      <c r="B212">
        <v>7528</v>
      </c>
      <c r="C212">
        <v>0</v>
      </c>
      <c r="D212">
        <v>0</v>
      </c>
      <c r="E212">
        <v>12</v>
      </c>
      <c r="F212" t="s">
        <v>205</v>
      </c>
      <c r="G212" t="s">
        <v>155</v>
      </c>
    </row>
    <row r="213" spans="1:7" hidden="1" x14ac:dyDescent="0.25">
      <c r="A213">
        <v>50</v>
      </c>
      <c r="B213">
        <v>7756</v>
      </c>
      <c r="C213">
        <v>0</v>
      </c>
      <c r="D213">
        <v>0</v>
      </c>
      <c r="E213">
        <v>12</v>
      </c>
      <c r="F213" t="s">
        <v>205</v>
      </c>
      <c r="G213" t="s">
        <v>155</v>
      </c>
    </row>
    <row r="214" spans="1:7" hidden="1" x14ac:dyDescent="0.25">
      <c r="A214">
        <v>50</v>
      </c>
      <c r="B214">
        <v>8256</v>
      </c>
      <c r="C214">
        <v>0</v>
      </c>
      <c r="D214">
        <v>0</v>
      </c>
      <c r="E214">
        <v>12</v>
      </c>
      <c r="F214" t="s">
        <v>205</v>
      </c>
      <c r="G214" t="s">
        <v>155</v>
      </c>
    </row>
    <row r="215" spans="1:7" hidden="1" x14ac:dyDescent="0.25">
      <c r="A215">
        <v>50</v>
      </c>
      <c r="B215">
        <v>9356</v>
      </c>
      <c r="C215">
        <v>0</v>
      </c>
      <c r="D215">
        <v>0</v>
      </c>
      <c r="E215">
        <v>12</v>
      </c>
      <c r="F215" t="s">
        <v>205</v>
      </c>
      <c r="G215" t="s">
        <v>155</v>
      </c>
    </row>
    <row r="216" spans="1:7" hidden="1" x14ac:dyDescent="0.25">
      <c r="A216">
        <v>50</v>
      </c>
      <c r="B216">
        <v>10012</v>
      </c>
      <c r="C216">
        <v>0</v>
      </c>
      <c r="D216">
        <v>0</v>
      </c>
      <c r="E216">
        <v>12</v>
      </c>
      <c r="F216" t="s">
        <v>205</v>
      </c>
      <c r="G216" t="s">
        <v>155</v>
      </c>
    </row>
    <row r="217" spans="1:7" hidden="1" x14ac:dyDescent="0.25">
      <c r="A217">
        <v>50</v>
      </c>
      <c r="B217">
        <v>10064</v>
      </c>
      <c r="C217">
        <v>0</v>
      </c>
      <c r="D217">
        <v>0</v>
      </c>
      <c r="E217">
        <v>12</v>
      </c>
      <c r="F217" t="s">
        <v>205</v>
      </c>
      <c r="G217" t="s">
        <v>155</v>
      </c>
    </row>
    <row r="218" spans="1:7" hidden="1" x14ac:dyDescent="0.25">
      <c r="A218">
        <v>50</v>
      </c>
      <c r="B218">
        <v>10100</v>
      </c>
      <c r="C218">
        <v>0</v>
      </c>
      <c r="D218">
        <v>0</v>
      </c>
      <c r="E218">
        <v>12</v>
      </c>
      <c r="F218" t="s">
        <v>205</v>
      </c>
      <c r="G218" t="s">
        <v>155</v>
      </c>
    </row>
    <row r="219" spans="1:7" hidden="1" x14ac:dyDescent="0.25">
      <c r="A219">
        <v>50</v>
      </c>
      <c r="B219">
        <v>10592</v>
      </c>
      <c r="C219">
        <v>0</v>
      </c>
      <c r="D219">
        <v>0</v>
      </c>
      <c r="E219">
        <v>12</v>
      </c>
      <c r="F219" t="s">
        <v>205</v>
      </c>
      <c r="G219" t="s">
        <v>155</v>
      </c>
    </row>
    <row r="220" spans="1:7" hidden="1" x14ac:dyDescent="0.25">
      <c r="A220">
        <v>99</v>
      </c>
      <c r="B220">
        <v>2068</v>
      </c>
      <c r="C220">
        <v>0</v>
      </c>
      <c r="D220">
        <v>0</v>
      </c>
      <c r="E220">
        <v>12</v>
      </c>
      <c r="F220" t="s">
        <v>205</v>
      </c>
      <c r="G220" t="s">
        <v>206</v>
      </c>
    </row>
    <row r="221" spans="1:7" hidden="1" x14ac:dyDescent="0.25">
      <c r="A221">
        <v>99</v>
      </c>
      <c r="B221">
        <v>2168</v>
      </c>
      <c r="C221">
        <v>0</v>
      </c>
      <c r="D221">
        <v>0</v>
      </c>
      <c r="E221">
        <v>12</v>
      </c>
      <c r="F221" t="s">
        <v>205</v>
      </c>
      <c r="G221" t="s">
        <v>206</v>
      </c>
    </row>
    <row r="222" spans="1:7" hidden="1" x14ac:dyDescent="0.25">
      <c r="A222">
        <v>99</v>
      </c>
      <c r="B222">
        <v>2472</v>
      </c>
      <c r="C222">
        <v>0</v>
      </c>
      <c r="D222">
        <v>0</v>
      </c>
      <c r="E222">
        <v>12</v>
      </c>
      <c r="F222" t="s">
        <v>205</v>
      </c>
      <c r="G222" t="s">
        <v>206</v>
      </c>
    </row>
    <row r="223" spans="1:7" hidden="1" x14ac:dyDescent="0.25">
      <c r="A223">
        <v>99</v>
      </c>
      <c r="B223">
        <v>3056</v>
      </c>
      <c r="C223">
        <v>0</v>
      </c>
      <c r="D223">
        <v>0</v>
      </c>
      <c r="E223">
        <v>12</v>
      </c>
      <c r="F223" t="s">
        <v>205</v>
      </c>
      <c r="G223" t="s">
        <v>206</v>
      </c>
    </row>
    <row r="224" spans="1:7" hidden="1" x14ac:dyDescent="0.25">
      <c r="A224">
        <v>99</v>
      </c>
      <c r="B224">
        <v>3100</v>
      </c>
      <c r="C224">
        <v>0</v>
      </c>
      <c r="D224">
        <v>0</v>
      </c>
      <c r="E224">
        <v>12</v>
      </c>
      <c r="F224" t="s">
        <v>205</v>
      </c>
      <c r="G224" t="s">
        <v>206</v>
      </c>
    </row>
    <row r="225" spans="1:7" hidden="1" x14ac:dyDescent="0.25">
      <c r="A225">
        <v>99</v>
      </c>
      <c r="B225">
        <v>3284</v>
      </c>
      <c r="C225">
        <v>0</v>
      </c>
      <c r="D225">
        <v>0</v>
      </c>
      <c r="E225">
        <v>12</v>
      </c>
      <c r="F225" t="s">
        <v>205</v>
      </c>
      <c r="G225" t="s">
        <v>206</v>
      </c>
    </row>
    <row r="226" spans="1:7" x14ac:dyDescent="0.25">
      <c r="A226">
        <v>99</v>
      </c>
      <c r="B226">
        <v>4124</v>
      </c>
      <c r="C226">
        <v>0</v>
      </c>
      <c r="D226">
        <v>0</v>
      </c>
      <c r="E226">
        <v>12</v>
      </c>
      <c r="F226" t="s">
        <v>205</v>
      </c>
      <c r="G226" t="s">
        <v>206</v>
      </c>
    </row>
    <row r="227" spans="1:7" hidden="1" x14ac:dyDescent="0.25">
      <c r="A227">
        <v>99</v>
      </c>
      <c r="B227">
        <v>5932</v>
      </c>
      <c r="C227">
        <v>0</v>
      </c>
      <c r="D227">
        <v>0</v>
      </c>
      <c r="E227">
        <v>12</v>
      </c>
      <c r="F227" t="s">
        <v>205</v>
      </c>
      <c r="G227" t="s">
        <v>206</v>
      </c>
    </row>
    <row r="228" spans="1:7" hidden="1" x14ac:dyDescent="0.25">
      <c r="A228">
        <v>99</v>
      </c>
      <c r="B228">
        <v>5992</v>
      </c>
      <c r="C228">
        <v>0</v>
      </c>
      <c r="D228">
        <v>0</v>
      </c>
      <c r="E228">
        <v>12</v>
      </c>
      <c r="F228" t="s">
        <v>205</v>
      </c>
      <c r="G228" t="s">
        <v>206</v>
      </c>
    </row>
    <row r="229" spans="1:7" hidden="1" x14ac:dyDescent="0.25">
      <c r="A229">
        <v>99</v>
      </c>
      <c r="B229">
        <v>7188</v>
      </c>
      <c r="C229">
        <v>0</v>
      </c>
      <c r="D229">
        <v>0</v>
      </c>
      <c r="E229">
        <v>11</v>
      </c>
      <c r="F229" t="s">
        <v>205</v>
      </c>
      <c r="G229" t="s">
        <v>155</v>
      </c>
    </row>
    <row r="230" spans="1:7" hidden="1" x14ac:dyDescent="0.25">
      <c r="A230">
        <v>99</v>
      </c>
      <c r="B230">
        <v>7260</v>
      </c>
      <c r="C230">
        <v>0</v>
      </c>
      <c r="D230">
        <v>0</v>
      </c>
      <c r="E230">
        <v>12</v>
      </c>
      <c r="F230" t="s">
        <v>205</v>
      </c>
      <c r="G230" t="s">
        <v>206</v>
      </c>
    </row>
    <row r="231" spans="1:7" hidden="1" x14ac:dyDescent="0.25">
      <c r="A231">
        <v>99</v>
      </c>
      <c r="B231">
        <v>7300</v>
      </c>
      <c r="C231">
        <v>0</v>
      </c>
      <c r="D231">
        <v>0</v>
      </c>
      <c r="E231">
        <v>12</v>
      </c>
      <c r="F231" t="s">
        <v>205</v>
      </c>
      <c r="G231" t="s">
        <v>206</v>
      </c>
    </row>
    <row r="232" spans="1:7" hidden="1" x14ac:dyDescent="0.25">
      <c r="A232">
        <v>99</v>
      </c>
      <c r="B232">
        <v>7552</v>
      </c>
      <c r="C232">
        <v>0</v>
      </c>
      <c r="D232">
        <v>0</v>
      </c>
      <c r="E232">
        <v>12</v>
      </c>
      <c r="F232" t="s">
        <v>205</v>
      </c>
      <c r="G232" t="s">
        <v>206</v>
      </c>
    </row>
    <row r="233" spans="1:7" hidden="1" x14ac:dyDescent="0.25">
      <c r="A233">
        <v>99</v>
      </c>
      <c r="B233">
        <v>8004</v>
      </c>
      <c r="C233">
        <v>0</v>
      </c>
      <c r="D233">
        <v>0</v>
      </c>
      <c r="E233">
        <v>12</v>
      </c>
      <c r="F233" t="s">
        <v>205</v>
      </c>
      <c r="G233" t="s">
        <v>206</v>
      </c>
    </row>
    <row r="234" spans="1:7" hidden="1" x14ac:dyDescent="0.25">
      <c r="A234">
        <v>99</v>
      </c>
      <c r="B234">
        <v>8144</v>
      </c>
      <c r="C234">
        <v>0</v>
      </c>
      <c r="D234">
        <v>0</v>
      </c>
      <c r="E234">
        <v>12</v>
      </c>
      <c r="F234" t="s">
        <v>205</v>
      </c>
      <c r="G234" t="s">
        <v>206</v>
      </c>
    </row>
    <row r="235" spans="1:7" hidden="1" x14ac:dyDescent="0.25">
      <c r="A235">
        <v>99</v>
      </c>
      <c r="B235">
        <v>8668</v>
      </c>
      <c r="C235">
        <v>0</v>
      </c>
      <c r="D235">
        <v>0</v>
      </c>
      <c r="E235">
        <v>12</v>
      </c>
      <c r="F235" t="s">
        <v>205</v>
      </c>
      <c r="G235" t="s">
        <v>206</v>
      </c>
    </row>
    <row r="236" spans="1:7" hidden="1" x14ac:dyDescent="0.25">
      <c r="A236">
        <v>99</v>
      </c>
      <c r="B236">
        <v>8804</v>
      </c>
      <c r="C236">
        <v>0</v>
      </c>
      <c r="D236">
        <v>0</v>
      </c>
      <c r="E236">
        <v>12</v>
      </c>
      <c r="F236" t="s">
        <v>205</v>
      </c>
      <c r="G236" t="s">
        <v>206</v>
      </c>
    </row>
    <row r="237" spans="1:7" hidden="1" x14ac:dyDescent="0.25">
      <c r="A237">
        <v>99</v>
      </c>
      <c r="B237">
        <v>9032</v>
      </c>
      <c r="C237">
        <v>0</v>
      </c>
      <c r="D237">
        <v>0</v>
      </c>
      <c r="E237">
        <v>12</v>
      </c>
      <c r="F237" t="s">
        <v>205</v>
      </c>
      <c r="G237" t="s">
        <v>206</v>
      </c>
    </row>
    <row r="238" spans="1:7" hidden="1" x14ac:dyDescent="0.25">
      <c r="A238">
        <v>99</v>
      </c>
      <c r="B238">
        <v>9072</v>
      </c>
      <c r="C238">
        <v>0</v>
      </c>
      <c r="D238">
        <v>0</v>
      </c>
      <c r="E238">
        <v>12</v>
      </c>
      <c r="F238" t="s">
        <v>205</v>
      </c>
      <c r="G238" t="s">
        <v>206</v>
      </c>
    </row>
    <row r="239" spans="1:7" hidden="1" x14ac:dyDescent="0.25">
      <c r="A239">
        <v>99</v>
      </c>
      <c r="B239">
        <v>9176</v>
      </c>
      <c r="C239">
        <v>0</v>
      </c>
      <c r="D239">
        <v>0</v>
      </c>
      <c r="E239">
        <v>12</v>
      </c>
      <c r="F239" t="s">
        <v>205</v>
      </c>
      <c r="G239" t="s">
        <v>206</v>
      </c>
    </row>
    <row r="240" spans="1:7" hidden="1" x14ac:dyDescent="0.25">
      <c r="A240">
        <v>99</v>
      </c>
      <c r="B240">
        <v>9256</v>
      </c>
      <c r="C240">
        <v>0</v>
      </c>
      <c r="D240">
        <v>0</v>
      </c>
      <c r="E240">
        <v>11</v>
      </c>
      <c r="F240" t="s">
        <v>205</v>
      </c>
      <c r="G240" t="s">
        <v>155</v>
      </c>
    </row>
    <row r="241" spans="1:7" hidden="1" x14ac:dyDescent="0.25">
      <c r="A241">
        <v>99</v>
      </c>
      <c r="B241">
        <v>9272</v>
      </c>
      <c r="C241">
        <v>0</v>
      </c>
      <c r="D241">
        <v>0</v>
      </c>
      <c r="E241">
        <v>12</v>
      </c>
      <c r="F241" t="s">
        <v>205</v>
      </c>
      <c r="G241" t="s">
        <v>206</v>
      </c>
    </row>
    <row r="242" spans="1:7" hidden="1" x14ac:dyDescent="0.25">
      <c r="A242">
        <v>99</v>
      </c>
      <c r="B242">
        <v>9752</v>
      </c>
      <c r="C242">
        <v>0</v>
      </c>
      <c r="D242">
        <v>0</v>
      </c>
      <c r="E242">
        <v>12</v>
      </c>
      <c r="F242" t="s">
        <v>205</v>
      </c>
      <c r="G242" t="s">
        <v>206</v>
      </c>
    </row>
    <row r="243" spans="1:7" hidden="1" x14ac:dyDescent="0.25">
      <c r="A243">
        <v>99</v>
      </c>
      <c r="B243">
        <v>10364</v>
      </c>
      <c r="C243">
        <v>0</v>
      </c>
      <c r="D243">
        <v>0</v>
      </c>
      <c r="E243">
        <v>12</v>
      </c>
      <c r="F243" t="s">
        <v>205</v>
      </c>
      <c r="G243" t="s">
        <v>206</v>
      </c>
    </row>
    <row r="244" spans="1:7" hidden="1" x14ac:dyDescent="0.25">
      <c r="A244">
        <v>99</v>
      </c>
      <c r="B244">
        <v>10420</v>
      </c>
      <c r="C244">
        <v>0</v>
      </c>
      <c r="D244">
        <v>0</v>
      </c>
      <c r="E244">
        <v>12</v>
      </c>
      <c r="F244" t="s">
        <v>205</v>
      </c>
      <c r="G244" t="s">
        <v>206</v>
      </c>
    </row>
    <row r="245" spans="1:7" hidden="1" x14ac:dyDescent="0.25">
      <c r="A245">
        <v>50</v>
      </c>
      <c r="B245">
        <v>476</v>
      </c>
      <c r="C245">
        <v>0</v>
      </c>
      <c r="D245">
        <v>0</v>
      </c>
      <c r="E245">
        <v>10</v>
      </c>
      <c r="F245" t="s">
        <v>202</v>
      </c>
      <c r="G245" t="s">
        <v>336</v>
      </c>
    </row>
    <row r="246" spans="1:7" hidden="1" x14ac:dyDescent="0.25">
      <c r="A246">
        <v>50</v>
      </c>
      <c r="B246">
        <v>1172</v>
      </c>
      <c r="C246">
        <v>0</v>
      </c>
      <c r="D246">
        <v>0</v>
      </c>
      <c r="E246">
        <v>10</v>
      </c>
      <c r="F246" t="s">
        <v>202</v>
      </c>
      <c r="G246" t="s">
        <v>336</v>
      </c>
    </row>
    <row r="247" spans="1:7" hidden="1" x14ac:dyDescent="0.25">
      <c r="A247">
        <v>50</v>
      </c>
      <c r="B247">
        <v>1264</v>
      </c>
      <c r="C247">
        <v>0</v>
      </c>
      <c r="D247">
        <v>0</v>
      </c>
      <c r="E247">
        <v>10</v>
      </c>
      <c r="F247" t="s">
        <v>202</v>
      </c>
      <c r="G247" t="s">
        <v>336</v>
      </c>
    </row>
    <row r="248" spans="1:7" hidden="1" x14ac:dyDescent="0.25">
      <c r="A248">
        <v>50</v>
      </c>
      <c r="B248">
        <v>1476</v>
      </c>
      <c r="C248">
        <v>0</v>
      </c>
      <c r="D248">
        <v>0</v>
      </c>
      <c r="E248">
        <v>10</v>
      </c>
      <c r="F248" t="s">
        <v>202</v>
      </c>
      <c r="G248" t="s">
        <v>336</v>
      </c>
    </row>
    <row r="249" spans="1:7" hidden="1" x14ac:dyDescent="0.25">
      <c r="A249">
        <v>50</v>
      </c>
      <c r="B249">
        <v>2548</v>
      </c>
      <c r="C249">
        <v>0</v>
      </c>
      <c r="D249">
        <v>0</v>
      </c>
      <c r="E249">
        <v>10</v>
      </c>
      <c r="F249" t="s">
        <v>202</v>
      </c>
      <c r="G249" t="s">
        <v>336</v>
      </c>
    </row>
    <row r="250" spans="1:7" hidden="1" x14ac:dyDescent="0.25">
      <c r="A250">
        <v>50</v>
      </c>
      <c r="B250">
        <v>4144</v>
      </c>
      <c r="C250">
        <v>0</v>
      </c>
      <c r="D250">
        <v>0</v>
      </c>
      <c r="E250">
        <v>10</v>
      </c>
      <c r="F250" t="s">
        <v>202</v>
      </c>
      <c r="G250" t="s">
        <v>336</v>
      </c>
    </row>
    <row r="251" spans="1:7" hidden="1" x14ac:dyDescent="0.25">
      <c r="A251">
        <v>50</v>
      </c>
      <c r="B251">
        <v>4228</v>
      </c>
      <c r="C251">
        <v>0</v>
      </c>
      <c r="D251">
        <v>0</v>
      </c>
      <c r="E251">
        <v>10</v>
      </c>
      <c r="F251" t="s">
        <v>202</v>
      </c>
      <c r="G251" t="s">
        <v>336</v>
      </c>
    </row>
    <row r="252" spans="1:7" hidden="1" x14ac:dyDescent="0.25">
      <c r="A252">
        <v>50</v>
      </c>
      <c r="B252">
        <v>4336</v>
      </c>
      <c r="C252">
        <v>0</v>
      </c>
      <c r="D252">
        <v>0</v>
      </c>
      <c r="E252">
        <v>10</v>
      </c>
      <c r="F252" t="s">
        <v>202</v>
      </c>
      <c r="G252" t="s">
        <v>336</v>
      </c>
    </row>
    <row r="253" spans="1:7" hidden="1" x14ac:dyDescent="0.25">
      <c r="A253">
        <v>50</v>
      </c>
      <c r="B253">
        <v>4600</v>
      </c>
      <c r="C253">
        <v>0</v>
      </c>
      <c r="D253">
        <v>0</v>
      </c>
      <c r="E253">
        <v>10</v>
      </c>
      <c r="F253" t="s">
        <v>202</v>
      </c>
      <c r="G253" t="s">
        <v>336</v>
      </c>
    </row>
    <row r="254" spans="1:7" hidden="1" x14ac:dyDescent="0.25">
      <c r="A254">
        <v>50</v>
      </c>
      <c r="B254">
        <v>5004</v>
      </c>
      <c r="C254">
        <v>0</v>
      </c>
      <c r="D254">
        <v>0</v>
      </c>
      <c r="E254">
        <v>10</v>
      </c>
      <c r="F254" t="s">
        <v>202</v>
      </c>
      <c r="G254" t="s">
        <v>336</v>
      </c>
    </row>
    <row r="255" spans="1:7" hidden="1" x14ac:dyDescent="0.25">
      <c r="A255">
        <v>50</v>
      </c>
      <c r="B255">
        <v>5892</v>
      </c>
      <c r="C255">
        <v>0</v>
      </c>
      <c r="D255">
        <v>0</v>
      </c>
      <c r="E255">
        <v>10</v>
      </c>
      <c r="F255" t="s">
        <v>202</v>
      </c>
      <c r="G255" t="s">
        <v>336</v>
      </c>
    </row>
    <row r="256" spans="1:7" hidden="1" x14ac:dyDescent="0.25">
      <c r="A256">
        <v>50</v>
      </c>
      <c r="B256">
        <v>5904</v>
      </c>
      <c r="C256">
        <v>0</v>
      </c>
      <c r="D256">
        <v>0</v>
      </c>
      <c r="E256">
        <v>10</v>
      </c>
      <c r="F256" t="s">
        <v>202</v>
      </c>
      <c r="G256" t="s">
        <v>336</v>
      </c>
    </row>
    <row r="257" spans="1:7" hidden="1" x14ac:dyDescent="0.25">
      <c r="A257">
        <v>50</v>
      </c>
      <c r="B257">
        <v>6280</v>
      </c>
      <c r="C257">
        <v>0</v>
      </c>
      <c r="D257">
        <v>0</v>
      </c>
      <c r="E257">
        <v>10</v>
      </c>
      <c r="F257" t="s">
        <v>202</v>
      </c>
      <c r="G257" t="s">
        <v>336</v>
      </c>
    </row>
    <row r="258" spans="1:7" hidden="1" x14ac:dyDescent="0.25">
      <c r="A258">
        <v>50</v>
      </c>
      <c r="B258">
        <v>6312</v>
      </c>
      <c r="C258">
        <v>0</v>
      </c>
      <c r="D258">
        <v>0</v>
      </c>
      <c r="E258">
        <v>10</v>
      </c>
      <c r="F258" t="s">
        <v>202</v>
      </c>
      <c r="G258" t="s">
        <v>336</v>
      </c>
    </row>
    <row r="259" spans="1:7" hidden="1" x14ac:dyDescent="0.25">
      <c r="A259">
        <v>50</v>
      </c>
      <c r="B259">
        <v>7283</v>
      </c>
      <c r="C259">
        <v>0</v>
      </c>
      <c r="D259">
        <v>0</v>
      </c>
      <c r="E259">
        <v>10</v>
      </c>
      <c r="F259" t="s">
        <v>202</v>
      </c>
      <c r="G259" t="s">
        <v>336</v>
      </c>
    </row>
    <row r="260" spans="1:7" hidden="1" x14ac:dyDescent="0.25">
      <c r="A260">
        <v>50</v>
      </c>
      <c r="B260">
        <v>7284</v>
      </c>
      <c r="C260">
        <v>0</v>
      </c>
      <c r="D260">
        <v>0</v>
      </c>
      <c r="E260">
        <v>10</v>
      </c>
      <c r="F260" t="s">
        <v>202</v>
      </c>
      <c r="G260" t="s">
        <v>336</v>
      </c>
    </row>
    <row r="261" spans="1:7" hidden="1" x14ac:dyDescent="0.25">
      <c r="A261">
        <v>50</v>
      </c>
      <c r="B261">
        <v>7528</v>
      </c>
      <c r="C261">
        <v>0</v>
      </c>
      <c r="D261">
        <v>0</v>
      </c>
      <c r="E261">
        <v>10</v>
      </c>
      <c r="F261" t="s">
        <v>202</v>
      </c>
      <c r="G261" t="s">
        <v>336</v>
      </c>
    </row>
    <row r="262" spans="1:7" hidden="1" x14ac:dyDescent="0.25">
      <c r="A262">
        <v>50</v>
      </c>
      <c r="B262">
        <v>7756</v>
      </c>
      <c r="C262">
        <v>0</v>
      </c>
      <c r="D262">
        <v>0</v>
      </c>
      <c r="E262">
        <v>10</v>
      </c>
      <c r="F262" t="s">
        <v>202</v>
      </c>
      <c r="G262" t="s">
        <v>336</v>
      </c>
    </row>
    <row r="263" spans="1:7" hidden="1" x14ac:dyDescent="0.25">
      <c r="A263">
        <v>50</v>
      </c>
      <c r="B263">
        <v>8256</v>
      </c>
      <c r="C263">
        <v>0</v>
      </c>
      <c r="D263">
        <v>0</v>
      </c>
      <c r="E263">
        <v>10</v>
      </c>
      <c r="F263" t="s">
        <v>202</v>
      </c>
      <c r="G263" t="s">
        <v>336</v>
      </c>
    </row>
    <row r="264" spans="1:7" hidden="1" x14ac:dyDescent="0.25">
      <c r="A264">
        <v>50</v>
      </c>
      <c r="B264">
        <v>9356</v>
      </c>
      <c r="C264">
        <v>0</v>
      </c>
      <c r="D264">
        <v>0</v>
      </c>
      <c r="E264">
        <v>10</v>
      </c>
      <c r="F264" t="s">
        <v>202</v>
      </c>
      <c r="G264" t="s">
        <v>336</v>
      </c>
    </row>
    <row r="265" spans="1:7" hidden="1" x14ac:dyDescent="0.25">
      <c r="A265">
        <v>50</v>
      </c>
      <c r="B265">
        <v>10012</v>
      </c>
      <c r="C265">
        <v>0</v>
      </c>
      <c r="D265">
        <v>0</v>
      </c>
      <c r="E265">
        <v>10</v>
      </c>
      <c r="F265" t="s">
        <v>202</v>
      </c>
      <c r="G265" t="s">
        <v>336</v>
      </c>
    </row>
    <row r="266" spans="1:7" hidden="1" x14ac:dyDescent="0.25">
      <c r="A266">
        <v>50</v>
      </c>
      <c r="B266">
        <v>10064</v>
      </c>
      <c r="C266">
        <v>0</v>
      </c>
      <c r="D266">
        <v>0</v>
      </c>
      <c r="E266">
        <v>10</v>
      </c>
      <c r="F266" t="s">
        <v>202</v>
      </c>
      <c r="G266" t="s">
        <v>336</v>
      </c>
    </row>
    <row r="267" spans="1:7" hidden="1" x14ac:dyDescent="0.25">
      <c r="A267">
        <v>50</v>
      </c>
      <c r="B267">
        <v>10100</v>
      </c>
      <c r="C267">
        <v>0</v>
      </c>
      <c r="D267">
        <v>0</v>
      </c>
      <c r="E267">
        <v>10</v>
      </c>
      <c r="F267" t="s">
        <v>202</v>
      </c>
      <c r="G267" t="s">
        <v>336</v>
      </c>
    </row>
    <row r="268" spans="1:7" hidden="1" x14ac:dyDescent="0.25">
      <c r="A268">
        <v>50</v>
      </c>
      <c r="B268">
        <v>10592</v>
      </c>
      <c r="C268">
        <v>0</v>
      </c>
      <c r="D268">
        <v>0</v>
      </c>
      <c r="E268">
        <v>10</v>
      </c>
      <c r="F268" t="s">
        <v>202</v>
      </c>
      <c r="G268" t="s">
        <v>336</v>
      </c>
    </row>
    <row r="269" spans="1:7" hidden="1" x14ac:dyDescent="0.25">
      <c r="A269">
        <v>99</v>
      </c>
      <c r="B269">
        <v>2068</v>
      </c>
      <c r="C269">
        <v>0</v>
      </c>
      <c r="D269">
        <v>0</v>
      </c>
      <c r="E269">
        <v>10</v>
      </c>
      <c r="F269" t="s">
        <v>202</v>
      </c>
      <c r="G269" t="s">
        <v>203</v>
      </c>
    </row>
    <row r="270" spans="1:7" hidden="1" x14ac:dyDescent="0.25">
      <c r="A270">
        <v>99</v>
      </c>
      <c r="B270">
        <v>2168</v>
      </c>
      <c r="C270">
        <v>0</v>
      </c>
      <c r="D270">
        <v>0</v>
      </c>
      <c r="E270">
        <v>10</v>
      </c>
      <c r="F270" t="s">
        <v>202</v>
      </c>
      <c r="G270" t="s">
        <v>203</v>
      </c>
    </row>
    <row r="271" spans="1:7" hidden="1" x14ac:dyDescent="0.25">
      <c r="A271">
        <v>99</v>
      </c>
      <c r="B271">
        <v>2472</v>
      </c>
      <c r="C271">
        <v>0</v>
      </c>
      <c r="D271">
        <v>0</v>
      </c>
      <c r="E271">
        <v>10</v>
      </c>
      <c r="F271" t="s">
        <v>202</v>
      </c>
      <c r="G271" t="s">
        <v>203</v>
      </c>
    </row>
    <row r="272" spans="1:7" hidden="1" x14ac:dyDescent="0.25">
      <c r="A272">
        <v>99</v>
      </c>
      <c r="B272">
        <v>3056</v>
      </c>
      <c r="C272">
        <v>0</v>
      </c>
      <c r="D272">
        <v>0</v>
      </c>
      <c r="E272">
        <v>10</v>
      </c>
      <c r="F272" t="s">
        <v>202</v>
      </c>
      <c r="G272" t="s">
        <v>203</v>
      </c>
    </row>
    <row r="273" spans="1:7" hidden="1" x14ac:dyDescent="0.25">
      <c r="A273">
        <v>99</v>
      </c>
      <c r="B273">
        <v>3100</v>
      </c>
      <c r="C273">
        <v>0</v>
      </c>
      <c r="D273">
        <v>0</v>
      </c>
      <c r="E273">
        <v>10</v>
      </c>
      <c r="F273" t="s">
        <v>202</v>
      </c>
      <c r="G273" t="s">
        <v>203</v>
      </c>
    </row>
    <row r="274" spans="1:7" hidden="1" x14ac:dyDescent="0.25">
      <c r="A274">
        <v>99</v>
      </c>
      <c r="B274">
        <v>3284</v>
      </c>
      <c r="C274">
        <v>0</v>
      </c>
      <c r="D274">
        <v>0</v>
      </c>
      <c r="E274">
        <v>10</v>
      </c>
      <c r="F274" t="s">
        <v>202</v>
      </c>
      <c r="G274" t="s">
        <v>203</v>
      </c>
    </row>
    <row r="275" spans="1:7" x14ac:dyDescent="0.25">
      <c r="A275">
        <v>99</v>
      </c>
      <c r="B275">
        <v>4124</v>
      </c>
      <c r="C275">
        <v>0</v>
      </c>
      <c r="D275">
        <v>0</v>
      </c>
      <c r="E275">
        <v>10</v>
      </c>
      <c r="F275" t="s">
        <v>202</v>
      </c>
      <c r="G275" t="s">
        <v>203</v>
      </c>
    </row>
    <row r="276" spans="1:7" hidden="1" x14ac:dyDescent="0.25">
      <c r="A276">
        <v>99</v>
      </c>
      <c r="B276">
        <v>5932</v>
      </c>
      <c r="C276">
        <v>0</v>
      </c>
      <c r="D276">
        <v>0</v>
      </c>
      <c r="E276">
        <v>10</v>
      </c>
      <c r="F276" t="s">
        <v>202</v>
      </c>
      <c r="G276" t="s">
        <v>203</v>
      </c>
    </row>
    <row r="277" spans="1:7" hidden="1" x14ac:dyDescent="0.25">
      <c r="A277">
        <v>99</v>
      </c>
      <c r="B277">
        <v>5992</v>
      </c>
      <c r="C277">
        <v>0</v>
      </c>
      <c r="D277">
        <v>0</v>
      </c>
      <c r="E277">
        <v>10</v>
      </c>
      <c r="F277" t="s">
        <v>202</v>
      </c>
      <c r="G277" t="s">
        <v>203</v>
      </c>
    </row>
    <row r="278" spans="1:7" hidden="1" x14ac:dyDescent="0.25">
      <c r="A278">
        <v>99</v>
      </c>
      <c r="B278">
        <v>7188</v>
      </c>
      <c r="C278">
        <v>0</v>
      </c>
      <c r="D278">
        <v>0</v>
      </c>
      <c r="E278">
        <v>9</v>
      </c>
      <c r="F278" t="s">
        <v>202</v>
      </c>
      <c r="G278" t="s">
        <v>209</v>
      </c>
    </row>
    <row r="279" spans="1:7" hidden="1" x14ac:dyDescent="0.25">
      <c r="A279">
        <v>99</v>
      </c>
      <c r="B279">
        <v>7260</v>
      </c>
      <c r="C279">
        <v>0</v>
      </c>
      <c r="D279">
        <v>0</v>
      </c>
      <c r="E279">
        <v>10</v>
      </c>
      <c r="F279" t="s">
        <v>202</v>
      </c>
      <c r="G279" t="s">
        <v>203</v>
      </c>
    </row>
    <row r="280" spans="1:7" hidden="1" x14ac:dyDescent="0.25">
      <c r="A280">
        <v>99</v>
      </c>
      <c r="B280">
        <v>7300</v>
      </c>
      <c r="C280">
        <v>0</v>
      </c>
      <c r="D280">
        <v>0</v>
      </c>
      <c r="E280">
        <v>10</v>
      </c>
      <c r="F280" t="s">
        <v>202</v>
      </c>
      <c r="G280" t="s">
        <v>203</v>
      </c>
    </row>
    <row r="281" spans="1:7" hidden="1" x14ac:dyDescent="0.25">
      <c r="A281">
        <v>99</v>
      </c>
      <c r="B281">
        <v>7552</v>
      </c>
      <c r="C281">
        <v>0</v>
      </c>
      <c r="D281">
        <v>0</v>
      </c>
      <c r="E281">
        <v>10</v>
      </c>
      <c r="F281" t="s">
        <v>202</v>
      </c>
      <c r="G281" t="s">
        <v>203</v>
      </c>
    </row>
    <row r="282" spans="1:7" hidden="1" x14ac:dyDescent="0.25">
      <c r="A282">
        <v>99</v>
      </c>
      <c r="B282">
        <v>8004</v>
      </c>
      <c r="C282">
        <v>0</v>
      </c>
      <c r="D282">
        <v>0</v>
      </c>
      <c r="E282">
        <v>10</v>
      </c>
      <c r="F282" t="s">
        <v>202</v>
      </c>
      <c r="G282" t="s">
        <v>203</v>
      </c>
    </row>
    <row r="283" spans="1:7" hidden="1" x14ac:dyDescent="0.25">
      <c r="A283">
        <v>99</v>
      </c>
      <c r="B283">
        <v>8144</v>
      </c>
      <c r="C283">
        <v>0</v>
      </c>
      <c r="D283">
        <v>0</v>
      </c>
      <c r="E283">
        <v>10</v>
      </c>
      <c r="F283" t="s">
        <v>202</v>
      </c>
      <c r="G283" t="s">
        <v>203</v>
      </c>
    </row>
    <row r="284" spans="1:7" hidden="1" x14ac:dyDescent="0.25">
      <c r="A284">
        <v>99</v>
      </c>
      <c r="B284">
        <v>8668</v>
      </c>
      <c r="C284">
        <v>0</v>
      </c>
      <c r="D284">
        <v>0</v>
      </c>
      <c r="E284">
        <v>10</v>
      </c>
      <c r="F284" t="s">
        <v>202</v>
      </c>
      <c r="G284" t="s">
        <v>203</v>
      </c>
    </row>
    <row r="285" spans="1:7" hidden="1" x14ac:dyDescent="0.25">
      <c r="A285">
        <v>99</v>
      </c>
      <c r="B285">
        <v>8804</v>
      </c>
      <c r="C285">
        <v>0</v>
      </c>
      <c r="D285">
        <v>0</v>
      </c>
      <c r="E285">
        <v>10</v>
      </c>
      <c r="F285" t="s">
        <v>202</v>
      </c>
      <c r="G285" t="s">
        <v>203</v>
      </c>
    </row>
    <row r="286" spans="1:7" hidden="1" x14ac:dyDescent="0.25">
      <c r="A286">
        <v>99</v>
      </c>
      <c r="B286">
        <v>9032</v>
      </c>
      <c r="C286">
        <v>0</v>
      </c>
      <c r="D286">
        <v>0</v>
      </c>
      <c r="E286">
        <v>10</v>
      </c>
      <c r="F286" t="s">
        <v>202</v>
      </c>
      <c r="G286" t="s">
        <v>203</v>
      </c>
    </row>
    <row r="287" spans="1:7" hidden="1" x14ac:dyDescent="0.25">
      <c r="A287">
        <v>99</v>
      </c>
      <c r="B287">
        <v>9072</v>
      </c>
      <c r="C287">
        <v>0</v>
      </c>
      <c r="D287">
        <v>0</v>
      </c>
      <c r="E287">
        <v>10</v>
      </c>
      <c r="F287" t="s">
        <v>202</v>
      </c>
      <c r="G287" t="s">
        <v>203</v>
      </c>
    </row>
    <row r="288" spans="1:7" hidden="1" x14ac:dyDescent="0.25">
      <c r="A288">
        <v>99</v>
      </c>
      <c r="B288">
        <v>9176</v>
      </c>
      <c r="C288">
        <v>0</v>
      </c>
      <c r="D288">
        <v>0</v>
      </c>
      <c r="E288">
        <v>10</v>
      </c>
      <c r="F288" t="s">
        <v>202</v>
      </c>
      <c r="G288" t="s">
        <v>203</v>
      </c>
    </row>
    <row r="289" spans="1:7" hidden="1" x14ac:dyDescent="0.25">
      <c r="A289">
        <v>99</v>
      </c>
      <c r="B289">
        <v>9256</v>
      </c>
      <c r="C289">
        <v>0</v>
      </c>
      <c r="D289">
        <v>0</v>
      </c>
      <c r="E289">
        <v>9</v>
      </c>
      <c r="F289" t="s">
        <v>202</v>
      </c>
      <c r="G289" t="s">
        <v>209</v>
      </c>
    </row>
    <row r="290" spans="1:7" hidden="1" x14ac:dyDescent="0.25">
      <c r="A290">
        <v>99</v>
      </c>
      <c r="B290">
        <v>9272</v>
      </c>
      <c r="C290">
        <v>0</v>
      </c>
      <c r="D290">
        <v>0</v>
      </c>
      <c r="E290">
        <v>10</v>
      </c>
      <c r="F290" t="s">
        <v>202</v>
      </c>
      <c r="G290" t="s">
        <v>203</v>
      </c>
    </row>
    <row r="291" spans="1:7" hidden="1" x14ac:dyDescent="0.25">
      <c r="A291">
        <v>99</v>
      </c>
      <c r="B291">
        <v>9752</v>
      </c>
      <c r="C291">
        <v>0</v>
      </c>
      <c r="D291">
        <v>0</v>
      </c>
      <c r="E291">
        <v>10</v>
      </c>
      <c r="F291" t="s">
        <v>202</v>
      </c>
      <c r="G291" t="s">
        <v>203</v>
      </c>
    </row>
    <row r="292" spans="1:7" hidden="1" x14ac:dyDescent="0.25">
      <c r="A292">
        <v>99</v>
      </c>
      <c r="B292">
        <v>10364</v>
      </c>
      <c r="C292">
        <v>0</v>
      </c>
      <c r="D292">
        <v>0</v>
      </c>
      <c r="E292">
        <v>10</v>
      </c>
      <c r="F292" t="s">
        <v>202</v>
      </c>
      <c r="G292" t="s">
        <v>203</v>
      </c>
    </row>
    <row r="293" spans="1:7" hidden="1" x14ac:dyDescent="0.25">
      <c r="A293">
        <v>99</v>
      </c>
      <c r="B293">
        <v>10420</v>
      </c>
      <c r="C293">
        <v>0</v>
      </c>
      <c r="D293">
        <v>0</v>
      </c>
      <c r="E293">
        <v>10</v>
      </c>
      <c r="F293" t="s">
        <v>202</v>
      </c>
      <c r="G293" t="s">
        <v>203</v>
      </c>
    </row>
    <row r="294" spans="1:7" hidden="1" x14ac:dyDescent="0.25">
      <c r="A294">
        <v>50</v>
      </c>
      <c r="B294">
        <v>476</v>
      </c>
      <c r="C294">
        <v>0</v>
      </c>
      <c r="D294">
        <v>0</v>
      </c>
      <c r="E294">
        <v>11</v>
      </c>
      <c r="F294" t="s">
        <v>204</v>
      </c>
      <c r="G294" t="s">
        <v>129</v>
      </c>
    </row>
    <row r="295" spans="1:7" hidden="1" x14ac:dyDescent="0.25">
      <c r="A295">
        <v>50</v>
      </c>
      <c r="B295">
        <v>1172</v>
      </c>
      <c r="C295">
        <v>0</v>
      </c>
      <c r="D295">
        <v>0</v>
      </c>
      <c r="E295">
        <v>11</v>
      </c>
      <c r="F295" t="s">
        <v>204</v>
      </c>
      <c r="G295" t="s">
        <v>129</v>
      </c>
    </row>
    <row r="296" spans="1:7" hidden="1" x14ac:dyDescent="0.25">
      <c r="A296">
        <v>50</v>
      </c>
      <c r="B296">
        <v>1264</v>
      </c>
      <c r="C296">
        <v>0</v>
      </c>
      <c r="D296">
        <v>0</v>
      </c>
      <c r="E296">
        <v>11</v>
      </c>
      <c r="F296" t="s">
        <v>204</v>
      </c>
      <c r="G296" t="s">
        <v>129</v>
      </c>
    </row>
    <row r="297" spans="1:7" hidden="1" x14ac:dyDescent="0.25">
      <c r="A297">
        <v>50</v>
      </c>
      <c r="B297">
        <v>1476</v>
      </c>
      <c r="C297">
        <v>0</v>
      </c>
      <c r="D297">
        <v>0</v>
      </c>
      <c r="E297">
        <v>11</v>
      </c>
      <c r="F297" t="s">
        <v>204</v>
      </c>
      <c r="G297" t="s">
        <v>129</v>
      </c>
    </row>
    <row r="298" spans="1:7" hidden="1" x14ac:dyDescent="0.25">
      <c r="A298">
        <v>50</v>
      </c>
      <c r="B298">
        <v>2548</v>
      </c>
      <c r="C298">
        <v>0</v>
      </c>
      <c r="D298">
        <v>0</v>
      </c>
      <c r="E298">
        <v>11</v>
      </c>
      <c r="F298" t="s">
        <v>204</v>
      </c>
      <c r="G298" t="s">
        <v>129</v>
      </c>
    </row>
    <row r="299" spans="1:7" hidden="1" x14ac:dyDescent="0.25">
      <c r="A299">
        <v>50</v>
      </c>
      <c r="B299">
        <v>4144</v>
      </c>
      <c r="C299">
        <v>0</v>
      </c>
      <c r="D299">
        <v>0</v>
      </c>
      <c r="E299">
        <v>11</v>
      </c>
      <c r="F299" t="s">
        <v>204</v>
      </c>
      <c r="G299" t="s">
        <v>129</v>
      </c>
    </row>
    <row r="300" spans="1:7" hidden="1" x14ac:dyDescent="0.25">
      <c r="A300">
        <v>50</v>
      </c>
      <c r="B300">
        <v>4228</v>
      </c>
      <c r="C300">
        <v>0</v>
      </c>
      <c r="D300">
        <v>0</v>
      </c>
      <c r="E300">
        <v>11</v>
      </c>
      <c r="F300" t="s">
        <v>204</v>
      </c>
      <c r="G300" t="s">
        <v>129</v>
      </c>
    </row>
    <row r="301" spans="1:7" hidden="1" x14ac:dyDescent="0.25">
      <c r="A301">
        <v>50</v>
      </c>
      <c r="B301">
        <v>4336</v>
      </c>
      <c r="C301">
        <v>0</v>
      </c>
      <c r="D301">
        <v>0</v>
      </c>
      <c r="E301">
        <v>11</v>
      </c>
      <c r="F301" t="s">
        <v>204</v>
      </c>
      <c r="G301" t="s">
        <v>129</v>
      </c>
    </row>
    <row r="302" spans="1:7" hidden="1" x14ac:dyDescent="0.25">
      <c r="A302">
        <v>50</v>
      </c>
      <c r="B302">
        <v>4600</v>
      </c>
      <c r="C302">
        <v>0</v>
      </c>
      <c r="D302">
        <v>0</v>
      </c>
      <c r="E302">
        <v>11</v>
      </c>
      <c r="F302" t="s">
        <v>204</v>
      </c>
      <c r="G302" t="s">
        <v>129</v>
      </c>
    </row>
    <row r="303" spans="1:7" hidden="1" x14ac:dyDescent="0.25">
      <c r="A303">
        <v>50</v>
      </c>
      <c r="B303">
        <v>5004</v>
      </c>
      <c r="C303">
        <v>0</v>
      </c>
      <c r="D303">
        <v>0</v>
      </c>
      <c r="E303">
        <v>11</v>
      </c>
      <c r="F303" t="s">
        <v>204</v>
      </c>
      <c r="G303" t="s">
        <v>129</v>
      </c>
    </row>
    <row r="304" spans="1:7" hidden="1" x14ac:dyDescent="0.25">
      <c r="A304">
        <v>50</v>
      </c>
      <c r="B304">
        <v>5892</v>
      </c>
      <c r="C304">
        <v>0</v>
      </c>
      <c r="D304">
        <v>0</v>
      </c>
      <c r="E304">
        <v>11</v>
      </c>
      <c r="F304" t="s">
        <v>204</v>
      </c>
      <c r="G304" t="s">
        <v>129</v>
      </c>
    </row>
    <row r="305" spans="1:7" hidden="1" x14ac:dyDescent="0.25">
      <c r="A305">
        <v>50</v>
      </c>
      <c r="B305">
        <v>5904</v>
      </c>
      <c r="C305">
        <v>0</v>
      </c>
      <c r="D305">
        <v>0</v>
      </c>
      <c r="E305">
        <v>11</v>
      </c>
      <c r="F305" t="s">
        <v>204</v>
      </c>
      <c r="G305" t="s">
        <v>129</v>
      </c>
    </row>
    <row r="306" spans="1:7" hidden="1" x14ac:dyDescent="0.25">
      <c r="A306">
        <v>50</v>
      </c>
      <c r="B306">
        <v>6280</v>
      </c>
      <c r="C306">
        <v>0</v>
      </c>
      <c r="D306">
        <v>0</v>
      </c>
      <c r="E306">
        <v>11</v>
      </c>
      <c r="F306" t="s">
        <v>204</v>
      </c>
      <c r="G306" t="s">
        <v>129</v>
      </c>
    </row>
    <row r="307" spans="1:7" hidden="1" x14ac:dyDescent="0.25">
      <c r="A307">
        <v>50</v>
      </c>
      <c r="B307">
        <v>6312</v>
      </c>
      <c r="C307">
        <v>0</v>
      </c>
      <c r="D307">
        <v>0</v>
      </c>
      <c r="E307">
        <v>11</v>
      </c>
      <c r="F307" t="s">
        <v>204</v>
      </c>
      <c r="G307" t="s">
        <v>129</v>
      </c>
    </row>
    <row r="308" spans="1:7" hidden="1" x14ac:dyDescent="0.25">
      <c r="A308">
        <v>50</v>
      </c>
      <c r="B308">
        <v>7283</v>
      </c>
      <c r="C308">
        <v>0</v>
      </c>
      <c r="D308">
        <v>0</v>
      </c>
      <c r="E308">
        <v>11</v>
      </c>
      <c r="F308" t="s">
        <v>204</v>
      </c>
      <c r="G308" t="s">
        <v>129</v>
      </c>
    </row>
    <row r="309" spans="1:7" hidden="1" x14ac:dyDescent="0.25">
      <c r="A309">
        <v>50</v>
      </c>
      <c r="B309">
        <v>7284</v>
      </c>
      <c r="C309">
        <v>0</v>
      </c>
      <c r="D309">
        <v>0</v>
      </c>
      <c r="E309">
        <v>11</v>
      </c>
      <c r="F309" t="s">
        <v>204</v>
      </c>
      <c r="G309" t="s">
        <v>129</v>
      </c>
    </row>
    <row r="310" spans="1:7" hidden="1" x14ac:dyDescent="0.25">
      <c r="A310">
        <v>50</v>
      </c>
      <c r="B310">
        <v>7528</v>
      </c>
      <c r="C310">
        <v>0</v>
      </c>
      <c r="D310">
        <v>0</v>
      </c>
      <c r="E310">
        <v>11</v>
      </c>
      <c r="F310" t="s">
        <v>204</v>
      </c>
      <c r="G310" t="s">
        <v>129</v>
      </c>
    </row>
    <row r="311" spans="1:7" hidden="1" x14ac:dyDescent="0.25">
      <c r="A311">
        <v>50</v>
      </c>
      <c r="B311">
        <v>7756</v>
      </c>
      <c r="C311">
        <v>0</v>
      </c>
      <c r="D311">
        <v>0</v>
      </c>
      <c r="E311">
        <v>11</v>
      </c>
      <c r="F311" t="s">
        <v>204</v>
      </c>
      <c r="G311" t="s">
        <v>129</v>
      </c>
    </row>
    <row r="312" spans="1:7" hidden="1" x14ac:dyDescent="0.25">
      <c r="A312">
        <v>50</v>
      </c>
      <c r="B312">
        <v>8256</v>
      </c>
      <c r="C312">
        <v>0</v>
      </c>
      <c r="D312">
        <v>0</v>
      </c>
      <c r="E312">
        <v>11</v>
      </c>
      <c r="F312" t="s">
        <v>204</v>
      </c>
      <c r="G312" t="s">
        <v>129</v>
      </c>
    </row>
    <row r="313" spans="1:7" hidden="1" x14ac:dyDescent="0.25">
      <c r="A313">
        <v>50</v>
      </c>
      <c r="B313">
        <v>9356</v>
      </c>
      <c r="C313">
        <v>0</v>
      </c>
      <c r="D313">
        <v>0</v>
      </c>
      <c r="E313">
        <v>11</v>
      </c>
      <c r="F313" t="s">
        <v>204</v>
      </c>
      <c r="G313" t="s">
        <v>129</v>
      </c>
    </row>
    <row r="314" spans="1:7" hidden="1" x14ac:dyDescent="0.25">
      <c r="A314">
        <v>50</v>
      </c>
      <c r="B314">
        <v>10012</v>
      </c>
      <c r="C314">
        <v>0</v>
      </c>
      <c r="D314">
        <v>0</v>
      </c>
      <c r="E314">
        <v>11</v>
      </c>
      <c r="F314" t="s">
        <v>204</v>
      </c>
      <c r="G314" t="s">
        <v>129</v>
      </c>
    </row>
    <row r="315" spans="1:7" hidden="1" x14ac:dyDescent="0.25">
      <c r="A315">
        <v>50</v>
      </c>
      <c r="B315">
        <v>10064</v>
      </c>
      <c r="C315">
        <v>0</v>
      </c>
      <c r="D315">
        <v>0</v>
      </c>
      <c r="E315">
        <v>11</v>
      </c>
      <c r="F315" t="s">
        <v>204</v>
      </c>
      <c r="G315" t="s">
        <v>129</v>
      </c>
    </row>
    <row r="316" spans="1:7" hidden="1" x14ac:dyDescent="0.25">
      <c r="A316">
        <v>50</v>
      </c>
      <c r="B316">
        <v>10100</v>
      </c>
      <c r="C316">
        <v>0</v>
      </c>
      <c r="D316">
        <v>0</v>
      </c>
      <c r="E316">
        <v>11</v>
      </c>
      <c r="F316" t="s">
        <v>204</v>
      </c>
      <c r="G316" t="s">
        <v>129</v>
      </c>
    </row>
    <row r="317" spans="1:7" hidden="1" x14ac:dyDescent="0.25">
      <c r="A317">
        <v>50</v>
      </c>
      <c r="B317">
        <v>10592</v>
      </c>
      <c r="C317">
        <v>0</v>
      </c>
      <c r="D317">
        <v>0</v>
      </c>
      <c r="E317">
        <v>11</v>
      </c>
      <c r="F317" t="s">
        <v>204</v>
      </c>
      <c r="G317" t="s">
        <v>129</v>
      </c>
    </row>
    <row r="318" spans="1:7" hidden="1" x14ac:dyDescent="0.25">
      <c r="A318">
        <v>99</v>
      </c>
      <c r="B318">
        <v>2068</v>
      </c>
      <c r="C318">
        <v>0</v>
      </c>
      <c r="D318">
        <v>0</v>
      </c>
      <c r="E318">
        <v>11</v>
      </c>
      <c r="F318" t="s">
        <v>204</v>
      </c>
      <c r="G318" t="s">
        <v>129</v>
      </c>
    </row>
    <row r="319" spans="1:7" hidden="1" x14ac:dyDescent="0.25">
      <c r="A319">
        <v>99</v>
      </c>
      <c r="B319">
        <v>2168</v>
      </c>
      <c r="C319">
        <v>0</v>
      </c>
      <c r="D319">
        <v>0</v>
      </c>
      <c r="E319">
        <v>11</v>
      </c>
      <c r="F319" t="s">
        <v>204</v>
      </c>
      <c r="G319" t="s">
        <v>129</v>
      </c>
    </row>
    <row r="320" spans="1:7" hidden="1" x14ac:dyDescent="0.25">
      <c r="A320">
        <v>99</v>
      </c>
      <c r="B320">
        <v>2472</v>
      </c>
      <c r="C320">
        <v>0</v>
      </c>
      <c r="D320">
        <v>0</v>
      </c>
      <c r="E320">
        <v>11</v>
      </c>
      <c r="F320" t="s">
        <v>204</v>
      </c>
      <c r="G320" t="s">
        <v>129</v>
      </c>
    </row>
    <row r="321" spans="1:7" hidden="1" x14ac:dyDescent="0.25">
      <c r="A321">
        <v>99</v>
      </c>
      <c r="B321">
        <v>3056</v>
      </c>
      <c r="C321">
        <v>0</v>
      </c>
      <c r="D321">
        <v>0</v>
      </c>
      <c r="E321">
        <v>11</v>
      </c>
      <c r="F321" t="s">
        <v>204</v>
      </c>
      <c r="G321" t="s">
        <v>129</v>
      </c>
    </row>
    <row r="322" spans="1:7" hidden="1" x14ac:dyDescent="0.25">
      <c r="A322">
        <v>99</v>
      </c>
      <c r="B322">
        <v>3100</v>
      </c>
      <c r="C322">
        <v>0</v>
      </c>
      <c r="D322">
        <v>0</v>
      </c>
      <c r="E322">
        <v>11</v>
      </c>
      <c r="F322" t="s">
        <v>204</v>
      </c>
      <c r="G322" t="s">
        <v>129</v>
      </c>
    </row>
    <row r="323" spans="1:7" hidden="1" x14ac:dyDescent="0.25">
      <c r="A323">
        <v>99</v>
      </c>
      <c r="B323">
        <v>3284</v>
      </c>
      <c r="C323">
        <v>0</v>
      </c>
      <c r="D323">
        <v>0</v>
      </c>
      <c r="E323">
        <v>11</v>
      </c>
      <c r="F323" t="s">
        <v>204</v>
      </c>
      <c r="G323" t="s">
        <v>129</v>
      </c>
    </row>
    <row r="324" spans="1:7" x14ac:dyDescent="0.25">
      <c r="A324">
        <v>99</v>
      </c>
      <c r="B324">
        <v>4124</v>
      </c>
      <c r="C324">
        <v>0</v>
      </c>
      <c r="D324">
        <v>0</v>
      </c>
      <c r="E324">
        <v>11</v>
      </c>
      <c r="F324" t="s">
        <v>204</v>
      </c>
      <c r="G324" t="s">
        <v>129</v>
      </c>
    </row>
    <row r="325" spans="1:7" hidden="1" x14ac:dyDescent="0.25">
      <c r="A325">
        <v>99</v>
      </c>
      <c r="B325">
        <v>5932</v>
      </c>
      <c r="C325">
        <v>0</v>
      </c>
      <c r="D325">
        <v>0</v>
      </c>
      <c r="E325">
        <v>11</v>
      </c>
      <c r="F325" t="s">
        <v>204</v>
      </c>
      <c r="G325" t="s">
        <v>129</v>
      </c>
    </row>
    <row r="326" spans="1:7" hidden="1" x14ac:dyDescent="0.25">
      <c r="A326">
        <v>99</v>
      </c>
      <c r="B326">
        <v>5992</v>
      </c>
      <c r="C326">
        <v>0</v>
      </c>
      <c r="D326">
        <v>0</v>
      </c>
      <c r="E326">
        <v>11</v>
      </c>
      <c r="F326" t="s">
        <v>204</v>
      </c>
      <c r="G326" t="s">
        <v>129</v>
      </c>
    </row>
    <row r="327" spans="1:7" hidden="1" x14ac:dyDescent="0.25">
      <c r="A327">
        <v>99</v>
      </c>
      <c r="B327">
        <v>7188</v>
      </c>
      <c r="C327">
        <v>0</v>
      </c>
      <c r="D327">
        <v>0</v>
      </c>
      <c r="E327">
        <v>10</v>
      </c>
      <c r="F327" t="s">
        <v>204</v>
      </c>
      <c r="G327" t="s">
        <v>129</v>
      </c>
    </row>
    <row r="328" spans="1:7" hidden="1" x14ac:dyDescent="0.25">
      <c r="A328">
        <v>99</v>
      </c>
      <c r="B328">
        <v>7260</v>
      </c>
      <c r="C328">
        <v>0</v>
      </c>
      <c r="D328">
        <v>0</v>
      </c>
      <c r="E328">
        <v>11</v>
      </c>
      <c r="F328" t="s">
        <v>204</v>
      </c>
      <c r="G328" t="s">
        <v>129</v>
      </c>
    </row>
    <row r="329" spans="1:7" hidden="1" x14ac:dyDescent="0.25">
      <c r="A329">
        <v>99</v>
      </c>
      <c r="B329">
        <v>7300</v>
      </c>
      <c r="C329">
        <v>0</v>
      </c>
      <c r="D329">
        <v>0</v>
      </c>
      <c r="E329">
        <v>11</v>
      </c>
      <c r="F329" t="s">
        <v>204</v>
      </c>
      <c r="G329" t="s">
        <v>129</v>
      </c>
    </row>
    <row r="330" spans="1:7" hidden="1" x14ac:dyDescent="0.25">
      <c r="A330">
        <v>99</v>
      </c>
      <c r="B330">
        <v>7552</v>
      </c>
      <c r="C330">
        <v>0</v>
      </c>
      <c r="D330">
        <v>0</v>
      </c>
      <c r="E330">
        <v>11</v>
      </c>
      <c r="F330" t="s">
        <v>204</v>
      </c>
      <c r="G330" t="s">
        <v>129</v>
      </c>
    </row>
    <row r="331" spans="1:7" hidden="1" x14ac:dyDescent="0.25">
      <c r="A331">
        <v>99</v>
      </c>
      <c r="B331">
        <v>8004</v>
      </c>
      <c r="C331">
        <v>0</v>
      </c>
      <c r="D331">
        <v>0</v>
      </c>
      <c r="E331">
        <v>11</v>
      </c>
      <c r="F331" t="s">
        <v>204</v>
      </c>
      <c r="G331" t="s">
        <v>129</v>
      </c>
    </row>
    <row r="332" spans="1:7" hidden="1" x14ac:dyDescent="0.25">
      <c r="A332">
        <v>99</v>
      </c>
      <c r="B332">
        <v>8144</v>
      </c>
      <c r="C332">
        <v>0</v>
      </c>
      <c r="D332">
        <v>0</v>
      </c>
      <c r="E332">
        <v>11</v>
      </c>
      <c r="F332" t="s">
        <v>204</v>
      </c>
      <c r="G332" t="s">
        <v>129</v>
      </c>
    </row>
    <row r="333" spans="1:7" hidden="1" x14ac:dyDescent="0.25">
      <c r="A333">
        <v>99</v>
      </c>
      <c r="B333">
        <v>8668</v>
      </c>
      <c r="C333">
        <v>0</v>
      </c>
      <c r="D333">
        <v>0</v>
      </c>
      <c r="E333">
        <v>11</v>
      </c>
      <c r="F333" t="s">
        <v>204</v>
      </c>
      <c r="G333" t="s">
        <v>129</v>
      </c>
    </row>
    <row r="334" spans="1:7" hidden="1" x14ac:dyDescent="0.25">
      <c r="A334">
        <v>99</v>
      </c>
      <c r="B334">
        <v>8804</v>
      </c>
      <c r="C334">
        <v>0</v>
      </c>
      <c r="D334">
        <v>0</v>
      </c>
      <c r="E334">
        <v>11</v>
      </c>
      <c r="F334" t="s">
        <v>204</v>
      </c>
      <c r="G334" t="s">
        <v>129</v>
      </c>
    </row>
    <row r="335" spans="1:7" hidden="1" x14ac:dyDescent="0.25">
      <c r="A335">
        <v>99</v>
      </c>
      <c r="B335">
        <v>9032</v>
      </c>
      <c r="C335">
        <v>0</v>
      </c>
      <c r="D335">
        <v>0</v>
      </c>
      <c r="E335">
        <v>11</v>
      </c>
      <c r="F335" t="s">
        <v>204</v>
      </c>
      <c r="G335" t="s">
        <v>129</v>
      </c>
    </row>
    <row r="336" spans="1:7" hidden="1" x14ac:dyDescent="0.25">
      <c r="A336">
        <v>99</v>
      </c>
      <c r="B336">
        <v>9072</v>
      </c>
      <c r="C336">
        <v>0</v>
      </c>
      <c r="D336">
        <v>0</v>
      </c>
      <c r="E336">
        <v>11</v>
      </c>
      <c r="F336" t="s">
        <v>204</v>
      </c>
      <c r="G336" t="s">
        <v>129</v>
      </c>
    </row>
    <row r="337" spans="1:7" hidden="1" x14ac:dyDescent="0.25">
      <c r="A337">
        <v>99</v>
      </c>
      <c r="B337">
        <v>9176</v>
      </c>
      <c r="C337">
        <v>0</v>
      </c>
      <c r="D337">
        <v>0</v>
      </c>
      <c r="E337">
        <v>11</v>
      </c>
      <c r="F337" t="s">
        <v>204</v>
      </c>
      <c r="G337" t="s">
        <v>129</v>
      </c>
    </row>
    <row r="338" spans="1:7" hidden="1" x14ac:dyDescent="0.25">
      <c r="A338">
        <v>99</v>
      </c>
      <c r="B338">
        <v>9256</v>
      </c>
      <c r="C338">
        <v>0</v>
      </c>
      <c r="D338">
        <v>0</v>
      </c>
      <c r="E338">
        <v>10</v>
      </c>
      <c r="F338" t="s">
        <v>204</v>
      </c>
      <c r="G338" t="s">
        <v>129</v>
      </c>
    </row>
    <row r="339" spans="1:7" hidden="1" x14ac:dyDescent="0.25">
      <c r="A339">
        <v>99</v>
      </c>
      <c r="B339">
        <v>9272</v>
      </c>
      <c r="C339">
        <v>0</v>
      </c>
      <c r="D339">
        <v>0</v>
      </c>
      <c r="E339">
        <v>11</v>
      </c>
      <c r="F339" t="s">
        <v>204</v>
      </c>
      <c r="G339" t="s">
        <v>129</v>
      </c>
    </row>
    <row r="340" spans="1:7" hidden="1" x14ac:dyDescent="0.25">
      <c r="A340">
        <v>99</v>
      </c>
      <c r="B340">
        <v>9752</v>
      </c>
      <c r="C340">
        <v>0</v>
      </c>
      <c r="D340">
        <v>0</v>
      </c>
      <c r="E340">
        <v>11</v>
      </c>
      <c r="F340" t="s">
        <v>204</v>
      </c>
      <c r="G340" t="s">
        <v>129</v>
      </c>
    </row>
    <row r="341" spans="1:7" hidden="1" x14ac:dyDescent="0.25">
      <c r="A341">
        <v>99</v>
      </c>
      <c r="B341">
        <v>10364</v>
      </c>
      <c r="C341">
        <v>0</v>
      </c>
      <c r="D341">
        <v>0</v>
      </c>
      <c r="E341">
        <v>11</v>
      </c>
      <c r="F341" t="s">
        <v>204</v>
      </c>
      <c r="G341" t="s">
        <v>129</v>
      </c>
    </row>
    <row r="342" spans="1:7" hidden="1" x14ac:dyDescent="0.25">
      <c r="A342">
        <v>99</v>
      </c>
      <c r="B342">
        <v>10420</v>
      </c>
      <c r="C342">
        <v>0</v>
      </c>
      <c r="D342">
        <v>0</v>
      </c>
      <c r="E342">
        <v>11</v>
      </c>
      <c r="F342" t="s">
        <v>204</v>
      </c>
      <c r="G342" t="s">
        <v>129</v>
      </c>
    </row>
    <row r="343" spans="1:7" hidden="1" x14ac:dyDescent="0.25">
      <c r="A343">
        <v>50</v>
      </c>
      <c r="B343">
        <v>476</v>
      </c>
      <c r="C343">
        <v>0</v>
      </c>
      <c r="D343">
        <v>0</v>
      </c>
      <c r="E343">
        <v>13</v>
      </c>
      <c r="F343" t="s">
        <v>207</v>
      </c>
      <c r="G343" t="s">
        <v>124</v>
      </c>
    </row>
    <row r="344" spans="1:7" hidden="1" x14ac:dyDescent="0.25">
      <c r="A344">
        <v>50</v>
      </c>
      <c r="B344">
        <v>1172</v>
      </c>
      <c r="C344">
        <v>0</v>
      </c>
      <c r="D344">
        <v>0</v>
      </c>
      <c r="E344">
        <v>13</v>
      </c>
      <c r="F344" t="s">
        <v>207</v>
      </c>
      <c r="G344" t="s">
        <v>124</v>
      </c>
    </row>
    <row r="345" spans="1:7" hidden="1" x14ac:dyDescent="0.25">
      <c r="A345">
        <v>50</v>
      </c>
      <c r="B345">
        <v>1264</v>
      </c>
      <c r="C345">
        <v>0</v>
      </c>
      <c r="D345">
        <v>0</v>
      </c>
      <c r="E345">
        <v>13</v>
      </c>
      <c r="F345" t="s">
        <v>207</v>
      </c>
      <c r="G345" t="s">
        <v>124</v>
      </c>
    </row>
    <row r="346" spans="1:7" hidden="1" x14ac:dyDescent="0.25">
      <c r="A346">
        <v>50</v>
      </c>
      <c r="B346">
        <v>1476</v>
      </c>
      <c r="C346">
        <v>0</v>
      </c>
      <c r="D346">
        <v>0</v>
      </c>
      <c r="E346">
        <v>13</v>
      </c>
      <c r="F346" t="s">
        <v>207</v>
      </c>
      <c r="G346" t="s">
        <v>124</v>
      </c>
    </row>
    <row r="347" spans="1:7" hidden="1" x14ac:dyDescent="0.25">
      <c r="A347">
        <v>50</v>
      </c>
      <c r="B347">
        <v>2548</v>
      </c>
      <c r="C347">
        <v>0</v>
      </c>
      <c r="D347">
        <v>0</v>
      </c>
      <c r="E347">
        <v>13</v>
      </c>
      <c r="F347" t="s">
        <v>207</v>
      </c>
      <c r="G347" t="s">
        <v>124</v>
      </c>
    </row>
    <row r="348" spans="1:7" hidden="1" x14ac:dyDescent="0.25">
      <c r="A348">
        <v>50</v>
      </c>
      <c r="B348">
        <v>4144</v>
      </c>
      <c r="C348">
        <v>0</v>
      </c>
      <c r="D348">
        <v>0</v>
      </c>
      <c r="E348">
        <v>13</v>
      </c>
      <c r="F348" t="s">
        <v>207</v>
      </c>
      <c r="G348" t="s">
        <v>124</v>
      </c>
    </row>
    <row r="349" spans="1:7" hidden="1" x14ac:dyDescent="0.25">
      <c r="A349">
        <v>50</v>
      </c>
      <c r="B349">
        <v>4228</v>
      </c>
      <c r="C349">
        <v>0</v>
      </c>
      <c r="D349">
        <v>0</v>
      </c>
      <c r="E349">
        <v>13</v>
      </c>
      <c r="F349" t="s">
        <v>207</v>
      </c>
      <c r="G349" t="s">
        <v>124</v>
      </c>
    </row>
    <row r="350" spans="1:7" hidden="1" x14ac:dyDescent="0.25">
      <c r="A350">
        <v>50</v>
      </c>
      <c r="B350">
        <v>4336</v>
      </c>
      <c r="C350">
        <v>0</v>
      </c>
      <c r="D350">
        <v>0</v>
      </c>
      <c r="E350">
        <v>13</v>
      </c>
      <c r="F350" t="s">
        <v>207</v>
      </c>
      <c r="G350" t="s">
        <v>124</v>
      </c>
    </row>
    <row r="351" spans="1:7" hidden="1" x14ac:dyDescent="0.25">
      <c r="A351">
        <v>50</v>
      </c>
      <c r="B351">
        <v>4600</v>
      </c>
      <c r="C351">
        <v>0</v>
      </c>
      <c r="D351">
        <v>0</v>
      </c>
      <c r="E351">
        <v>13</v>
      </c>
      <c r="F351" t="s">
        <v>207</v>
      </c>
      <c r="G351" t="s">
        <v>124</v>
      </c>
    </row>
    <row r="352" spans="1:7" hidden="1" x14ac:dyDescent="0.25">
      <c r="A352">
        <v>50</v>
      </c>
      <c r="B352">
        <v>5004</v>
      </c>
      <c r="C352">
        <v>0</v>
      </c>
      <c r="D352">
        <v>0</v>
      </c>
      <c r="E352">
        <v>13</v>
      </c>
      <c r="F352" t="s">
        <v>207</v>
      </c>
      <c r="G352" t="s">
        <v>124</v>
      </c>
    </row>
    <row r="353" spans="1:7" hidden="1" x14ac:dyDescent="0.25">
      <c r="A353">
        <v>50</v>
      </c>
      <c r="B353">
        <v>5892</v>
      </c>
      <c r="C353">
        <v>0</v>
      </c>
      <c r="D353">
        <v>0</v>
      </c>
      <c r="E353">
        <v>13</v>
      </c>
      <c r="F353" t="s">
        <v>207</v>
      </c>
      <c r="G353" t="s">
        <v>124</v>
      </c>
    </row>
    <row r="354" spans="1:7" hidden="1" x14ac:dyDescent="0.25">
      <c r="A354">
        <v>50</v>
      </c>
      <c r="B354">
        <v>5904</v>
      </c>
      <c r="C354">
        <v>0</v>
      </c>
      <c r="D354">
        <v>0</v>
      </c>
      <c r="E354">
        <v>13</v>
      </c>
      <c r="F354" t="s">
        <v>207</v>
      </c>
      <c r="G354" t="s">
        <v>124</v>
      </c>
    </row>
    <row r="355" spans="1:7" hidden="1" x14ac:dyDescent="0.25">
      <c r="A355">
        <v>50</v>
      </c>
      <c r="B355">
        <v>6280</v>
      </c>
      <c r="C355">
        <v>0</v>
      </c>
      <c r="D355">
        <v>0</v>
      </c>
      <c r="E355">
        <v>13</v>
      </c>
      <c r="F355" t="s">
        <v>207</v>
      </c>
      <c r="G355" t="s">
        <v>124</v>
      </c>
    </row>
    <row r="356" spans="1:7" hidden="1" x14ac:dyDescent="0.25">
      <c r="A356">
        <v>50</v>
      </c>
      <c r="B356">
        <v>6312</v>
      </c>
      <c r="C356">
        <v>0</v>
      </c>
      <c r="D356">
        <v>0</v>
      </c>
      <c r="E356">
        <v>13</v>
      </c>
      <c r="F356" t="s">
        <v>207</v>
      </c>
      <c r="G356" t="s">
        <v>124</v>
      </c>
    </row>
    <row r="357" spans="1:7" hidden="1" x14ac:dyDescent="0.25">
      <c r="A357">
        <v>50</v>
      </c>
      <c r="B357">
        <v>7283</v>
      </c>
      <c r="C357">
        <v>0</v>
      </c>
      <c r="D357">
        <v>0</v>
      </c>
      <c r="E357">
        <v>13</v>
      </c>
      <c r="F357" t="s">
        <v>207</v>
      </c>
      <c r="G357" t="s">
        <v>124</v>
      </c>
    </row>
    <row r="358" spans="1:7" hidden="1" x14ac:dyDescent="0.25">
      <c r="A358">
        <v>50</v>
      </c>
      <c r="B358">
        <v>7284</v>
      </c>
      <c r="C358">
        <v>0</v>
      </c>
      <c r="D358">
        <v>0</v>
      </c>
      <c r="E358">
        <v>13</v>
      </c>
      <c r="F358" t="s">
        <v>207</v>
      </c>
      <c r="G358" t="s">
        <v>124</v>
      </c>
    </row>
    <row r="359" spans="1:7" hidden="1" x14ac:dyDescent="0.25">
      <c r="A359">
        <v>50</v>
      </c>
      <c r="B359">
        <v>7528</v>
      </c>
      <c r="C359">
        <v>0</v>
      </c>
      <c r="D359">
        <v>0</v>
      </c>
      <c r="E359">
        <v>13</v>
      </c>
      <c r="F359" t="s">
        <v>207</v>
      </c>
      <c r="G359" t="s">
        <v>124</v>
      </c>
    </row>
    <row r="360" spans="1:7" hidden="1" x14ac:dyDescent="0.25">
      <c r="A360">
        <v>50</v>
      </c>
      <c r="B360">
        <v>7756</v>
      </c>
      <c r="C360">
        <v>0</v>
      </c>
      <c r="D360">
        <v>0</v>
      </c>
      <c r="E360">
        <v>13</v>
      </c>
      <c r="F360" t="s">
        <v>207</v>
      </c>
      <c r="G360" t="s">
        <v>124</v>
      </c>
    </row>
    <row r="361" spans="1:7" hidden="1" x14ac:dyDescent="0.25">
      <c r="A361">
        <v>50</v>
      </c>
      <c r="B361">
        <v>8256</v>
      </c>
      <c r="C361">
        <v>0</v>
      </c>
      <c r="D361">
        <v>0</v>
      </c>
      <c r="E361">
        <v>13</v>
      </c>
      <c r="F361" t="s">
        <v>207</v>
      </c>
      <c r="G361" t="s">
        <v>124</v>
      </c>
    </row>
    <row r="362" spans="1:7" hidden="1" x14ac:dyDescent="0.25">
      <c r="A362">
        <v>50</v>
      </c>
      <c r="B362">
        <v>9356</v>
      </c>
      <c r="C362">
        <v>0</v>
      </c>
      <c r="D362">
        <v>0</v>
      </c>
      <c r="E362">
        <v>13</v>
      </c>
      <c r="F362" t="s">
        <v>207</v>
      </c>
      <c r="G362" t="s">
        <v>124</v>
      </c>
    </row>
    <row r="363" spans="1:7" hidden="1" x14ac:dyDescent="0.25">
      <c r="A363">
        <v>50</v>
      </c>
      <c r="B363">
        <v>10012</v>
      </c>
      <c r="C363">
        <v>0</v>
      </c>
      <c r="D363">
        <v>0</v>
      </c>
      <c r="E363">
        <v>13</v>
      </c>
      <c r="F363" t="s">
        <v>207</v>
      </c>
      <c r="G363" t="s">
        <v>124</v>
      </c>
    </row>
    <row r="364" spans="1:7" hidden="1" x14ac:dyDescent="0.25">
      <c r="A364">
        <v>50</v>
      </c>
      <c r="B364">
        <v>10064</v>
      </c>
      <c r="C364">
        <v>0</v>
      </c>
      <c r="D364">
        <v>0</v>
      </c>
      <c r="E364">
        <v>13</v>
      </c>
      <c r="F364" t="s">
        <v>207</v>
      </c>
      <c r="G364" t="s">
        <v>124</v>
      </c>
    </row>
    <row r="365" spans="1:7" hidden="1" x14ac:dyDescent="0.25">
      <c r="A365">
        <v>50</v>
      </c>
      <c r="B365">
        <v>10100</v>
      </c>
      <c r="C365">
        <v>0</v>
      </c>
      <c r="D365">
        <v>0</v>
      </c>
      <c r="E365">
        <v>13</v>
      </c>
      <c r="F365" t="s">
        <v>207</v>
      </c>
      <c r="G365" t="s">
        <v>124</v>
      </c>
    </row>
    <row r="366" spans="1:7" hidden="1" x14ac:dyDescent="0.25">
      <c r="A366">
        <v>50</v>
      </c>
      <c r="B366">
        <v>10592</v>
      </c>
      <c r="C366">
        <v>0</v>
      </c>
      <c r="D366">
        <v>0</v>
      </c>
      <c r="E366">
        <v>13</v>
      </c>
      <c r="F366" t="s">
        <v>207</v>
      </c>
      <c r="G366" t="s">
        <v>124</v>
      </c>
    </row>
    <row r="367" spans="1:7" hidden="1" x14ac:dyDescent="0.25">
      <c r="A367">
        <v>99</v>
      </c>
      <c r="B367">
        <v>2068</v>
      </c>
      <c r="C367">
        <v>0</v>
      </c>
      <c r="D367">
        <v>0</v>
      </c>
      <c r="E367">
        <v>13</v>
      </c>
      <c r="F367" t="s">
        <v>207</v>
      </c>
      <c r="G367" t="s">
        <v>124</v>
      </c>
    </row>
    <row r="368" spans="1:7" hidden="1" x14ac:dyDescent="0.25">
      <c r="A368">
        <v>99</v>
      </c>
      <c r="B368">
        <v>2168</v>
      </c>
      <c r="C368">
        <v>0</v>
      </c>
      <c r="D368">
        <v>0</v>
      </c>
      <c r="E368">
        <v>13</v>
      </c>
      <c r="F368" t="s">
        <v>207</v>
      </c>
      <c r="G368" t="s">
        <v>124</v>
      </c>
    </row>
    <row r="369" spans="1:7" hidden="1" x14ac:dyDescent="0.25">
      <c r="A369">
        <v>99</v>
      </c>
      <c r="B369">
        <v>2472</v>
      </c>
      <c r="C369">
        <v>0</v>
      </c>
      <c r="D369">
        <v>0</v>
      </c>
      <c r="E369">
        <v>13</v>
      </c>
      <c r="F369" t="s">
        <v>207</v>
      </c>
      <c r="G369" t="s">
        <v>124</v>
      </c>
    </row>
    <row r="370" spans="1:7" hidden="1" x14ac:dyDescent="0.25">
      <c r="A370">
        <v>99</v>
      </c>
      <c r="B370">
        <v>3056</v>
      </c>
      <c r="C370">
        <v>0</v>
      </c>
      <c r="D370">
        <v>0</v>
      </c>
      <c r="E370">
        <v>13</v>
      </c>
      <c r="F370" t="s">
        <v>207</v>
      </c>
      <c r="G370" t="s">
        <v>124</v>
      </c>
    </row>
    <row r="371" spans="1:7" hidden="1" x14ac:dyDescent="0.25">
      <c r="A371">
        <v>99</v>
      </c>
      <c r="B371">
        <v>3100</v>
      </c>
      <c r="C371">
        <v>0</v>
      </c>
      <c r="D371">
        <v>0</v>
      </c>
      <c r="E371">
        <v>13</v>
      </c>
      <c r="F371" t="s">
        <v>207</v>
      </c>
      <c r="G371" t="s">
        <v>124</v>
      </c>
    </row>
    <row r="372" spans="1:7" hidden="1" x14ac:dyDescent="0.25">
      <c r="A372">
        <v>99</v>
      </c>
      <c r="B372">
        <v>3284</v>
      </c>
      <c r="C372">
        <v>0</v>
      </c>
      <c r="D372">
        <v>0</v>
      </c>
      <c r="E372">
        <v>13</v>
      </c>
      <c r="F372" t="s">
        <v>207</v>
      </c>
      <c r="G372" t="s">
        <v>124</v>
      </c>
    </row>
    <row r="373" spans="1:7" x14ac:dyDescent="0.25">
      <c r="A373">
        <v>99</v>
      </c>
      <c r="B373">
        <v>4124</v>
      </c>
      <c r="C373">
        <v>0</v>
      </c>
      <c r="D373">
        <v>0</v>
      </c>
      <c r="E373">
        <v>13</v>
      </c>
      <c r="F373" t="s">
        <v>207</v>
      </c>
      <c r="G373" t="s">
        <v>124</v>
      </c>
    </row>
    <row r="374" spans="1:7" hidden="1" x14ac:dyDescent="0.25">
      <c r="A374">
        <v>99</v>
      </c>
      <c r="B374">
        <v>5932</v>
      </c>
      <c r="C374">
        <v>0</v>
      </c>
      <c r="D374">
        <v>0</v>
      </c>
      <c r="E374">
        <v>13</v>
      </c>
      <c r="F374" t="s">
        <v>207</v>
      </c>
      <c r="G374" t="s">
        <v>124</v>
      </c>
    </row>
    <row r="375" spans="1:7" hidden="1" x14ac:dyDescent="0.25">
      <c r="A375">
        <v>99</v>
      </c>
      <c r="B375">
        <v>5992</v>
      </c>
      <c r="C375">
        <v>0</v>
      </c>
      <c r="D375">
        <v>0</v>
      </c>
      <c r="E375">
        <v>13</v>
      </c>
      <c r="F375" t="s">
        <v>207</v>
      </c>
      <c r="G375" t="s">
        <v>124</v>
      </c>
    </row>
    <row r="376" spans="1:7" hidden="1" x14ac:dyDescent="0.25">
      <c r="A376">
        <v>99</v>
      </c>
      <c r="B376">
        <v>7260</v>
      </c>
      <c r="C376">
        <v>0</v>
      </c>
      <c r="D376">
        <v>0</v>
      </c>
      <c r="E376">
        <v>13</v>
      </c>
      <c r="F376" t="s">
        <v>207</v>
      </c>
      <c r="G376" t="s">
        <v>124</v>
      </c>
    </row>
    <row r="377" spans="1:7" hidden="1" x14ac:dyDescent="0.25">
      <c r="A377">
        <v>99</v>
      </c>
      <c r="B377">
        <v>7300</v>
      </c>
      <c r="C377">
        <v>0</v>
      </c>
      <c r="D377">
        <v>0</v>
      </c>
      <c r="E377">
        <v>13</v>
      </c>
      <c r="F377" t="s">
        <v>207</v>
      </c>
      <c r="G377" t="s">
        <v>124</v>
      </c>
    </row>
    <row r="378" spans="1:7" hidden="1" x14ac:dyDescent="0.25">
      <c r="A378">
        <v>99</v>
      </c>
      <c r="B378">
        <v>7552</v>
      </c>
      <c r="C378">
        <v>0</v>
      </c>
      <c r="D378">
        <v>0</v>
      </c>
      <c r="E378">
        <v>13</v>
      </c>
      <c r="F378" t="s">
        <v>207</v>
      </c>
      <c r="G378" t="s">
        <v>124</v>
      </c>
    </row>
    <row r="379" spans="1:7" hidden="1" x14ac:dyDescent="0.25">
      <c r="A379">
        <v>99</v>
      </c>
      <c r="B379">
        <v>8004</v>
      </c>
      <c r="C379">
        <v>0</v>
      </c>
      <c r="D379">
        <v>0</v>
      </c>
      <c r="E379">
        <v>13</v>
      </c>
      <c r="F379" t="s">
        <v>207</v>
      </c>
      <c r="G379" t="s">
        <v>124</v>
      </c>
    </row>
    <row r="380" spans="1:7" hidden="1" x14ac:dyDescent="0.25">
      <c r="A380">
        <v>99</v>
      </c>
      <c r="B380">
        <v>8144</v>
      </c>
      <c r="C380">
        <v>0</v>
      </c>
      <c r="D380">
        <v>0</v>
      </c>
      <c r="E380">
        <v>13</v>
      </c>
      <c r="F380" t="s">
        <v>207</v>
      </c>
      <c r="G380" t="s">
        <v>124</v>
      </c>
    </row>
    <row r="381" spans="1:7" hidden="1" x14ac:dyDescent="0.25">
      <c r="A381">
        <v>99</v>
      </c>
      <c r="B381">
        <v>8668</v>
      </c>
      <c r="C381">
        <v>0</v>
      </c>
      <c r="D381">
        <v>0</v>
      </c>
      <c r="E381">
        <v>13</v>
      </c>
      <c r="F381" t="s">
        <v>207</v>
      </c>
      <c r="G381" t="s">
        <v>124</v>
      </c>
    </row>
    <row r="382" spans="1:7" hidden="1" x14ac:dyDescent="0.25">
      <c r="A382">
        <v>99</v>
      </c>
      <c r="B382">
        <v>8804</v>
      </c>
      <c r="C382">
        <v>0</v>
      </c>
      <c r="D382">
        <v>0</v>
      </c>
      <c r="E382">
        <v>13</v>
      </c>
      <c r="F382" t="s">
        <v>207</v>
      </c>
      <c r="G382" t="s">
        <v>124</v>
      </c>
    </row>
    <row r="383" spans="1:7" hidden="1" x14ac:dyDescent="0.25">
      <c r="A383">
        <v>99</v>
      </c>
      <c r="B383">
        <v>9032</v>
      </c>
      <c r="C383">
        <v>0</v>
      </c>
      <c r="D383">
        <v>0</v>
      </c>
      <c r="E383">
        <v>13</v>
      </c>
      <c r="F383" t="s">
        <v>207</v>
      </c>
      <c r="G383" t="s">
        <v>124</v>
      </c>
    </row>
    <row r="384" spans="1:7" hidden="1" x14ac:dyDescent="0.25">
      <c r="A384">
        <v>99</v>
      </c>
      <c r="B384">
        <v>9072</v>
      </c>
      <c r="C384">
        <v>0</v>
      </c>
      <c r="D384">
        <v>0</v>
      </c>
      <c r="E384">
        <v>13</v>
      </c>
      <c r="F384" t="s">
        <v>207</v>
      </c>
      <c r="G384" t="s">
        <v>124</v>
      </c>
    </row>
    <row r="385" spans="1:7" hidden="1" x14ac:dyDescent="0.25">
      <c r="A385">
        <v>99</v>
      </c>
      <c r="B385">
        <v>9176</v>
      </c>
      <c r="C385">
        <v>0</v>
      </c>
      <c r="D385">
        <v>0</v>
      </c>
      <c r="E385">
        <v>13</v>
      </c>
      <c r="F385" t="s">
        <v>207</v>
      </c>
      <c r="G385" t="s">
        <v>124</v>
      </c>
    </row>
    <row r="386" spans="1:7" hidden="1" x14ac:dyDescent="0.25">
      <c r="A386">
        <v>99</v>
      </c>
      <c r="B386">
        <v>9272</v>
      </c>
      <c r="C386">
        <v>0</v>
      </c>
      <c r="D386">
        <v>0</v>
      </c>
      <c r="E386">
        <v>13</v>
      </c>
      <c r="F386" t="s">
        <v>207</v>
      </c>
      <c r="G386" t="s">
        <v>124</v>
      </c>
    </row>
    <row r="387" spans="1:7" hidden="1" x14ac:dyDescent="0.25">
      <c r="A387">
        <v>99</v>
      </c>
      <c r="B387">
        <v>9752</v>
      </c>
      <c r="C387">
        <v>0</v>
      </c>
      <c r="D387">
        <v>0</v>
      </c>
      <c r="E387">
        <v>13</v>
      </c>
      <c r="F387" t="s">
        <v>207</v>
      </c>
      <c r="G387" t="s">
        <v>124</v>
      </c>
    </row>
    <row r="388" spans="1:7" hidden="1" x14ac:dyDescent="0.25">
      <c r="A388">
        <v>99</v>
      </c>
      <c r="B388">
        <v>10364</v>
      </c>
      <c r="C388">
        <v>0</v>
      </c>
      <c r="D388">
        <v>0</v>
      </c>
      <c r="E388">
        <v>13</v>
      </c>
      <c r="F388" t="s">
        <v>207</v>
      </c>
      <c r="G388" t="s">
        <v>124</v>
      </c>
    </row>
    <row r="389" spans="1:7" hidden="1" x14ac:dyDescent="0.25">
      <c r="A389">
        <v>99</v>
      </c>
      <c r="B389">
        <v>10420</v>
      </c>
      <c r="C389">
        <v>0</v>
      </c>
      <c r="D389">
        <v>0</v>
      </c>
      <c r="E389">
        <v>13</v>
      </c>
      <c r="F389" t="s">
        <v>207</v>
      </c>
      <c r="G389" t="s">
        <v>124</v>
      </c>
    </row>
    <row r="390" spans="1:7" hidden="1" x14ac:dyDescent="0.25">
      <c r="A390">
        <v>50</v>
      </c>
      <c r="B390">
        <v>476</v>
      </c>
      <c r="C390">
        <v>0</v>
      </c>
      <c r="D390">
        <v>0</v>
      </c>
      <c r="E390">
        <v>16</v>
      </c>
      <c r="F390" t="s">
        <v>211</v>
      </c>
      <c r="G390" t="s">
        <v>155</v>
      </c>
    </row>
    <row r="391" spans="1:7" hidden="1" x14ac:dyDescent="0.25">
      <c r="A391">
        <v>50</v>
      </c>
      <c r="B391">
        <v>1172</v>
      </c>
      <c r="C391">
        <v>0</v>
      </c>
      <c r="D391">
        <v>0</v>
      </c>
      <c r="E391">
        <v>16</v>
      </c>
      <c r="F391" t="s">
        <v>211</v>
      </c>
      <c r="G391" t="s">
        <v>155</v>
      </c>
    </row>
    <row r="392" spans="1:7" hidden="1" x14ac:dyDescent="0.25">
      <c r="A392">
        <v>50</v>
      </c>
      <c r="B392">
        <v>1264</v>
      </c>
      <c r="C392">
        <v>0</v>
      </c>
      <c r="D392">
        <v>0</v>
      </c>
      <c r="E392">
        <v>16</v>
      </c>
      <c r="F392" t="s">
        <v>211</v>
      </c>
      <c r="G392" t="s">
        <v>155</v>
      </c>
    </row>
    <row r="393" spans="1:7" hidden="1" x14ac:dyDescent="0.25">
      <c r="A393">
        <v>50</v>
      </c>
      <c r="B393">
        <v>1476</v>
      </c>
      <c r="C393">
        <v>0</v>
      </c>
      <c r="D393">
        <v>0</v>
      </c>
      <c r="E393">
        <v>16</v>
      </c>
      <c r="F393" t="s">
        <v>211</v>
      </c>
      <c r="G393" t="s">
        <v>155</v>
      </c>
    </row>
    <row r="394" spans="1:7" hidden="1" x14ac:dyDescent="0.25">
      <c r="A394">
        <v>50</v>
      </c>
      <c r="B394">
        <v>2548</v>
      </c>
      <c r="C394">
        <v>0</v>
      </c>
      <c r="D394">
        <v>0</v>
      </c>
      <c r="E394">
        <v>16</v>
      </c>
      <c r="F394" t="s">
        <v>211</v>
      </c>
      <c r="G394" t="s">
        <v>155</v>
      </c>
    </row>
    <row r="395" spans="1:7" hidden="1" x14ac:dyDescent="0.25">
      <c r="A395">
        <v>50</v>
      </c>
      <c r="B395">
        <v>4144</v>
      </c>
      <c r="C395">
        <v>0</v>
      </c>
      <c r="D395">
        <v>0</v>
      </c>
      <c r="E395">
        <v>16</v>
      </c>
      <c r="F395" t="s">
        <v>211</v>
      </c>
      <c r="G395" t="s">
        <v>155</v>
      </c>
    </row>
    <row r="396" spans="1:7" hidden="1" x14ac:dyDescent="0.25">
      <c r="A396">
        <v>50</v>
      </c>
      <c r="B396">
        <v>4228</v>
      </c>
      <c r="C396">
        <v>0</v>
      </c>
      <c r="D396">
        <v>0</v>
      </c>
      <c r="E396">
        <v>16</v>
      </c>
      <c r="F396" t="s">
        <v>211</v>
      </c>
      <c r="G396" t="s">
        <v>155</v>
      </c>
    </row>
    <row r="397" spans="1:7" hidden="1" x14ac:dyDescent="0.25">
      <c r="A397">
        <v>50</v>
      </c>
      <c r="B397">
        <v>4336</v>
      </c>
      <c r="C397">
        <v>0</v>
      </c>
      <c r="D397">
        <v>0</v>
      </c>
      <c r="E397">
        <v>16</v>
      </c>
      <c r="F397" t="s">
        <v>211</v>
      </c>
      <c r="G397" t="s">
        <v>155</v>
      </c>
    </row>
    <row r="398" spans="1:7" hidden="1" x14ac:dyDescent="0.25">
      <c r="A398">
        <v>50</v>
      </c>
      <c r="B398">
        <v>4600</v>
      </c>
      <c r="C398">
        <v>0</v>
      </c>
      <c r="D398">
        <v>0</v>
      </c>
      <c r="E398">
        <v>16</v>
      </c>
      <c r="F398" t="s">
        <v>211</v>
      </c>
      <c r="G398" t="s">
        <v>155</v>
      </c>
    </row>
    <row r="399" spans="1:7" hidden="1" x14ac:dyDescent="0.25">
      <c r="A399">
        <v>50</v>
      </c>
      <c r="B399">
        <v>5004</v>
      </c>
      <c r="C399">
        <v>0</v>
      </c>
      <c r="D399">
        <v>0</v>
      </c>
      <c r="E399">
        <v>16</v>
      </c>
      <c r="F399" t="s">
        <v>211</v>
      </c>
      <c r="G399" t="s">
        <v>155</v>
      </c>
    </row>
    <row r="400" spans="1:7" hidden="1" x14ac:dyDescent="0.25">
      <c r="A400">
        <v>50</v>
      </c>
      <c r="B400">
        <v>5892</v>
      </c>
      <c r="C400">
        <v>0</v>
      </c>
      <c r="D400">
        <v>0</v>
      </c>
      <c r="E400">
        <v>16</v>
      </c>
      <c r="F400" t="s">
        <v>211</v>
      </c>
      <c r="G400" t="s">
        <v>155</v>
      </c>
    </row>
    <row r="401" spans="1:7" hidden="1" x14ac:dyDescent="0.25">
      <c r="A401">
        <v>50</v>
      </c>
      <c r="B401">
        <v>5904</v>
      </c>
      <c r="C401">
        <v>0</v>
      </c>
      <c r="D401">
        <v>0</v>
      </c>
      <c r="E401">
        <v>16</v>
      </c>
      <c r="F401" t="s">
        <v>211</v>
      </c>
      <c r="G401" t="s">
        <v>155</v>
      </c>
    </row>
    <row r="402" spans="1:7" hidden="1" x14ac:dyDescent="0.25">
      <c r="A402">
        <v>50</v>
      </c>
      <c r="B402">
        <v>6280</v>
      </c>
      <c r="C402">
        <v>0</v>
      </c>
      <c r="D402">
        <v>0</v>
      </c>
      <c r="E402">
        <v>16</v>
      </c>
      <c r="F402" t="s">
        <v>211</v>
      </c>
      <c r="G402" t="s">
        <v>155</v>
      </c>
    </row>
    <row r="403" spans="1:7" hidden="1" x14ac:dyDescent="0.25">
      <c r="A403">
        <v>50</v>
      </c>
      <c r="B403">
        <v>6312</v>
      </c>
      <c r="C403">
        <v>0</v>
      </c>
      <c r="D403">
        <v>0</v>
      </c>
      <c r="E403">
        <v>16</v>
      </c>
      <c r="F403" t="s">
        <v>211</v>
      </c>
      <c r="G403" t="s">
        <v>155</v>
      </c>
    </row>
    <row r="404" spans="1:7" hidden="1" x14ac:dyDescent="0.25">
      <c r="A404">
        <v>50</v>
      </c>
      <c r="B404">
        <v>7283</v>
      </c>
      <c r="C404">
        <v>0</v>
      </c>
      <c r="D404">
        <v>0</v>
      </c>
      <c r="E404">
        <v>16</v>
      </c>
      <c r="F404" t="s">
        <v>211</v>
      </c>
      <c r="G404" t="s">
        <v>155</v>
      </c>
    </row>
    <row r="405" spans="1:7" hidden="1" x14ac:dyDescent="0.25">
      <c r="A405">
        <v>50</v>
      </c>
      <c r="B405">
        <v>7284</v>
      </c>
      <c r="C405">
        <v>0</v>
      </c>
      <c r="D405">
        <v>0</v>
      </c>
      <c r="E405">
        <v>16</v>
      </c>
      <c r="F405" t="s">
        <v>211</v>
      </c>
      <c r="G405" t="s">
        <v>155</v>
      </c>
    </row>
    <row r="406" spans="1:7" hidden="1" x14ac:dyDescent="0.25">
      <c r="A406">
        <v>50</v>
      </c>
      <c r="B406">
        <v>7528</v>
      </c>
      <c r="C406">
        <v>0</v>
      </c>
      <c r="D406">
        <v>0</v>
      </c>
      <c r="E406">
        <v>16</v>
      </c>
      <c r="F406" t="s">
        <v>211</v>
      </c>
      <c r="G406" t="s">
        <v>155</v>
      </c>
    </row>
    <row r="407" spans="1:7" hidden="1" x14ac:dyDescent="0.25">
      <c r="A407">
        <v>50</v>
      </c>
      <c r="B407">
        <v>7756</v>
      </c>
      <c r="C407">
        <v>0</v>
      </c>
      <c r="D407">
        <v>0</v>
      </c>
      <c r="E407">
        <v>16</v>
      </c>
      <c r="F407" t="s">
        <v>211</v>
      </c>
      <c r="G407" t="s">
        <v>155</v>
      </c>
    </row>
    <row r="408" spans="1:7" hidden="1" x14ac:dyDescent="0.25">
      <c r="A408">
        <v>50</v>
      </c>
      <c r="B408">
        <v>8256</v>
      </c>
      <c r="C408">
        <v>0</v>
      </c>
      <c r="D408">
        <v>0</v>
      </c>
      <c r="E408">
        <v>16</v>
      </c>
      <c r="F408" t="s">
        <v>211</v>
      </c>
      <c r="G408" t="s">
        <v>155</v>
      </c>
    </row>
    <row r="409" spans="1:7" hidden="1" x14ac:dyDescent="0.25">
      <c r="A409">
        <v>50</v>
      </c>
      <c r="B409">
        <v>9356</v>
      </c>
      <c r="C409">
        <v>0</v>
      </c>
      <c r="D409">
        <v>0</v>
      </c>
      <c r="E409">
        <v>16</v>
      </c>
      <c r="F409" t="s">
        <v>211</v>
      </c>
      <c r="G409" t="s">
        <v>155</v>
      </c>
    </row>
    <row r="410" spans="1:7" hidden="1" x14ac:dyDescent="0.25">
      <c r="A410">
        <v>50</v>
      </c>
      <c r="B410">
        <v>10012</v>
      </c>
      <c r="C410">
        <v>0</v>
      </c>
      <c r="D410">
        <v>0</v>
      </c>
      <c r="E410">
        <v>16</v>
      </c>
      <c r="F410" t="s">
        <v>211</v>
      </c>
      <c r="G410" t="s">
        <v>155</v>
      </c>
    </row>
    <row r="411" spans="1:7" hidden="1" x14ac:dyDescent="0.25">
      <c r="A411">
        <v>50</v>
      </c>
      <c r="B411">
        <v>10064</v>
      </c>
      <c r="C411">
        <v>0</v>
      </c>
      <c r="D411">
        <v>0</v>
      </c>
      <c r="E411">
        <v>16</v>
      </c>
      <c r="F411" t="s">
        <v>211</v>
      </c>
      <c r="G411" t="s">
        <v>155</v>
      </c>
    </row>
    <row r="412" spans="1:7" hidden="1" x14ac:dyDescent="0.25">
      <c r="A412">
        <v>50</v>
      </c>
      <c r="B412">
        <v>10100</v>
      </c>
      <c r="C412">
        <v>0</v>
      </c>
      <c r="D412">
        <v>0</v>
      </c>
      <c r="E412">
        <v>16</v>
      </c>
      <c r="F412" t="s">
        <v>211</v>
      </c>
      <c r="G412" t="s">
        <v>155</v>
      </c>
    </row>
    <row r="413" spans="1:7" hidden="1" x14ac:dyDescent="0.25">
      <c r="A413">
        <v>50</v>
      </c>
      <c r="B413">
        <v>10592</v>
      </c>
      <c r="C413">
        <v>0</v>
      </c>
      <c r="D413">
        <v>0</v>
      </c>
      <c r="E413">
        <v>16</v>
      </c>
      <c r="F413" t="s">
        <v>211</v>
      </c>
      <c r="G413" t="s">
        <v>155</v>
      </c>
    </row>
    <row r="414" spans="1:7" hidden="1" x14ac:dyDescent="0.25">
      <c r="A414">
        <v>99</v>
      </c>
      <c r="B414">
        <v>2068</v>
      </c>
      <c r="C414">
        <v>0</v>
      </c>
      <c r="D414">
        <v>0</v>
      </c>
      <c r="E414">
        <v>16</v>
      </c>
      <c r="F414" t="s">
        <v>211</v>
      </c>
      <c r="G414" t="s">
        <v>155</v>
      </c>
    </row>
    <row r="415" spans="1:7" hidden="1" x14ac:dyDescent="0.25">
      <c r="A415">
        <v>99</v>
      </c>
      <c r="B415">
        <v>2168</v>
      </c>
      <c r="C415">
        <v>0</v>
      </c>
      <c r="D415">
        <v>0</v>
      </c>
      <c r="E415">
        <v>16</v>
      </c>
      <c r="F415" t="s">
        <v>211</v>
      </c>
      <c r="G415" t="s">
        <v>155</v>
      </c>
    </row>
    <row r="416" spans="1:7" hidden="1" x14ac:dyDescent="0.25">
      <c r="A416">
        <v>99</v>
      </c>
      <c r="B416">
        <v>2472</v>
      </c>
      <c r="C416">
        <v>0</v>
      </c>
      <c r="D416">
        <v>0</v>
      </c>
      <c r="E416">
        <v>16</v>
      </c>
      <c r="F416" t="s">
        <v>211</v>
      </c>
      <c r="G416" t="s">
        <v>155</v>
      </c>
    </row>
    <row r="417" spans="1:7" hidden="1" x14ac:dyDescent="0.25">
      <c r="A417">
        <v>99</v>
      </c>
      <c r="B417">
        <v>3056</v>
      </c>
      <c r="C417">
        <v>0</v>
      </c>
      <c r="D417">
        <v>0</v>
      </c>
      <c r="E417">
        <v>16</v>
      </c>
      <c r="F417" t="s">
        <v>211</v>
      </c>
      <c r="G417" t="s">
        <v>155</v>
      </c>
    </row>
    <row r="418" spans="1:7" hidden="1" x14ac:dyDescent="0.25">
      <c r="A418">
        <v>99</v>
      </c>
      <c r="B418">
        <v>3100</v>
      </c>
      <c r="C418">
        <v>0</v>
      </c>
      <c r="D418">
        <v>0</v>
      </c>
      <c r="E418">
        <v>16</v>
      </c>
      <c r="F418" t="s">
        <v>211</v>
      </c>
      <c r="G418" t="s">
        <v>155</v>
      </c>
    </row>
    <row r="419" spans="1:7" hidden="1" x14ac:dyDescent="0.25">
      <c r="A419">
        <v>99</v>
      </c>
      <c r="B419">
        <v>3284</v>
      </c>
      <c r="C419">
        <v>0</v>
      </c>
      <c r="D419">
        <v>0</v>
      </c>
      <c r="E419">
        <v>16</v>
      </c>
      <c r="F419" t="s">
        <v>211</v>
      </c>
      <c r="G419" t="s">
        <v>155</v>
      </c>
    </row>
    <row r="420" spans="1:7" x14ac:dyDescent="0.25">
      <c r="A420">
        <v>99</v>
      </c>
      <c r="B420">
        <v>4124</v>
      </c>
      <c r="C420">
        <v>0</v>
      </c>
      <c r="D420">
        <v>0</v>
      </c>
      <c r="E420">
        <v>16</v>
      </c>
      <c r="F420" t="s">
        <v>211</v>
      </c>
      <c r="G420" t="s">
        <v>155</v>
      </c>
    </row>
    <row r="421" spans="1:7" hidden="1" x14ac:dyDescent="0.25">
      <c r="A421">
        <v>99</v>
      </c>
      <c r="B421">
        <v>5932</v>
      </c>
      <c r="C421">
        <v>0</v>
      </c>
      <c r="D421">
        <v>0</v>
      </c>
      <c r="E421">
        <v>16</v>
      </c>
      <c r="F421" t="s">
        <v>211</v>
      </c>
      <c r="G421" t="s">
        <v>155</v>
      </c>
    </row>
    <row r="422" spans="1:7" hidden="1" x14ac:dyDescent="0.25">
      <c r="A422">
        <v>99</v>
      </c>
      <c r="B422">
        <v>5992</v>
      </c>
      <c r="C422">
        <v>0</v>
      </c>
      <c r="D422">
        <v>0</v>
      </c>
      <c r="E422">
        <v>16</v>
      </c>
      <c r="F422" t="s">
        <v>211</v>
      </c>
      <c r="G422" t="s">
        <v>155</v>
      </c>
    </row>
    <row r="423" spans="1:7" hidden="1" x14ac:dyDescent="0.25">
      <c r="A423">
        <v>99</v>
      </c>
      <c r="B423">
        <v>7260</v>
      </c>
      <c r="C423">
        <v>0</v>
      </c>
      <c r="D423">
        <v>0</v>
      </c>
      <c r="E423">
        <v>16</v>
      </c>
      <c r="F423" t="s">
        <v>211</v>
      </c>
      <c r="G423" t="s">
        <v>155</v>
      </c>
    </row>
    <row r="424" spans="1:7" hidden="1" x14ac:dyDescent="0.25">
      <c r="A424">
        <v>99</v>
      </c>
      <c r="B424">
        <v>7300</v>
      </c>
      <c r="C424">
        <v>0</v>
      </c>
      <c r="D424">
        <v>0</v>
      </c>
      <c r="E424">
        <v>16</v>
      </c>
      <c r="F424" t="s">
        <v>211</v>
      </c>
      <c r="G424" t="s">
        <v>155</v>
      </c>
    </row>
    <row r="425" spans="1:7" hidden="1" x14ac:dyDescent="0.25">
      <c r="A425">
        <v>99</v>
      </c>
      <c r="B425">
        <v>7552</v>
      </c>
      <c r="C425">
        <v>0</v>
      </c>
      <c r="D425">
        <v>0</v>
      </c>
      <c r="E425">
        <v>16</v>
      </c>
      <c r="F425" t="s">
        <v>211</v>
      </c>
      <c r="G425" t="s">
        <v>155</v>
      </c>
    </row>
    <row r="426" spans="1:7" hidden="1" x14ac:dyDescent="0.25">
      <c r="A426">
        <v>99</v>
      </c>
      <c r="B426">
        <v>8004</v>
      </c>
      <c r="C426">
        <v>0</v>
      </c>
      <c r="D426">
        <v>0</v>
      </c>
      <c r="E426">
        <v>16</v>
      </c>
      <c r="F426" t="s">
        <v>211</v>
      </c>
      <c r="G426" t="s">
        <v>155</v>
      </c>
    </row>
    <row r="427" spans="1:7" hidden="1" x14ac:dyDescent="0.25">
      <c r="A427">
        <v>99</v>
      </c>
      <c r="B427">
        <v>8144</v>
      </c>
      <c r="C427">
        <v>0</v>
      </c>
      <c r="D427">
        <v>0</v>
      </c>
      <c r="E427">
        <v>16</v>
      </c>
      <c r="F427" t="s">
        <v>211</v>
      </c>
      <c r="G427" t="s">
        <v>155</v>
      </c>
    </row>
    <row r="428" spans="1:7" hidden="1" x14ac:dyDescent="0.25">
      <c r="A428">
        <v>99</v>
      </c>
      <c r="B428">
        <v>8668</v>
      </c>
      <c r="C428">
        <v>0</v>
      </c>
      <c r="D428">
        <v>0</v>
      </c>
      <c r="E428">
        <v>16</v>
      </c>
      <c r="F428" t="s">
        <v>211</v>
      </c>
      <c r="G428" t="s">
        <v>155</v>
      </c>
    </row>
    <row r="429" spans="1:7" hidden="1" x14ac:dyDescent="0.25">
      <c r="A429">
        <v>99</v>
      </c>
      <c r="B429">
        <v>8804</v>
      </c>
      <c r="C429">
        <v>0</v>
      </c>
      <c r="D429">
        <v>0</v>
      </c>
      <c r="E429">
        <v>16</v>
      </c>
      <c r="F429" t="s">
        <v>211</v>
      </c>
      <c r="G429" t="s">
        <v>155</v>
      </c>
    </row>
    <row r="430" spans="1:7" hidden="1" x14ac:dyDescent="0.25">
      <c r="A430">
        <v>99</v>
      </c>
      <c r="B430">
        <v>9032</v>
      </c>
      <c r="C430">
        <v>0</v>
      </c>
      <c r="D430">
        <v>0</v>
      </c>
      <c r="E430">
        <v>16</v>
      </c>
      <c r="F430" t="s">
        <v>211</v>
      </c>
      <c r="G430" t="s">
        <v>155</v>
      </c>
    </row>
    <row r="431" spans="1:7" hidden="1" x14ac:dyDescent="0.25">
      <c r="A431">
        <v>99</v>
      </c>
      <c r="B431">
        <v>9072</v>
      </c>
      <c r="C431">
        <v>0</v>
      </c>
      <c r="D431">
        <v>0</v>
      </c>
      <c r="E431">
        <v>16</v>
      </c>
      <c r="F431" t="s">
        <v>211</v>
      </c>
      <c r="G431" t="s">
        <v>155</v>
      </c>
    </row>
    <row r="432" spans="1:7" hidden="1" x14ac:dyDescent="0.25">
      <c r="A432">
        <v>99</v>
      </c>
      <c r="B432">
        <v>9176</v>
      </c>
      <c r="C432">
        <v>0</v>
      </c>
      <c r="D432">
        <v>0</v>
      </c>
      <c r="E432">
        <v>16</v>
      </c>
      <c r="F432" t="s">
        <v>211</v>
      </c>
      <c r="G432" t="s">
        <v>155</v>
      </c>
    </row>
    <row r="433" spans="1:7" hidden="1" x14ac:dyDescent="0.25">
      <c r="A433">
        <v>99</v>
      </c>
      <c r="B433">
        <v>9272</v>
      </c>
      <c r="C433">
        <v>0</v>
      </c>
      <c r="D433">
        <v>0</v>
      </c>
      <c r="E433">
        <v>16</v>
      </c>
      <c r="F433" t="s">
        <v>211</v>
      </c>
      <c r="G433" t="s">
        <v>155</v>
      </c>
    </row>
    <row r="434" spans="1:7" hidden="1" x14ac:dyDescent="0.25">
      <c r="A434">
        <v>99</v>
      </c>
      <c r="B434">
        <v>9752</v>
      </c>
      <c r="C434">
        <v>0</v>
      </c>
      <c r="D434">
        <v>0</v>
      </c>
      <c r="E434">
        <v>16</v>
      </c>
      <c r="F434" t="s">
        <v>211</v>
      </c>
      <c r="G434" t="s">
        <v>155</v>
      </c>
    </row>
    <row r="435" spans="1:7" hidden="1" x14ac:dyDescent="0.25">
      <c r="A435">
        <v>99</v>
      </c>
      <c r="B435">
        <v>10364</v>
      </c>
      <c r="C435">
        <v>0</v>
      </c>
      <c r="D435">
        <v>0</v>
      </c>
      <c r="E435">
        <v>16</v>
      </c>
      <c r="F435" t="s">
        <v>211</v>
      </c>
      <c r="G435" t="s">
        <v>155</v>
      </c>
    </row>
    <row r="436" spans="1:7" hidden="1" x14ac:dyDescent="0.25">
      <c r="A436">
        <v>99</v>
      </c>
      <c r="B436">
        <v>10420</v>
      </c>
      <c r="C436">
        <v>0</v>
      </c>
      <c r="D436">
        <v>0</v>
      </c>
      <c r="E436">
        <v>16</v>
      </c>
      <c r="F436" t="s">
        <v>211</v>
      </c>
      <c r="G436" t="s">
        <v>155</v>
      </c>
    </row>
    <row r="437" spans="1:7" hidden="1" x14ac:dyDescent="0.25">
      <c r="A437">
        <v>50</v>
      </c>
      <c r="B437">
        <v>476</v>
      </c>
      <c r="C437">
        <v>0</v>
      </c>
      <c r="D437">
        <v>0</v>
      </c>
      <c r="E437">
        <v>14</v>
      </c>
      <c r="F437" t="s">
        <v>208</v>
      </c>
      <c r="G437" t="s">
        <v>209</v>
      </c>
    </row>
    <row r="438" spans="1:7" hidden="1" x14ac:dyDescent="0.25">
      <c r="A438">
        <v>50</v>
      </c>
      <c r="B438">
        <v>1172</v>
      </c>
      <c r="C438">
        <v>0</v>
      </c>
      <c r="D438">
        <v>0</v>
      </c>
      <c r="E438">
        <v>14</v>
      </c>
      <c r="F438" t="s">
        <v>208</v>
      </c>
      <c r="G438" t="s">
        <v>209</v>
      </c>
    </row>
    <row r="439" spans="1:7" hidden="1" x14ac:dyDescent="0.25">
      <c r="A439">
        <v>50</v>
      </c>
      <c r="B439">
        <v>1264</v>
      </c>
      <c r="C439">
        <v>0</v>
      </c>
      <c r="D439">
        <v>0</v>
      </c>
      <c r="E439">
        <v>14</v>
      </c>
      <c r="F439" t="s">
        <v>208</v>
      </c>
      <c r="G439" t="s">
        <v>209</v>
      </c>
    </row>
    <row r="440" spans="1:7" hidden="1" x14ac:dyDescent="0.25">
      <c r="A440">
        <v>50</v>
      </c>
      <c r="B440">
        <v>1476</v>
      </c>
      <c r="C440">
        <v>0</v>
      </c>
      <c r="D440">
        <v>0</v>
      </c>
      <c r="E440">
        <v>14</v>
      </c>
      <c r="F440" t="s">
        <v>208</v>
      </c>
      <c r="G440" t="s">
        <v>209</v>
      </c>
    </row>
    <row r="441" spans="1:7" hidden="1" x14ac:dyDescent="0.25">
      <c r="A441">
        <v>50</v>
      </c>
      <c r="B441">
        <v>2548</v>
      </c>
      <c r="C441">
        <v>0</v>
      </c>
      <c r="D441">
        <v>0</v>
      </c>
      <c r="E441">
        <v>14</v>
      </c>
      <c r="F441" t="s">
        <v>208</v>
      </c>
      <c r="G441" t="s">
        <v>209</v>
      </c>
    </row>
    <row r="442" spans="1:7" hidden="1" x14ac:dyDescent="0.25">
      <c r="A442">
        <v>50</v>
      </c>
      <c r="B442">
        <v>4144</v>
      </c>
      <c r="C442">
        <v>0</v>
      </c>
      <c r="D442">
        <v>0</v>
      </c>
      <c r="E442">
        <v>14</v>
      </c>
      <c r="F442" t="s">
        <v>208</v>
      </c>
      <c r="G442" t="s">
        <v>209</v>
      </c>
    </row>
    <row r="443" spans="1:7" hidden="1" x14ac:dyDescent="0.25">
      <c r="A443">
        <v>50</v>
      </c>
      <c r="B443">
        <v>4228</v>
      </c>
      <c r="C443">
        <v>0</v>
      </c>
      <c r="D443">
        <v>0</v>
      </c>
      <c r="E443">
        <v>14</v>
      </c>
      <c r="F443" t="s">
        <v>208</v>
      </c>
      <c r="G443" t="s">
        <v>209</v>
      </c>
    </row>
    <row r="444" spans="1:7" hidden="1" x14ac:dyDescent="0.25">
      <c r="A444">
        <v>50</v>
      </c>
      <c r="B444">
        <v>4336</v>
      </c>
      <c r="C444">
        <v>0</v>
      </c>
      <c r="D444">
        <v>0</v>
      </c>
      <c r="E444">
        <v>14</v>
      </c>
      <c r="F444" t="s">
        <v>208</v>
      </c>
      <c r="G444" t="s">
        <v>209</v>
      </c>
    </row>
    <row r="445" spans="1:7" hidden="1" x14ac:dyDescent="0.25">
      <c r="A445">
        <v>50</v>
      </c>
      <c r="B445">
        <v>4600</v>
      </c>
      <c r="C445">
        <v>0</v>
      </c>
      <c r="D445">
        <v>0</v>
      </c>
      <c r="E445">
        <v>14</v>
      </c>
      <c r="F445" t="s">
        <v>208</v>
      </c>
      <c r="G445" t="s">
        <v>209</v>
      </c>
    </row>
    <row r="446" spans="1:7" hidden="1" x14ac:dyDescent="0.25">
      <c r="A446">
        <v>50</v>
      </c>
      <c r="B446">
        <v>5004</v>
      </c>
      <c r="C446">
        <v>0</v>
      </c>
      <c r="D446">
        <v>0</v>
      </c>
      <c r="E446">
        <v>14</v>
      </c>
      <c r="F446" t="s">
        <v>208</v>
      </c>
      <c r="G446" t="s">
        <v>209</v>
      </c>
    </row>
    <row r="447" spans="1:7" hidden="1" x14ac:dyDescent="0.25">
      <c r="A447">
        <v>50</v>
      </c>
      <c r="B447">
        <v>5892</v>
      </c>
      <c r="C447">
        <v>0</v>
      </c>
      <c r="D447">
        <v>0</v>
      </c>
      <c r="E447">
        <v>14</v>
      </c>
      <c r="F447" t="s">
        <v>208</v>
      </c>
      <c r="G447" t="s">
        <v>209</v>
      </c>
    </row>
    <row r="448" spans="1:7" hidden="1" x14ac:dyDescent="0.25">
      <c r="A448">
        <v>50</v>
      </c>
      <c r="B448">
        <v>5904</v>
      </c>
      <c r="C448">
        <v>0</v>
      </c>
      <c r="D448">
        <v>0</v>
      </c>
      <c r="E448">
        <v>14</v>
      </c>
      <c r="F448" t="s">
        <v>208</v>
      </c>
      <c r="G448" t="s">
        <v>209</v>
      </c>
    </row>
    <row r="449" spans="1:7" hidden="1" x14ac:dyDescent="0.25">
      <c r="A449">
        <v>50</v>
      </c>
      <c r="B449">
        <v>6280</v>
      </c>
      <c r="C449">
        <v>0</v>
      </c>
      <c r="D449">
        <v>0</v>
      </c>
      <c r="E449">
        <v>14</v>
      </c>
      <c r="F449" t="s">
        <v>208</v>
      </c>
      <c r="G449" t="s">
        <v>209</v>
      </c>
    </row>
    <row r="450" spans="1:7" hidden="1" x14ac:dyDescent="0.25">
      <c r="A450">
        <v>50</v>
      </c>
      <c r="B450">
        <v>6312</v>
      </c>
      <c r="C450">
        <v>0</v>
      </c>
      <c r="D450">
        <v>0</v>
      </c>
      <c r="E450">
        <v>14</v>
      </c>
      <c r="F450" t="s">
        <v>208</v>
      </c>
      <c r="G450" t="s">
        <v>209</v>
      </c>
    </row>
    <row r="451" spans="1:7" hidden="1" x14ac:dyDescent="0.25">
      <c r="A451">
        <v>50</v>
      </c>
      <c r="B451">
        <v>7283</v>
      </c>
      <c r="C451">
        <v>0</v>
      </c>
      <c r="D451">
        <v>0</v>
      </c>
      <c r="E451">
        <v>14</v>
      </c>
      <c r="F451" t="s">
        <v>208</v>
      </c>
      <c r="G451" t="s">
        <v>209</v>
      </c>
    </row>
    <row r="452" spans="1:7" hidden="1" x14ac:dyDescent="0.25">
      <c r="A452">
        <v>50</v>
      </c>
      <c r="B452">
        <v>7284</v>
      </c>
      <c r="C452">
        <v>0</v>
      </c>
      <c r="D452">
        <v>0</v>
      </c>
      <c r="E452">
        <v>14</v>
      </c>
      <c r="F452" t="s">
        <v>208</v>
      </c>
      <c r="G452" t="s">
        <v>209</v>
      </c>
    </row>
    <row r="453" spans="1:7" hidden="1" x14ac:dyDescent="0.25">
      <c r="A453">
        <v>50</v>
      </c>
      <c r="B453">
        <v>7528</v>
      </c>
      <c r="C453">
        <v>0</v>
      </c>
      <c r="D453">
        <v>0</v>
      </c>
      <c r="E453">
        <v>14</v>
      </c>
      <c r="F453" t="s">
        <v>208</v>
      </c>
      <c r="G453" t="s">
        <v>209</v>
      </c>
    </row>
    <row r="454" spans="1:7" hidden="1" x14ac:dyDescent="0.25">
      <c r="A454">
        <v>50</v>
      </c>
      <c r="B454">
        <v>7756</v>
      </c>
      <c r="C454">
        <v>0</v>
      </c>
      <c r="D454">
        <v>0</v>
      </c>
      <c r="E454">
        <v>14</v>
      </c>
      <c r="F454" t="s">
        <v>208</v>
      </c>
      <c r="G454" t="s">
        <v>209</v>
      </c>
    </row>
    <row r="455" spans="1:7" hidden="1" x14ac:dyDescent="0.25">
      <c r="A455">
        <v>50</v>
      </c>
      <c r="B455">
        <v>8256</v>
      </c>
      <c r="C455">
        <v>0</v>
      </c>
      <c r="D455">
        <v>0</v>
      </c>
      <c r="E455">
        <v>14</v>
      </c>
      <c r="F455" t="s">
        <v>208</v>
      </c>
      <c r="G455" t="s">
        <v>209</v>
      </c>
    </row>
    <row r="456" spans="1:7" hidden="1" x14ac:dyDescent="0.25">
      <c r="A456">
        <v>50</v>
      </c>
      <c r="B456">
        <v>9356</v>
      </c>
      <c r="C456">
        <v>0</v>
      </c>
      <c r="D456">
        <v>0</v>
      </c>
      <c r="E456">
        <v>14</v>
      </c>
      <c r="F456" t="s">
        <v>208</v>
      </c>
      <c r="G456" t="s">
        <v>209</v>
      </c>
    </row>
    <row r="457" spans="1:7" hidden="1" x14ac:dyDescent="0.25">
      <c r="A457">
        <v>50</v>
      </c>
      <c r="B457">
        <v>10012</v>
      </c>
      <c r="C457">
        <v>0</v>
      </c>
      <c r="D457">
        <v>0</v>
      </c>
      <c r="E457">
        <v>14</v>
      </c>
      <c r="F457" t="s">
        <v>208</v>
      </c>
      <c r="G457" t="s">
        <v>209</v>
      </c>
    </row>
    <row r="458" spans="1:7" hidden="1" x14ac:dyDescent="0.25">
      <c r="A458">
        <v>50</v>
      </c>
      <c r="B458">
        <v>10064</v>
      </c>
      <c r="C458">
        <v>0</v>
      </c>
      <c r="D458">
        <v>0</v>
      </c>
      <c r="E458">
        <v>14</v>
      </c>
      <c r="F458" t="s">
        <v>208</v>
      </c>
      <c r="G458" t="s">
        <v>209</v>
      </c>
    </row>
    <row r="459" spans="1:7" hidden="1" x14ac:dyDescent="0.25">
      <c r="A459">
        <v>50</v>
      </c>
      <c r="B459">
        <v>10100</v>
      </c>
      <c r="C459">
        <v>0</v>
      </c>
      <c r="D459">
        <v>0</v>
      </c>
      <c r="E459">
        <v>14</v>
      </c>
      <c r="F459" t="s">
        <v>208</v>
      </c>
      <c r="G459" t="s">
        <v>209</v>
      </c>
    </row>
    <row r="460" spans="1:7" hidden="1" x14ac:dyDescent="0.25">
      <c r="A460">
        <v>50</v>
      </c>
      <c r="B460">
        <v>10592</v>
      </c>
      <c r="C460">
        <v>0</v>
      </c>
      <c r="D460">
        <v>0</v>
      </c>
      <c r="E460">
        <v>14</v>
      </c>
      <c r="F460" t="s">
        <v>208</v>
      </c>
      <c r="G460" t="s">
        <v>209</v>
      </c>
    </row>
    <row r="461" spans="1:7" hidden="1" x14ac:dyDescent="0.25">
      <c r="A461">
        <v>99</v>
      </c>
      <c r="B461">
        <v>2068</v>
      </c>
      <c r="C461">
        <v>0</v>
      </c>
      <c r="D461">
        <v>0</v>
      </c>
      <c r="E461">
        <v>14</v>
      </c>
      <c r="F461" t="s">
        <v>208</v>
      </c>
      <c r="G461" t="s">
        <v>209</v>
      </c>
    </row>
    <row r="462" spans="1:7" hidden="1" x14ac:dyDescent="0.25">
      <c r="A462">
        <v>99</v>
      </c>
      <c r="B462">
        <v>2168</v>
      </c>
      <c r="C462">
        <v>0</v>
      </c>
      <c r="D462">
        <v>0</v>
      </c>
      <c r="E462">
        <v>14</v>
      </c>
      <c r="F462" t="s">
        <v>208</v>
      </c>
      <c r="G462" t="s">
        <v>209</v>
      </c>
    </row>
    <row r="463" spans="1:7" hidden="1" x14ac:dyDescent="0.25">
      <c r="A463">
        <v>99</v>
      </c>
      <c r="B463">
        <v>2472</v>
      </c>
      <c r="C463">
        <v>0</v>
      </c>
      <c r="D463">
        <v>0</v>
      </c>
      <c r="E463">
        <v>14</v>
      </c>
      <c r="F463" t="s">
        <v>208</v>
      </c>
      <c r="G463" t="s">
        <v>209</v>
      </c>
    </row>
    <row r="464" spans="1:7" hidden="1" x14ac:dyDescent="0.25">
      <c r="A464">
        <v>99</v>
      </c>
      <c r="B464">
        <v>3056</v>
      </c>
      <c r="C464">
        <v>0</v>
      </c>
      <c r="D464">
        <v>0</v>
      </c>
      <c r="E464">
        <v>14</v>
      </c>
      <c r="F464" t="s">
        <v>208</v>
      </c>
      <c r="G464" t="s">
        <v>209</v>
      </c>
    </row>
    <row r="465" spans="1:7" hidden="1" x14ac:dyDescent="0.25">
      <c r="A465">
        <v>99</v>
      </c>
      <c r="B465">
        <v>3100</v>
      </c>
      <c r="C465">
        <v>0</v>
      </c>
      <c r="D465">
        <v>0</v>
      </c>
      <c r="E465">
        <v>14</v>
      </c>
      <c r="F465" t="s">
        <v>208</v>
      </c>
      <c r="G465" t="s">
        <v>209</v>
      </c>
    </row>
    <row r="466" spans="1:7" hidden="1" x14ac:dyDescent="0.25">
      <c r="A466">
        <v>99</v>
      </c>
      <c r="B466">
        <v>3284</v>
      </c>
      <c r="C466">
        <v>0</v>
      </c>
      <c r="D466">
        <v>0</v>
      </c>
      <c r="E466">
        <v>14</v>
      </c>
      <c r="F466" t="s">
        <v>208</v>
      </c>
      <c r="G466" t="s">
        <v>209</v>
      </c>
    </row>
    <row r="467" spans="1:7" x14ac:dyDescent="0.25">
      <c r="A467">
        <v>99</v>
      </c>
      <c r="B467">
        <v>4124</v>
      </c>
      <c r="C467">
        <v>0</v>
      </c>
      <c r="D467">
        <v>0</v>
      </c>
      <c r="E467">
        <v>14</v>
      </c>
      <c r="F467" t="s">
        <v>208</v>
      </c>
      <c r="G467" t="s">
        <v>209</v>
      </c>
    </row>
    <row r="468" spans="1:7" hidden="1" x14ac:dyDescent="0.25">
      <c r="A468">
        <v>99</v>
      </c>
      <c r="B468">
        <v>5932</v>
      </c>
      <c r="C468">
        <v>0</v>
      </c>
      <c r="D468">
        <v>0</v>
      </c>
      <c r="E468">
        <v>14</v>
      </c>
      <c r="F468" t="s">
        <v>208</v>
      </c>
      <c r="G468" t="s">
        <v>209</v>
      </c>
    </row>
    <row r="469" spans="1:7" hidden="1" x14ac:dyDescent="0.25">
      <c r="A469">
        <v>99</v>
      </c>
      <c r="B469">
        <v>5992</v>
      </c>
      <c r="C469">
        <v>0</v>
      </c>
      <c r="D469">
        <v>0</v>
      </c>
      <c r="E469">
        <v>14</v>
      </c>
      <c r="F469" t="s">
        <v>208</v>
      </c>
      <c r="G469" t="s">
        <v>209</v>
      </c>
    </row>
    <row r="470" spans="1:7" hidden="1" x14ac:dyDescent="0.25">
      <c r="A470">
        <v>99</v>
      </c>
      <c r="B470">
        <v>7260</v>
      </c>
      <c r="C470">
        <v>0</v>
      </c>
      <c r="D470">
        <v>0</v>
      </c>
      <c r="E470">
        <v>14</v>
      </c>
      <c r="F470" t="s">
        <v>208</v>
      </c>
      <c r="G470" t="s">
        <v>209</v>
      </c>
    </row>
    <row r="471" spans="1:7" hidden="1" x14ac:dyDescent="0.25">
      <c r="A471">
        <v>99</v>
      </c>
      <c r="B471">
        <v>7300</v>
      </c>
      <c r="C471">
        <v>0</v>
      </c>
      <c r="D471">
        <v>0</v>
      </c>
      <c r="E471">
        <v>14</v>
      </c>
      <c r="F471" t="s">
        <v>208</v>
      </c>
      <c r="G471" t="s">
        <v>209</v>
      </c>
    </row>
    <row r="472" spans="1:7" hidden="1" x14ac:dyDescent="0.25">
      <c r="A472">
        <v>99</v>
      </c>
      <c r="B472">
        <v>7552</v>
      </c>
      <c r="C472">
        <v>0</v>
      </c>
      <c r="D472">
        <v>0</v>
      </c>
      <c r="E472">
        <v>14</v>
      </c>
      <c r="F472" t="s">
        <v>208</v>
      </c>
      <c r="G472" t="s">
        <v>209</v>
      </c>
    </row>
    <row r="473" spans="1:7" hidden="1" x14ac:dyDescent="0.25">
      <c r="A473">
        <v>99</v>
      </c>
      <c r="B473">
        <v>8004</v>
      </c>
      <c r="C473">
        <v>0</v>
      </c>
      <c r="D473">
        <v>0</v>
      </c>
      <c r="E473">
        <v>14</v>
      </c>
      <c r="F473" t="s">
        <v>208</v>
      </c>
      <c r="G473" t="s">
        <v>209</v>
      </c>
    </row>
    <row r="474" spans="1:7" hidden="1" x14ac:dyDescent="0.25">
      <c r="A474">
        <v>99</v>
      </c>
      <c r="B474">
        <v>8144</v>
      </c>
      <c r="C474">
        <v>0</v>
      </c>
      <c r="D474">
        <v>0</v>
      </c>
      <c r="E474">
        <v>14</v>
      </c>
      <c r="F474" t="s">
        <v>208</v>
      </c>
      <c r="G474" t="s">
        <v>209</v>
      </c>
    </row>
    <row r="475" spans="1:7" hidden="1" x14ac:dyDescent="0.25">
      <c r="A475">
        <v>99</v>
      </c>
      <c r="B475">
        <v>8668</v>
      </c>
      <c r="C475">
        <v>0</v>
      </c>
      <c r="D475">
        <v>0</v>
      </c>
      <c r="E475">
        <v>14</v>
      </c>
      <c r="F475" t="s">
        <v>208</v>
      </c>
      <c r="G475" t="s">
        <v>209</v>
      </c>
    </row>
    <row r="476" spans="1:7" hidden="1" x14ac:dyDescent="0.25">
      <c r="A476">
        <v>99</v>
      </c>
      <c r="B476">
        <v>8804</v>
      </c>
      <c r="C476">
        <v>0</v>
      </c>
      <c r="D476">
        <v>0</v>
      </c>
      <c r="E476">
        <v>14</v>
      </c>
      <c r="F476" t="s">
        <v>208</v>
      </c>
      <c r="G476" t="s">
        <v>209</v>
      </c>
    </row>
    <row r="477" spans="1:7" hidden="1" x14ac:dyDescent="0.25">
      <c r="A477">
        <v>99</v>
      </c>
      <c r="B477">
        <v>9032</v>
      </c>
      <c r="C477">
        <v>0</v>
      </c>
      <c r="D477">
        <v>0</v>
      </c>
      <c r="E477">
        <v>14</v>
      </c>
      <c r="F477" t="s">
        <v>208</v>
      </c>
      <c r="G477" t="s">
        <v>209</v>
      </c>
    </row>
    <row r="478" spans="1:7" hidden="1" x14ac:dyDescent="0.25">
      <c r="A478">
        <v>99</v>
      </c>
      <c r="B478">
        <v>9072</v>
      </c>
      <c r="C478">
        <v>0</v>
      </c>
      <c r="D478">
        <v>0</v>
      </c>
      <c r="E478">
        <v>14</v>
      </c>
      <c r="F478" t="s">
        <v>208</v>
      </c>
      <c r="G478" t="s">
        <v>209</v>
      </c>
    </row>
    <row r="479" spans="1:7" hidden="1" x14ac:dyDescent="0.25">
      <c r="A479">
        <v>99</v>
      </c>
      <c r="B479">
        <v>9176</v>
      </c>
      <c r="C479">
        <v>0</v>
      </c>
      <c r="D479">
        <v>0</v>
      </c>
      <c r="E479">
        <v>14</v>
      </c>
      <c r="F479" t="s">
        <v>208</v>
      </c>
      <c r="G479" t="s">
        <v>209</v>
      </c>
    </row>
    <row r="480" spans="1:7" hidden="1" x14ac:dyDescent="0.25">
      <c r="A480">
        <v>99</v>
      </c>
      <c r="B480">
        <v>9272</v>
      </c>
      <c r="C480">
        <v>0</v>
      </c>
      <c r="D480">
        <v>0</v>
      </c>
      <c r="E480">
        <v>14</v>
      </c>
      <c r="F480" t="s">
        <v>208</v>
      </c>
      <c r="G480" t="s">
        <v>209</v>
      </c>
    </row>
    <row r="481" spans="1:7" hidden="1" x14ac:dyDescent="0.25">
      <c r="A481">
        <v>99</v>
      </c>
      <c r="B481">
        <v>9752</v>
      </c>
      <c r="C481">
        <v>0</v>
      </c>
      <c r="D481">
        <v>0</v>
      </c>
      <c r="E481">
        <v>14</v>
      </c>
      <c r="F481" t="s">
        <v>208</v>
      </c>
      <c r="G481" t="s">
        <v>209</v>
      </c>
    </row>
    <row r="482" spans="1:7" hidden="1" x14ac:dyDescent="0.25">
      <c r="A482">
        <v>99</v>
      </c>
      <c r="B482">
        <v>10364</v>
      </c>
      <c r="C482">
        <v>0</v>
      </c>
      <c r="D482">
        <v>0</v>
      </c>
      <c r="E482">
        <v>14</v>
      </c>
      <c r="F482" t="s">
        <v>208</v>
      </c>
      <c r="G482" t="s">
        <v>209</v>
      </c>
    </row>
    <row r="483" spans="1:7" hidden="1" x14ac:dyDescent="0.25">
      <c r="A483">
        <v>99</v>
      </c>
      <c r="B483">
        <v>10420</v>
      </c>
      <c r="C483">
        <v>0</v>
      </c>
      <c r="D483">
        <v>0</v>
      </c>
      <c r="E483">
        <v>14</v>
      </c>
      <c r="F483" t="s">
        <v>208</v>
      </c>
      <c r="G483" t="s">
        <v>209</v>
      </c>
    </row>
    <row r="484" spans="1:7" hidden="1" x14ac:dyDescent="0.25">
      <c r="A484">
        <v>50</v>
      </c>
      <c r="B484">
        <v>476</v>
      </c>
      <c r="C484">
        <v>0</v>
      </c>
      <c r="D484">
        <v>0</v>
      </c>
      <c r="E484">
        <v>15</v>
      </c>
      <c r="F484" t="s">
        <v>210</v>
      </c>
      <c r="G484" t="s">
        <v>129</v>
      </c>
    </row>
    <row r="485" spans="1:7" hidden="1" x14ac:dyDescent="0.25">
      <c r="A485">
        <v>50</v>
      </c>
      <c r="B485">
        <v>1172</v>
      </c>
      <c r="C485">
        <v>0</v>
      </c>
      <c r="D485">
        <v>0</v>
      </c>
      <c r="E485">
        <v>15</v>
      </c>
      <c r="F485" t="s">
        <v>210</v>
      </c>
      <c r="G485" t="s">
        <v>129</v>
      </c>
    </row>
    <row r="486" spans="1:7" hidden="1" x14ac:dyDescent="0.25">
      <c r="A486">
        <v>50</v>
      </c>
      <c r="B486">
        <v>1264</v>
      </c>
      <c r="C486">
        <v>0</v>
      </c>
      <c r="D486">
        <v>0</v>
      </c>
      <c r="E486">
        <v>15</v>
      </c>
      <c r="F486" t="s">
        <v>210</v>
      </c>
      <c r="G486" t="s">
        <v>129</v>
      </c>
    </row>
    <row r="487" spans="1:7" hidden="1" x14ac:dyDescent="0.25">
      <c r="A487">
        <v>50</v>
      </c>
      <c r="B487">
        <v>1476</v>
      </c>
      <c r="C487">
        <v>0</v>
      </c>
      <c r="D487">
        <v>0</v>
      </c>
      <c r="E487">
        <v>15</v>
      </c>
      <c r="F487" t="s">
        <v>210</v>
      </c>
      <c r="G487" t="s">
        <v>129</v>
      </c>
    </row>
    <row r="488" spans="1:7" hidden="1" x14ac:dyDescent="0.25">
      <c r="A488">
        <v>50</v>
      </c>
      <c r="B488">
        <v>2548</v>
      </c>
      <c r="C488">
        <v>0</v>
      </c>
      <c r="D488">
        <v>0</v>
      </c>
      <c r="E488">
        <v>15</v>
      </c>
      <c r="F488" t="s">
        <v>210</v>
      </c>
      <c r="G488" t="s">
        <v>129</v>
      </c>
    </row>
    <row r="489" spans="1:7" hidden="1" x14ac:dyDescent="0.25">
      <c r="A489">
        <v>50</v>
      </c>
      <c r="B489">
        <v>4144</v>
      </c>
      <c r="C489">
        <v>0</v>
      </c>
      <c r="D489">
        <v>0</v>
      </c>
      <c r="E489">
        <v>15</v>
      </c>
      <c r="F489" t="s">
        <v>210</v>
      </c>
      <c r="G489" t="s">
        <v>129</v>
      </c>
    </row>
    <row r="490" spans="1:7" hidden="1" x14ac:dyDescent="0.25">
      <c r="A490">
        <v>50</v>
      </c>
      <c r="B490">
        <v>4228</v>
      </c>
      <c r="C490">
        <v>0</v>
      </c>
      <c r="D490">
        <v>0</v>
      </c>
      <c r="E490">
        <v>15</v>
      </c>
      <c r="F490" t="s">
        <v>210</v>
      </c>
      <c r="G490" t="s">
        <v>129</v>
      </c>
    </row>
    <row r="491" spans="1:7" hidden="1" x14ac:dyDescent="0.25">
      <c r="A491">
        <v>50</v>
      </c>
      <c r="B491">
        <v>4336</v>
      </c>
      <c r="C491">
        <v>0</v>
      </c>
      <c r="D491">
        <v>0</v>
      </c>
      <c r="E491">
        <v>15</v>
      </c>
      <c r="F491" t="s">
        <v>210</v>
      </c>
      <c r="G491" t="s">
        <v>129</v>
      </c>
    </row>
    <row r="492" spans="1:7" hidden="1" x14ac:dyDescent="0.25">
      <c r="A492">
        <v>50</v>
      </c>
      <c r="B492">
        <v>4600</v>
      </c>
      <c r="C492">
        <v>0</v>
      </c>
      <c r="D492">
        <v>0</v>
      </c>
      <c r="E492">
        <v>15</v>
      </c>
      <c r="F492" t="s">
        <v>210</v>
      </c>
      <c r="G492" t="s">
        <v>129</v>
      </c>
    </row>
    <row r="493" spans="1:7" hidden="1" x14ac:dyDescent="0.25">
      <c r="A493">
        <v>50</v>
      </c>
      <c r="B493">
        <v>5004</v>
      </c>
      <c r="C493">
        <v>0</v>
      </c>
      <c r="D493">
        <v>0</v>
      </c>
      <c r="E493">
        <v>15</v>
      </c>
      <c r="F493" t="s">
        <v>210</v>
      </c>
      <c r="G493" t="s">
        <v>129</v>
      </c>
    </row>
    <row r="494" spans="1:7" hidden="1" x14ac:dyDescent="0.25">
      <c r="A494">
        <v>50</v>
      </c>
      <c r="B494">
        <v>5892</v>
      </c>
      <c r="C494">
        <v>0</v>
      </c>
      <c r="D494">
        <v>0</v>
      </c>
      <c r="E494">
        <v>15</v>
      </c>
      <c r="F494" t="s">
        <v>210</v>
      </c>
      <c r="G494" t="s">
        <v>129</v>
      </c>
    </row>
    <row r="495" spans="1:7" hidden="1" x14ac:dyDescent="0.25">
      <c r="A495">
        <v>50</v>
      </c>
      <c r="B495">
        <v>5904</v>
      </c>
      <c r="C495">
        <v>0</v>
      </c>
      <c r="D495">
        <v>0</v>
      </c>
      <c r="E495">
        <v>15</v>
      </c>
      <c r="F495" t="s">
        <v>210</v>
      </c>
      <c r="G495" t="s">
        <v>129</v>
      </c>
    </row>
    <row r="496" spans="1:7" hidden="1" x14ac:dyDescent="0.25">
      <c r="A496">
        <v>50</v>
      </c>
      <c r="B496">
        <v>6280</v>
      </c>
      <c r="C496">
        <v>0</v>
      </c>
      <c r="D496">
        <v>0</v>
      </c>
      <c r="E496">
        <v>15</v>
      </c>
      <c r="F496" t="s">
        <v>210</v>
      </c>
      <c r="G496" t="s">
        <v>129</v>
      </c>
    </row>
    <row r="497" spans="1:7" hidden="1" x14ac:dyDescent="0.25">
      <c r="A497">
        <v>50</v>
      </c>
      <c r="B497">
        <v>6312</v>
      </c>
      <c r="C497">
        <v>0</v>
      </c>
      <c r="D497">
        <v>0</v>
      </c>
      <c r="E497">
        <v>15</v>
      </c>
      <c r="F497" t="s">
        <v>210</v>
      </c>
      <c r="G497" t="s">
        <v>129</v>
      </c>
    </row>
    <row r="498" spans="1:7" hidden="1" x14ac:dyDescent="0.25">
      <c r="A498">
        <v>50</v>
      </c>
      <c r="B498">
        <v>7283</v>
      </c>
      <c r="C498">
        <v>0</v>
      </c>
      <c r="D498">
        <v>0</v>
      </c>
      <c r="E498">
        <v>15</v>
      </c>
      <c r="F498" t="s">
        <v>210</v>
      </c>
      <c r="G498" t="s">
        <v>129</v>
      </c>
    </row>
    <row r="499" spans="1:7" hidden="1" x14ac:dyDescent="0.25">
      <c r="A499">
        <v>50</v>
      </c>
      <c r="B499">
        <v>7284</v>
      </c>
      <c r="C499">
        <v>0</v>
      </c>
      <c r="D499">
        <v>0</v>
      </c>
      <c r="E499">
        <v>15</v>
      </c>
      <c r="F499" t="s">
        <v>210</v>
      </c>
      <c r="G499" t="s">
        <v>129</v>
      </c>
    </row>
    <row r="500" spans="1:7" hidden="1" x14ac:dyDescent="0.25">
      <c r="A500">
        <v>50</v>
      </c>
      <c r="B500">
        <v>7528</v>
      </c>
      <c r="C500">
        <v>0</v>
      </c>
      <c r="D500">
        <v>0</v>
      </c>
      <c r="E500">
        <v>15</v>
      </c>
      <c r="F500" t="s">
        <v>210</v>
      </c>
      <c r="G500" t="s">
        <v>129</v>
      </c>
    </row>
    <row r="501" spans="1:7" hidden="1" x14ac:dyDescent="0.25">
      <c r="A501">
        <v>50</v>
      </c>
      <c r="B501">
        <v>7756</v>
      </c>
      <c r="C501">
        <v>0</v>
      </c>
      <c r="D501">
        <v>0</v>
      </c>
      <c r="E501">
        <v>15</v>
      </c>
      <c r="F501" t="s">
        <v>210</v>
      </c>
      <c r="G501" t="s">
        <v>129</v>
      </c>
    </row>
    <row r="502" spans="1:7" hidden="1" x14ac:dyDescent="0.25">
      <c r="A502">
        <v>50</v>
      </c>
      <c r="B502">
        <v>8256</v>
      </c>
      <c r="C502">
        <v>0</v>
      </c>
      <c r="D502">
        <v>0</v>
      </c>
      <c r="E502">
        <v>15</v>
      </c>
      <c r="F502" t="s">
        <v>210</v>
      </c>
      <c r="G502" t="s">
        <v>129</v>
      </c>
    </row>
    <row r="503" spans="1:7" hidden="1" x14ac:dyDescent="0.25">
      <c r="A503">
        <v>50</v>
      </c>
      <c r="B503">
        <v>9356</v>
      </c>
      <c r="C503">
        <v>0</v>
      </c>
      <c r="D503">
        <v>0</v>
      </c>
      <c r="E503">
        <v>15</v>
      </c>
      <c r="F503" t="s">
        <v>210</v>
      </c>
      <c r="G503" t="s">
        <v>129</v>
      </c>
    </row>
    <row r="504" spans="1:7" hidden="1" x14ac:dyDescent="0.25">
      <c r="A504">
        <v>50</v>
      </c>
      <c r="B504">
        <v>10012</v>
      </c>
      <c r="C504">
        <v>0</v>
      </c>
      <c r="D504">
        <v>0</v>
      </c>
      <c r="E504">
        <v>15</v>
      </c>
      <c r="F504" t="s">
        <v>210</v>
      </c>
      <c r="G504" t="s">
        <v>129</v>
      </c>
    </row>
    <row r="505" spans="1:7" hidden="1" x14ac:dyDescent="0.25">
      <c r="A505">
        <v>50</v>
      </c>
      <c r="B505">
        <v>10064</v>
      </c>
      <c r="C505">
        <v>0</v>
      </c>
      <c r="D505">
        <v>0</v>
      </c>
      <c r="E505">
        <v>15</v>
      </c>
      <c r="F505" t="s">
        <v>210</v>
      </c>
      <c r="G505" t="s">
        <v>129</v>
      </c>
    </row>
    <row r="506" spans="1:7" hidden="1" x14ac:dyDescent="0.25">
      <c r="A506">
        <v>50</v>
      </c>
      <c r="B506">
        <v>10100</v>
      </c>
      <c r="C506">
        <v>0</v>
      </c>
      <c r="D506">
        <v>0</v>
      </c>
      <c r="E506">
        <v>15</v>
      </c>
      <c r="F506" t="s">
        <v>210</v>
      </c>
      <c r="G506" t="s">
        <v>129</v>
      </c>
    </row>
    <row r="507" spans="1:7" hidden="1" x14ac:dyDescent="0.25">
      <c r="A507">
        <v>50</v>
      </c>
      <c r="B507">
        <v>10592</v>
      </c>
      <c r="C507">
        <v>0</v>
      </c>
      <c r="D507">
        <v>0</v>
      </c>
      <c r="E507">
        <v>15</v>
      </c>
      <c r="F507" t="s">
        <v>210</v>
      </c>
      <c r="G507" t="s">
        <v>129</v>
      </c>
    </row>
    <row r="508" spans="1:7" hidden="1" x14ac:dyDescent="0.25">
      <c r="A508">
        <v>99</v>
      </c>
      <c r="B508">
        <v>2068</v>
      </c>
      <c r="C508">
        <v>0</v>
      </c>
      <c r="D508">
        <v>0</v>
      </c>
      <c r="E508">
        <v>15</v>
      </c>
      <c r="F508" t="s">
        <v>210</v>
      </c>
      <c r="G508" t="s">
        <v>129</v>
      </c>
    </row>
    <row r="509" spans="1:7" hidden="1" x14ac:dyDescent="0.25">
      <c r="A509">
        <v>99</v>
      </c>
      <c r="B509">
        <v>2168</v>
      </c>
      <c r="C509">
        <v>0</v>
      </c>
      <c r="D509">
        <v>0</v>
      </c>
      <c r="E509">
        <v>15</v>
      </c>
      <c r="F509" t="s">
        <v>210</v>
      </c>
      <c r="G509" t="s">
        <v>129</v>
      </c>
    </row>
    <row r="510" spans="1:7" hidden="1" x14ac:dyDescent="0.25">
      <c r="A510">
        <v>99</v>
      </c>
      <c r="B510">
        <v>2472</v>
      </c>
      <c r="C510">
        <v>0</v>
      </c>
      <c r="D510">
        <v>0</v>
      </c>
      <c r="E510">
        <v>15</v>
      </c>
      <c r="F510" t="s">
        <v>210</v>
      </c>
      <c r="G510" t="s">
        <v>129</v>
      </c>
    </row>
    <row r="511" spans="1:7" hidden="1" x14ac:dyDescent="0.25">
      <c r="A511">
        <v>99</v>
      </c>
      <c r="B511">
        <v>3056</v>
      </c>
      <c r="C511">
        <v>0</v>
      </c>
      <c r="D511">
        <v>0</v>
      </c>
      <c r="E511">
        <v>15</v>
      </c>
      <c r="F511" t="s">
        <v>210</v>
      </c>
      <c r="G511" t="s">
        <v>129</v>
      </c>
    </row>
    <row r="512" spans="1:7" hidden="1" x14ac:dyDescent="0.25">
      <c r="A512">
        <v>99</v>
      </c>
      <c r="B512">
        <v>3100</v>
      </c>
      <c r="C512">
        <v>0</v>
      </c>
      <c r="D512">
        <v>0</v>
      </c>
      <c r="E512">
        <v>15</v>
      </c>
      <c r="F512" t="s">
        <v>210</v>
      </c>
      <c r="G512" t="s">
        <v>129</v>
      </c>
    </row>
    <row r="513" spans="1:7" hidden="1" x14ac:dyDescent="0.25">
      <c r="A513">
        <v>99</v>
      </c>
      <c r="B513">
        <v>3284</v>
      </c>
      <c r="C513">
        <v>0</v>
      </c>
      <c r="D513">
        <v>0</v>
      </c>
      <c r="E513">
        <v>15</v>
      </c>
      <c r="F513" t="s">
        <v>210</v>
      </c>
      <c r="G513" t="s">
        <v>129</v>
      </c>
    </row>
    <row r="514" spans="1:7" x14ac:dyDescent="0.25">
      <c r="A514">
        <v>99</v>
      </c>
      <c r="B514">
        <v>4124</v>
      </c>
      <c r="C514">
        <v>0</v>
      </c>
      <c r="D514">
        <v>0</v>
      </c>
      <c r="E514">
        <v>15</v>
      </c>
      <c r="F514" t="s">
        <v>210</v>
      </c>
      <c r="G514" t="s">
        <v>129</v>
      </c>
    </row>
    <row r="515" spans="1:7" hidden="1" x14ac:dyDescent="0.25">
      <c r="A515">
        <v>99</v>
      </c>
      <c r="B515">
        <v>5932</v>
      </c>
      <c r="C515">
        <v>0</v>
      </c>
      <c r="D515">
        <v>0</v>
      </c>
      <c r="E515">
        <v>15</v>
      </c>
      <c r="F515" t="s">
        <v>210</v>
      </c>
      <c r="G515" t="s">
        <v>129</v>
      </c>
    </row>
    <row r="516" spans="1:7" hidden="1" x14ac:dyDescent="0.25">
      <c r="A516">
        <v>99</v>
      </c>
      <c r="B516">
        <v>5992</v>
      </c>
      <c r="C516">
        <v>0</v>
      </c>
      <c r="D516">
        <v>0</v>
      </c>
      <c r="E516">
        <v>15</v>
      </c>
      <c r="F516" t="s">
        <v>210</v>
      </c>
      <c r="G516" t="s">
        <v>129</v>
      </c>
    </row>
    <row r="517" spans="1:7" hidden="1" x14ac:dyDescent="0.25">
      <c r="A517">
        <v>99</v>
      </c>
      <c r="B517">
        <v>7260</v>
      </c>
      <c r="C517">
        <v>0</v>
      </c>
      <c r="D517">
        <v>0</v>
      </c>
      <c r="E517">
        <v>15</v>
      </c>
      <c r="F517" t="s">
        <v>210</v>
      </c>
      <c r="G517" t="s">
        <v>129</v>
      </c>
    </row>
    <row r="518" spans="1:7" hidden="1" x14ac:dyDescent="0.25">
      <c r="A518">
        <v>99</v>
      </c>
      <c r="B518">
        <v>7300</v>
      </c>
      <c r="C518">
        <v>0</v>
      </c>
      <c r="D518">
        <v>0</v>
      </c>
      <c r="E518">
        <v>15</v>
      </c>
      <c r="F518" t="s">
        <v>210</v>
      </c>
      <c r="G518" t="s">
        <v>129</v>
      </c>
    </row>
    <row r="519" spans="1:7" hidden="1" x14ac:dyDescent="0.25">
      <c r="A519">
        <v>99</v>
      </c>
      <c r="B519">
        <v>7552</v>
      </c>
      <c r="C519">
        <v>0</v>
      </c>
      <c r="D519">
        <v>0</v>
      </c>
      <c r="E519">
        <v>15</v>
      </c>
      <c r="F519" t="s">
        <v>210</v>
      </c>
      <c r="G519" t="s">
        <v>129</v>
      </c>
    </row>
    <row r="520" spans="1:7" hidden="1" x14ac:dyDescent="0.25">
      <c r="A520">
        <v>99</v>
      </c>
      <c r="B520">
        <v>8004</v>
      </c>
      <c r="C520">
        <v>0</v>
      </c>
      <c r="D520">
        <v>0</v>
      </c>
      <c r="E520">
        <v>15</v>
      </c>
      <c r="F520" t="s">
        <v>210</v>
      </c>
      <c r="G520" t="s">
        <v>129</v>
      </c>
    </row>
    <row r="521" spans="1:7" hidden="1" x14ac:dyDescent="0.25">
      <c r="A521">
        <v>99</v>
      </c>
      <c r="B521">
        <v>8144</v>
      </c>
      <c r="C521">
        <v>0</v>
      </c>
      <c r="D521">
        <v>0</v>
      </c>
      <c r="E521">
        <v>15</v>
      </c>
      <c r="F521" t="s">
        <v>210</v>
      </c>
      <c r="G521" t="s">
        <v>129</v>
      </c>
    </row>
    <row r="522" spans="1:7" hidden="1" x14ac:dyDescent="0.25">
      <c r="A522">
        <v>99</v>
      </c>
      <c r="B522">
        <v>8668</v>
      </c>
      <c r="C522">
        <v>0</v>
      </c>
      <c r="D522">
        <v>0</v>
      </c>
      <c r="E522">
        <v>15</v>
      </c>
      <c r="F522" t="s">
        <v>210</v>
      </c>
      <c r="G522" t="s">
        <v>129</v>
      </c>
    </row>
    <row r="523" spans="1:7" hidden="1" x14ac:dyDescent="0.25">
      <c r="A523">
        <v>99</v>
      </c>
      <c r="B523">
        <v>8804</v>
      </c>
      <c r="C523">
        <v>0</v>
      </c>
      <c r="D523">
        <v>0</v>
      </c>
      <c r="E523">
        <v>15</v>
      </c>
      <c r="F523" t="s">
        <v>210</v>
      </c>
      <c r="G523" t="s">
        <v>129</v>
      </c>
    </row>
    <row r="524" spans="1:7" hidden="1" x14ac:dyDescent="0.25">
      <c r="A524">
        <v>99</v>
      </c>
      <c r="B524">
        <v>9032</v>
      </c>
      <c r="C524">
        <v>0</v>
      </c>
      <c r="D524">
        <v>0</v>
      </c>
      <c r="E524">
        <v>15</v>
      </c>
      <c r="F524" t="s">
        <v>210</v>
      </c>
      <c r="G524" t="s">
        <v>129</v>
      </c>
    </row>
    <row r="525" spans="1:7" hidden="1" x14ac:dyDescent="0.25">
      <c r="A525">
        <v>99</v>
      </c>
      <c r="B525">
        <v>9072</v>
      </c>
      <c r="C525">
        <v>0</v>
      </c>
      <c r="D525">
        <v>0</v>
      </c>
      <c r="E525">
        <v>15</v>
      </c>
      <c r="F525" t="s">
        <v>210</v>
      </c>
      <c r="G525" t="s">
        <v>129</v>
      </c>
    </row>
    <row r="526" spans="1:7" hidden="1" x14ac:dyDescent="0.25">
      <c r="A526">
        <v>99</v>
      </c>
      <c r="B526">
        <v>9176</v>
      </c>
      <c r="C526">
        <v>0</v>
      </c>
      <c r="D526">
        <v>0</v>
      </c>
      <c r="E526">
        <v>15</v>
      </c>
      <c r="F526" t="s">
        <v>210</v>
      </c>
      <c r="G526" t="s">
        <v>129</v>
      </c>
    </row>
    <row r="527" spans="1:7" hidden="1" x14ac:dyDescent="0.25">
      <c r="A527">
        <v>99</v>
      </c>
      <c r="B527">
        <v>9272</v>
      </c>
      <c r="C527">
        <v>0</v>
      </c>
      <c r="D527">
        <v>0</v>
      </c>
      <c r="E527">
        <v>15</v>
      </c>
      <c r="F527" t="s">
        <v>210</v>
      </c>
      <c r="G527" t="s">
        <v>129</v>
      </c>
    </row>
    <row r="528" spans="1:7" hidden="1" x14ac:dyDescent="0.25">
      <c r="A528">
        <v>99</v>
      </c>
      <c r="B528">
        <v>9752</v>
      </c>
      <c r="C528">
        <v>0</v>
      </c>
      <c r="D528">
        <v>0</v>
      </c>
      <c r="E528">
        <v>15</v>
      </c>
      <c r="F528" t="s">
        <v>210</v>
      </c>
      <c r="G528" t="s">
        <v>129</v>
      </c>
    </row>
    <row r="529" spans="1:7" hidden="1" x14ac:dyDescent="0.25">
      <c r="A529">
        <v>99</v>
      </c>
      <c r="B529">
        <v>10364</v>
      </c>
      <c r="C529">
        <v>0</v>
      </c>
      <c r="D529">
        <v>0</v>
      </c>
      <c r="E529">
        <v>15</v>
      </c>
      <c r="F529" t="s">
        <v>210</v>
      </c>
      <c r="G529" t="s">
        <v>129</v>
      </c>
    </row>
    <row r="530" spans="1:7" hidden="1" x14ac:dyDescent="0.25">
      <c r="A530">
        <v>99</v>
      </c>
      <c r="B530">
        <v>10420</v>
      </c>
      <c r="C530">
        <v>0</v>
      </c>
      <c r="D530">
        <v>0</v>
      </c>
      <c r="E530">
        <v>15</v>
      </c>
      <c r="F530" t="s">
        <v>210</v>
      </c>
      <c r="G530" t="s">
        <v>129</v>
      </c>
    </row>
    <row r="531" spans="1:7" hidden="1" x14ac:dyDescent="0.25">
      <c r="A531">
        <v>50</v>
      </c>
      <c r="B531">
        <v>476</v>
      </c>
      <c r="C531">
        <v>0</v>
      </c>
      <c r="D531">
        <v>0</v>
      </c>
      <c r="E531">
        <v>17</v>
      </c>
      <c r="F531" t="s">
        <v>212</v>
      </c>
      <c r="G531" t="s">
        <v>122</v>
      </c>
    </row>
    <row r="532" spans="1:7" hidden="1" x14ac:dyDescent="0.25">
      <c r="A532">
        <v>50</v>
      </c>
      <c r="B532">
        <v>1172</v>
      </c>
      <c r="C532">
        <v>0</v>
      </c>
      <c r="D532">
        <v>0</v>
      </c>
      <c r="E532">
        <v>17</v>
      </c>
      <c r="F532" t="s">
        <v>212</v>
      </c>
      <c r="G532" t="s">
        <v>122</v>
      </c>
    </row>
    <row r="533" spans="1:7" hidden="1" x14ac:dyDescent="0.25">
      <c r="A533">
        <v>50</v>
      </c>
      <c r="B533">
        <v>1264</v>
      </c>
      <c r="C533">
        <v>0</v>
      </c>
      <c r="D533">
        <v>0</v>
      </c>
      <c r="E533">
        <v>17</v>
      </c>
      <c r="F533" t="s">
        <v>212</v>
      </c>
      <c r="G533" t="s">
        <v>122</v>
      </c>
    </row>
    <row r="534" spans="1:7" hidden="1" x14ac:dyDescent="0.25">
      <c r="A534">
        <v>50</v>
      </c>
      <c r="B534">
        <v>1476</v>
      </c>
      <c r="C534">
        <v>0</v>
      </c>
      <c r="D534">
        <v>0</v>
      </c>
      <c r="E534">
        <v>17</v>
      </c>
      <c r="F534" t="s">
        <v>212</v>
      </c>
      <c r="G534" t="s">
        <v>122</v>
      </c>
    </row>
    <row r="535" spans="1:7" hidden="1" x14ac:dyDescent="0.25">
      <c r="A535">
        <v>50</v>
      </c>
      <c r="B535">
        <v>2548</v>
      </c>
      <c r="C535">
        <v>0</v>
      </c>
      <c r="D535">
        <v>0</v>
      </c>
      <c r="E535">
        <v>17</v>
      </c>
      <c r="F535" t="s">
        <v>212</v>
      </c>
      <c r="G535" t="s">
        <v>122</v>
      </c>
    </row>
    <row r="536" spans="1:7" hidden="1" x14ac:dyDescent="0.25">
      <c r="A536">
        <v>50</v>
      </c>
      <c r="B536">
        <v>4144</v>
      </c>
      <c r="C536">
        <v>0</v>
      </c>
      <c r="D536">
        <v>0</v>
      </c>
      <c r="E536">
        <v>17</v>
      </c>
      <c r="F536" t="s">
        <v>212</v>
      </c>
      <c r="G536" t="s">
        <v>122</v>
      </c>
    </row>
    <row r="537" spans="1:7" hidden="1" x14ac:dyDescent="0.25">
      <c r="A537">
        <v>50</v>
      </c>
      <c r="B537">
        <v>4228</v>
      </c>
      <c r="C537">
        <v>0</v>
      </c>
      <c r="D537">
        <v>0</v>
      </c>
      <c r="E537">
        <v>17</v>
      </c>
      <c r="F537" t="s">
        <v>212</v>
      </c>
      <c r="G537" t="s">
        <v>122</v>
      </c>
    </row>
    <row r="538" spans="1:7" hidden="1" x14ac:dyDescent="0.25">
      <c r="A538">
        <v>50</v>
      </c>
      <c r="B538">
        <v>4336</v>
      </c>
      <c r="C538">
        <v>0</v>
      </c>
      <c r="D538">
        <v>0</v>
      </c>
      <c r="E538">
        <v>17</v>
      </c>
      <c r="F538" t="s">
        <v>212</v>
      </c>
      <c r="G538" t="s">
        <v>122</v>
      </c>
    </row>
    <row r="539" spans="1:7" hidden="1" x14ac:dyDescent="0.25">
      <c r="A539">
        <v>50</v>
      </c>
      <c r="B539">
        <v>4600</v>
      </c>
      <c r="C539">
        <v>0</v>
      </c>
      <c r="D539">
        <v>0</v>
      </c>
      <c r="E539">
        <v>17</v>
      </c>
      <c r="F539" t="s">
        <v>212</v>
      </c>
      <c r="G539" t="s">
        <v>122</v>
      </c>
    </row>
    <row r="540" spans="1:7" hidden="1" x14ac:dyDescent="0.25">
      <c r="A540">
        <v>50</v>
      </c>
      <c r="B540">
        <v>5004</v>
      </c>
      <c r="C540">
        <v>0</v>
      </c>
      <c r="D540">
        <v>0</v>
      </c>
      <c r="E540">
        <v>17</v>
      </c>
      <c r="F540" t="s">
        <v>212</v>
      </c>
      <c r="G540" t="s">
        <v>122</v>
      </c>
    </row>
    <row r="541" spans="1:7" hidden="1" x14ac:dyDescent="0.25">
      <c r="A541">
        <v>50</v>
      </c>
      <c r="B541">
        <v>5892</v>
      </c>
      <c r="C541">
        <v>0</v>
      </c>
      <c r="D541">
        <v>0</v>
      </c>
      <c r="E541">
        <v>17</v>
      </c>
      <c r="F541" t="s">
        <v>212</v>
      </c>
      <c r="G541" t="s">
        <v>122</v>
      </c>
    </row>
    <row r="542" spans="1:7" hidden="1" x14ac:dyDescent="0.25">
      <c r="A542">
        <v>50</v>
      </c>
      <c r="B542">
        <v>5904</v>
      </c>
      <c r="C542">
        <v>0</v>
      </c>
      <c r="D542">
        <v>0</v>
      </c>
      <c r="E542">
        <v>17</v>
      </c>
      <c r="F542" t="s">
        <v>212</v>
      </c>
      <c r="G542" t="s">
        <v>122</v>
      </c>
    </row>
    <row r="543" spans="1:7" hidden="1" x14ac:dyDescent="0.25">
      <c r="A543">
        <v>50</v>
      </c>
      <c r="B543">
        <v>6280</v>
      </c>
      <c r="C543">
        <v>0</v>
      </c>
      <c r="D543">
        <v>0</v>
      </c>
      <c r="E543">
        <v>17</v>
      </c>
      <c r="F543" t="s">
        <v>212</v>
      </c>
      <c r="G543" t="s">
        <v>122</v>
      </c>
    </row>
    <row r="544" spans="1:7" hidden="1" x14ac:dyDescent="0.25">
      <c r="A544">
        <v>50</v>
      </c>
      <c r="B544">
        <v>6312</v>
      </c>
      <c r="C544">
        <v>0</v>
      </c>
      <c r="D544">
        <v>0</v>
      </c>
      <c r="E544">
        <v>17</v>
      </c>
      <c r="F544" t="s">
        <v>212</v>
      </c>
      <c r="G544" t="s">
        <v>122</v>
      </c>
    </row>
    <row r="545" spans="1:7" hidden="1" x14ac:dyDescent="0.25">
      <c r="A545">
        <v>50</v>
      </c>
      <c r="B545">
        <v>7283</v>
      </c>
      <c r="C545">
        <v>0</v>
      </c>
      <c r="D545">
        <v>0</v>
      </c>
      <c r="E545">
        <v>17</v>
      </c>
      <c r="F545" t="s">
        <v>212</v>
      </c>
      <c r="G545" t="s">
        <v>122</v>
      </c>
    </row>
    <row r="546" spans="1:7" hidden="1" x14ac:dyDescent="0.25">
      <c r="A546">
        <v>50</v>
      </c>
      <c r="B546">
        <v>7284</v>
      </c>
      <c r="C546">
        <v>0</v>
      </c>
      <c r="D546">
        <v>0</v>
      </c>
      <c r="E546">
        <v>17</v>
      </c>
      <c r="F546" t="s">
        <v>212</v>
      </c>
      <c r="G546" t="s">
        <v>122</v>
      </c>
    </row>
    <row r="547" spans="1:7" hidden="1" x14ac:dyDescent="0.25">
      <c r="A547">
        <v>50</v>
      </c>
      <c r="B547">
        <v>7528</v>
      </c>
      <c r="C547">
        <v>0</v>
      </c>
      <c r="D547">
        <v>0</v>
      </c>
      <c r="E547">
        <v>17</v>
      </c>
      <c r="F547" t="s">
        <v>212</v>
      </c>
      <c r="G547" t="s">
        <v>122</v>
      </c>
    </row>
    <row r="548" spans="1:7" hidden="1" x14ac:dyDescent="0.25">
      <c r="A548">
        <v>50</v>
      </c>
      <c r="B548">
        <v>7756</v>
      </c>
      <c r="C548">
        <v>0</v>
      </c>
      <c r="D548">
        <v>0</v>
      </c>
      <c r="E548">
        <v>17</v>
      </c>
      <c r="F548" t="s">
        <v>212</v>
      </c>
      <c r="G548" t="s">
        <v>122</v>
      </c>
    </row>
    <row r="549" spans="1:7" hidden="1" x14ac:dyDescent="0.25">
      <c r="A549">
        <v>50</v>
      </c>
      <c r="B549">
        <v>8256</v>
      </c>
      <c r="C549">
        <v>0</v>
      </c>
      <c r="D549">
        <v>0</v>
      </c>
      <c r="E549">
        <v>17</v>
      </c>
      <c r="F549" t="s">
        <v>212</v>
      </c>
      <c r="G549" t="s">
        <v>122</v>
      </c>
    </row>
    <row r="550" spans="1:7" hidden="1" x14ac:dyDescent="0.25">
      <c r="A550">
        <v>50</v>
      </c>
      <c r="B550">
        <v>9356</v>
      </c>
      <c r="C550">
        <v>0</v>
      </c>
      <c r="D550">
        <v>0</v>
      </c>
      <c r="E550">
        <v>17</v>
      </c>
      <c r="F550" t="s">
        <v>212</v>
      </c>
      <c r="G550" t="s">
        <v>122</v>
      </c>
    </row>
    <row r="551" spans="1:7" hidden="1" x14ac:dyDescent="0.25">
      <c r="A551">
        <v>50</v>
      </c>
      <c r="B551">
        <v>10012</v>
      </c>
      <c r="C551">
        <v>0</v>
      </c>
      <c r="D551">
        <v>0</v>
      </c>
      <c r="E551">
        <v>17</v>
      </c>
      <c r="F551" t="s">
        <v>212</v>
      </c>
      <c r="G551" t="s">
        <v>122</v>
      </c>
    </row>
    <row r="552" spans="1:7" hidden="1" x14ac:dyDescent="0.25">
      <c r="A552">
        <v>50</v>
      </c>
      <c r="B552">
        <v>10064</v>
      </c>
      <c r="C552">
        <v>0</v>
      </c>
      <c r="D552">
        <v>0</v>
      </c>
      <c r="E552">
        <v>17</v>
      </c>
      <c r="F552" t="s">
        <v>212</v>
      </c>
      <c r="G552" t="s">
        <v>122</v>
      </c>
    </row>
    <row r="553" spans="1:7" hidden="1" x14ac:dyDescent="0.25">
      <c r="A553">
        <v>50</v>
      </c>
      <c r="B553">
        <v>10100</v>
      </c>
      <c r="C553">
        <v>0</v>
      </c>
      <c r="D553">
        <v>0</v>
      </c>
      <c r="E553">
        <v>17</v>
      </c>
      <c r="F553" t="s">
        <v>212</v>
      </c>
      <c r="G553" t="s">
        <v>122</v>
      </c>
    </row>
    <row r="554" spans="1:7" hidden="1" x14ac:dyDescent="0.25">
      <c r="A554">
        <v>50</v>
      </c>
      <c r="B554">
        <v>10592</v>
      </c>
      <c r="C554">
        <v>0</v>
      </c>
      <c r="D554">
        <v>0</v>
      </c>
      <c r="E554">
        <v>17</v>
      </c>
      <c r="F554" t="s">
        <v>212</v>
      </c>
      <c r="G554" t="s">
        <v>122</v>
      </c>
    </row>
    <row r="555" spans="1:7" hidden="1" x14ac:dyDescent="0.25">
      <c r="A555">
        <v>99</v>
      </c>
      <c r="B555">
        <v>2068</v>
      </c>
      <c r="C555">
        <v>0</v>
      </c>
      <c r="D555">
        <v>0</v>
      </c>
      <c r="E555">
        <v>17</v>
      </c>
      <c r="F555" t="s">
        <v>212</v>
      </c>
      <c r="G555" t="s">
        <v>122</v>
      </c>
    </row>
    <row r="556" spans="1:7" hidden="1" x14ac:dyDescent="0.25">
      <c r="A556">
        <v>99</v>
      </c>
      <c r="B556">
        <v>2168</v>
      </c>
      <c r="C556">
        <v>0</v>
      </c>
      <c r="D556">
        <v>0</v>
      </c>
      <c r="E556">
        <v>17</v>
      </c>
      <c r="F556" t="s">
        <v>212</v>
      </c>
      <c r="G556" t="s">
        <v>122</v>
      </c>
    </row>
    <row r="557" spans="1:7" hidden="1" x14ac:dyDescent="0.25">
      <c r="A557">
        <v>99</v>
      </c>
      <c r="B557">
        <v>2472</v>
      </c>
      <c r="C557">
        <v>0</v>
      </c>
      <c r="D557">
        <v>0</v>
      </c>
      <c r="E557">
        <v>17</v>
      </c>
      <c r="F557" t="s">
        <v>212</v>
      </c>
      <c r="G557" t="s">
        <v>122</v>
      </c>
    </row>
    <row r="558" spans="1:7" hidden="1" x14ac:dyDescent="0.25">
      <c r="A558">
        <v>99</v>
      </c>
      <c r="B558">
        <v>3056</v>
      </c>
      <c r="C558">
        <v>0</v>
      </c>
      <c r="D558">
        <v>0</v>
      </c>
      <c r="E558">
        <v>17</v>
      </c>
      <c r="F558" t="s">
        <v>212</v>
      </c>
      <c r="G558" t="s">
        <v>122</v>
      </c>
    </row>
    <row r="559" spans="1:7" hidden="1" x14ac:dyDescent="0.25">
      <c r="A559">
        <v>99</v>
      </c>
      <c r="B559">
        <v>3100</v>
      </c>
      <c r="C559">
        <v>0</v>
      </c>
      <c r="D559">
        <v>0</v>
      </c>
      <c r="E559">
        <v>17</v>
      </c>
      <c r="F559" t="s">
        <v>212</v>
      </c>
      <c r="G559" t="s">
        <v>122</v>
      </c>
    </row>
    <row r="560" spans="1:7" hidden="1" x14ac:dyDescent="0.25">
      <c r="A560">
        <v>99</v>
      </c>
      <c r="B560">
        <v>3284</v>
      </c>
      <c r="C560">
        <v>0</v>
      </c>
      <c r="D560">
        <v>0</v>
      </c>
      <c r="E560">
        <v>17</v>
      </c>
      <c r="F560" t="s">
        <v>212</v>
      </c>
      <c r="G560" t="s">
        <v>122</v>
      </c>
    </row>
    <row r="561" spans="1:7" x14ac:dyDescent="0.25">
      <c r="A561">
        <v>99</v>
      </c>
      <c r="B561">
        <v>4124</v>
      </c>
      <c r="C561">
        <v>0</v>
      </c>
      <c r="D561">
        <v>0</v>
      </c>
      <c r="E561">
        <v>17</v>
      </c>
      <c r="F561" t="s">
        <v>212</v>
      </c>
      <c r="G561" t="s">
        <v>122</v>
      </c>
    </row>
    <row r="562" spans="1:7" hidden="1" x14ac:dyDescent="0.25">
      <c r="A562">
        <v>99</v>
      </c>
      <c r="B562">
        <v>5932</v>
      </c>
      <c r="C562">
        <v>0</v>
      </c>
      <c r="D562">
        <v>0</v>
      </c>
      <c r="E562">
        <v>17</v>
      </c>
      <c r="F562" t="s">
        <v>212</v>
      </c>
      <c r="G562" t="s">
        <v>122</v>
      </c>
    </row>
    <row r="563" spans="1:7" hidden="1" x14ac:dyDescent="0.25">
      <c r="A563">
        <v>99</v>
      </c>
      <c r="B563">
        <v>5992</v>
      </c>
      <c r="C563">
        <v>0</v>
      </c>
      <c r="D563">
        <v>0</v>
      </c>
      <c r="E563">
        <v>17</v>
      </c>
      <c r="F563" t="s">
        <v>212</v>
      </c>
      <c r="G563" t="s">
        <v>122</v>
      </c>
    </row>
    <row r="564" spans="1:7" hidden="1" x14ac:dyDescent="0.25">
      <c r="A564">
        <v>99</v>
      </c>
      <c r="B564">
        <v>7260</v>
      </c>
      <c r="C564">
        <v>0</v>
      </c>
      <c r="D564">
        <v>0</v>
      </c>
      <c r="E564">
        <v>17</v>
      </c>
      <c r="F564" t="s">
        <v>212</v>
      </c>
      <c r="G564" t="s">
        <v>122</v>
      </c>
    </row>
    <row r="565" spans="1:7" hidden="1" x14ac:dyDescent="0.25">
      <c r="A565">
        <v>99</v>
      </c>
      <c r="B565">
        <v>7300</v>
      </c>
      <c r="C565">
        <v>0</v>
      </c>
      <c r="D565">
        <v>0</v>
      </c>
      <c r="E565">
        <v>17</v>
      </c>
      <c r="F565" t="s">
        <v>212</v>
      </c>
      <c r="G565" t="s">
        <v>122</v>
      </c>
    </row>
    <row r="566" spans="1:7" hidden="1" x14ac:dyDescent="0.25">
      <c r="A566">
        <v>99</v>
      </c>
      <c r="B566">
        <v>7552</v>
      </c>
      <c r="C566">
        <v>0</v>
      </c>
      <c r="D566">
        <v>0</v>
      </c>
      <c r="E566">
        <v>17</v>
      </c>
      <c r="F566" t="s">
        <v>212</v>
      </c>
      <c r="G566" t="s">
        <v>122</v>
      </c>
    </row>
    <row r="567" spans="1:7" hidden="1" x14ac:dyDescent="0.25">
      <c r="A567">
        <v>99</v>
      </c>
      <c r="B567">
        <v>8004</v>
      </c>
      <c r="C567">
        <v>0</v>
      </c>
      <c r="D567">
        <v>0</v>
      </c>
      <c r="E567">
        <v>17</v>
      </c>
      <c r="F567" t="s">
        <v>212</v>
      </c>
      <c r="G567" t="s">
        <v>122</v>
      </c>
    </row>
    <row r="568" spans="1:7" hidden="1" x14ac:dyDescent="0.25">
      <c r="A568">
        <v>99</v>
      </c>
      <c r="B568">
        <v>8144</v>
      </c>
      <c r="C568">
        <v>0</v>
      </c>
      <c r="D568">
        <v>0</v>
      </c>
      <c r="E568">
        <v>17</v>
      </c>
      <c r="F568" t="s">
        <v>212</v>
      </c>
      <c r="G568" t="s">
        <v>122</v>
      </c>
    </row>
    <row r="569" spans="1:7" hidden="1" x14ac:dyDescent="0.25">
      <c r="A569">
        <v>99</v>
      </c>
      <c r="B569">
        <v>8668</v>
      </c>
      <c r="C569">
        <v>0</v>
      </c>
      <c r="D569">
        <v>0</v>
      </c>
      <c r="E569">
        <v>17</v>
      </c>
      <c r="F569" t="s">
        <v>212</v>
      </c>
      <c r="G569" t="s">
        <v>122</v>
      </c>
    </row>
    <row r="570" spans="1:7" hidden="1" x14ac:dyDescent="0.25">
      <c r="A570">
        <v>99</v>
      </c>
      <c r="B570">
        <v>8804</v>
      </c>
      <c r="C570">
        <v>0</v>
      </c>
      <c r="D570">
        <v>0</v>
      </c>
      <c r="E570">
        <v>17</v>
      </c>
      <c r="F570" t="s">
        <v>212</v>
      </c>
      <c r="G570" t="s">
        <v>122</v>
      </c>
    </row>
    <row r="571" spans="1:7" hidden="1" x14ac:dyDescent="0.25">
      <c r="A571">
        <v>99</v>
      </c>
      <c r="B571">
        <v>9032</v>
      </c>
      <c r="C571">
        <v>0</v>
      </c>
      <c r="D571">
        <v>0</v>
      </c>
      <c r="E571">
        <v>17</v>
      </c>
      <c r="F571" t="s">
        <v>212</v>
      </c>
      <c r="G571" t="s">
        <v>122</v>
      </c>
    </row>
    <row r="572" spans="1:7" hidden="1" x14ac:dyDescent="0.25">
      <c r="A572">
        <v>99</v>
      </c>
      <c r="B572">
        <v>9072</v>
      </c>
      <c r="C572">
        <v>0</v>
      </c>
      <c r="D572">
        <v>0</v>
      </c>
      <c r="E572">
        <v>17</v>
      </c>
      <c r="F572" t="s">
        <v>212</v>
      </c>
      <c r="G572" t="s">
        <v>122</v>
      </c>
    </row>
    <row r="573" spans="1:7" hidden="1" x14ac:dyDescent="0.25">
      <c r="A573">
        <v>99</v>
      </c>
      <c r="B573">
        <v>9176</v>
      </c>
      <c r="C573">
        <v>0</v>
      </c>
      <c r="D573">
        <v>0</v>
      </c>
      <c r="E573">
        <v>17</v>
      </c>
      <c r="F573" t="s">
        <v>212</v>
      </c>
      <c r="G573" t="s">
        <v>122</v>
      </c>
    </row>
    <row r="574" spans="1:7" hidden="1" x14ac:dyDescent="0.25">
      <c r="A574">
        <v>99</v>
      </c>
      <c r="B574">
        <v>9272</v>
      </c>
      <c r="C574">
        <v>0</v>
      </c>
      <c r="D574">
        <v>0</v>
      </c>
      <c r="E574">
        <v>17</v>
      </c>
      <c r="F574" t="s">
        <v>212</v>
      </c>
      <c r="G574" t="s">
        <v>122</v>
      </c>
    </row>
    <row r="575" spans="1:7" hidden="1" x14ac:dyDescent="0.25">
      <c r="A575">
        <v>99</v>
      </c>
      <c r="B575">
        <v>9752</v>
      </c>
      <c r="C575">
        <v>0</v>
      </c>
      <c r="D575">
        <v>0</v>
      </c>
      <c r="E575">
        <v>17</v>
      </c>
      <c r="F575" t="s">
        <v>212</v>
      </c>
      <c r="G575" t="s">
        <v>122</v>
      </c>
    </row>
    <row r="576" spans="1:7" hidden="1" x14ac:dyDescent="0.25">
      <c r="A576">
        <v>99</v>
      </c>
      <c r="B576">
        <v>10364</v>
      </c>
      <c r="C576">
        <v>0</v>
      </c>
      <c r="D576">
        <v>0</v>
      </c>
      <c r="E576">
        <v>17</v>
      </c>
      <c r="F576" t="s">
        <v>212</v>
      </c>
      <c r="G576" t="s">
        <v>122</v>
      </c>
    </row>
    <row r="577" spans="1:7" hidden="1" x14ac:dyDescent="0.25">
      <c r="A577">
        <v>99</v>
      </c>
      <c r="B577">
        <v>10420</v>
      </c>
      <c r="C577">
        <v>0</v>
      </c>
      <c r="D577">
        <v>0</v>
      </c>
      <c r="E577">
        <v>17</v>
      </c>
      <c r="F577" t="s">
        <v>212</v>
      </c>
      <c r="G577" t="s">
        <v>122</v>
      </c>
    </row>
    <row r="578" spans="1:7" hidden="1" x14ac:dyDescent="0.25">
      <c r="A578">
        <v>50</v>
      </c>
      <c r="B578">
        <v>476</v>
      </c>
      <c r="C578">
        <v>0</v>
      </c>
      <c r="D578">
        <v>0</v>
      </c>
      <c r="E578">
        <v>18</v>
      </c>
      <c r="F578" t="s">
        <v>213</v>
      </c>
      <c r="G578" t="s">
        <v>159</v>
      </c>
    </row>
    <row r="579" spans="1:7" hidden="1" x14ac:dyDescent="0.25">
      <c r="A579">
        <v>50</v>
      </c>
      <c r="B579">
        <v>1172</v>
      </c>
      <c r="C579">
        <v>0</v>
      </c>
      <c r="D579">
        <v>0</v>
      </c>
      <c r="E579">
        <v>18</v>
      </c>
      <c r="F579" t="s">
        <v>213</v>
      </c>
      <c r="G579" t="s">
        <v>159</v>
      </c>
    </row>
    <row r="580" spans="1:7" hidden="1" x14ac:dyDescent="0.25">
      <c r="A580">
        <v>50</v>
      </c>
      <c r="B580">
        <v>1264</v>
      </c>
      <c r="C580">
        <v>0</v>
      </c>
      <c r="D580">
        <v>0</v>
      </c>
      <c r="E580">
        <v>18</v>
      </c>
      <c r="F580" t="s">
        <v>213</v>
      </c>
      <c r="G580" t="s">
        <v>159</v>
      </c>
    </row>
    <row r="581" spans="1:7" hidden="1" x14ac:dyDescent="0.25">
      <c r="A581">
        <v>50</v>
      </c>
      <c r="B581">
        <v>1476</v>
      </c>
      <c r="C581">
        <v>0</v>
      </c>
      <c r="D581">
        <v>0</v>
      </c>
      <c r="E581">
        <v>18</v>
      </c>
      <c r="F581" t="s">
        <v>213</v>
      </c>
      <c r="G581" t="s">
        <v>159</v>
      </c>
    </row>
    <row r="582" spans="1:7" hidden="1" x14ac:dyDescent="0.25">
      <c r="A582">
        <v>50</v>
      </c>
      <c r="B582">
        <v>2548</v>
      </c>
      <c r="C582">
        <v>0</v>
      </c>
      <c r="D582">
        <v>0</v>
      </c>
      <c r="E582">
        <v>18</v>
      </c>
      <c r="F582" t="s">
        <v>213</v>
      </c>
      <c r="G582" t="s">
        <v>159</v>
      </c>
    </row>
    <row r="583" spans="1:7" hidden="1" x14ac:dyDescent="0.25">
      <c r="A583">
        <v>50</v>
      </c>
      <c r="B583">
        <v>4144</v>
      </c>
      <c r="C583">
        <v>0</v>
      </c>
      <c r="D583">
        <v>0</v>
      </c>
      <c r="E583">
        <v>18</v>
      </c>
      <c r="F583" t="s">
        <v>213</v>
      </c>
      <c r="G583" t="s">
        <v>159</v>
      </c>
    </row>
    <row r="584" spans="1:7" hidden="1" x14ac:dyDescent="0.25">
      <c r="A584">
        <v>50</v>
      </c>
      <c r="B584">
        <v>4228</v>
      </c>
      <c r="C584">
        <v>0</v>
      </c>
      <c r="D584">
        <v>0</v>
      </c>
      <c r="E584">
        <v>18</v>
      </c>
      <c r="F584" t="s">
        <v>213</v>
      </c>
      <c r="G584" t="s">
        <v>159</v>
      </c>
    </row>
    <row r="585" spans="1:7" hidden="1" x14ac:dyDescent="0.25">
      <c r="A585">
        <v>50</v>
      </c>
      <c r="B585">
        <v>4336</v>
      </c>
      <c r="C585">
        <v>0</v>
      </c>
      <c r="D585">
        <v>0</v>
      </c>
      <c r="E585">
        <v>18</v>
      </c>
      <c r="F585" t="s">
        <v>213</v>
      </c>
      <c r="G585" t="s">
        <v>159</v>
      </c>
    </row>
    <row r="586" spans="1:7" hidden="1" x14ac:dyDescent="0.25">
      <c r="A586">
        <v>50</v>
      </c>
      <c r="B586">
        <v>4600</v>
      </c>
      <c r="C586">
        <v>0</v>
      </c>
      <c r="D586">
        <v>0</v>
      </c>
      <c r="E586">
        <v>18</v>
      </c>
      <c r="F586" t="s">
        <v>213</v>
      </c>
      <c r="G586" t="s">
        <v>159</v>
      </c>
    </row>
    <row r="587" spans="1:7" hidden="1" x14ac:dyDescent="0.25">
      <c r="A587">
        <v>50</v>
      </c>
      <c r="B587">
        <v>5004</v>
      </c>
      <c r="C587">
        <v>0</v>
      </c>
      <c r="D587">
        <v>0</v>
      </c>
      <c r="E587">
        <v>18</v>
      </c>
      <c r="F587" t="s">
        <v>213</v>
      </c>
      <c r="G587" t="s">
        <v>159</v>
      </c>
    </row>
    <row r="588" spans="1:7" hidden="1" x14ac:dyDescent="0.25">
      <c r="A588">
        <v>50</v>
      </c>
      <c r="B588">
        <v>5892</v>
      </c>
      <c r="C588">
        <v>0</v>
      </c>
      <c r="D588">
        <v>0</v>
      </c>
      <c r="E588">
        <v>18</v>
      </c>
      <c r="F588" t="s">
        <v>213</v>
      </c>
      <c r="G588" t="s">
        <v>159</v>
      </c>
    </row>
    <row r="589" spans="1:7" hidden="1" x14ac:dyDescent="0.25">
      <c r="A589">
        <v>50</v>
      </c>
      <c r="B589">
        <v>5904</v>
      </c>
      <c r="C589">
        <v>0</v>
      </c>
      <c r="D589">
        <v>0</v>
      </c>
      <c r="E589">
        <v>18</v>
      </c>
      <c r="F589" t="s">
        <v>213</v>
      </c>
      <c r="G589" t="s">
        <v>159</v>
      </c>
    </row>
    <row r="590" spans="1:7" hidden="1" x14ac:dyDescent="0.25">
      <c r="A590">
        <v>50</v>
      </c>
      <c r="B590">
        <v>6280</v>
      </c>
      <c r="C590">
        <v>0</v>
      </c>
      <c r="D590">
        <v>0</v>
      </c>
      <c r="E590">
        <v>18</v>
      </c>
      <c r="F590" t="s">
        <v>213</v>
      </c>
      <c r="G590" t="s">
        <v>159</v>
      </c>
    </row>
    <row r="591" spans="1:7" hidden="1" x14ac:dyDescent="0.25">
      <c r="A591">
        <v>50</v>
      </c>
      <c r="B591">
        <v>6312</v>
      </c>
      <c r="C591">
        <v>0</v>
      </c>
      <c r="D591">
        <v>0</v>
      </c>
      <c r="E591">
        <v>18</v>
      </c>
      <c r="F591" t="s">
        <v>213</v>
      </c>
      <c r="G591" t="s">
        <v>159</v>
      </c>
    </row>
    <row r="592" spans="1:7" hidden="1" x14ac:dyDescent="0.25">
      <c r="A592">
        <v>50</v>
      </c>
      <c r="B592">
        <v>7283</v>
      </c>
      <c r="C592">
        <v>0</v>
      </c>
      <c r="D592">
        <v>0</v>
      </c>
      <c r="E592">
        <v>18</v>
      </c>
      <c r="F592" t="s">
        <v>213</v>
      </c>
      <c r="G592" t="s">
        <v>159</v>
      </c>
    </row>
    <row r="593" spans="1:7" hidden="1" x14ac:dyDescent="0.25">
      <c r="A593">
        <v>50</v>
      </c>
      <c r="B593">
        <v>7284</v>
      </c>
      <c r="C593">
        <v>0</v>
      </c>
      <c r="D593">
        <v>0</v>
      </c>
      <c r="E593">
        <v>18</v>
      </c>
      <c r="F593" t="s">
        <v>213</v>
      </c>
      <c r="G593" t="s">
        <v>159</v>
      </c>
    </row>
    <row r="594" spans="1:7" hidden="1" x14ac:dyDescent="0.25">
      <c r="A594">
        <v>50</v>
      </c>
      <c r="B594">
        <v>7528</v>
      </c>
      <c r="C594">
        <v>0</v>
      </c>
      <c r="D594">
        <v>0</v>
      </c>
      <c r="E594">
        <v>18</v>
      </c>
      <c r="F594" t="s">
        <v>213</v>
      </c>
      <c r="G594" t="s">
        <v>159</v>
      </c>
    </row>
    <row r="595" spans="1:7" hidden="1" x14ac:dyDescent="0.25">
      <c r="A595">
        <v>50</v>
      </c>
      <c r="B595">
        <v>7756</v>
      </c>
      <c r="C595">
        <v>0</v>
      </c>
      <c r="D595">
        <v>0</v>
      </c>
      <c r="E595">
        <v>18</v>
      </c>
      <c r="F595" t="s">
        <v>213</v>
      </c>
      <c r="G595" t="s">
        <v>159</v>
      </c>
    </row>
    <row r="596" spans="1:7" hidden="1" x14ac:dyDescent="0.25">
      <c r="A596">
        <v>50</v>
      </c>
      <c r="B596">
        <v>8256</v>
      </c>
      <c r="C596">
        <v>0</v>
      </c>
      <c r="D596">
        <v>0</v>
      </c>
      <c r="E596">
        <v>18</v>
      </c>
      <c r="F596" t="s">
        <v>213</v>
      </c>
      <c r="G596" t="s">
        <v>159</v>
      </c>
    </row>
    <row r="597" spans="1:7" hidden="1" x14ac:dyDescent="0.25">
      <c r="A597">
        <v>50</v>
      </c>
      <c r="B597">
        <v>9356</v>
      </c>
      <c r="C597">
        <v>0</v>
      </c>
      <c r="D597">
        <v>0</v>
      </c>
      <c r="E597">
        <v>18</v>
      </c>
      <c r="F597" t="s">
        <v>213</v>
      </c>
      <c r="G597" t="s">
        <v>159</v>
      </c>
    </row>
    <row r="598" spans="1:7" hidden="1" x14ac:dyDescent="0.25">
      <c r="A598">
        <v>50</v>
      </c>
      <c r="B598">
        <v>10012</v>
      </c>
      <c r="C598">
        <v>0</v>
      </c>
      <c r="D598">
        <v>0</v>
      </c>
      <c r="E598">
        <v>18</v>
      </c>
      <c r="F598" t="s">
        <v>213</v>
      </c>
      <c r="G598" t="s">
        <v>159</v>
      </c>
    </row>
    <row r="599" spans="1:7" hidden="1" x14ac:dyDescent="0.25">
      <c r="A599">
        <v>50</v>
      </c>
      <c r="B599">
        <v>10064</v>
      </c>
      <c r="C599">
        <v>0</v>
      </c>
      <c r="D599">
        <v>0</v>
      </c>
      <c r="E599">
        <v>18</v>
      </c>
      <c r="F599" t="s">
        <v>213</v>
      </c>
      <c r="G599" t="s">
        <v>159</v>
      </c>
    </row>
    <row r="600" spans="1:7" hidden="1" x14ac:dyDescent="0.25">
      <c r="A600">
        <v>50</v>
      </c>
      <c r="B600">
        <v>10100</v>
      </c>
      <c r="C600">
        <v>0</v>
      </c>
      <c r="D600">
        <v>0</v>
      </c>
      <c r="E600">
        <v>18</v>
      </c>
      <c r="F600" t="s">
        <v>213</v>
      </c>
      <c r="G600" t="s">
        <v>159</v>
      </c>
    </row>
    <row r="601" spans="1:7" hidden="1" x14ac:dyDescent="0.25">
      <c r="A601">
        <v>50</v>
      </c>
      <c r="B601">
        <v>10592</v>
      </c>
      <c r="C601">
        <v>0</v>
      </c>
      <c r="D601">
        <v>0</v>
      </c>
      <c r="E601">
        <v>18</v>
      </c>
      <c r="F601" t="s">
        <v>213</v>
      </c>
      <c r="G601" t="s">
        <v>159</v>
      </c>
    </row>
    <row r="602" spans="1:7" hidden="1" x14ac:dyDescent="0.25">
      <c r="A602">
        <v>99</v>
      </c>
      <c r="B602">
        <v>2068</v>
      </c>
      <c r="C602">
        <v>0</v>
      </c>
      <c r="D602">
        <v>0</v>
      </c>
      <c r="E602">
        <v>18</v>
      </c>
      <c r="F602" t="s">
        <v>213</v>
      </c>
      <c r="G602" t="s">
        <v>214</v>
      </c>
    </row>
    <row r="603" spans="1:7" hidden="1" x14ac:dyDescent="0.25">
      <c r="A603">
        <v>99</v>
      </c>
      <c r="B603">
        <v>2168</v>
      </c>
      <c r="C603">
        <v>0</v>
      </c>
      <c r="D603">
        <v>0</v>
      </c>
      <c r="E603">
        <v>18</v>
      </c>
      <c r="F603" t="s">
        <v>213</v>
      </c>
      <c r="G603" t="s">
        <v>214</v>
      </c>
    </row>
    <row r="604" spans="1:7" hidden="1" x14ac:dyDescent="0.25">
      <c r="A604">
        <v>99</v>
      </c>
      <c r="B604">
        <v>2472</v>
      </c>
      <c r="C604">
        <v>0</v>
      </c>
      <c r="D604">
        <v>0</v>
      </c>
      <c r="E604">
        <v>18</v>
      </c>
      <c r="F604" t="s">
        <v>213</v>
      </c>
      <c r="G604" t="s">
        <v>214</v>
      </c>
    </row>
    <row r="605" spans="1:7" hidden="1" x14ac:dyDescent="0.25">
      <c r="A605">
        <v>99</v>
      </c>
      <c r="B605">
        <v>3056</v>
      </c>
      <c r="C605">
        <v>0</v>
      </c>
      <c r="D605">
        <v>0</v>
      </c>
      <c r="E605">
        <v>18</v>
      </c>
      <c r="F605" t="s">
        <v>213</v>
      </c>
      <c r="G605" t="s">
        <v>214</v>
      </c>
    </row>
    <row r="606" spans="1:7" hidden="1" x14ac:dyDescent="0.25">
      <c r="A606">
        <v>99</v>
      </c>
      <c r="B606">
        <v>3100</v>
      </c>
      <c r="C606">
        <v>0</v>
      </c>
      <c r="D606">
        <v>0</v>
      </c>
      <c r="E606">
        <v>18</v>
      </c>
      <c r="F606" t="s">
        <v>213</v>
      </c>
      <c r="G606" t="s">
        <v>214</v>
      </c>
    </row>
    <row r="607" spans="1:7" hidden="1" x14ac:dyDescent="0.25">
      <c r="A607">
        <v>99</v>
      </c>
      <c r="B607">
        <v>3284</v>
      </c>
      <c r="C607">
        <v>0</v>
      </c>
      <c r="D607">
        <v>0</v>
      </c>
      <c r="E607">
        <v>18</v>
      </c>
      <c r="F607" t="s">
        <v>213</v>
      </c>
      <c r="G607" t="s">
        <v>214</v>
      </c>
    </row>
    <row r="608" spans="1:7" x14ac:dyDescent="0.25">
      <c r="A608">
        <v>99</v>
      </c>
      <c r="B608">
        <v>4124</v>
      </c>
      <c r="C608">
        <v>0</v>
      </c>
      <c r="D608">
        <v>0</v>
      </c>
      <c r="E608">
        <v>18</v>
      </c>
      <c r="F608" t="s">
        <v>213</v>
      </c>
      <c r="G608" t="s">
        <v>214</v>
      </c>
    </row>
    <row r="609" spans="1:7" hidden="1" x14ac:dyDescent="0.25">
      <c r="A609">
        <v>99</v>
      </c>
      <c r="B609">
        <v>5932</v>
      </c>
      <c r="C609">
        <v>0</v>
      </c>
      <c r="D609">
        <v>0</v>
      </c>
      <c r="E609">
        <v>18</v>
      </c>
      <c r="F609" t="s">
        <v>213</v>
      </c>
      <c r="G609" t="s">
        <v>214</v>
      </c>
    </row>
    <row r="610" spans="1:7" hidden="1" x14ac:dyDescent="0.25">
      <c r="A610">
        <v>99</v>
      </c>
      <c r="B610">
        <v>5992</v>
      </c>
      <c r="C610">
        <v>0</v>
      </c>
      <c r="D610">
        <v>0</v>
      </c>
      <c r="E610">
        <v>18</v>
      </c>
      <c r="F610" t="s">
        <v>213</v>
      </c>
      <c r="G610" t="s">
        <v>214</v>
      </c>
    </row>
    <row r="611" spans="1:7" hidden="1" x14ac:dyDescent="0.25">
      <c r="A611">
        <v>99</v>
      </c>
      <c r="B611">
        <v>7188</v>
      </c>
      <c r="C611">
        <v>0</v>
      </c>
      <c r="D611">
        <v>0</v>
      </c>
      <c r="E611">
        <v>12</v>
      </c>
      <c r="F611" t="s">
        <v>213</v>
      </c>
      <c r="G611" t="s">
        <v>181</v>
      </c>
    </row>
    <row r="612" spans="1:7" hidden="1" x14ac:dyDescent="0.25">
      <c r="A612">
        <v>99</v>
      </c>
      <c r="B612">
        <v>7260</v>
      </c>
      <c r="C612">
        <v>0</v>
      </c>
      <c r="D612">
        <v>0</v>
      </c>
      <c r="E612">
        <v>18</v>
      </c>
      <c r="F612" t="s">
        <v>213</v>
      </c>
      <c r="G612" t="s">
        <v>214</v>
      </c>
    </row>
    <row r="613" spans="1:7" hidden="1" x14ac:dyDescent="0.25">
      <c r="A613">
        <v>99</v>
      </c>
      <c r="B613">
        <v>7300</v>
      </c>
      <c r="C613">
        <v>0</v>
      </c>
      <c r="D613">
        <v>0</v>
      </c>
      <c r="E613">
        <v>18</v>
      </c>
      <c r="F613" t="s">
        <v>213</v>
      </c>
      <c r="G613" t="s">
        <v>214</v>
      </c>
    </row>
    <row r="614" spans="1:7" hidden="1" x14ac:dyDescent="0.25">
      <c r="A614">
        <v>99</v>
      </c>
      <c r="B614">
        <v>7552</v>
      </c>
      <c r="C614">
        <v>0</v>
      </c>
      <c r="D614">
        <v>0</v>
      </c>
      <c r="E614">
        <v>18</v>
      </c>
      <c r="F614" t="s">
        <v>213</v>
      </c>
      <c r="G614" t="s">
        <v>214</v>
      </c>
    </row>
    <row r="615" spans="1:7" hidden="1" x14ac:dyDescent="0.25">
      <c r="A615">
        <v>99</v>
      </c>
      <c r="B615">
        <v>8004</v>
      </c>
      <c r="C615">
        <v>0</v>
      </c>
      <c r="D615">
        <v>0</v>
      </c>
      <c r="E615">
        <v>18</v>
      </c>
      <c r="F615" t="s">
        <v>213</v>
      </c>
      <c r="G615" t="s">
        <v>214</v>
      </c>
    </row>
    <row r="616" spans="1:7" hidden="1" x14ac:dyDescent="0.25">
      <c r="A616">
        <v>99</v>
      </c>
      <c r="B616">
        <v>8144</v>
      </c>
      <c r="C616">
        <v>0</v>
      </c>
      <c r="D616">
        <v>0</v>
      </c>
      <c r="E616">
        <v>18</v>
      </c>
      <c r="F616" t="s">
        <v>213</v>
      </c>
      <c r="G616" t="s">
        <v>214</v>
      </c>
    </row>
    <row r="617" spans="1:7" hidden="1" x14ac:dyDescent="0.25">
      <c r="A617">
        <v>99</v>
      </c>
      <c r="B617">
        <v>8668</v>
      </c>
      <c r="C617">
        <v>0</v>
      </c>
      <c r="D617">
        <v>0</v>
      </c>
      <c r="E617">
        <v>18</v>
      </c>
      <c r="F617" t="s">
        <v>213</v>
      </c>
      <c r="G617" t="s">
        <v>214</v>
      </c>
    </row>
    <row r="618" spans="1:7" hidden="1" x14ac:dyDescent="0.25">
      <c r="A618">
        <v>99</v>
      </c>
      <c r="B618">
        <v>8804</v>
      </c>
      <c r="C618">
        <v>0</v>
      </c>
      <c r="D618">
        <v>0</v>
      </c>
      <c r="E618">
        <v>18</v>
      </c>
      <c r="F618" t="s">
        <v>213</v>
      </c>
      <c r="G618" t="s">
        <v>214</v>
      </c>
    </row>
    <row r="619" spans="1:7" hidden="1" x14ac:dyDescent="0.25">
      <c r="A619">
        <v>99</v>
      </c>
      <c r="B619">
        <v>9032</v>
      </c>
      <c r="C619">
        <v>0</v>
      </c>
      <c r="D619">
        <v>0</v>
      </c>
      <c r="E619">
        <v>18</v>
      </c>
      <c r="F619" t="s">
        <v>213</v>
      </c>
      <c r="G619" t="s">
        <v>214</v>
      </c>
    </row>
    <row r="620" spans="1:7" hidden="1" x14ac:dyDescent="0.25">
      <c r="A620">
        <v>99</v>
      </c>
      <c r="B620">
        <v>9072</v>
      </c>
      <c r="C620">
        <v>0</v>
      </c>
      <c r="D620">
        <v>0</v>
      </c>
      <c r="E620">
        <v>18</v>
      </c>
      <c r="F620" t="s">
        <v>213</v>
      </c>
      <c r="G620" t="s">
        <v>214</v>
      </c>
    </row>
    <row r="621" spans="1:7" hidden="1" x14ac:dyDescent="0.25">
      <c r="A621">
        <v>99</v>
      </c>
      <c r="B621">
        <v>9176</v>
      </c>
      <c r="C621">
        <v>0</v>
      </c>
      <c r="D621">
        <v>0</v>
      </c>
      <c r="E621">
        <v>18</v>
      </c>
      <c r="F621" t="s">
        <v>213</v>
      </c>
      <c r="G621" t="s">
        <v>214</v>
      </c>
    </row>
    <row r="622" spans="1:7" hidden="1" x14ac:dyDescent="0.25">
      <c r="A622">
        <v>99</v>
      </c>
      <c r="B622">
        <v>9256</v>
      </c>
      <c r="C622">
        <v>0</v>
      </c>
      <c r="D622">
        <v>0</v>
      </c>
      <c r="E622">
        <v>12</v>
      </c>
      <c r="F622" t="s">
        <v>213</v>
      </c>
      <c r="G622" t="s">
        <v>181</v>
      </c>
    </row>
    <row r="623" spans="1:7" hidden="1" x14ac:dyDescent="0.25">
      <c r="A623">
        <v>99</v>
      </c>
      <c r="B623">
        <v>9272</v>
      </c>
      <c r="C623">
        <v>0</v>
      </c>
      <c r="D623">
        <v>0</v>
      </c>
      <c r="E623">
        <v>18</v>
      </c>
      <c r="F623" t="s">
        <v>213</v>
      </c>
      <c r="G623" t="s">
        <v>214</v>
      </c>
    </row>
    <row r="624" spans="1:7" hidden="1" x14ac:dyDescent="0.25">
      <c r="A624">
        <v>99</v>
      </c>
      <c r="B624">
        <v>9752</v>
      </c>
      <c r="C624">
        <v>0</v>
      </c>
      <c r="D624">
        <v>0</v>
      </c>
      <c r="E624">
        <v>18</v>
      </c>
      <c r="F624" t="s">
        <v>213</v>
      </c>
      <c r="G624" t="s">
        <v>214</v>
      </c>
    </row>
    <row r="625" spans="1:7" hidden="1" x14ac:dyDescent="0.25">
      <c r="A625">
        <v>99</v>
      </c>
      <c r="B625">
        <v>10364</v>
      </c>
      <c r="C625">
        <v>0</v>
      </c>
      <c r="D625">
        <v>0</v>
      </c>
      <c r="E625">
        <v>18</v>
      </c>
      <c r="F625" t="s">
        <v>213</v>
      </c>
      <c r="G625" t="s">
        <v>214</v>
      </c>
    </row>
    <row r="626" spans="1:7" hidden="1" x14ac:dyDescent="0.25">
      <c r="A626">
        <v>99</v>
      </c>
      <c r="B626">
        <v>10420</v>
      </c>
      <c r="C626">
        <v>0</v>
      </c>
      <c r="D626">
        <v>0</v>
      </c>
      <c r="E626">
        <v>18</v>
      </c>
      <c r="F626" t="s">
        <v>213</v>
      </c>
      <c r="G626" t="s">
        <v>214</v>
      </c>
    </row>
    <row r="627" spans="1:7" hidden="1" x14ac:dyDescent="0.25">
      <c r="A627">
        <v>50</v>
      </c>
      <c r="B627">
        <v>476</v>
      </c>
      <c r="C627">
        <v>0</v>
      </c>
      <c r="D627">
        <v>0</v>
      </c>
      <c r="E627">
        <v>2</v>
      </c>
      <c r="F627" t="s">
        <v>117</v>
      </c>
      <c r="G627" t="s">
        <v>118</v>
      </c>
    </row>
    <row r="628" spans="1:7" hidden="1" x14ac:dyDescent="0.25">
      <c r="A628">
        <v>50</v>
      </c>
      <c r="B628">
        <v>1172</v>
      </c>
      <c r="C628">
        <v>0</v>
      </c>
      <c r="D628">
        <v>0</v>
      </c>
      <c r="E628">
        <v>2</v>
      </c>
      <c r="F628" t="s">
        <v>117</v>
      </c>
      <c r="G628" t="s">
        <v>118</v>
      </c>
    </row>
    <row r="629" spans="1:7" hidden="1" x14ac:dyDescent="0.25">
      <c r="A629">
        <v>50</v>
      </c>
      <c r="B629">
        <v>1264</v>
      </c>
      <c r="C629">
        <v>0</v>
      </c>
      <c r="D629">
        <v>0</v>
      </c>
      <c r="E629">
        <v>2</v>
      </c>
      <c r="F629" t="s">
        <v>117</v>
      </c>
      <c r="G629" t="s">
        <v>118</v>
      </c>
    </row>
    <row r="630" spans="1:7" hidden="1" x14ac:dyDescent="0.25">
      <c r="A630">
        <v>50</v>
      </c>
      <c r="B630">
        <v>1476</v>
      </c>
      <c r="C630">
        <v>0</v>
      </c>
      <c r="D630">
        <v>0</v>
      </c>
      <c r="E630">
        <v>2</v>
      </c>
      <c r="F630" t="s">
        <v>117</v>
      </c>
      <c r="G630" t="s">
        <v>118</v>
      </c>
    </row>
    <row r="631" spans="1:7" hidden="1" x14ac:dyDescent="0.25">
      <c r="A631">
        <v>50</v>
      </c>
      <c r="B631">
        <v>2548</v>
      </c>
      <c r="C631">
        <v>0</v>
      </c>
      <c r="D631">
        <v>0</v>
      </c>
      <c r="E631">
        <v>2</v>
      </c>
      <c r="F631" t="s">
        <v>117</v>
      </c>
      <c r="G631" t="s">
        <v>118</v>
      </c>
    </row>
    <row r="632" spans="1:7" hidden="1" x14ac:dyDescent="0.25">
      <c r="A632">
        <v>50</v>
      </c>
      <c r="B632">
        <v>4144</v>
      </c>
      <c r="C632">
        <v>0</v>
      </c>
      <c r="D632">
        <v>0</v>
      </c>
      <c r="E632">
        <v>2</v>
      </c>
      <c r="F632" t="s">
        <v>117</v>
      </c>
      <c r="G632" t="s">
        <v>118</v>
      </c>
    </row>
    <row r="633" spans="1:7" hidden="1" x14ac:dyDescent="0.25">
      <c r="A633">
        <v>50</v>
      </c>
      <c r="B633">
        <v>4228</v>
      </c>
      <c r="C633">
        <v>0</v>
      </c>
      <c r="D633">
        <v>0</v>
      </c>
      <c r="E633">
        <v>2</v>
      </c>
      <c r="F633" t="s">
        <v>117</v>
      </c>
      <c r="G633" t="s">
        <v>118</v>
      </c>
    </row>
    <row r="634" spans="1:7" hidden="1" x14ac:dyDescent="0.25">
      <c r="A634">
        <v>50</v>
      </c>
      <c r="B634">
        <v>4336</v>
      </c>
      <c r="C634">
        <v>0</v>
      </c>
      <c r="D634">
        <v>0</v>
      </c>
      <c r="E634">
        <v>2</v>
      </c>
      <c r="F634" t="s">
        <v>117</v>
      </c>
      <c r="G634" t="s">
        <v>118</v>
      </c>
    </row>
    <row r="635" spans="1:7" hidden="1" x14ac:dyDescent="0.25">
      <c r="A635">
        <v>50</v>
      </c>
      <c r="B635">
        <v>4600</v>
      </c>
      <c r="C635">
        <v>0</v>
      </c>
      <c r="D635">
        <v>0</v>
      </c>
      <c r="E635">
        <v>2</v>
      </c>
      <c r="F635" t="s">
        <v>117</v>
      </c>
      <c r="G635" t="s">
        <v>118</v>
      </c>
    </row>
    <row r="636" spans="1:7" hidden="1" x14ac:dyDescent="0.25">
      <c r="A636">
        <v>50</v>
      </c>
      <c r="B636">
        <v>5004</v>
      </c>
      <c r="C636">
        <v>0</v>
      </c>
      <c r="D636">
        <v>0</v>
      </c>
      <c r="E636">
        <v>2</v>
      </c>
      <c r="F636" t="s">
        <v>117</v>
      </c>
      <c r="G636" t="s">
        <v>118</v>
      </c>
    </row>
    <row r="637" spans="1:7" hidden="1" x14ac:dyDescent="0.25">
      <c r="A637">
        <v>50</v>
      </c>
      <c r="B637">
        <v>5892</v>
      </c>
      <c r="C637">
        <v>0</v>
      </c>
      <c r="D637">
        <v>0</v>
      </c>
      <c r="E637">
        <v>2</v>
      </c>
      <c r="F637" t="s">
        <v>117</v>
      </c>
      <c r="G637" t="s">
        <v>118</v>
      </c>
    </row>
    <row r="638" spans="1:7" hidden="1" x14ac:dyDescent="0.25">
      <c r="A638">
        <v>50</v>
      </c>
      <c r="B638">
        <v>5904</v>
      </c>
      <c r="C638">
        <v>0</v>
      </c>
      <c r="D638">
        <v>0</v>
      </c>
      <c r="E638">
        <v>2</v>
      </c>
      <c r="F638" t="s">
        <v>117</v>
      </c>
      <c r="G638" t="s">
        <v>118</v>
      </c>
    </row>
    <row r="639" spans="1:7" hidden="1" x14ac:dyDescent="0.25">
      <c r="A639">
        <v>50</v>
      </c>
      <c r="B639">
        <v>6280</v>
      </c>
      <c r="C639">
        <v>0</v>
      </c>
      <c r="D639">
        <v>0</v>
      </c>
      <c r="E639">
        <v>2</v>
      </c>
      <c r="F639" t="s">
        <v>117</v>
      </c>
      <c r="G639" t="s">
        <v>118</v>
      </c>
    </row>
    <row r="640" spans="1:7" hidden="1" x14ac:dyDescent="0.25">
      <c r="A640">
        <v>50</v>
      </c>
      <c r="B640">
        <v>6312</v>
      </c>
      <c r="C640">
        <v>0</v>
      </c>
      <c r="D640">
        <v>0</v>
      </c>
      <c r="E640">
        <v>2</v>
      </c>
      <c r="F640" t="s">
        <v>117</v>
      </c>
      <c r="G640" t="s">
        <v>118</v>
      </c>
    </row>
    <row r="641" spans="1:7" hidden="1" x14ac:dyDescent="0.25">
      <c r="A641">
        <v>50</v>
      </c>
      <c r="B641">
        <v>7283</v>
      </c>
      <c r="C641">
        <v>0</v>
      </c>
      <c r="D641">
        <v>0</v>
      </c>
      <c r="E641">
        <v>2</v>
      </c>
      <c r="F641" t="s">
        <v>117</v>
      </c>
      <c r="G641" t="s">
        <v>118</v>
      </c>
    </row>
    <row r="642" spans="1:7" hidden="1" x14ac:dyDescent="0.25">
      <c r="A642">
        <v>50</v>
      </c>
      <c r="B642">
        <v>7284</v>
      </c>
      <c r="C642">
        <v>0</v>
      </c>
      <c r="D642">
        <v>0</v>
      </c>
      <c r="E642">
        <v>2</v>
      </c>
      <c r="F642" t="s">
        <v>117</v>
      </c>
      <c r="G642" t="s">
        <v>118</v>
      </c>
    </row>
    <row r="643" spans="1:7" hidden="1" x14ac:dyDescent="0.25">
      <c r="A643">
        <v>50</v>
      </c>
      <c r="B643">
        <v>7528</v>
      </c>
      <c r="C643">
        <v>0</v>
      </c>
      <c r="D643">
        <v>0</v>
      </c>
      <c r="E643">
        <v>2</v>
      </c>
      <c r="F643" t="s">
        <v>117</v>
      </c>
      <c r="G643" t="s">
        <v>118</v>
      </c>
    </row>
    <row r="644" spans="1:7" hidden="1" x14ac:dyDescent="0.25">
      <c r="A644">
        <v>50</v>
      </c>
      <c r="B644">
        <v>7756</v>
      </c>
      <c r="C644">
        <v>0</v>
      </c>
      <c r="D644">
        <v>0</v>
      </c>
      <c r="E644">
        <v>2</v>
      </c>
      <c r="F644" t="s">
        <v>117</v>
      </c>
      <c r="G644" t="s">
        <v>118</v>
      </c>
    </row>
    <row r="645" spans="1:7" hidden="1" x14ac:dyDescent="0.25">
      <c r="A645">
        <v>50</v>
      </c>
      <c r="B645">
        <v>8256</v>
      </c>
      <c r="C645">
        <v>0</v>
      </c>
      <c r="D645">
        <v>0</v>
      </c>
      <c r="E645">
        <v>2</v>
      </c>
      <c r="F645" t="s">
        <v>117</v>
      </c>
      <c r="G645" t="s">
        <v>118</v>
      </c>
    </row>
    <row r="646" spans="1:7" hidden="1" x14ac:dyDescent="0.25">
      <c r="A646">
        <v>50</v>
      </c>
      <c r="B646">
        <v>9356</v>
      </c>
      <c r="C646">
        <v>0</v>
      </c>
      <c r="D646">
        <v>0</v>
      </c>
      <c r="E646">
        <v>2</v>
      </c>
      <c r="F646" t="s">
        <v>117</v>
      </c>
      <c r="G646" t="s">
        <v>118</v>
      </c>
    </row>
    <row r="647" spans="1:7" hidden="1" x14ac:dyDescent="0.25">
      <c r="A647">
        <v>50</v>
      </c>
      <c r="B647">
        <v>10012</v>
      </c>
      <c r="C647">
        <v>0</v>
      </c>
      <c r="D647">
        <v>0</v>
      </c>
      <c r="E647">
        <v>2</v>
      </c>
      <c r="F647" t="s">
        <v>117</v>
      </c>
      <c r="G647" t="s">
        <v>118</v>
      </c>
    </row>
    <row r="648" spans="1:7" hidden="1" x14ac:dyDescent="0.25">
      <c r="A648">
        <v>50</v>
      </c>
      <c r="B648">
        <v>10064</v>
      </c>
      <c r="C648">
        <v>0</v>
      </c>
      <c r="D648">
        <v>0</v>
      </c>
      <c r="E648">
        <v>2</v>
      </c>
      <c r="F648" t="s">
        <v>117</v>
      </c>
      <c r="G648" t="s">
        <v>118</v>
      </c>
    </row>
    <row r="649" spans="1:7" hidden="1" x14ac:dyDescent="0.25">
      <c r="A649">
        <v>50</v>
      </c>
      <c r="B649">
        <v>10100</v>
      </c>
      <c r="C649">
        <v>0</v>
      </c>
      <c r="D649">
        <v>0</v>
      </c>
      <c r="E649">
        <v>2</v>
      </c>
      <c r="F649" t="s">
        <v>117</v>
      </c>
      <c r="G649" t="s">
        <v>118</v>
      </c>
    </row>
    <row r="650" spans="1:7" hidden="1" x14ac:dyDescent="0.25">
      <c r="A650">
        <v>50</v>
      </c>
      <c r="B650">
        <v>10592</v>
      </c>
      <c r="C650">
        <v>0</v>
      </c>
      <c r="D650">
        <v>0</v>
      </c>
      <c r="E650">
        <v>2</v>
      </c>
      <c r="F650" t="s">
        <v>117</v>
      </c>
      <c r="G650" t="s">
        <v>118</v>
      </c>
    </row>
    <row r="651" spans="1:7" hidden="1" x14ac:dyDescent="0.25">
      <c r="A651">
        <v>99</v>
      </c>
      <c r="B651">
        <v>2068</v>
      </c>
      <c r="C651">
        <v>0</v>
      </c>
      <c r="D651">
        <v>0</v>
      </c>
      <c r="E651">
        <v>2</v>
      </c>
      <c r="F651" t="s">
        <v>117</v>
      </c>
      <c r="G651" t="s">
        <v>118</v>
      </c>
    </row>
    <row r="652" spans="1:7" hidden="1" x14ac:dyDescent="0.25">
      <c r="A652">
        <v>99</v>
      </c>
      <c r="B652">
        <v>2168</v>
      </c>
      <c r="C652">
        <v>0</v>
      </c>
      <c r="D652">
        <v>0</v>
      </c>
      <c r="E652">
        <v>2</v>
      </c>
      <c r="F652" t="s">
        <v>117</v>
      </c>
      <c r="G652" t="s">
        <v>118</v>
      </c>
    </row>
    <row r="653" spans="1:7" hidden="1" x14ac:dyDescent="0.25">
      <c r="A653">
        <v>99</v>
      </c>
      <c r="B653">
        <v>2472</v>
      </c>
      <c r="C653">
        <v>0</v>
      </c>
      <c r="D653">
        <v>0</v>
      </c>
      <c r="E653">
        <v>2</v>
      </c>
      <c r="F653" t="s">
        <v>117</v>
      </c>
      <c r="G653" t="s">
        <v>118</v>
      </c>
    </row>
    <row r="654" spans="1:7" hidden="1" x14ac:dyDescent="0.25">
      <c r="A654">
        <v>99</v>
      </c>
      <c r="B654">
        <v>3056</v>
      </c>
      <c r="C654">
        <v>0</v>
      </c>
      <c r="D654">
        <v>0</v>
      </c>
      <c r="E654">
        <v>2</v>
      </c>
      <c r="F654" t="s">
        <v>117</v>
      </c>
      <c r="G654" t="s">
        <v>118</v>
      </c>
    </row>
    <row r="655" spans="1:7" hidden="1" x14ac:dyDescent="0.25">
      <c r="A655">
        <v>99</v>
      </c>
      <c r="B655">
        <v>3100</v>
      </c>
      <c r="C655">
        <v>0</v>
      </c>
      <c r="D655">
        <v>0</v>
      </c>
      <c r="E655">
        <v>2</v>
      </c>
      <c r="F655" t="s">
        <v>117</v>
      </c>
      <c r="G655" t="s">
        <v>118</v>
      </c>
    </row>
    <row r="656" spans="1:7" hidden="1" x14ac:dyDescent="0.25">
      <c r="A656">
        <v>99</v>
      </c>
      <c r="B656">
        <v>3284</v>
      </c>
      <c r="C656">
        <v>0</v>
      </c>
      <c r="D656">
        <v>0</v>
      </c>
      <c r="E656">
        <v>2</v>
      </c>
      <c r="F656" t="s">
        <v>117</v>
      </c>
      <c r="G656" t="s">
        <v>118</v>
      </c>
    </row>
    <row r="657" spans="1:7" x14ac:dyDescent="0.25">
      <c r="A657">
        <v>99</v>
      </c>
      <c r="B657">
        <v>4124</v>
      </c>
      <c r="C657">
        <v>0</v>
      </c>
      <c r="D657">
        <v>0</v>
      </c>
      <c r="E657">
        <v>2</v>
      </c>
      <c r="F657" t="s">
        <v>117</v>
      </c>
      <c r="G657" t="s">
        <v>118</v>
      </c>
    </row>
    <row r="658" spans="1:7" hidden="1" x14ac:dyDescent="0.25">
      <c r="A658">
        <v>99</v>
      </c>
      <c r="B658">
        <v>5932</v>
      </c>
      <c r="C658">
        <v>0</v>
      </c>
      <c r="D658">
        <v>0</v>
      </c>
      <c r="E658">
        <v>2</v>
      </c>
      <c r="F658" t="s">
        <v>117</v>
      </c>
      <c r="G658" t="s">
        <v>118</v>
      </c>
    </row>
    <row r="659" spans="1:7" hidden="1" x14ac:dyDescent="0.25">
      <c r="A659">
        <v>99</v>
      </c>
      <c r="B659">
        <v>5992</v>
      </c>
      <c r="C659">
        <v>0</v>
      </c>
      <c r="D659">
        <v>0</v>
      </c>
      <c r="E659">
        <v>2</v>
      </c>
      <c r="F659" t="s">
        <v>117</v>
      </c>
      <c r="G659" t="s">
        <v>118</v>
      </c>
    </row>
    <row r="660" spans="1:7" hidden="1" x14ac:dyDescent="0.25">
      <c r="A660">
        <v>99</v>
      </c>
      <c r="B660">
        <v>7188</v>
      </c>
      <c r="C660">
        <v>0</v>
      </c>
      <c r="D660">
        <v>0</v>
      </c>
      <c r="E660">
        <v>2</v>
      </c>
      <c r="F660" t="s">
        <v>117</v>
      </c>
      <c r="G660" t="s">
        <v>118</v>
      </c>
    </row>
    <row r="661" spans="1:7" hidden="1" x14ac:dyDescent="0.25">
      <c r="A661">
        <v>99</v>
      </c>
      <c r="B661">
        <v>7260</v>
      </c>
      <c r="C661">
        <v>0</v>
      </c>
      <c r="D661">
        <v>0</v>
      </c>
      <c r="E661">
        <v>2</v>
      </c>
      <c r="F661" t="s">
        <v>117</v>
      </c>
      <c r="G661" t="s">
        <v>118</v>
      </c>
    </row>
    <row r="662" spans="1:7" hidden="1" x14ac:dyDescent="0.25">
      <c r="A662">
        <v>99</v>
      </c>
      <c r="B662">
        <v>7300</v>
      </c>
      <c r="C662">
        <v>0</v>
      </c>
      <c r="D662">
        <v>0</v>
      </c>
      <c r="E662">
        <v>2</v>
      </c>
      <c r="F662" t="s">
        <v>117</v>
      </c>
      <c r="G662" t="s">
        <v>118</v>
      </c>
    </row>
    <row r="663" spans="1:7" hidden="1" x14ac:dyDescent="0.25">
      <c r="A663">
        <v>99</v>
      </c>
      <c r="B663">
        <v>7552</v>
      </c>
      <c r="C663">
        <v>0</v>
      </c>
      <c r="D663">
        <v>0</v>
      </c>
      <c r="E663">
        <v>2</v>
      </c>
      <c r="F663" t="s">
        <v>117</v>
      </c>
      <c r="G663" t="s">
        <v>118</v>
      </c>
    </row>
    <row r="664" spans="1:7" hidden="1" x14ac:dyDescent="0.25">
      <c r="A664">
        <v>99</v>
      </c>
      <c r="B664">
        <v>8004</v>
      </c>
      <c r="C664">
        <v>0</v>
      </c>
      <c r="D664">
        <v>0</v>
      </c>
      <c r="E664">
        <v>2</v>
      </c>
      <c r="F664" t="s">
        <v>117</v>
      </c>
      <c r="G664" t="s">
        <v>118</v>
      </c>
    </row>
    <row r="665" spans="1:7" hidden="1" x14ac:dyDescent="0.25">
      <c r="A665">
        <v>99</v>
      </c>
      <c r="B665">
        <v>8144</v>
      </c>
      <c r="C665">
        <v>0</v>
      </c>
      <c r="D665">
        <v>0</v>
      </c>
      <c r="E665">
        <v>2</v>
      </c>
      <c r="F665" t="s">
        <v>117</v>
      </c>
      <c r="G665" t="s">
        <v>118</v>
      </c>
    </row>
    <row r="666" spans="1:7" hidden="1" x14ac:dyDescent="0.25">
      <c r="A666">
        <v>99</v>
      </c>
      <c r="B666">
        <v>8668</v>
      </c>
      <c r="C666">
        <v>0</v>
      </c>
      <c r="D666">
        <v>0</v>
      </c>
      <c r="E666">
        <v>2</v>
      </c>
      <c r="F666" t="s">
        <v>117</v>
      </c>
      <c r="G666" t="s">
        <v>118</v>
      </c>
    </row>
    <row r="667" spans="1:7" hidden="1" x14ac:dyDescent="0.25">
      <c r="A667">
        <v>99</v>
      </c>
      <c r="B667">
        <v>8804</v>
      </c>
      <c r="C667">
        <v>0</v>
      </c>
      <c r="D667">
        <v>0</v>
      </c>
      <c r="E667">
        <v>2</v>
      </c>
      <c r="F667" t="s">
        <v>117</v>
      </c>
      <c r="G667" t="s">
        <v>118</v>
      </c>
    </row>
    <row r="668" spans="1:7" hidden="1" x14ac:dyDescent="0.25">
      <c r="A668">
        <v>99</v>
      </c>
      <c r="B668">
        <v>9032</v>
      </c>
      <c r="C668">
        <v>0</v>
      </c>
      <c r="D668">
        <v>0</v>
      </c>
      <c r="E668">
        <v>2</v>
      </c>
      <c r="F668" t="s">
        <v>117</v>
      </c>
      <c r="G668" t="s">
        <v>118</v>
      </c>
    </row>
    <row r="669" spans="1:7" hidden="1" x14ac:dyDescent="0.25">
      <c r="A669">
        <v>99</v>
      </c>
      <c r="B669">
        <v>9072</v>
      </c>
      <c r="C669">
        <v>0</v>
      </c>
      <c r="D669">
        <v>0</v>
      </c>
      <c r="E669">
        <v>2</v>
      </c>
      <c r="F669" t="s">
        <v>117</v>
      </c>
      <c r="G669" t="s">
        <v>118</v>
      </c>
    </row>
    <row r="670" spans="1:7" hidden="1" x14ac:dyDescent="0.25">
      <c r="A670">
        <v>99</v>
      </c>
      <c r="B670">
        <v>9176</v>
      </c>
      <c r="C670">
        <v>0</v>
      </c>
      <c r="D670">
        <v>0</v>
      </c>
      <c r="E670">
        <v>2</v>
      </c>
      <c r="F670" t="s">
        <v>117</v>
      </c>
      <c r="G670" t="s">
        <v>118</v>
      </c>
    </row>
    <row r="671" spans="1:7" hidden="1" x14ac:dyDescent="0.25">
      <c r="A671">
        <v>99</v>
      </c>
      <c r="B671">
        <v>9256</v>
      </c>
      <c r="C671">
        <v>0</v>
      </c>
      <c r="D671">
        <v>0</v>
      </c>
      <c r="E671">
        <v>2</v>
      </c>
      <c r="F671" t="s">
        <v>117</v>
      </c>
      <c r="G671" t="s">
        <v>118</v>
      </c>
    </row>
    <row r="672" spans="1:7" hidden="1" x14ac:dyDescent="0.25">
      <c r="A672">
        <v>99</v>
      </c>
      <c r="B672">
        <v>9272</v>
      </c>
      <c r="C672">
        <v>0</v>
      </c>
      <c r="D672">
        <v>0</v>
      </c>
      <c r="E672">
        <v>2</v>
      </c>
      <c r="F672" t="s">
        <v>117</v>
      </c>
      <c r="G672" t="s">
        <v>118</v>
      </c>
    </row>
    <row r="673" spans="1:7" hidden="1" x14ac:dyDescent="0.25">
      <c r="A673">
        <v>99</v>
      </c>
      <c r="B673">
        <v>9752</v>
      </c>
      <c r="C673">
        <v>0</v>
      </c>
      <c r="D673">
        <v>0</v>
      </c>
      <c r="E673">
        <v>2</v>
      </c>
      <c r="F673" t="s">
        <v>117</v>
      </c>
      <c r="G673" t="s">
        <v>118</v>
      </c>
    </row>
    <row r="674" spans="1:7" hidden="1" x14ac:dyDescent="0.25">
      <c r="A674">
        <v>99</v>
      </c>
      <c r="B674">
        <v>10364</v>
      </c>
      <c r="C674">
        <v>0</v>
      </c>
      <c r="D674">
        <v>0</v>
      </c>
      <c r="E674">
        <v>2</v>
      </c>
      <c r="F674" t="s">
        <v>117</v>
      </c>
      <c r="G674" t="s">
        <v>118</v>
      </c>
    </row>
    <row r="675" spans="1:7" hidden="1" x14ac:dyDescent="0.25">
      <c r="A675">
        <v>99</v>
      </c>
      <c r="B675">
        <v>10420</v>
      </c>
      <c r="C675">
        <v>0</v>
      </c>
      <c r="D675">
        <v>0</v>
      </c>
      <c r="E675">
        <v>2</v>
      </c>
      <c r="F675" t="s">
        <v>117</v>
      </c>
      <c r="G675" t="s">
        <v>118</v>
      </c>
    </row>
    <row r="676" spans="1:7" hidden="1" x14ac:dyDescent="0.25">
      <c r="A676">
        <v>50</v>
      </c>
      <c r="B676">
        <v>476</v>
      </c>
      <c r="C676">
        <v>0</v>
      </c>
      <c r="D676">
        <v>0</v>
      </c>
      <c r="E676">
        <v>1</v>
      </c>
      <c r="F676" t="s">
        <v>115</v>
      </c>
      <c r="G676" t="s">
        <v>116</v>
      </c>
    </row>
    <row r="677" spans="1:7" hidden="1" x14ac:dyDescent="0.25">
      <c r="A677">
        <v>50</v>
      </c>
      <c r="B677">
        <v>1172</v>
      </c>
      <c r="C677">
        <v>0</v>
      </c>
      <c r="D677">
        <v>0</v>
      </c>
      <c r="E677">
        <v>1</v>
      </c>
      <c r="F677" t="s">
        <v>115</v>
      </c>
      <c r="G677" t="s">
        <v>116</v>
      </c>
    </row>
    <row r="678" spans="1:7" hidden="1" x14ac:dyDescent="0.25">
      <c r="A678">
        <v>50</v>
      </c>
      <c r="B678">
        <v>1264</v>
      </c>
      <c r="C678">
        <v>0</v>
      </c>
      <c r="D678">
        <v>0</v>
      </c>
      <c r="E678">
        <v>1</v>
      </c>
      <c r="F678" t="s">
        <v>115</v>
      </c>
      <c r="G678" t="s">
        <v>116</v>
      </c>
    </row>
    <row r="679" spans="1:7" hidden="1" x14ac:dyDescent="0.25">
      <c r="A679">
        <v>50</v>
      </c>
      <c r="B679">
        <v>1476</v>
      </c>
      <c r="C679">
        <v>0</v>
      </c>
      <c r="D679">
        <v>0</v>
      </c>
      <c r="E679">
        <v>1</v>
      </c>
      <c r="F679" t="s">
        <v>115</v>
      </c>
      <c r="G679" t="s">
        <v>116</v>
      </c>
    </row>
    <row r="680" spans="1:7" hidden="1" x14ac:dyDescent="0.25">
      <c r="A680">
        <v>50</v>
      </c>
      <c r="B680">
        <v>2548</v>
      </c>
      <c r="C680">
        <v>0</v>
      </c>
      <c r="D680">
        <v>0</v>
      </c>
      <c r="E680">
        <v>1</v>
      </c>
      <c r="F680" t="s">
        <v>115</v>
      </c>
      <c r="G680" t="s">
        <v>116</v>
      </c>
    </row>
    <row r="681" spans="1:7" hidden="1" x14ac:dyDescent="0.25">
      <c r="A681">
        <v>50</v>
      </c>
      <c r="B681">
        <v>4144</v>
      </c>
      <c r="C681">
        <v>0</v>
      </c>
      <c r="D681">
        <v>0</v>
      </c>
      <c r="E681">
        <v>1</v>
      </c>
      <c r="F681" t="s">
        <v>115</v>
      </c>
      <c r="G681" t="s">
        <v>116</v>
      </c>
    </row>
    <row r="682" spans="1:7" hidden="1" x14ac:dyDescent="0.25">
      <c r="A682">
        <v>50</v>
      </c>
      <c r="B682">
        <v>4228</v>
      </c>
      <c r="C682">
        <v>0</v>
      </c>
      <c r="D682">
        <v>0</v>
      </c>
      <c r="E682">
        <v>1</v>
      </c>
      <c r="F682" t="s">
        <v>115</v>
      </c>
      <c r="G682" t="s">
        <v>116</v>
      </c>
    </row>
    <row r="683" spans="1:7" hidden="1" x14ac:dyDescent="0.25">
      <c r="A683">
        <v>50</v>
      </c>
      <c r="B683">
        <v>4336</v>
      </c>
      <c r="C683">
        <v>0</v>
      </c>
      <c r="D683">
        <v>0</v>
      </c>
      <c r="E683">
        <v>1</v>
      </c>
      <c r="F683" t="s">
        <v>115</v>
      </c>
      <c r="G683" t="s">
        <v>116</v>
      </c>
    </row>
    <row r="684" spans="1:7" hidden="1" x14ac:dyDescent="0.25">
      <c r="A684">
        <v>50</v>
      </c>
      <c r="B684">
        <v>4600</v>
      </c>
      <c r="C684">
        <v>0</v>
      </c>
      <c r="D684">
        <v>0</v>
      </c>
      <c r="E684">
        <v>1</v>
      </c>
      <c r="F684" t="s">
        <v>115</v>
      </c>
      <c r="G684" t="s">
        <v>116</v>
      </c>
    </row>
    <row r="685" spans="1:7" hidden="1" x14ac:dyDescent="0.25">
      <c r="A685">
        <v>50</v>
      </c>
      <c r="B685">
        <v>5004</v>
      </c>
      <c r="C685">
        <v>0</v>
      </c>
      <c r="D685">
        <v>0</v>
      </c>
      <c r="E685">
        <v>1</v>
      </c>
      <c r="F685" t="s">
        <v>115</v>
      </c>
      <c r="G685" t="s">
        <v>116</v>
      </c>
    </row>
    <row r="686" spans="1:7" hidden="1" x14ac:dyDescent="0.25">
      <c r="A686">
        <v>50</v>
      </c>
      <c r="B686">
        <v>5892</v>
      </c>
      <c r="C686">
        <v>0</v>
      </c>
      <c r="D686">
        <v>0</v>
      </c>
      <c r="E686">
        <v>1</v>
      </c>
      <c r="F686" t="s">
        <v>115</v>
      </c>
      <c r="G686" t="s">
        <v>116</v>
      </c>
    </row>
    <row r="687" spans="1:7" hidden="1" x14ac:dyDescent="0.25">
      <c r="A687">
        <v>50</v>
      </c>
      <c r="B687">
        <v>5904</v>
      </c>
      <c r="C687">
        <v>0</v>
      </c>
      <c r="D687">
        <v>0</v>
      </c>
      <c r="E687">
        <v>1</v>
      </c>
      <c r="F687" t="s">
        <v>115</v>
      </c>
      <c r="G687" t="s">
        <v>116</v>
      </c>
    </row>
    <row r="688" spans="1:7" hidden="1" x14ac:dyDescent="0.25">
      <c r="A688">
        <v>50</v>
      </c>
      <c r="B688">
        <v>6280</v>
      </c>
      <c r="C688">
        <v>0</v>
      </c>
      <c r="D688">
        <v>0</v>
      </c>
      <c r="E688">
        <v>1</v>
      </c>
      <c r="F688" t="s">
        <v>115</v>
      </c>
      <c r="G688" t="s">
        <v>116</v>
      </c>
    </row>
    <row r="689" spans="1:7" hidden="1" x14ac:dyDescent="0.25">
      <c r="A689">
        <v>50</v>
      </c>
      <c r="B689">
        <v>6312</v>
      </c>
      <c r="C689">
        <v>0</v>
      </c>
      <c r="D689">
        <v>0</v>
      </c>
      <c r="E689">
        <v>1</v>
      </c>
      <c r="F689" t="s">
        <v>115</v>
      </c>
      <c r="G689" t="s">
        <v>116</v>
      </c>
    </row>
    <row r="690" spans="1:7" hidden="1" x14ac:dyDescent="0.25">
      <c r="A690">
        <v>50</v>
      </c>
      <c r="B690">
        <v>7283</v>
      </c>
      <c r="C690">
        <v>0</v>
      </c>
      <c r="D690">
        <v>0</v>
      </c>
      <c r="E690">
        <v>1</v>
      </c>
      <c r="F690" t="s">
        <v>115</v>
      </c>
      <c r="G690" t="s">
        <v>116</v>
      </c>
    </row>
    <row r="691" spans="1:7" hidden="1" x14ac:dyDescent="0.25">
      <c r="A691">
        <v>50</v>
      </c>
      <c r="B691">
        <v>7284</v>
      </c>
      <c r="C691">
        <v>0</v>
      </c>
      <c r="D691">
        <v>0</v>
      </c>
      <c r="E691">
        <v>1</v>
      </c>
      <c r="F691" t="s">
        <v>115</v>
      </c>
      <c r="G691" t="s">
        <v>116</v>
      </c>
    </row>
    <row r="692" spans="1:7" hidden="1" x14ac:dyDescent="0.25">
      <c r="A692">
        <v>50</v>
      </c>
      <c r="B692">
        <v>7528</v>
      </c>
      <c r="C692">
        <v>0</v>
      </c>
      <c r="D692">
        <v>0</v>
      </c>
      <c r="E692">
        <v>1</v>
      </c>
      <c r="F692" t="s">
        <v>115</v>
      </c>
      <c r="G692" t="s">
        <v>116</v>
      </c>
    </row>
    <row r="693" spans="1:7" hidden="1" x14ac:dyDescent="0.25">
      <c r="A693">
        <v>50</v>
      </c>
      <c r="B693">
        <v>7756</v>
      </c>
      <c r="C693">
        <v>0</v>
      </c>
      <c r="D693">
        <v>0</v>
      </c>
      <c r="E693">
        <v>1</v>
      </c>
      <c r="F693" t="s">
        <v>115</v>
      </c>
      <c r="G693" t="s">
        <v>116</v>
      </c>
    </row>
    <row r="694" spans="1:7" hidden="1" x14ac:dyDescent="0.25">
      <c r="A694">
        <v>50</v>
      </c>
      <c r="B694">
        <v>8256</v>
      </c>
      <c r="C694">
        <v>0</v>
      </c>
      <c r="D694">
        <v>0</v>
      </c>
      <c r="E694">
        <v>1</v>
      </c>
      <c r="F694" t="s">
        <v>115</v>
      </c>
      <c r="G694" t="s">
        <v>116</v>
      </c>
    </row>
    <row r="695" spans="1:7" hidden="1" x14ac:dyDescent="0.25">
      <c r="A695">
        <v>50</v>
      </c>
      <c r="B695">
        <v>9356</v>
      </c>
      <c r="C695">
        <v>0</v>
      </c>
      <c r="D695">
        <v>0</v>
      </c>
      <c r="E695">
        <v>1</v>
      </c>
      <c r="F695" t="s">
        <v>115</v>
      </c>
      <c r="G695" t="s">
        <v>116</v>
      </c>
    </row>
    <row r="696" spans="1:7" hidden="1" x14ac:dyDescent="0.25">
      <c r="A696">
        <v>50</v>
      </c>
      <c r="B696">
        <v>10012</v>
      </c>
      <c r="C696">
        <v>0</v>
      </c>
      <c r="D696">
        <v>0</v>
      </c>
      <c r="E696">
        <v>1</v>
      </c>
      <c r="F696" t="s">
        <v>115</v>
      </c>
      <c r="G696" t="s">
        <v>116</v>
      </c>
    </row>
    <row r="697" spans="1:7" hidden="1" x14ac:dyDescent="0.25">
      <c r="A697">
        <v>50</v>
      </c>
      <c r="B697">
        <v>10064</v>
      </c>
      <c r="C697">
        <v>0</v>
      </c>
      <c r="D697">
        <v>0</v>
      </c>
      <c r="E697">
        <v>1</v>
      </c>
      <c r="F697" t="s">
        <v>115</v>
      </c>
      <c r="G697" t="s">
        <v>116</v>
      </c>
    </row>
    <row r="698" spans="1:7" hidden="1" x14ac:dyDescent="0.25">
      <c r="A698">
        <v>50</v>
      </c>
      <c r="B698">
        <v>10100</v>
      </c>
      <c r="C698">
        <v>0</v>
      </c>
      <c r="D698">
        <v>0</v>
      </c>
      <c r="E698">
        <v>1</v>
      </c>
      <c r="F698" t="s">
        <v>115</v>
      </c>
      <c r="G698" t="s">
        <v>116</v>
      </c>
    </row>
    <row r="699" spans="1:7" hidden="1" x14ac:dyDescent="0.25">
      <c r="A699">
        <v>50</v>
      </c>
      <c r="B699">
        <v>10592</v>
      </c>
      <c r="C699">
        <v>0</v>
      </c>
      <c r="D699">
        <v>0</v>
      </c>
      <c r="E699">
        <v>1</v>
      </c>
      <c r="F699" t="s">
        <v>115</v>
      </c>
      <c r="G699" t="s">
        <v>116</v>
      </c>
    </row>
    <row r="700" spans="1:7" hidden="1" x14ac:dyDescent="0.25">
      <c r="A700">
        <v>99</v>
      </c>
      <c r="B700">
        <v>2068</v>
      </c>
      <c r="C700">
        <v>0</v>
      </c>
      <c r="D700">
        <v>0</v>
      </c>
      <c r="E700">
        <v>1</v>
      </c>
      <c r="F700" t="s">
        <v>115</v>
      </c>
      <c r="G700" t="s">
        <v>116</v>
      </c>
    </row>
    <row r="701" spans="1:7" hidden="1" x14ac:dyDescent="0.25">
      <c r="A701">
        <v>99</v>
      </c>
      <c r="B701">
        <v>2168</v>
      </c>
      <c r="C701">
        <v>0</v>
      </c>
      <c r="D701">
        <v>0</v>
      </c>
      <c r="E701">
        <v>1</v>
      </c>
      <c r="F701" t="s">
        <v>115</v>
      </c>
      <c r="G701" t="s">
        <v>116</v>
      </c>
    </row>
    <row r="702" spans="1:7" hidden="1" x14ac:dyDescent="0.25">
      <c r="A702">
        <v>99</v>
      </c>
      <c r="B702">
        <v>2472</v>
      </c>
      <c r="C702">
        <v>0</v>
      </c>
      <c r="D702">
        <v>0</v>
      </c>
      <c r="E702">
        <v>1</v>
      </c>
      <c r="F702" t="s">
        <v>115</v>
      </c>
      <c r="G702" t="s">
        <v>116</v>
      </c>
    </row>
    <row r="703" spans="1:7" hidden="1" x14ac:dyDescent="0.25">
      <c r="A703">
        <v>99</v>
      </c>
      <c r="B703">
        <v>3056</v>
      </c>
      <c r="C703">
        <v>0</v>
      </c>
      <c r="D703">
        <v>0</v>
      </c>
      <c r="E703">
        <v>1</v>
      </c>
      <c r="F703" t="s">
        <v>115</v>
      </c>
      <c r="G703" t="s">
        <v>116</v>
      </c>
    </row>
    <row r="704" spans="1:7" hidden="1" x14ac:dyDescent="0.25">
      <c r="A704">
        <v>99</v>
      </c>
      <c r="B704">
        <v>3100</v>
      </c>
      <c r="C704">
        <v>0</v>
      </c>
      <c r="D704">
        <v>0</v>
      </c>
      <c r="E704">
        <v>1</v>
      </c>
      <c r="F704" t="s">
        <v>115</v>
      </c>
      <c r="G704" t="s">
        <v>116</v>
      </c>
    </row>
    <row r="705" spans="1:7" hidden="1" x14ac:dyDescent="0.25">
      <c r="A705">
        <v>99</v>
      </c>
      <c r="B705">
        <v>3284</v>
      </c>
      <c r="C705">
        <v>0</v>
      </c>
      <c r="D705">
        <v>0</v>
      </c>
      <c r="E705">
        <v>1</v>
      </c>
      <c r="F705" t="s">
        <v>115</v>
      </c>
      <c r="G705" t="s">
        <v>116</v>
      </c>
    </row>
    <row r="706" spans="1:7" x14ac:dyDescent="0.25">
      <c r="A706">
        <v>99</v>
      </c>
      <c r="B706">
        <v>4124</v>
      </c>
      <c r="C706">
        <v>0</v>
      </c>
      <c r="D706">
        <v>0</v>
      </c>
      <c r="E706">
        <v>1</v>
      </c>
      <c r="F706" t="s">
        <v>115</v>
      </c>
      <c r="G706" t="s">
        <v>116</v>
      </c>
    </row>
    <row r="707" spans="1:7" hidden="1" x14ac:dyDescent="0.25">
      <c r="A707">
        <v>99</v>
      </c>
      <c r="B707">
        <v>5932</v>
      </c>
      <c r="C707">
        <v>0</v>
      </c>
      <c r="D707">
        <v>0</v>
      </c>
      <c r="E707">
        <v>1</v>
      </c>
      <c r="F707" t="s">
        <v>115</v>
      </c>
      <c r="G707" t="s">
        <v>116</v>
      </c>
    </row>
    <row r="708" spans="1:7" hidden="1" x14ac:dyDescent="0.25">
      <c r="A708">
        <v>99</v>
      </c>
      <c r="B708">
        <v>5992</v>
      </c>
      <c r="C708">
        <v>0</v>
      </c>
      <c r="D708">
        <v>0</v>
      </c>
      <c r="E708">
        <v>1</v>
      </c>
      <c r="F708" t="s">
        <v>115</v>
      </c>
      <c r="G708" t="s">
        <v>116</v>
      </c>
    </row>
    <row r="709" spans="1:7" hidden="1" x14ac:dyDescent="0.25">
      <c r="A709">
        <v>99</v>
      </c>
      <c r="B709">
        <v>7188</v>
      </c>
      <c r="C709">
        <v>0</v>
      </c>
      <c r="D709">
        <v>0</v>
      </c>
      <c r="E709">
        <v>1</v>
      </c>
      <c r="F709" t="s">
        <v>115</v>
      </c>
      <c r="G709" t="s">
        <v>116</v>
      </c>
    </row>
    <row r="710" spans="1:7" hidden="1" x14ac:dyDescent="0.25">
      <c r="A710">
        <v>99</v>
      </c>
      <c r="B710">
        <v>7260</v>
      </c>
      <c r="C710">
        <v>0</v>
      </c>
      <c r="D710">
        <v>0</v>
      </c>
      <c r="E710">
        <v>1</v>
      </c>
      <c r="F710" t="s">
        <v>115</v>
      </c>
      <c r="G710" t="s">
        <v>116</v>
      </c>
    </row>
    <row r="711" spans="1:7" hidden="1" x14ac:dyDescent="0.25">
      <c r="A711">
        <v>99</v>
      </c>
      <c r="B711">
        <v>7300</v>
      </c>
      <c r="C711">
        <v>0</v>
      </c>
      <c r="D711">
        <v>0</v>
      </c>
      <c r="E711">
        <v>1</v>
      </c>
      <c r="F711" t="s">
        <v>115</v>
      </c>
      <c r="G711" t="s">
        <v>116</v>
      </c>
    </row>
    <row r="712" spans="1:7" hidden="1" x14ac:dyDescent="0.25">
      <c r="A712">
        <v>99</v>
      </c>
      <c r="B712">
        <v>7552</v>
      </c>
      <c r="C712">
        <v>0</v>
      </c>
      <c r="D712">
        <v>0</v>
      </c>
      <c r="E712">
        <v>1</v>
      </c>
      <c r="F712" t="s">
        <v>115</v>
      </c>
      <c r="G712" t="s">
        <v>116</v>
      </c>
    </row>
    <row r="713" spans="1:7" hidden="1" x14ac:dyDescent="0.25">
      <c r="A713">
        <v>99</v>
      </c>
      <c r="B713">
        <v>8004</v>
      </c>
      <c r="C713">
        <v>0</v>
      </c>
      <c r="D713">
        <v>0</v>
      </c>
      <c r="E713">
        <v>1</v>
      </c>
      <c r="F713" t="s">
        <v>115</v>
      </c>
      <c r="G713" t="s">
        <v>116</v>
      </c>
    </row>
    <row r="714" spans="1:7" hidden="1" x14ac:dyDescent="0.25">
      <c r="A714">
        <v>99</v>
      </c>
      <c r="B714">
        <v>8144</v>
      </c>
      <c r="C714">
        <v>0</v>
      </c>
      <c r="D714">
        <v>0</v>
      </c>
      <c r="E714">
        <v>1</v>
      </c>
      <c r="F714" t="s">
        <v>115</v>
      </c>
      <c r="G714" t="s">
        <v>116</v>
      </c>
    </row>
    <row r="715" spans="1:7" hidden="1" x14ac:dyDescent="0.25">
      <c r="A715">
        <v>99</v>
      </c>
      <c r="B715">
        <v>8668</v>
      </c>
      <c r="C715">
        <v>0</v>
      </c>
      <c r="D715">
        <v>0</v>
      </c>
      <c r="E715">
        <v>1</v>
      </c>
      <c r="F715" t="s">
        <v>115</v>
      </c>
      <c r="G715" t="s">
        <v>116</v>
      </c>
    </row>
    <row r="716" spans="1:7" hidden="1" x14ac:dyDescent="0.25">
      <c r="A716">
        <v>99</v>
      </c>
      <c r="B716">
        <v>8804</v>
      </c>
      <c r="C716">
        <v>0</v>
      </c>
      <c r="D716">
        <v>0</v>
      </c>
      <c r="E716">
        <v>1</v>
      </c>
      <c r="F716" t="s">
        <v>115</v>
      </c>
      <c r="G716" t="s">
        <v>116</v>
      </c>
    </row>
    <row r="717" spans="1:7" hidden="1" x14ac:dyDescent="0.25">
      <c r="A717">
        <v>99</v>
      </c>
      <c r="B717">
        <v>9032</v>
      </c>
      <c r="C717">
        <v>0</v>
      </c>
      <c r="D717">
        <v>0</v>
      </c>
      <c r="E717">
        <v>1</v>
      </c>
      <c r="F717" t="s">
        <v>115</v>
      </c>
      <c r="G717" t="s">
        <v>116</v>
      </c>
    </row>
    <row r="718" spans="1:7" hidden="1" x14ac:dyDescent="0.25">
      <c r="A718">
        <v>99</v>
      </c>
      <c r="B718">
        <v>9072</v>
      </c>
      <c r="C718">
        <v>0</v>
      </c>
      <c r="D718">
        <v>0</v>
      </c>
      <c r="E718">
        <v>1</v>
      </c>
      <c r="F718" t="s">
        <v>115</v>
      </c>
      <c r="G718" t="s">
        <v>116</v>
      </c>
    </row>
    <row r="719" spans="1:7" hidden="1" x14ac:dyDescent="0.25">
      <c r="A719">
        <v>99</v>
      </c>
      <c r="B719">
        <v>9176</v>
      </c>
      <c r="C719">
        <v>0</v>
      </c>
      <c r="D719">
        <v>0</v>
      </c>
      <c r="E719">
        <v>1</v>
      </c>
      <c r="F719" t="s">
        <v>115</v>
      </c>
      <c r="G719" t="s">
        <v>116</v>
      </c>
    </row>
    <row r="720" spans="1:7" hidden="1" x14ac:dyDescent="0.25">
      <c r="A720">
        <v>99</v>
      </c>
      <c r="B720">
        <v>9256</v>
      </c>
      <c r="C720">
        <v>0</v>
      </c>
      <c r="D720">
        <v>0</v>
      </c>
      <c r="E720">
        <v>1</v>
      </c>
      <c r="F720" t="s">
        <v>115</v>
      </c>
      <c r="G720" t="s">
        <v>116</v>
      </c>
    </row>
    <row r="721" spans="1:7" hidden="1" x14ac:dyDescent="0.25">
      <c r="A721">
        <v>99</v>
      </c>
      <c r="B721">
        <v>9272</v>
      </c>
      <c r="C721">
        <v>0</v>
      </c>
      <c r="D721">
        <v>0</v>
      </c>
      <c r="E721">
        <v>1</v>
      </c>
      <c r="F721" t="s">
        <v>115</v>
      </c>
      <c r="G721" t="s">
        <v>116</v>
      </c>
    </row>
    <row r="722" spans="1:7" hidden="1" x14ac:dyDescent="0.25">
      <c r="A722">
        <v>99</v>
      </c>
      <c r="B722">
        <v>9752</v>
      </c>
      <c r="C722">
        <v>0</v>
      </c>
      <c r="D722">
        <v>0</v>
      </c>
      <c r="E722">
        <v>1</v>
      </c>
      <c r="F722" t="s">
        <v>115</v>
      </c>
      <c r="G722" t="s">
        <v>116</v>
      </c>
    </row>
    <row r="723" spans="1:7" hidden="1" x14ac:dyDescent="0.25">
      <c r="A723">
        <v>99</v>
      </c>
      <c r="B723">
        <v>10364</v>
      </c>
      <c r="C723">
        <v>0</v>
      </c>
      <c r="D723">
        <v>0</v>
      </c>
      <c r="E723">
        <v>1</v>
      </c>
      <c r="F723" t="s">
        <v>115</v>
      </c>
      <c r="G723" t="s">
        <v>116</v>
      </c>
    </row>
    <row r="724" spans="1:7" hidden="1" x14ac:dyDescent="0.25">
      <c r="A724">
        <v>99</v>
      </c>
      <c r="B724">
        <v>10420</v>
      </c>
      <c r="C724">
        <v>0</v>
      </c>
      <c r="D724">
        <v>0</v>
      </c>
      <c r="E724">
        <v>1</v>
      </c>
      <c r="F724" t="s">
        <v>115</v>
      </c>
      <c r="G724" t="s">
        <v>116</v>
      </c>
    </row>
    <row r="725" spans="1:7" hidden="1" x14ac:dyDescent="0.25">
      <c r="A725">
        <v>50</v>
      </c>
      <c r="B725">
        <v>476</v>
      </c>
      <c r="C725">
        <v>0</v>
      </c>
      <c r="D725">
        <v>0</v>
      </c>
      <c r="E725">
        <v>0</v>
      </c>
      <c r="F725" t="s">
        <v>113</v>
      </c>
      <c r="G725" t="s">
        <v>114</v>
      </c>
    </row>
    <row r="726" spans="1:7" hidden="1" x14ac:dyDescent="0.25">
      <c r="A726">
        <v>50</v>
      </c>
      <c r="B726">
        <v>1172</v>
      </c>
      <c r="C726">
        <v>0</v>
      </c>
      <c r="D726">
        <v>0</v>
      </c>
      <c r="E726">
        <v>0</v>
      </c>
      <c r="F726" t="s">
        <v>113</v>
      </c>
      <c r="G726" t="s">
        <v>114</v>
      </c>
    </row>
    <row r="727" spans="1:7" hidden="1" x14ac:dyDescent="0.25">
      <c r="A727">
        <v>50</v>
      </c>
      <c r="B727">
        <v>1264</v>
      </c>
      <c r="C727">
        <v>0</v>
      </c>
      <c r="D727">
        <v>0</v>
      </c>
      <c r="E727">
        <v>0</v>
      </c>
      <c r="F727" t="s">
        <v>113</v>
      </c>
      <c r="G727" t="s">
        <v>114</v>
      </c>
    </row>
    <row r="728" spans="1:7" hidden="1" x14ac:dyDescent="0.25">
      <c r="A728">
        <v>50</v>
      </c>
      <c r="B728">
        <v>1476</v>
      </c>
      <c r="C728">
        <v>0</v>
      </c>
      <c r="D728">
        <v>0</v>
      </c>
      <c r="E728">
        <v>0</v>
      </c>
      <c r="F728" t="s">
        <v>113</v>
      </c>
      <c r="G728" t="s">
        <v>114</v>
      </c>
    </row>
    <row r="729" spans="1:7" hidden="1" x14ac:dyDescent="0.25">
      <c r="A729">
        <v>50</v>
      </c>
      <c r="B729">
        <v>2548</v>
      </c>
      <c r="C729">
        <v>0</v>
      </c>
      <c r="D729">
        <v>0</v>
      </c>
      <c r="E729">
        <v>0</v>
      </c>
      <c r="F729" t="s">
        <v>113</v>
      </c>
      <c r="G729" t="s">
        <v>114</v>
      </c>
    </row>
    <row r="730" spans="1:7" hidden="1" x14ac:dyDescent="0.25">
      <c r="A730">
        <v>50</v>
      </c>
      <c r="B730">
        <v>4144</v>
      </c>
      <c r="C730">
        <v>0</v>
      </c>
      <c r="D730">
        <v>0</v>
      </c>
      <c r="E730">
        <v>0</v>
      </c>
      <c r="F730" t="s">
        <v>113</v>
      </c>
      <c r="G730" t="s">
        <v>114</v>
      </c>
    </row>
    <row r="731" spans="1:7" hidden="1" x14ac:dyDescent="0.25">
      <c r="A731">
        <v>50</v>
      </c>
      <c r="B731">
        <v>4228</v>
      </c>
      <c r="C731">
        <v>0</v>
      </c>
      <c r="D731">
        <v>0</v>
      </c>
      <c r="E731">
        <v>0</v>
      </c>
      <c r="F731" t="s">
        <v>113</v>
      </c>
      <c r="G731" t="s">
        <v>114</v>
      </c>
    </row>
    <row r="732" spans="1:7" hidden="1" x14ac:dyDescent="0.25">
      <c r="A732">
        <v>50</v>
      </c>
      <c r="B732">
        <v>4336</v>
      </c>
      <c r="C732">
        <v>0</v>
      </c>
      <c r="D732">
        <v>0</v>
      </c>
      <c r="E732">
        <v>0</v>
      </c>
      <c r="F732" t="s">
        <v>113</v>
      </c>
      <c r="G732" t="s">
        <v>114</v>
      </c>
    </row>
    <row r="733" spans="1:7" hidden="1" x14ac:dyDescent="0.25">
      <c r="A733">
        <v>50</v>
      </c>
      <c r="B733">
        <v>4600</v>
      </c>
      <c r="C733">
        <v>0</v>
      </c>
      <c r="D733">
        <v>0</v>
      </c>
      <c r="E733">
        <v>0</v>
      </c>
      <c r="F733" t="s">
        <v>113</v>
      </c>
      <c r="G733" t="s">
        <v>114</v>
      </c>
    </row>
    <row r="734" spans="1:7" hidden="1" x14ac:dyDescent="0.25">
      <c r="A734">
        <v>50</v>
      </c>
      <c r="B734">
        <v>5004</v>
      </c>
      <c r="C734">
        <v>0</v>
      </c>
      <c r="D734">
        <v>0</v>
      </c>
      <c r="E734">
        <v>0</v>
      </c>
      <c r="F734" t="s">
        <v>113</v>
      </c>
      <c r="G734" t="s">
        <v>114</v>
      </c>
    </row>
    <row r="735" spans="1:7" hidden="1" x14ac:dyDescent="0.25">
      <c r="A735">
        <v>50</v>
      </c>
      <c r="B735">
        <v>5892</v>
      </c>
      <c r="C735">
        <v>0</v>
      </c>
      <c r="D735">
        <v>0</v>
      </c>
      <c r="E735">
        <v>0</v>
      </c>
      <c r="F735" t="s">
        <v>113</v>
      </c>
      <c r="G735" t="s">
        <v>114</v>
      </c>
    </row>
    <row r="736" spans="1:7" hidden="1" x14ac:dyDescent="0.25">
      <c r="A736">
        <v>50</v>
      </c>
      <c r="B736">
        <v>5904</v>
      </c>
      <c r="C736">
        <v>0</v>
      </c>
      <c r="D736">
        <v>0</v>
      </c>
      <c r="E736">
        <v>0</v>
      </c>
      <c r="F736" t="s">
        <v>113</v>
      </c>
      <c r="G736" t="s">
        <v>114</v>
      </c>
    </row>
    <row r="737" spans="1:7" hidden="1" x14ac:dyDescent="0.25">
      <c r="A737">
        <v>50</v>
      </c>
      <c r="B737">
        <v>6280</v>
      </c>
      <c r="C737">
        <v>0</v>
      </c>
      <c r="D737">
        <v>0</v>
      </c>
      <c r="E737">
        <v>0</v>
      </c>
      <c r="F737" t="s">
        <v>113</v>
      </c>
      <c r="G737" t="s">
        <v>114</v>
      </c>
    </row>
    <row r="738" spans="1:7" hidden="1" x14ac:dyDescent="0.25">
      <c r="A738">
        <v>50</v>
      </c>
      <c r="B738">
        <v>6312</v>
      </c>
      <c r="C738">
        <v>0</v>
      </c>
      <c r="D738">
        <v>0</v>
      </c>
      <c r="E738">
        <v>0</v>
      </c>
      <c r="F738" t="s">
        <v>113</v>
      </c>
      <c r="G738" t="s">
        <v>114</v>
      </c>
    </row>
    <row r="739" spans="1:7" hidden="1" x14ac:dyDescent="0.25">
      <c r="A739">
        <v>50</v>
      </c>
      <c r="B739">
        <v>7283</v>
      </c>
      <c r="C739">
        <v>0</v>
      </c>
      <c r="D739">
        <v>0</v>
      </c>
      <c r="E739">
        <v>0</v>
      </c>
      <c r="F739" t="s">
        <v>113</v>
      </c>
      <c r="G739" t="s">
        <v>114</v>
      </c>
    </row>
    <row r="740" spans="1:7" hidden="1" x14ac:dyDescent="0.25">
      <c r="A740">
        <v>50</v>
      </c>
      <c r="B740">
        <v>7284</v>
      </c>
      <c r="C740">
        <v>0</v>
      </c>
      <c r="D740">
        <v>0</v>
      </c>
      <c r="E740">
        <v>0</v>
      </c>
      <c r="F740" t="s">
        <v>113</v>
      </c>
      <c r="G740" t="s">
        <v>114</v>
      </c>
    </row>
    <row r="741" spans="1:7" hidden="1" x14ac:dyDescent="0.25">
      <c r="A741">
        <v>50</v>
      </c>
      <c r="B741">
        <v>7528</v>
      </c>
      <c r="C741">
        <v>0</v>
      </c>
      <c r="D741">
        <v>0</v>
      </c>
      <c r="E741">
        <v>0</v>
      </c>
      <c r="F741" t="s">
        <v>113</v>
      </c>
      <c r="G741" t="s">
        <v>114</v>
      </c>
    </row>
    <row r="742" spans="1:7" hidden="1" x14ac:dyDescent="0.25">
      <c r="A742">
        <v>50</v>
      </c>
      <c r="B742">
        <v>7756</v>
      </c>
      <c r="C742">
        <v>0</v>
      </c>
      <c r="D742">
        <v>0</v>
      </c>
      <c r="E742">
        <v>0</v>
      </c>
      <c r="F742" t="s">
        <v>113</v>
      </c>
      <c r="G742" t="s">
        <v>114</v>
      </c>
    </row>
    <row r="743" spans="1:7" hidden="1" x14ac:dyDescent="0.25">
      <c r="A743">
        <v>50</v>
      </c>
      <c r="B743">
        <v>8256</v>
      </c>
      <c r="C743">
        <v>0</v>
      </c>
      <c r="D743">
        <v>0</v>
      </c>
      <c r="E743">
        <v>0</v>
      </c>
      <c r="F743" t="s">
        <v>113</v>
      </c>
      <c r="G743" t="s">
        <v>114</v>
      </c>
    </row>
    <row r="744" spans="1:7" hidden="1" x14ac:dyDescent="0.25">
      <c r="A744">
        <v>50</v>
      </c>
      <c r="B744">
        <v>9356</v>
      </c>
      <c r="C744">
        <v>0</v>
      </c>
      <c r="D744">
        <v>0</v>
      </c>
      <c r="E744">
        <v>0</v>
      </c>
      <c r="F744" t="s">
        <v>113</v>
      </c>
      <c r="G744" t="s">
        <v>114</v>
      </c>
    </row>
    <row r="745" spans="1:7" hidden="1" x14ac:dyDescent="0.25">
      <c r="A745">
        <v>50</v>
      </c>
      <c r="B745">
        <v>10012</v>
      </c>
      <c r="C745">
        <v>0</v>
      </c>
      <c r="D745">
        <v>0</v>
      </c>
      <c r="E745">
        <v>0</v>
      </c>
      <c r="F745" t="s">
        <v>113</v>
      </c>
      <c r="G745" t="s">
        <v>114</v>
      </c>
    </row>
    <row r="746" spans="1:7" hidden="1" x14ac:dyDescent="0.25">
      <c r="A746">
        <v>50</v>
      </c>
      <c r="B746">
        <v>10064</v>
      </c>
      <c r="C746">
        <v>0</v>
      </c>
      <c r="D746">
        <v>0</v>
      </c>
      <c r="E746">
        <v>0</v>
      </c>
      <c r="F746" t="s">
        <v>113</v>
      </c>
      <c r="G746" t="s">
        <v>114</v>
      </c>
    </row>
    <row r="747" spans="1:7" hidden="1" x14ac:dyDescent="0.25">
      <c r="A747">
        <v>50</v>
      </c>
      <c r="B747">
        <v>10100</v>
      </c>
      <c r="C747">
        <v>0</v>
      </c>
      <c r="D747">
        <v>0</v>
      </c>
      <c r="E747">
        <v>0</v>
      </c>
      <c r="F747" t="s">
        <v>113</v>
      </c>
      <c r="G747" t="s">
        <v>114</v>
      </c>
    </row>
    <row r="748" spans="1:7" hidden="1" x14ac:dyDescent="0.25">
      <c r="A748">
        <v>50</v>
      </c>
      <c r="B748">
        <v>10592</v>
      </c>
      <c r="C748">
        <v>0</v>
      </c>
      <c r="D748">
        <v>0</v>
      </c>
      <c r="E748">
        <v>0</v>
      </c>
      <c r="F748" t="s">
        <v>113</v>
      </c>
      <c r="G748" t="s">
        <v>114</v>
      </c>
    </row>
    <row r="749" spans="1:7" hidden="1" x14ac:dyDescent="0.25">
      <c r="A749">
        <v>99</v>
      </c>
      <c r="B749">
        <v>2068</v>
      </c>
      <c r="C749">
        <v>0</v>
      </c>
      <c r="D749">
        <v>0</v>
      </c>
      <c r="E749">
        <v>0</v>
      </c>
      <c r="F749" t="s">
        <v>113</v>
      </c>
      <c r="G749" t="s">
        <v>114</v>
      </c>
    </row>
    <row r="750" spans="1:7" hidden="1" x14ac:dyDescent="0.25">
      <c r="A750">
        <v>99</v>
      </c>
      <c r="B750">
        <v>2168</v>
      </c>
      <c r="C750">
        <v>0</v>
      </c>
      <c r="D750">
        <v>0</v>
      </c>
      <c r="E750">
        <v>0</v>
      </c>
      <c r="F750" t="s">
        <v>113</v>
      </c>
      <c r="G750" t="s">
        <v>114</v>
      </c>
    </row>
    <row r="751" spans="1:7" hidden="1" x14ac:dyDescent="0.25">
      <c r="A751">
        <v>99</v>
      </c>
      <c r="B751">
        <v>2472</v>
      </c>
      <c r="C751">
        <v>0</v>
      </c>
      <c r="D751">
        <v>0</v>
      </c>
      <c r="E751">
        <v>0</v>
      </c>
      <c r="F751" t="s">
        <v>113</v>
      </c>
      <c r="G751" t="s">
        <v>114</v>
      </c>
    </row>
    <row r="752" spans="1:7" hidden="1" x14ac:dyDescent="0.25">
      <c r="A752">
        <v>99</v>
      </c>
      <c r="B752">
        <v>3056</v>
      </c>
      <c r="C752">
        <v>0</v>
      </c>
      <c r="D752">
        <v>0</v>
      </c>
      <c r="E752">
        <v>0</v>
      </c>
      <c r="F752" t="s">
        <v>113</v>
      </c>
      <c r="G752" t="s">
        <v>114</v>
      </c>
    </row>
    <row r="753" spans="1:7" hidden="1" x14ac:dyDescent="0.25">
      <c r="A753">
        <v>99</v>
      </c>
      <c r="B753">
        <v>3100</v>
      </c>
      <c r="C753">
        <v>0</v>
      </c>
      <c r="D753">
        <v>0</v>
      </c>
      <c r="E753">
        <v>0</v>
      </c>
      <c r="F753" t="s">
        <v>113</v>
      </c>
      <c r="G753" t="s">
        <v>114</v>
      </c>
    </row>
    <row r="754" spans="1:7" hidden="1" x14ac:dyDescent="0.25">
      <c r="A754">
        <v>99</v>
      </c>
      <c r="B754">
        <v>3284</v>
      </c>
      <c r="C754">
        <v>0</v>
      </c>
      <c r="D754">
        <v>0</v>
      </c>
      <c r="E754">
        <v>0</v>
      </c>
      <c r="F754" t="s">
        <v>113</v>
      </c>
      <c r="G754" t="s">
        <v>114</v>
      </c>
    </row>
    <row r="755" spans="1:7" x14ac:dyDescent="0.25">
      <c r="A755">
        <v>99</v>
      </c>
      <c r="B755">
        <v>4124</v>
      </c>
      <c r="C755">
        <v>0</v>
      </c>
      <c r="D755">
        <v>0</v>
      </c>
      <c r="E755">
        <v>0</v>
      </c>
      <c r="F755" t="s">
        <v>113</v>
      </c>
      <c r="G755" t="s">
        <v>114</v>
      </c>
    </row>
    <row r="756" spans="1:7" hidden="1" x14ac:dyDescent="0.25">
      <c r="A756">
        <v>99</v>
      </c>
      <c r="B756">
        <v>5932</v>
      </c>
      <c r="C756">
        <v>0</v>
      </c>
      <c r="D756">
        <v>0</v>
      </c>
      <c r="E756">
        <v>0</v>
      </c>
      <c r="F756" t="s">
        <v>113</v>
      </c>
      <c r="G756" t="s">
        <v>114</v>
      </c>
    </row>
    <row r="757" spans="1:7" hidden="1" x14ac:dyDescent="0.25">
      <c r="A757">
        <v>99</v>
      </c>
      <c r="B757">
        <v>5992</v>
      </c>
      <c r="C757">
        <v>0</v>
      </c>
      <c r="D757">
        <v>0</v>
      </c>
      <c r="E757">
        <v>0</v>
      </c>
      <c r="F757" t="s">
        <v>113</v>
      </c>
      <c r="G757" t="s">
        <v>114</v>
      </c>
    </row>
    <row r="758" spans="1:7" hidden="1" x14ac:dyDescent="0.25">
      <c r="A758">
        <v>99</v>
      </c>
      <c r="B758">
        <v>7188</v>
      </c>
      <c r="C758">
        <v>0</v>
      </c>
      <c r="D758">
        <v>0</v>
      </c>
      <c r="E758">
        <v>0</v>
      </c>
      <c r="F758" t="s">
        <v>113</v>
      </c>
      <c r="G758" t="s">
        <v>114</v>
      </c>
    </row>
    <row r="759" spans="1:7" hidden="1" x14ac:dyDescent="0.25">
      <c r="A759">
        <v>99</v>
      </c>
      <c r="B759">
        <v>7260</v>
      </c>
      <c r="C759">
        <v>0</v>
      </c>
      <c r="D759">
        <v>0</v>
      </c>
      <c r="E759">
        <v>0</v>
      </c>
      <c r="F759" t="s">
        <v>113</v>
      </c>
      <c r="G759" t="s">
        <v>114</v>
      </c>
    </row>
    <row r="760" spans="1:7" hidden="1" x14ac:dyDescent="0.25">
      <c r="A760">
        <v>99</v>
      </c>
      <c r="B760">
        <v>7300</v>
      </c>
      <c r="C760">
        <v>0</v>
      </c>
      <c r="D760">
        <v>0</v>
      </c>
      <c r="E760">
        <v>0</v>
      </c>
      <c r="F760" t="s">
        <v>113</v>
      </c>
      <c r="G760" t="s">
        <v>114</v>
      </c>
    </row>
    <row r="761" spans="1:7" hidden="1" x14ac:dyDescent="0.25">
      <c r="A761">
        <v>99</v>
      </c>
      <c r="B761">
        <v>7552</v>
      </c>
      <c r="C761">
        <v>0</v>
      </c>
      <c r="D761">
        <v>0</v>
      </c>
      <c r="E761">
        <v>0</v>
      </c>
      <c r="F761" t="s">
        <v>113</v>
      </c>
      <c r="G761" t="s">
        <v>114</v>
      </c>
    </row>
    <row r="762" spans="1:7" hidden="1" x14ac:dyDescent="0.25">
      <c r="A762">
        <v>99</v>
      </c>
      <c r="B762">
        <v>8004</v>
      </c>
      <c r="C762">
        <v>0</v>
      </c>
      <c r="D762">
        <v>0</v>
      </c>
      <c r="E762">
        <v>0</v>
      </c>
      <c r="F762" t="s">
        <v>113</v>
      </c>
      <c r="G762" t="s">
        <v>114</v>
      </c>
    </row>
    <row r="763" spans="1:7" hidden="1" x14ac:dyDescent="0.25">
      <c r="A763">
        <v>99</v>
      </c>
      <c r="B763">
        <v>8144</v>
      </c>
      <c r="C763">
        <v>0</v>
      </c>
      <c r="D763">
        <v>0</v>
      </c>
      <c r="E763">
        <v>0</v>
      </c>
      <c r="F763" t="s">
        <v>113</v>
      </c>
      <c r="G763" t="s">
        <v>114</v>
      </c>
    </row>
    <row r="764" spans="1:7" hidden="1" x14ac:dyDescent="0.25">
      <c r="A764">
        <v>99</v>
      </c>
      <c r="B764">
        <v>8668</v>
      </c>
      <c r="C764">
        <v>0</v>
      </c>
      <c r="D764">
        <v>0</v>
      </c>
      <c r="E764">
        <v>0</v>
      </c>
      <c r="F764" t="s">
        <v>113</v>
      </c>
      <c r="G764" t="s">
        <v>114</v>
      </c>
    </row>
    <row r="765" spans="1:7" hidden="1" x14ac:dyDescent="0.25">
      <c r="A765">
        <v>99</v>
      </c>
      <c r="B765">
        <v>8804</v>
      </c>
      <c r="C765">
        <v>0</v>
      </c>
      <c r="D765">
        <v>0</v>
      </c>
      <c r="E765">
        <v>0</v>
      </c>
      <c r="F765" t="s">
        <v>113</v>
      </c>
      <c r="G765" t="s">
        <v>114</v>
      </c>
    </row>
    <row r="766" spans="1:7" hidden="1" x14ac:dyDescent="0.25">
      <c r="A766">
        <v>99</v>
      </c>
      <c r="B766">
        <v>9032</v>
      </c>
      <c r="C766">
        <v>0</v>
      </c>
      <c r="D766">
        <v>0</v>
      </c>
      <c r="E766">
        <v>0</v>
      </c>
      <c r="F766" t="s">
        <v>113</v>
      </c>
      <c r="G766" t="s">
        <v>114</v>
      </c>
    </row>
    <row r="767" spans="1:7" hidden="1" x14ac:dyDescent="0.25">
      <c r="A767">
        <v>99</v>
      </c>
      <c r="B767">
        <v>9072</v>
      </c>
      <c r="C767">
        <v>0</v>
      </c>
      <c r="D767">
        <v>0</v>
      </c>
      <c r="E767">
        <v>0</v>
      </c>
      <c r="F767" t="s">
        <v>113</v>
      </c>
      <c r="G767" t="s">
        <v>114</v>
      </c>
    </row>
    <row r="768" spans="1:7" hidden="1" x14ac:dyDescent="0.25">
      <c r="A768">
        <v>99</v>
      </c>
      <c r="B768">
        <v>9176</v>
      </c>
      <c r="C768">
        <v>0</v>
      </c>
      <c r="D768">
        <v>0</v>
      </c>
      <c r="E768">
        <v>0</v>
      </c>
      <c r="F768" t="s">
        <v>113</v>
      </c>
      <c r="G768" t="s">
        <v>114</v>
      </c>
    </row>
    <row r="769" spans="1:7" hidden="1" x14ac:dyDescent="0.25">
      <c r="A769">
        <v>99</v>
      </c>
      <c r="B769">
        <v>9256</v>
      </c>
      <c r="C769">
        <v>0</v>
      </c>
      <c r="D769">
        <v>0</v>
      </c>
      <c r="E769">
        <v>0</v>
      </c>
      <c r="F769" t="s">
        <v>113</v>
      </c>
      <c r="G769" t="s">
        <v>114</v>
      </c>
    </row>
    <row r="770" spans="1:7" hidden="1" x14ac:dyDescent="0.25">
      <c r="A770">
        <v>99</v>
      </c>
      <c r="B770">
        <v>9272</v>
      </c>
      <c r="C770">
        <v>0</v>
      </c>
      <c r="D770">
        <v>0</v>
      </c>
      <c r="E770">
        <v>0</v>
      </c>
      <c r="F770" t="s">
        <v>113</v>
      </c>
      <c r="G770" t="s">
        <v>114</v>
      </c>
    </row>
    <row r="771" spans="1:7" hidden="1" x14ac:dyDescent="0.25">
      <c r="A771">
        <v>99</v>
      </c>
      <c r="B771">
        <v>9752</v>
      </c>
      <c r="C771">
        <v>0</v>
      </c>
      <c r="D771">
        <v>0</v>
      </c>
      <c r="E771">
        <v>0</v>
      </c>
      <c r="F771" t="s">
        <v>113</v>
      </c>
      <c r="G771" t="s">
        <v>114</v>
      </c>
    </row>
    <row r="772" spans="1:7" hidden="1" x14ac:dyDescent="0.25">
      <c r="A772">
        <v>99</v>
      </c>
      <c r="B772">
        <v>10364</v>
      </c>
      <c r="C772">
        <v>0</v>
      </c>
      <c r="D772">
        <v>0</v>
      </c>
      <c r="E772">
        <v>0</v>
      </c>
      <c r="F772" t="s">
        <v>113</v>
      </c>
      <c r="G772" t="s">
        <v>114</v>
      </c>
    </row>
    <row r="773" spans="1:7" hidden="1" x14ac:dyDescent="0.25">
      <c r="A773">
        <v>99</v>
      </c>
      <c r="B773">
        <v>10420</v>
      </c>
      <c r="C773">
        <v>0</v>
      </c>
      <c r="D773">
        <v>0</v>
      </c>
      <c r="E773">
        <v>0</v>
      </c>
      <c r="F773" t="s">
        <v>113</v>
      </c>
      <c r="G773" t="s">
        <v>114</v>
      </c>
    </row>
    <row r="774" spans="1:7" hidden="1" x14ac:dyDescent="0.25">
      <c r="A774">
        <v>50</v>
      </c>
      <c r="B774">
        <v>476</v>
      </c>
      <c r="C774">
        <v>0</v>
      </c>
      <c r="D774">
        <v>0</v>
      </c>
      <c r="E774">
        <v>3</v>
      </c>
      <c r="F774" t="s">
        <v>119</v>
      </c>
      <c r="G774" t="s">
        <v>120</v>
      </c>
    </row>
    <row r="775" spans="1:7" hidden="1" x14ac:dyDescent="0.25">
      <c r="A775">
        <v>50</v>
      </c>
      <c r="B775">
        <v>1172</v>
      </c>
      <c r="C775">
        <v>0</v>
      </c>
      <c r="D775">
        <v>0</v>
      </c>
      <c r="E775">
        <v>3</v>
      </c>
      <c r="F775" t="s">
        <v>119</v>
      </c>
      <c r="G775" t="s">
        <v>120</v>
      </c>
    </row>
    <row r="776" spans="1:7" hidden="1" x14ac:dyDescent="0.25">
      <c r="A776">
        <v>50</v>
      </c>
      <c r="B776">
        <v>1264</v>
      </c>
      <c r="C776">
        <v>0</v>
      </c>
      <c r="D776">
        <v>0</v>
      </c>
      <c r="E776">
        <v>3</v>
      </c>
      <c r="F776" t="s">
        <v>119</v>
      </c>
      <c r="G776" t="s">
        <v>120</v>
      </c>
    </row>
    <row r="777" spans="1:7" hidden="1" x14ac:dyDescent="0.25">
      <c r="A777">
        <v>50</v>
      </c>
      <c r="B777">
        <v>1476</v>
      </c>
      <c r="C777">
        <v>0</v>
      </c>
      <c r="D777">
        <v>0</v>
      </c>
      <c r="E777">
        <v>3</v>
      </c>
      <c r="F777" t="s">
        <v>119</v>
      </c>
      <c r="G777" t="s">
        <v>120</v>
      </c>
    </row>
    <row r="778" spans="1:7" hidden="1" x14ac:dyDescent="0.25">
      <c r="A778">
        <v>50</v>
      </c>
      <c r="B778">
        <v>2548</v>
      </c>
      <c r="C778">
        <v>0</v>
      </c>
      <c r="D778">
        <v>0</v>
      </c>
      <c r="E778">
        <v>3</v>
      </c>
      <c r="F778" t="s">
        <v>119</v>
      </c>
      <c r="G778" t="s">
        <v>120</v>
      </c>
    </row>
    <row r="779" spans="1:7" hidden="1" x14ac:dyDescent="0.25">
      <c r="A779">
        <v>50</v>
      </c>
      <c r="B779">
        <v>4144</v>
      </c>
      <c r="C779">
        <v>0</v>
      </c>
      <c r="D779">
        <v>0</v>
      </c>
      <c r="E779">
        <v>3</v>
      </c>
      <c r="F779" t="s">
        <v>119</v>
      </c>
      <c r="G779" t="s">
        <v>120</v>
      </c>
    </row>
    <row r="780" spans="1:7" hidden="1" x14ac:dyDescent="0.25">
      <c r="A780">
        <v>50</v>
      </c>
      <c r="B780">
        <v>4228</v>
      </c>
      <c r="C780">
        <v>0</v>
      </c>
      <c r="D780">
        <v>0</v>
      </c>
      <c r="E780">
        <v>3</v>
      </c>
      <c r="F780" t="s">
        <v>119</v>
      </c>
      <c r="G780" t="s">
        <v>120</v>
      </c>
    </row>
    <row r="781" spans="1:7" hidden="1" x14ac:dyDescent="0.25">
      <c r="A781">
        <v>50</v>
      </c>
      <c r="B781">
        <v>4336</v>
      </c>
      <c r="C781">
        <v>0</v>
      </c>
      <c r="D781">
        <v>0</v>
      </c>
      <c r="E781">
        <v>3</v>
      </c>
      <c r="F781" t="s">
        <v>119</v>
      </c>
      <c r="G781" t="s">
        <v>120</v>
      </c>
    </row>
    <row r="782" spans="1:7" hidden="1" x14ac:dyDescent="0.25">
      <c r="A782">
        <v>50</v>
      </c>
      <c r="B782">
        <v>4600</v>
      </c>
      <c r="C782">
        <v>0</v>
      </c>
      <c r="D782">
        <v>0</v>
      </c>
      <c r="E782">
        <v>3</v>
      </c>
      <c r="F782" t="s">
        <v>119</v>
      </c>
      <c r="G782" t="s">
        <v>120</v>
      </c>
    </row>
    <row r="783" spans="1:7" hidden="1" x14ac:dyDescent="0.25">
      <c r="A783">
        <v>50</v>
      </c>
      <c r="B783">
        <v>5004</v>
      </c>
      <c r="C783">
        <v>0</v>
      </c>
      <c r="D783">
        <v>0</v>
      </c>
      <c r="E783">
        <v>3</v>
      </c>
      <c r="F783" t="s">
        <v>119</v>
      </c>
      <c r="G783" t="s">
        <v>120</v>
      </c>
    </row>
    <row r="784" spans="1:7" hidden="1" x14ac:dyDescent="0.25">
      <c r="A784">
        <v>50</v>
      </c>
      <c r="B784">
        <v>5892</v>
      </c>
      <c r="C784">
        <v>0</v>
      </c>
      <c r="D784">
        <v>0</v>
      </c>
      <c r="E784">
        <v>3</v>
      </c>
      <c r="F784" t="s">
        <v>119</v>
      </c>
      <c r="G784" t="s">
        <v>120</v>
      </c>
    </row>
    <row r="785" spans="1:7" hidden="1" x14ac:dyDescent="0.25">
      <c r="A785">
        <v>50</v>
      </c>
      <c r="B785">
        <v>5904</v>
      </c>
      <c r="C785">
        <v>0</v>
      </c>
      <c r="D785">
        <v>0</v>
      </c>
      <c r="E785">
        <v>3</v>
      </c>
      <c r="F785" t="s">
        <v>119</v>
      </c>
      <c r="G785" t="s">
        <v>120</v>
      </c>
    </row>
    <row r="786" spans="1:7" hidden="1" x14ac:dyDescent="0.25">
      <c r="A786">
        <v>50</v>
      </c>
      <c r="B786">
        <v>6280</v>
      </c>
      <c r="C786">
        <v>0</v>
      </c>
      <c r="D786">
        <v>0</v>
      </c>
      <c r="E786">
        <v>3</v>
      </c>
      <c r="F786" t="s">
        <v>119</v>
      </c>
      <c r="G786" t="s">
        <v>120</v>
      </c>
    </row>
    <row r="787" spans="1:7" hidden="1" x14ac:dyDescent="0.25">
      <c r="A787">
        <v>50</v>
      </c>
      <c r="B787">
        <v>6312</v>
      </c>
      <c r="C787">
        <v>0</v>
      </c>
      <c r="D787">
        <v>0</v>
      </c>
      <c r="E787">
        <v>3</v>
      </c>
      <c r="F787" t="s">
        <v>119</v>
      </c>
      <c r="G787" t="s">
        <v>120</v>
      </c>
    </row>
    <row r="788" spans="1:7" hidden="1" x14ac:dyDescent="0.25">
      <c r="A788">
        <v>50</v>
      </c>
      <c r="B788">
        <v>7283</v>
      </c>
      <c r="C788">
        <v>0</v>
      </c>
      <c r="D788">
        <v>0</v>
      </c>
      <c r="E788">
        <v>3</v>
      </c>
      <c r="F788" t="s">
        <v>119</v>
      </c>
      <c r="G788" t="s">
        <v>120</v>
      </c>
    </row>
    <row r="789" spans="1:7" hidden="1" x14ac:dyDescent="0.25">
      <c r="A789">
        <v>50</v>
      </c>
      <c r="B789">
        <v>7284</v>
      </c>
      <c r="C789">
        <v>0</v>
      </c>
      <c r="D789">
        <v>0</v>
      </c>
      <c r="E789">
        <v>3</v>
      </c>
      <c r="F789" t="s">
        <v>119</v>
      </c>
      <c r="G789" t="s">
        <v>120</v>
      </c>
    </row>
    <row r="790" spans="1:7" hidden="1" x14ac:dyDescent="0.25">
      <c r="A790">
        <v>50</v>
      </c>
      <c r="B790">
        <v>7528</v>
      </c>
      <c r="C790">
        <v>0</v>
      </c>
      <c r="D790">
        <v>0</v>
      </c>
      <c r="E790">
        <v>3</v>
      </c>
      <c r="F790" t="s">
        <v>119</v>
      </c>
      <c r="G790" t="s">
        <v>120</v>
      </c>
    </row>
    <row r="791" spans="1:7" hidden="1" x14ac:dyDescent="0.25">
      <c r="A791">
        <v>50</v>
      </c>
      <c r="B791">
        <v>7756</v>
      </c>
      <c r="C791">
        <v>0</v>
      </c>
      <c r="D791">
        <v>0</v>
      </c>
      <c r="E791">
        <v>3</v>
      </c>
      <c r="F791" t="s">
        <v>119</v>
      </c>
      <c r="G791" t="s">
        <v>120</v>
      </c>
    </row>
    <row r="792" spans="1:7" hidden="1" x14ac:dyDescent="0.25">
      <c r="A792">
        <v>50</v>
      </c>
      <c r="B792">
        <v>8256</v>
      </c>
      <c r="C792">
        <v>0</v>
      </c>
      <c r="D792">
        <v>0</v>
      </c>
      <c r="E792">
        <v>3</v>
      </c>
      <c r="F792" t="s">
        <v>119</v>
      </c>
      <c r="G792" t="s">
        <v>120</v>
      </c>
    </row>
    <row r="793" spans="1:7" hidden="1" x14ac:dyDescent="0.25">
      <c r="A793">
        <v>50</v>
      </c>
      <c r="B793">
        <v>9356</v>
      </c>
      <c r="C793">
        <v>0</v>
      </c>
      <c r="D793">
        <v>0</v>
      </c>
      <c r="E793">
        <v>3</v>
      </c>
      <c r="F793" t="s">
        <v>119</v>
      </c>
      <c r="G793" t="s">
        <v>120</v>
      </c>
    </row>
    <row r="794" spans="1:7" hidden="1" x14ac:dyDescent="0.25">
      <c r="A794">
        <v>50</v>
      </c>
      <c r="B794">
        <v>10012</v>
      </c>
      <c r="C794">
        <v>0</v>
      </c>
      <c r="D794">
        <v>0</v>
      </c>
      <c r="E794">
        <v>3</v>
      </c>
      <c r="F794" t="s">
        <v>119</v>
      </c>
      <c r="G794" t="s">
        <v>120</v>
      </c>
    </row>
    <row r="795" spans="1:7" hidden="1" x14ac:dyDescent="0.25">
      <c r="A795">
        <v>50</v>
      </c>
      <c r="B795">
        <v>10064</v>
      </c>
      <c r="C795">
        <v>0</v>
      </c>
      <c r="D795">
        <v>0</v>
      </c>
      <c r="E795">
        <v>3</v>
      </c>
      <c r="F795" t="s">
        <v>119</v>
      </c>
      <c r="G795" t="s">
        <v>120</v>
      </c>
    </row>
    <row r="796" spans="1:7" hidden="1" x14ac:dyDescent="0.25">
      <c r="A796">
        <v>50</v>
      </c>
      <c r="B796">
        <v>10100</v>
      </c>
      <c r="C796">
        <v>0</v>
      </c>
      <c r="D796">
        <v>0</v>
      </c>
      <c r="E796">
        <v>3</v>
      </c>
      <c r="F796" t="s">
        <v>119</v>
      </c>
      <c r="G796" t="s">
        <v>120</v>
      </c>
    </row>
    <row r="797" spans="1:7" hidden="1" x14ac:dyDescent="0.25">
      <c r="A797">
        <v>50</v>
      </c>
      <c r="B797">
        <v>10592</v>
      </c>
      <c r="C797">
        <v>0</v>
      </c>
      <c r="D797">
        <v>0</v>
      </c>
      <c r="E797">
        <v>3</v>
      </c>
      <c r="F797" t="s">
        <v>119</v>
      </c>
      <c r="G797" t="s">
        <v>120</v>
      </c>
    </row>
    <row r="798" spans="1:7" hidden="1" x14ac:dyDescent="0.25">
      <c r="A798">
        <v>99</v>
      </c>
      <c r="B798">
        <v>2068</v>
      </c>
      <c r="C798">
        <v>0</v>
      </c>
      <c r="D798">
        <v>0</v>
      </c>
      <c r="E798">
        <v>3</v>
      </c>
      <c r="F798" t="s">
        <v>119</v>
      </c>
      <c r="G798" t="s">
        <v>120</v>
      </c>
    </row>
    <row r="799" spans="1:7" hidden="1" x14ac:dyDescent="0.25">
      <c r="A799">
        <v>99</v>
      </c>
      <c r="B799">
        <v>2168</v>
      </c>
      <c r="C799">
        <v>0</v>
      </c>
      <c r="D799">
        <v>0</v>
      </c>
      <c r="E799">
        <v>3</v>
      </c>
      <c r="F799" t="s">
        <v>119</v>
      </c>
      <c r="G799" t="s">
        <v>120</v>
      </c>
    </row>
    <row r="800" spans="1:7" hidden="1" x14ac:dyDescent="0.25">
      <c r="A800">
        <v>99</v>
      </c>
      <c r="B800">
        <v>2472</v>
      </c>
      <c r="C800">
        <v>0</v>
      </c>
      <c r="D800">
        <v>0</v>
      </c>
      <c r="E800">
        <v>3</v>
      </c>
      <c r="F800" t="s">
        <v>119</v>
      </c>
      <c r="G800" t="s">
        <v>120</v>
      </c>
    </row>
    <row r="801" spans="1:7" hidden="1" x14ac:dyDescent="0.25">
      <c r="A801">
        <v>99</v>
      </c>
      <c r="B801">
        <v>3056</v>
      </c>
      <c r="C801">
        <v>0</v>
      </c>
      <c r="D801">
        <v>0</v>
      </c>
      <c r="E801">
        <v>3</v>
      </c>
      <c r="F801" t="s">
        <v>119</v>
      </c>
      <c r="G801" t="s">
        <v>120</v>
      </c>
    </row>
    <row r="802" spans="1:7" hidden="1" x14ac:dyDescent="0.25">
      <c r="A802">
        <v>99</v>
      </c>
      <c r="B802">
        <v>3100</v>
      </c>
      <c r="C802">
        <v>0</v>
      </c>
      <c r="D802">
        <v>0</v>
      </c>
      <c r="E802">
        <v>3</v>
      </c>
      <c r="F802" t="s">
        <v>119</v>
      </c>
      <c r="G802" t="s">
        <v>120</v>
      </c>
    </row>
    <row r="803" spans="1:7" hidden="1" x14ac:dyDescent="0.25">
      <c r="A803">
        <v>99</v>
      </c>
      <c r="B803">
        <v>3284</v>
      </c>
      <c r="C803">
        <v>0</v>
      </c>
      <c r="D803">
        <v>0</v>
      </c>
      <c r="E803">
        <v>3</v>
      </c>
      <c r="F803" t="s">
        <v>119</v>
      </c>
      <c r="G803" t="s">
        <v>120</v>
      </c>
    </row>
    <row r="804" spans="1:7" x14ac:dyDescent="0.25">
      <c r="A804">
        <v>99</v>
      </c>
      <c r="B804">
        <v>4124</v>
      </c>
      <c r="C804">
        <v>0</v>
      </c>
      <c r="D804">
        <v>0</v>
      </c>
      <c r="E804">
        <v>3</v>
      </c>
      <c r="F804" t="s">
        <v>119</v>
      </c>
      <c r="G804" t="s">
        <v>120</v>
      </c>
    </row>
    <row r="805" spans="1:7" hidden="1" x14ac:dyDescent="0.25">
      <c r="A805">
        <v>99</v>
      </c>
      <c r="B805">
        <v>5932</v>
      </c>
      <c r="C805">
        <v>0</v>
      </c>
      <c r="D805">
        <v>0</v>
      </c>
      <c r="E805">
        <v>3</v>
      </c>
      <c r="F805" t="s">
        <v>119</v>
      </c>
      <c r="G805" t="s">
        <v>120</v>
      </c>
    </row>
    <row r="806" spans="1:7" hidden="1" x14ac:dyDescent="0.25">
      <c r="A806">
        <v>99</v>
      </c>
      <c r="B806">
        <v>5992</v>
      </c>
      <c r="C806">
        <v>0</v>
      </c>
      <c r="D806">
        <v>0</v>
      </c>
      <c r="E806">
        <v>3</v>
      </c>
      <c r="F806" t="s">
        <v>119</v>
      </c>
      <c r="G806" t="s">
        <v>120</v>
      </c>
    </row>
    <row r="807" spans="1:7" hidden="1" x14ac:dyDescent="0.25">
      <c r="A807">
        <v>99</v>
      </c>
      <c r="B807">
        <v>7188</v>
      </c>
      <c r="C807">
        <v>0</v>
      </c>
      <c r="D807">
        <v>0</v>
      </c>
      <c r="E807">
        <v>3</v>
      </c>
      <c r="F807" t="s">
        <v>119</v>
      </c>
      <c r="G807" t="s">
        <v>120</v>
      </c>
    </row>
    <row r="808" spans="1:7" hidden="1" x14ac:dyDescent="0.25">
      <c r="A808">
        <v>99</v>
      </c>
      <c r="B808">
        <v>7260</v>
      </c>
      <c r="C808">
        <v>0</v>
      </c>
      <c r="D808">
        <v>0</v>
      </c>
      <c r="E808">
        <v>3</v>
      </c>
      <c r="F808" t="s">
        <v>119</v>
      </c>
      <c r="G808" t="s">
        <v>120</v>
      </c>
    </row>
    <row r="809" spans="1:7" hidden="1" x14ac:dyDescent="0.25">
      <c r="A809">
        <v>99</v>
      </c>
      <c r="B809">
        <v>7300</v>
      </c>
      <c r="C809">
        <v>0</v>
      </c>
      <c r="D809">
        <v>0</v>
      </c>
      <c r="E809">
        <v>3</v>
      </c>
      <c r="F809" t="s">
        <v>119</v>
      </c>
      <c r="G809" t="s">
        <v>120</v>
      </c>
    </row>
    <row r="810" spans="1:7" hidden="1" x14ac:dyDescent="0.25">
      <c r="A810">
        <v>99</v>
      </c>
      <c r="B810">
        <v>7552</v>
      </c>
      <c r="C810">
        <v>0</v>
      </c>
      <c r="D810">
        <v>0</v>
      </c>
      <c r="E810">
        <v>3</v>
      </c>
      <c r="F810" t="s">
        <v>119</v>
      </c>
      <c r="G810" t="s">
        <v>120</v>
      </c>
    </row>
    <row r="811" spans="1:7" hidden="1" x14ac:dyDescent="0.25">
      <c r="A811">
        <v>99</v>
      </c>
      <c r="B811">
        <v>8004</v>
      </c>
      <c r="C811">
        <v>0</v>
      </c>
      <c r="D811">
        <v>0</v>
      </c>
      <c r="E811">
        <v>3</v>
      </c>
      <c r="F811" t="s">
        <v>119</v>
      </c>
      <c r="G811" t="s">
        <v>120</v>
      </c>
    </row>
    <row r="812" spans="1:7" hidden="1" x14ac:dyDescent="0.25">
      <c r="A812">
        <v>99</v>
      </c>
      <c r="B812">
        <v>8144</v>
      </c>
      <c r="C812">
        <v>0</v>
      </c>
      <c r="D812">
        <v>0</v>
      </c>
      <c r="E812">
        <v>3</v>
      </c>
      <c r="F812" t="s">
        <v>119</v>
      </c>
      <c r="G812" t="s">
        <v>120</v>
      </c>
    </row>
    <row r="813" spans="1:7" hidden="1" x14ac:dyDescent="0.25">
      <c r="A813">
        <v>99</v>
      </c>
      <c r="B813">
        <v>8668</v>
      </c>
      <c r="C813">
        <v>0</v>
      </c>
      <c r="D813">
        <v>0</v>
      </c>
      <c r="E813">
        <v>3</v>
      </c>
      <c r="F813" t="s">
        <v>119</v>
      </c>
      <c r="G813" t="s">
        <v>120</v>
      </c>
    </row>
    <row r="814" spans="1:7" hidden="1" x14ac:dyDescent="0.25">
      <c r="A814">
        <v>99</v>
      </c>
      <c r="B814">
        <v>8804</v>
      </c>
      <c r="C814">
        <v>0</v>
      </c>
      <c r="D814">
        <v>0</v>
      </c>
      <c r="E814">
        <v>3</v>
      </c>
      <c r="F814" t="s">
        <v>119</v>
      </c>
      <c r="G814" t="s">
        <v>120</v>
      </c>
    </row>
    <row r="815" spans="1:7" hidden="1" x14ac:dyDescent="0.25">
      <c r="A815">
        <v>99</v>
      </c>
      <c r="B815">
        <v>9032</v>
      </c>
      <c r="C815">
        <v>0</v>
      </c>
      <c r="D815">
        <v>0</v>
      </c>
      <c r="E815">
        <v>3</v>
      </c>
      <c r="F815" t="s">
        <v>119</v>
      </c>
      <c r="G815" t="s">
        <v>120</v>
      </c>
    </row>
    <row r="816" spans="1:7" hidden="1" x14ac:dyDescent="0.25">
      <c r="A816">
        <v>99</v>
      </c>
      <c r="B816">
        <v>9072</v>
      </c>
      <c r="C816">
        <v>0</v>
      </c>
      <c r="D816">
        <v>0</v>
      </c>
      <c r="E816">
        <v>3</v>
      </c>
      <c r="F816" t="s">
        <v>119</v>
      </c>
      <c r="G816" t="s">
        <v>120</v>
      </c>
    </row>
    <row r="817" spans="1:7" hidden="1" x14ac:dyDescent="0.25">
      <c r="A817">
        <v>99</v>
      </c>
      <c r="B817">
        <v>9176</v>
      </c>
      <c r="C817">
        <v>0</v>
      </c>
      <c r="D817">
        <v>0</v>
      </c>
      <c r="E817">
        <v>3</v>
      </c>
      <c r="F817" t="s">
        <v>119</v>
      </c>
      <c r="G817" t="s">
        <v>120</v>
      </c>
    </row>
    <row r="818" spans="1:7" hidden="1" x14ac:dyDescent="0.25">
      <c r="A818">
        <v>99</v>
      </c>
      <c r="B818">
        <v>9256</v>
      </c>
      <c r="C818">
        <v>0</v>
      </c>
      <c r="D818">
        <v>0</v>
      </c>
      <c r="E818">
        <v>3</v>
      </c>
      <c r="F818" t="s">
        <v>119</v>
      </c>
      <c r="G818" t="s">
        <v>120</v>
      </c>
    </row>
    <row r="819" spans="1:7" hidden="1" x14ac:dyDescent="0.25">
      <c r="A819">
        <v>99</v>
      </c>
      <c r="B819">
        <v>9272</v>
      </c>
      <c r="C819">
        <v>0</v>
      </c>
      <c r="D819">
        <v>0</v>
      </c>
      <c r="E819">
        <v>3</v>
      </c>
      <c r="F819" t="s">
        <v>119</v>
      </c>
      <c r="G819" t="s">
        <v>120</v>
      </c>
    </row>
    <row r="820" spans="1:7" hidden="1" x14ac:dyDescent="0.25">
      <c r="A820">
        <v>99</v>
      </c>
      <c r="B820">
        <v>9752</v>
      </c>
      <c r="C820">
        <v>0</v>
      </c>
      <c r="D820">
        <v>0</v>
      </c>
      <c r="E820">
        <v>3</v>
      </c>
      <c r="F820" t="s">
        <v>119</v>
      </c>
      <c r="G820" t="s">
        <v>120</v>
      </c>
    </row>
    <row r="821" spans="1:7" hidden="1" x14ac:dyDescent="0.25">
      <c r="A821">
        <v>99</v>
      </c>
      <c r="B821">
        <v>10364</v>
      </c>
      <c r="C821">
        <v>0</v>
      </c>
      <c r="D821">
        <v>0</v>
      </c>
      <c r="E821">
        <v>3</v>
      </c>
      <c r="F821" t="s">
        <v>119</v>
      </c>
      <c r="G821" t="s">
        <v>120</v>
      </c>
    </row>
    <row r="822" spans="1:7" hidden="1" x14ac:dyDescent="0.25">
      <c r="A822">
        <v>99</v>
      </c>
      <c r="B822">
        <v>10420</v>
      </c>
      <c r="C822">
        <v>0</v>
      </c>
      <c r="D822">
        <v>0</v>
      </c>
      <c r="E822">
        <v>3</v>
      </c>
      <c r="F822" t="s">
        <v>119</v>
      </c>
      <c r="G822" t="s">
        <v>120</v>
      </c>
    </row>
    <row r="823" spans="1:7" hidden="1" x14ac:dyDescent="0.25">
      <c r="A823">
        <v>50</v>
      </c>
      <c r="B823">
        <v>476</v>
      </c>
      <c r="C823">
        <v>0</v>
      </c>
      <c r="D823">
        <v>0</v>
      </c>
      <c r="E823">
        <v>4</v>
      </c>
      <c r="F823" t="s">
        <v>121</v>
      </c>
      <c r="G823" t="s">
        <v>122</v>
      </c>
    </row>
    <row r="824" spans="1:7" hidden="1" x14ac:dyDescent="0.25">
      <c r="A824">
        <v>50</v>
      </c>
      <c r="B824">
        <v>1172</v>
      </c>
      <c r="C824">
        <v>0</v>
      </c>
      <c r="D824">
        <v>0</v>
      </c>
      <c r="E824">
        <v>4</v>
      </c>
      <c r="F824" t="s">
        <v>121</v>
      </c>
      <c r="G824" t="s">
        <v>122</v>
      </c>
    </row>
    <row r="825" spans="1:7" hidden="1" x14ac:dyDescent="0.25">
      <c r="A825">
        <v>50</v>
      </c>
      <c r="B825">
        <v>1264</v>
      </c>
      <c r="C825">
        <v>0</v>
      </c>
      <c r="D825">
        <v>0</v>
      </c>
      <c r="E825">
        <v>4</v>
      </c>
      <c r="F825" t="s">
        <v>121</v>
      </c>
      <c r="G825" t="s">
        <v>122</v>
      </c>
    </row>
    <row r="826" spans="1:7" hidden="1" x14ac:dyDescent="0.25">
      <c r="A826">
        <v>50</v>
      </c>
      <c r="B826">
        <v>1476</v>
      </c>
      <c r="C826">
        <v>0</v>
      </c>
      <c r="D826">
        <v>0</v>
      </c>
      <c r="E826">
        <v>4</v>
      </c>
      <c r="F826" t="s">
        <v>121</v>
      </c>
      <c r="G826" t="s">
        <v>122</v>
      </c>
    </row>
    <row r="827" spans="1:7" hidden="1" x14ac:dyDescent="0.25">
      <c r="A827">
        <v>50</v>
      </c>
      <c r="B827">
        <v>2548</v>
      </c>
      <c r="C827">
        <v>0</v>
      </c>
      <c r="D827">
        <v>0</v>
      </c>
      <c r="E827">
        <v>4</v>
      </c>
      <c r="F827" t="s">
        <v>121</v>
      </c>
      <c r="G827" t="s">
        <v>122</v>
      </c>
    </row>
    <row r="828" spans="1:7" hidden="1" x14ac:dyDescent="0.25">
      <c r="A828">
        <v>50</v>
      </c>
      <c r="B828">
        <v>4144</v>
      </c>
      <c r="C828">
        <v>0</v>
      </c>
      <c r="D828">
        <v>0</v>
      </c>
      <c r="E828">
        <v>4</v>
      </c>
      <c r="F828" t="s">
        <v>121</v>
      </c>
      <c r="G828" t="s">
        <v>122</v>
      </c>
    </row>
    <row r="829" spans="1:7" hidden="1" x14ac:dyDescent="0.25">
      <c r="A829">
        <v>50</v>
      </c>
      <c r="B829">
        <v>4228</v>
      </c>
      <c r="C829">
        <v>0</v>
      </c>
      <c r="D829">
        <v>0</v>
      </c>
      <c r="E829">
        <v>4</v>
      </c>
      <c r="F829" t="s">
        <v>121</v>
      </c>
      <c r="G829" t="s">
        <v>122</v>
      </c>
    </row>
    <row r="830" spans="1:7" hidden="1" x14ac:dyDescent="0.25">
      <c r="A830">
        <v>50</v>
      </c>
      <c r="B830">
        <v>4336</v>
      </c>
      <c r="C830">
        <v>0</v>
      </c>
      <c r="D830">
        <v>0</v>
      </c>
      <c r="E830">
        <v>4</v>
      </c>
      <c r="F830" t="s">
        <v>121</v>
      </c>
      <c r="G830" t="s">
        <v>122</v>
      </c>
    </row>
    <row r="831" spans="1:7" hidden="1" x14ac:dyDescent="0.25">
      <c r="A831">
        <v>50</v>
      </c>
      <c r="B831">
        <v>4600</v>
      </c>
      <c r="C831">
        <v>0</v>
      </c>
      <c r="D831">
        <v>0</v>
      </c>
      <c r="E831">
        <v>4</v>
      </c>
      <c r="F831" t="s">
        <v>121</v>
      </c>
      <c r="G831" t="s">
        <v>122</v>
      </c>
    </row>
    <row r="832" spans="1:7" hidden="1" x14ac:dyDescent="0.25">
      <c r="A832">
        <v>50</v>
      </c>
      <c r="B832">
        <v>5004</v>
      </c>
      <c r="C832">
        <v>0</v>
      </c>
      <c r="D832">
        <v>0</v>
      </c>
      <c r="E832">
        <v>4</v>
      </c>
      <c r="F832" t="s">
        <v>121</v>
      </c>
      <c r="G832" t="s">
        <v>122</v>
      </c>
    </row>
    <row r="833" spans="1:7" hidden="1" x14ac:dyDescent="0.25">
      <c r="A833">
        <v>50</v>
      </c>
      <c r="B833">
        <v>5892</v>
      </c>
      <c r="C833">
        <v>0</v>
      </c>
      <c r="D833">
        <v>0</v>
      </c>
      <c r="E833">
        <v>4</v>
      </c>
      <c r="F833" t="s">
        <v>121</v>
      </c>
      <c r="G833" t="s">
        <v>122</v>
      </c>
    </row>
    <row r="834" spans="1:7" hidden="1" x14ac:dyDescent="0.25">
      <c r="A834">
        <v>50</v>
      </c>
      <c r="B834">
        <v>5904</v>
      </c>
      <c r="C834">
        <v>0</v>
      </c>
      <c r="D834">
        <v>0</v>
      </c>
      <c r="E834">
        <v>4</v>
      </c>
      <c r="F834" t="s">
        <v>121</v>
      </c>
      <c r="G834" t="s">
        <v>122</v>
      </c>
    </row>
    <row r="835" spans="1:7" hidden="1" x14ac:dyDescent="0.25">
      <c r="A835">
        <v>50</v>
      </c>
      <c r="B835">
        <v>6280</v>
      </c>
      <c r="C835">
        <v>0</v>
      </c>
      <c r="D835">
        <v>0</v>
      </c>
      <c r="E835">
        <v>4</v>
      </c>
      <c r="F835" t="s">
        <v>121</v>
      </c>
      <c r="G835" t="s">
        <v>122</v>
      </c>
    </row>
    <row r="836" spans="1:7" hidden="1" x14ac:dyDescent="0.25">
      <c r="A836">
        <v>50</v>
      </c>
      <c r="B836">
        <v>6312</v>
      </c>
      <c r="C836">
        <v>0</v>
      </c>
      <c r="D836">
        <v>0</v>
      </c>
      <c r="E836">
        <v>4</v>
      </c>
      <c r="F836" t="s">
        <v>121</v>
      </c>
      <c r="G836" t="s">
        <v>122</v>
      </c>
    </row>
    <row r="837" spans="1:7" hidden="1" x14ac:dyDescent="0.25">
      <c r="A837">
        <v>50</v>
      </c>
      <c r="B837">
        <v>7283</v>
      </c>
      <c r="C837">
        <v>0</v>
      </c>
      <c r="D837">
        <v>0</v>
      </c>
      <c r="E837">
        <v>4</v>
      </c>
      <c r="F837" t="s">
        <v>121</v>
      </c>
      <c r="G837" t="s">
        <v>122</v>
      </c>
    </row>
    <row r="838" spans="1:7" hidden="1" x14ac:dyDescent="0.25">
      <c r="A838">
        <v>50</v>
      </c>
      <c r="B838">
        <v>7284</v>
      </c>
      <c r="C838">
        <v>0</v>
      </c>
      <c r="D838">
        <v>0</v>
      </c>
      <c r="E838">
        <v>4</v>
      </c>
      <c r="F838" t="s">
        <v>121</v>
      </c>
      <c r="G838" t="s">
        <v>122</v>
      </c>
    </row>
    <row r="839" spans="1:7" hidden="1" x14ac:dyDescent="0.25">
      <c r="A839">
        <v>50</v>
      </c>
      <c r="B839">
        <v>7528</v>
      </c>
      <c r="C839">
        <v>0</v>
      </c>
      <c r="D839">
        <v>0</v>
      </c>
      <c r="E839">
        <v>4</v>
      </c>
      <c r="F839" t="s">
        <v>121</v>
      </c>
      <c r="G839" t="s">
        <v>122</v>
      </c>
    </row>
    <row r="840" spans="1:7" hidden="1" x14ac:dyDescent="0.25">
      <c r="A840">
        <v>50</v>
      </c>
      <c r="B840">
        <v>7756</v>
      </c>
      <c r="C840">
        <v>0</v>
      </c>
      <c r="D840">
        <v>0</v>
      </c>
      <c r="E840">
        <v>4</v>
      </c>
      <c r="F840" t="s">
        <v>121</v>
      </c>
      <c r="G840" t="s">
        <v>122</v>
      </c>
    </row>
    <row r="841" spans="1:7" hidden="1" x14ac:dyDescent="0.25">
      <c r="A841">
        <v>50</v>
      </c>
      <c r="B841">
        <v>8256</v>
      </c>
      <c r="C841">
        <v>0</v>
      </c>
      <c r="D841">
        <v>0</v>
      </c>
      <c r="E841">
        <v>4</v>
      </c>
      <c r="F841" t="s">
        <v>121</v>
      </c>
      <c r="G841" t="s">
        <v>122</v>
      </c>
    </row>
    <row r="842" spans="1:7" hidden="1" x14ac:dyDescent="0.25">
      <c r="A842">
        <v>50</v>
      </c>
      <c r="B842">
        <v>9356</v>
      </c>
      <c r="C842">
        <v>0</v>
      </c>
      <c r="D842">
        <v>0</v>
      </c>
      <c r="E842">
        <v>4</v>
      </c>
      <c r="F842" t="s">
        <v>121</v>
      </c>
      <c r="G842" t="s">
        <v>122</v>
      </c>
    </row>
    <row r="843" spans="1:7" hidden="1" x14ac:dyDescent="0.25">
      <c r="A843">
        <v>50</v>
      </c>
      <c r="B843">
        <v>10012</v>
      </c>
      <c r="C843">
        <v>0</v>
      </c>
      <c r="D843">
        <v>0</v>
      </c>
      <c r="E843">
        <v>4</v>
      </c>
      <c r="F843" t="s">
        <v>121</v>
      </c>
      <c r="G843" t="s">
        <v>122</v>
      </c>
    </row>
    <row r="844" spans="1:7" hidden="1" x14ac:dyDescent="0.25">
      <c r="A844">
        <v>50</v>
      </c>
      <c r="B844">
        <v>10064</v>
      </c>
      <c r="C844">
        <v>0</v>
      </c>
      <c r="D844">
        <v>0</v>
      </c>
      <c r="E844">
        <v>4</v>
      </c>
      <c r="F844" t="s">
        <v>121</v>
      </c>
      <c r="G844" t="s">
        <v>122</v>
      </c>
    </row>
    <row r="845" spans="1:7" hidden="1" x14ac:dyDescent="0.25">
      <c r="A845">
        <v>50</v>
      </c>
      <c r="B845">
        <v>10100</v>
      </c>
      <c r="C845">
        <v>0</v>
      </c>
      <c r="D845">
        <v>0</v>
      </c>
      <c r="E845">
        <v>4</v>
      </c>
      <c r="F845" t="s">
        <v>121</v>
      </c>
      <c r="G845" t="s">
        <v>122</v>
      </c>
    </row>
    <row r="846" spans="1:7" hidden="1" x14ac:dyDescent="0.25">
      <c r="A846">
        <v>50</v>
      </c>
      <c r="B846">
        <v>10592</v>
      </c>
      <c r="C846">
        <v>0</v>
      </c>
      <c r="D846">
        <v>0</v>
      </c>
      <c r="E846">
        <v>4</v>
      </c>
      <c r="F846" t="s">
        <v>121</v>
      </c>
      <c r="G846" t="s">
        <v>122</v>
      </c>
    </row>
    <row r="847" spans="1:7" hidden="1" x14ac:dyDescent="0.25">
      <c r="A847">
        <v>99</v>
      </c>
      <c r="B847">
        <v>2068</v>
      </c>
      <c r="C847">
        <v>0</v>
      </c>
      <c r="D847">
        <v>0</v>
      </c>
      <c r="E847">
        <v>4</v>
      </c>
      <c r="F847" t="s">
        <v>121</v>
      </c>
      <c r="G847" t="s">
        <v>122</v>
      </c>
    </row>
    <row r="848" spans="1:7" hidden="1" x14ac:dyDescent="0.25">
      <c r="A848">
        <v>99</v>
      </c>
      <c r="B848">
        <v>2168</v>
      </c>
      <c r="C848">
        <v>0</v>
      </c>
      <c r="D848">
        <v>0</v>
      </c>
      <c r="E848">
        <v>4</v>
      </c>
      <c r="F848" t="s">
        <v>121</v>
      </c>
      <c r="G848" t="s">
        <v>122</v>
      </c>
    </row>
    <row r="849" spans="1:7" hidden="1" x14ac:dyDescent="0.25">
      <c r="A849">
        <v>99</v>
      </c>
      <c r="B849">
        <v>2472</v>
      </c>
      <c r="C849">
        <v>0</v>
      </c>
      <c r="D849">
        <v>0</v>
      </c>
      <c r="E849">
        <v>4</v>
      </c>
      <c r="F849" t="s">
        <v>121</v>
      </c>
      <c r="G849" t="s">
        <v>122</v>
      </c>
    </row>
    <row r="850" spans="1:7" hidden="1" x14ac:dyDescent="0.25">
      <c r="A850">
        <v>99</v>
      </c>
      <c r="B850">
        <v>3056</v>
      </c>
      <c r="C850">
        <v>0</v>
      </c>
      <c r="D850">
        <v>0</v>
      </c>
      <c r="E850">
        <v>4</v>
      </c>
      <c r="F850" t="s">
        <v>121</v>
      </c>
      <c r="G850" t="s">
        <v>122</v>
      </c>
    </row>
    <row r="851" spans="1:7" hidden="1" x14ac:dyDescent="0.25">
      <c r="A851">
        <v>99</v>
      </c>
      <c r="B851">
        <v>3100</v>
      </c>
      <c r="C851">
        <v>0</v>
      </c>
      <c r="D851">
        <v>0</v>
      </c>
      <c r="E851">
        <v>4</v>
      </c>
      <c r="F851" t="s">
        <v>121</v>
      </c>
      <c r="G851" t="s">
        <v>122</v>
      </c>
    </row>
    <row r="852" spans="1:7" hidden="1" x14ac:dyDescent="0.25">
      <c r="A852">
        <v>99</v>
      </c>
      <c r="B852">
        <v>3284</v>
      </c>
      <c r="C852">
        <v>0</v>
      </c>
      <c r="D852">
        <v>0</v>
      </c>
      <c r="E852">
        <v>4</v>
      </c>
      <c r="F852" t="s">
        <v>121</v>
      </c>
      <c r="G852" t="s">
        <v>122</v>
      </c>
    </row>
    <row r="853" spans="1:7" x14ac:dyDescent="0.25">
      <c r="A853">
        <v>99</v>
      </c>
      <c r="B853">
        <v>4124</v>
      </c>
      <c r="C853">
        <v>0</v>
      </c>
      <c r="D853">
        <v>0</v>
      </c>
      <c r="E853">
        <v>4</v>
      </c>
      <c r="F853" t="s">
        <v>121</v>
      </c>
      <c r="G853" t="s">
        <v>122</v>
      </c>
    </row>
    <row r="854" spans="1:7" hidden="1" x14ac:dyDescent="0.25">
      <c r="A854">
        <v>99</v>
      </c>
      <c r="B854">
        <v>5932</v>
      </c>
      <c r="C854">
        <v>0</v>
      </c>
      <c r="D854">
        <v>0</v>
      </c>
      <c r="E854">
        <v>4</v>
      </c>
      <c r="F854" t="s">
        <v>121</v>
      </c>
      <c r="G854" t="s">
        <v>122</v>
      </c>
    </row>
    <row r="855" spans="1:7" hidden="1" x14ac:dyDescent="0.25">
      <c r="A855">
        <v>99</v>
      </c>
      <c r="B855">
        <v>5992</v>
      </c>
      <c r="C855">
        <v>0</v>
      </c>
      <c r="D855">
        <v>0</v>
      </c>
      <c r="E855">
        <v>4</v>
      </c>
      <c r="F855" t="s">
        <v>121</v>
      </c>
      <c r="G855" t="s">
        <v>122</v>
      </c>
    </row>
    <row r="856" spans="1:7" hidden="1" x14ac:dyDescent="0.25">
      <c r="A856">
        <v>99</v>
      </c>
      <c r="B856">
        <v>7188</v>
      </c>
      <c r="C856">
        <v>0</v>
      </c>
      <c r="D856">
        <v>0</v>
      </c>
      <c r="E856">
        <v>4</v>
      </c>
      <c r="F856" t="s">
        <v>121</v>
      </c>
      <c r="G856" t="s">
        <v>122</v>
      </c>
    </row>
    <row r="857" spans="1:7" hidden="1" x14ac:dyDescent="0.25">
      <c r="A857">
        <v>99</v>
      </c>
      <c r="B857">
        <v>7260</v>
      </c>
      <c r="C857">
        <v>0</v>
      </c>
      <c r="D857">
        <v>0</v>
      </c>
      <c r="E857">
        <v>4</v>
      </c>
      <c r="F857" t="s">
        <v>121</v>
      </c>
      <c r="G857" t="s">
        <v>122</v>
      </c>
    </row>
    <row r="858" spans="1:7" hidden="1" x14ac:dyDescent="0.25">
      <c r="A858">
        <v>99</v>
      </c>
      <c r="B858">
        <v>7300</v>
      </c>
      <c r="C858">
        <v>0</v>
      </c>
      <c r="D858">
        <v>0</v>
      </c>
      <c r="E858">
        <v>4</v>
      </c>
      <c r="F858" t="s">
        <v>121</v>
      </c>
      <c r="G858" t="s">
        <v>122</v>
      </c>
    </row>
    <row r="859" spans="1:7" hidden="1" x14ac:dyDescent="0.25">
      <c r="A859">
        <v>99</v>
      </c>
      <c r="B859">
        <v>7552</v>
      </c>
      <c r="C859">
        <v>0</v>
      </c>
      <c r="D859">
        <v>0</v>
      </c>
      <c r="E859">
        <v>4</v>
      </c>
      <c r="F859" t="s">
        <v>121</v>
      </c>
      <c r="G859" t="s">
        <v>122</v>
      </c>
    </row>
    <row r="860" spans="1:7" hidden="1" x14ac:dyDescent="0.25">
      <c r="A860">
        <v>99</v>
      </c>
      <c r="B860">
        <v>8004</v>
      </c>
      <c r="C860">
        <v>0</v>
      </c>
      <c r="D860">
        <v>0</v>
      </c>
      <c r="E860">
        <v>4</v>
      </c>
      <c r="F860" t="s">
        <v>121</v>
      </c>
      <c r="G860" t="s">
        <v>122</v>
      </c>
    </row>
    <row r="861" spans="1:7" hidden="1" x14ac:dyDescent="0.25">
      <c r="A861">
        <v>99</v>
      </c>
      <c r="B861">
        <v>8144</v>
      </c>
      <c r="C861">
        <v>0</v>
      </c>
      <c r="D861">
        <v>0</v>
      </c>
      <c r="E861">
        <v>4</v>
      </c>
      <c r="F861" t="s">
        <v>121</v>
      </c>
      <c r="G861" t="s">
        <v>122</v>
      </c>
    </row>
    <row r="862" spans="1:7" hidden="1" x14ac:dyDescent="0.25">
      <c r="A862">
        <v>99</v>
      </c>
      <c r="B862">
        <v>8668</v>
      </c>
      <c r="C862">
        <v>0</v>
      </c>
      <c r="D862">
        <v>0</v>
      </c>
      <c r="E862">
        <v>4</v>
      </c>
      <c r="F862" t="s">
        <v>121</v>
      </c>
      <c r="G862" t="s">
        <v>122</v>
      </c>
    </row>
    <row r="863" spans="1:7" hidden="1" x14ac:dyDescent="0.25">
      <c r="A863">
        <v>99</v>
      </c>
      <c r="B863">
        <v>8804</v>
      </c>
      <c r="C863">
        <v>0</v>
      </c>
      <c r="D863">
        <v>0</v>
      </c>
      <c r="E863">
        <v>4</v>
      </c>
      <c r="F863" t="s">
        <v>121</v>
      </c>
      <c r="G863" t="s">
        <v>122</v>
      </c>
    </row>
    <row r="864" spans="1:7" hidden="1" x14ac:dyDescent="0.25">
      <c r="A864">
        <v>99</v>
      </c>
      <c r="B864">
        <v>9032</v>
      </c>
      <c r="C864">
        <v>0</v>
      </c>
      <c r="D864">
        <v>0</v>
      </c>
      <c r="E864">
        <v>4</v>
      </c>
      <c r="F864" t="s">
        <v>121</v>
      </c>
      <c r="G864" t="s">
        <v>122</v>
      </c>
    </row>
    <row r="865" spans="1:7" hidden="1" x14ac:dyDescent="0.25">
      <c r="A865">
        <v>99</v>
      </c>
      <c r="B865">
        <v>9072</v>
      </c>
      <c r="C865">
        <v>0</v>
      </c>
      <c r="D865">
        <v>0</v>
      </c>
      <c r="E865">
        <v>4</v>
      </c>
      <c r="F865" t="s">
        <v>121</v>
      </c>
      <c r="G865" t="s">
        <v>122</v>
      </c>
    </row>
    <row r="866" spans="1:7" hidden="1" x14ac:dyDescent="0.25">
      <c r="A866">
        <v>99</v>
      </c>
      <c r="B866">
        <v>9176</v>
      </c>
      <c r="C866">
        <v>0</v>
      </c>
      <c r="D866">
        <v>0</v>
      </c>
      <c r="E866">
        <v>4</v>
      </c>
      <c r="F866" t="s">
        <v>121</v>
      </c>
      <c r="G866" t="s">
        <v>122</v>
      </c>
    </row>
    <row r="867" spans="1:7" hidden="1" x14ac:dyDescent="0.25">
      <c r="A867">
        <v>99</v>
      </c>
      <c r="B867">
        <v>9256</v>
      </c>
      <c r="C867">
        <v>0</v>
      </c>
      <c r="D867">
        <v>0</v>
      </c>
      <c r="E867">
        <v>4</v>
      </c>
      <c r="F867" t="s">
        <v>121</v>
      </c>
      <c r="G867" t="s">
        <v>122</v>
      </c>
    </row>
    <row r="868" spans="1:7" hidden="1" x14ac:dyDescent="0.25">
      <c r="A868">
        <v>99</v>
      </c>
      <c r="B868">
        <v>9272</v>
      </c>
      <c r="C868">
        <v>0</v>
      </c>
      <c r="D868">
        <v>0</v>
      </c>
      <c r="E868">
        <v>4</v>
      </c>
      <c r="F868" t="s">
        <v>121</v>
      </c>
      <c r="G868" t="s">
        <v>122</v>
      </c>
    </row>
    <row r="869" spans="1:7" hidden="1" x14ac:dyDescent="0.25">
      <c r="A869">
        <v>99</v>
      </c>
      <c r="B869">
        <v>9752</v>
      </c>
      <c r="C869">
        <v>0</v>
      </c>
      <c r="D869">
        <v>0</v>
      </c>
      <c r="E869">
        <v>4</v>
      </c>
      <c r="F869" t="s">
        <v>121</v>
      </c>
      <c r="G869" t="s">
        <v>122</v>
      </c>
    </row>
    <row r="870" spans="1:7" hidden="1" x14ac:dyDescent="0.25">
      <c r="A870">
        <v>99</v>
      </c>
      <c r="B870">
        <v>10364</v>
      </c>
      <c r="C870">
        <v>0</v>
      </c>
      <c r="D870">
        <v>0</v>
      </c>
      <c r="E870">
        <v>4</v>
      </c>
      <c r="F870" t="s">
        <v>121</v>
      </c>
      <c r="G870" t="s">
        <v>122</v>
      </c>
    </row>
    <row r="871" spans="1:7" hidden="1" x14ac:dyDescent="0.25">
      <c r="A871">
        <v>99</v>
      </c>
      <c r="B871">
        <v>10420</v>
      </c>
      <c r="C871">
        <v>0</v>
      </c>
      <c r="D871">
        <v>0</v>
      </c>
      <c r="E871">
        <v>4</v>
      </c>
      <c r="F871" t="s">
        <v>121</v>
      </c>
      <c r="G871" t="s">
        <v>122</v>
      </c>
    </row>
    <row r="872" spans="1:7" hidden="1" x14ac:dyDescent="0.25">
      <c r="A872">
        <v>50</v>
      </c>
      <c r="B872">
        <v>476</v>
      </c>
      <c r="C872">
        <v>0</v>
      </c>
      <c r="D872">
        <v>0</v>
      </c>
      <c r="E872">
        <v>5</v>
      </c>
      <c r="F872" t="s">
        <v>123</v>
      </c>
      <c r="G872" t="s">
        <v>124</v>
      </c>
    </row>
    <row r="873" spans="1:7" hidden="1" x14ac:dyDescent="0.25">
      <c r="A873">
        <v>50</v>
      </c>
      <c r="B873">
        <v>1172</v>
      </c>
      <c r="C873">
        <v>0</v>
      </c>
      <c r="D873">
        <v>0</v>
      </c>
      <c r="E873">
        <v>5</v>
      </c>
      <c r="F873" t="s">
        <v>123</v>
      </c>
      <c r="G873" t="s">
        <v>124</v>
      </c>
    </row>
    <row r="874" spans="1:7" hidden="1" x14ac:dyDescent="0.25">
      <c r="A874">
        <v>50</v>
      </c>
      <c r="B874">
        <v>1264</v>
      </c>
      <c r="C874">
        <v>0</v>
      </c>
      <c r="D874">
        <v>0</v>
      </c>
      <c r="E874">
        <v>5</v>
      </c>
      <c r="F874" t="s">
        <v>123</v>
      </c>
      <c r="G874" t="s">
        <v>124</v>
      </c>
    </row>
    <row r="875" spans="1:7" hidden="1" x14ac:dyDescent="0.25">
      <c r="A875">
        <v>50</v>
      </c>
      <c r="B875">
        <v>1476</v>
      </c>
      <c r="C875">
        <v>0</v>
      </c>
      <c r="D875">
        <v>0</v>
      </c>
      <c r="E875">
        <v>5</v>
      </c>
      <c r="F875" t="s">
        <v>123</v>
      </c>
      <c r="G875" t="s">
        <v>124</v>
      </c>
    </row>
    <row r="876" spans="1:7" hidden="1" x14ac:dyDescent="0.25">
      <c r="A876">
        <v>50</v>
      </c>
      <c r="B876">
        <v>2548</v>
      </c>
      <c r="C876">
        <v>0</v>
      </c>
      <c r="D876">
        <v>0</v>
      </c>
      <c r="E876">
        <v>5</v>
      </c>
      <c r="F876" t="s">
        <v>123</v>
      </c>
      <c r="G876" t="s">
        <v>124</v>
      </c>
    </row>
    <row r="877" spans="1:7" hidden="1" x14ac:dyDescent="0.25">
      <c r="A877">
        <v>50</v>
      </c>
      <c r="B877">
        <v>4144</v>
      </c>
      <c r="C877">
        <v>0</v>
      </c>
      <c r="D877">
        <v>0</v>
      </c>
      <c r="E877">
        <v>5</v>
      </c>
      <c r="F877" t="s">
        <v>123</v>
      </c>
      <c r="G877" t="s">
        <v>124</v>
      </c>
    </row>
    <row r="878" spans="1:7" hidden="1" x14ac:dyDescent="0.25">
      <c r="A878">
        <v>50</v>
      </c>
      <c r="B878">
        <v>4228</v>
      </c>
      <c r="C878">
        <v>0</v>
      </c>
      <c r="D878">
        <v>0</v>
      </c>
      <c r="E878">
        <v>5</v>
      </c>
      <c r="F878" t="s">
        <v>123</v>
      </c>
      <c r="G878" t="s">
        <v>124</v>
      </c>
    </row>
    <row r="879" spans="1:7" hidden="1" x14ac:dyDescent="0.25">
      <c r="A879">
        <v>50</v>
      </c>
      <c r="B879">
        <v>4336</v>
      </c>
      <c r="C879">
        <v>0</v>
      </c>
      <c r="D879">
        <v>0</v>
      </c>
      <c r="E879">
        <v>5</v>
      </c>
      <c r="F879" t="s">
        <v>123</v>
      </c>
      <c r="G879" t="s">
        <v>124</v>
      </c>
    </row>
    <row r="880" spans="1:7" hidden="1" x14ac:dyDescent="0.25">
      <c r="A880">
        <v>50</v>
      </c>
      <c r="B880">
        <v>4600</v>
      </c>
      <c r="C880">
        <v>0</v>
      </c>
      <c r="D880">
        <v>0</v>
      </c>
      <c r="E880">
        <v>5</v>
      </c>
      <c r="F880" t="s">
        <v>123</v>
      </c>
      <c r="G880" t="s">
        <v>124</v>
      </c>
    </row>
    <row r="881" spans="1:7" hidden="1" x14ac:dyDescent="0.25">
      <c r="A881">
        <v>50</v>
      </c>
      <c r="B881">
        <v>5004</v>
      </c>
      <c r="C881">
        <v>0</v>
      </c>
      <c r="D881">
        <v>0</v>
      </c>
      <c r="E881">
        <v>5</v>
      </c>
      <c r="F881" t="s">
        <v>123</v>
      </c>
      <c r="G881" t="s">
        <v>124</v>
      </c>
    </row>
    <row r="882" spans="1:7" hidden="1" x14ac:dyDescent="0.25">
      <c r="A882">
        <v>50</v>
      </c>
      <c r="B882">
        <v>5892</v>
      </c>
      <c r="C882">
        <v>0</v>
      </c>
      <c r="D882">
        <v>0</v>
      </c>
      <c r="E882">
        <v>5</v>
      </c>
      <c r="F882" t="s">
        <v>123</v>
      </c>
      <c r="G882" t="s">
        <v>124</v>
      </c>
    </row>
    <row r="883" spans="1:7" hidden="1" x14ac:dyDescent="0.25">
      <c r="A883">
        <v>50</v>
      </c>
      <c r="B883">
        <v>5904</v>
      </c>
      <c r="C883">
        <v>0</v>
      </c>
      <c r="D883">
        <v>0</v>
      </c>
      <c r="E883">
        <v>5</v>
      </c>
      <c r="F883" t="s">
        <v>123</v>
      </c>
      <c r="G883" t="s">
        <v>124</v>
      </c>
    </row>
    <row r="884" spans="1:7" hidden="1" x14ac:dyDescent="0.25">
      <c r="A884">
        <v>50</v>
      </c>
      <c r="B884">
        <v>6280</v>
      </c>
      <c r="C884">
        <v>0</v>
      </c>
      <c r="D884">
        <v>0</v>
      </c>
      <c r="E884">
        <v>5</v>
      </c>
      <c r="F884" t="s">
        <v>123</v>
      </c>
      <c r="G884" t="s">
        <v>124</v>
      </c>
    </row>
    <row r="885" spans="1:7" hidden="1" x14ac:dyDescent="0.25">
      <c r="A885">
        <v>50</v>
      </c>
      <c r="B885">
        <v>6312</v>
      </c>
      <c r="C885">
        <v>0</v>
      </c>
      <c r="D885">
        <v>0</v>
      </c>
      <c r="E885">
        <v>5</v>
      </c>
      <c r="F885" t="s">
        <v>123</v>
      </c>
      <c r="G885" t="s">
        <v>124</v>
      </c>
    </row>
    <row r="886" spans="1:7" hidden="1" x14ac:dyDescent="0.25">
      <c r="A886">
        <v>50</v>
      </c>
      <c r="B886">
        <v>7283</v>
      </c>
      <c r="C886">
        <v>0</v>
      </c>
      <c r="D886">
        <v>0</v>
      </c>
      <c r="E886">
        <v>5</v>
      </c>
      <c r="F886" t="s">
        <v>123</v>
      </c>
      <c r="G886" t="s">
        <v>124</v>
      </c>
    </row>
    <row r="887" spans="1:7" hidden="1" x14ac:dyDescent="0.25">
      <c r="A887">
        <v>50</v>
      </c>
      <c r="B887">
        <v>7284</v>
      </c>
      <c r="C887">
        <v>0</v>
      </c>
      <c r="D887">
        <v>0</v>
      </c>
      <c r="E887">
        <v>5</v>
      </c>
      <c r="F887" t="s">
        <v>123</v>
      </c>
      <c r="G887" t="s">
        <v>124</v>
      </c>
    </row>
    <row r="888" spans="1:7" hidden="1" x14ac:dyDescent="0.25">
      <c r="A888">
        <v>50</v>
      </c>
      <c r="B888">
        <v>7528</v>
      </c>
      <c r="C888">
        <v>0</v>
      </c>
      <c r="D888">
        <v>0</v>
      </c>
      <c r="E888">
        <v>5</v>
      </c>
      <c r="F888" t="s">
        <v>123</v>
      </c>
      <c r="G888" t="s">
        <v>124</v>
      </c>
    </row>
    <row r="889" spans="1:7" hidden="1" x14ac:dyDescent="0.25">
      <c r="A889">
        <v>50</v>
      </c>
      <c r="B889">
        <v>7756</v>
      </c>
      <c r="C889">
        <v>0</v>
      </c>
      <c r="D889">
        <v>0</v>
      </c>
      <c r="E889">
        <v>5</v>
      </c>
      <c r="F889" t="s">
        <v>123</v>
      </c>
      <c r="G889" t="s">
        <v>124</v>
      </c>
    </row>
    <row r="890" spans="1:7" hidden="1" x14ac:dyDescent="0.25">
      <c r="A890">
        <v>50</v>
      </c>
      <c r="B890">
        <v>8256</v>
      </c>
      <c r="C890">
        <v>0</v>
      </c>
      <c r="D890">
        <v>0</v>
      </c>
      <c r="E890">
        <v>5</v>
      </c>
      <c r="F890" t="s">
        <v>123</v>
      </c>
      <c r="G890" t="s">
        <v>124</v>
      </c>
    </row>
    <row r="891" spans="1:7" hidden="1" x14ac:dyDescent="0.25">
      <c r="A891">
        <v>50</v>
      </c>
      <c r="B891">
        <v>9356</v>
      </c>
      <c r="C891">
        <v>0</v>
      </c>
      <c r="D891">
        <v>0</v>
      </c>
      <c r="E891">
        <v>5</v>
      </c>
      <c r="F891" t="s">
        <v>123</v>
      </c>
      <c r="G891" t="s">
        <v>124</v>
      </c>
    </row>
    <row r="892" spans="1:7" hidden="1" x14ac:dyDescent="0.25">
      <c r="A892">
        <v>50</v>
      </c>
      <c r="B892">
        <v>10012</v>
      </c>
      <c r="C892">
        <v>0</v>
      </c>
      <c r="D892">
        <v>0</v>
      </c>
      <c r="E892">
        <v>5</v>
      </c>
      <c r="F892" t="s">
        <v>123</v>
      </c>
      <c r="G892" t="s">
        <v>124</v>
      </c>
    </row>
    <row r="893" spans="1:7" hidden="1" x14ac:dyDescent="0.25">
      <c r="A893">
        <v>50</v>
      </c>
      <c r="B893">
        <v>10064</v>
      </c>
      <c r="C893">
        <v>0</v>
      </c>
      <c r="D893">
        <v>0</v>
      </c>
      <c r="E893">
        <v>5</v>
      </c>
      <c r="F893" t="s">
        <v>123</v>
      </c>
      <c r="G893" t="s">
        <v>124</v>
      </c>
    </row>
    <row r="894" spans="1:7" hidden="1" x14ac:dyDescent="0.25">
      <c r="A894">
        <v>50</v>
      </c>
      <c r="B894">
        <v>10100</v>
      </c>
      <c r="C894">
        <v>0</v>
      </c>
      <c r="D894">
        <v>0</v>
      </c>
      <c r="E894">
        <v>5</v>
      </c>
      <c r="F894" t="s">
        <v>123</v>
      </c>
      <c r="G894" t="s">
        <v>124</v>
      </c>
    </row>
    <row r="895" spans="1:7" hidden="1" x14ac:dyDescent="0.25">
      <c r="A895">
        <v>50</v>
      </c>
      <c r="B895">
        <v>10592</v>
      </c>
      <c r="C895">
        <v>0</v>
      </c>
      <c r="D895">
        <v>0</v>
      </c>
      <c r="E895">
        <v>5</v>
      </c>
      <c r="F895" t="s">
        <v>123</v>
      </c>
      <c r="G895" t="s">
        <v>124</v>
      </c>
    </row>
    <row r="896" spans="1:7" hidden="1" x14ac:dyDescent="0.25">
      <c r="A896">
        <v>99</v>
      </c>
      <c r="B896">
        <v>2068</v>
      </c>
      <c r="C896">
        <v>0</v>
      </c>
      <c r="D896">
        <v>0</v>
      </c>
      <c r="E896">
        <v>5</v>
      </c>
      <c r="F896" t="s">
        <v>123</v>
      </c>
      <c r="G896" t="s">
        <v>124</v>
      </c>
    </row>
    <row r="897" spans="1:7" hidden="1" x14ac:dyDescent="0.25">
      <c r="A897">
        <v>99</v>
      </c>
      <c r="B897">
        <v>2168</v>
      </c>
      <c r="C897">
        <v>0</v>
      </c>
      <c r="D897">
        <v>0</v>
      </c>
      <c r="E897">
        <v>5</v>
      </c>
      <c r="F897" t="s">
        <v>123</v>
      </c>
      <c r="G897" t="s">
        <v>124</v>
      </c>
    </row>
    <row r="898" spans="1:7" hidden="1" x14ac:dyDescent="0.25">
      <c r="A898">
        <v>99</v>
      </c>
      <c r="B898">
        <v>2472</v>
      </c>
      <c r="C898">
        <v>0</v>
      </c>
      <c r="D898">
        <v>0</v>
      </c>
      <c r="E898">
        <v>5</v>
      </c>
      <c r="F898" t="s">
        <v>123</v>
      </c>
      <c r="G898" t="s">
        <v>124</v>
      </c>
    </row>
    <row r="899" spans="1:7" hidden="1" x14ac:dyDescent="0.25">
      <c r="A899">
        <v>99</v>
      </c>
      <c r="B899">
        <v>3056</v>
      </c>
      <c r="C899">
        <v>0</v>
      </c>
      <c r="D899">
        <v>0</v>
      </c>
      <c r="E899">
        <v>5</v>
      </c>
      <c r="F899" t="s">
        <v>123</v>
      </c>
      <c r="G899" t="s">
        <v>124</v>
      </c>
    </row>
    <row r="900" spans="1:7" hidden="1" x14ac:dyDescent="0.25">
      <c r="A900">
        <v>99</v>
      </c>
      <c r="B900">
        <v>3100</v>
      </c>
      <c r="C900">
        <v>0</v>
      </c>
      <c r="D900">
        <v>0</v>
      </c>
      <c r="E900">
        <v>5</v>
      </c>
      <c r="F900" t="s">
        <v>123</v>
      </c>
      <c r="G900" t="s">
        <v>124</v>
      </c>
    </row>
    <row r="901" spans="1:7" hidden="1" x14ac:dyDescent="0.25">
      <c r="A901">
        <v>99</v>
      </c>
      <c r="B901">
        <v>3284</v>
      </c>
      <c r="C901">
        <v>0</v>
      </c>
      <c r="D901">
        <v>0</v>
      </c>
      <c r="E901">
        <v>5</v>
      </c>
      <c r="F901" t="s">
        <v>123</v>
      </c>
      <c r="G901" t="s">
        <v>124</v>
      </c>
    </row>
    <row r="902" spans="1:7" x14ac:dyDescent="0.25">
      <c r="A902">
        <v>99</v>
      </c>
      <c r="B902">
        <v>4124</v>
      </c>
      <c r="C902">
        <v>0</v>
      </c>
      <c r="D902">
        <v>0</v>
      </c>
      <c r="E902">
        <v>5</v>
      </c>
      <c r="F902" t="s">
        <v>123</v>
      </c>
      <c r="G902" t="s">
        <v>124</v>
      </c>
    </row>
    <row r="903" spans="1:7" hidden="1" x14ac:dyDescent="0.25">
      <c r="A903">
        <v>99</v>
      </c>
      <c r="B903">
        <v>5932</v>
      </c>
      <c r="C903">
        <v>0</v>
      </c>
      <c r="D903">
        <v>0</v>
      </c>
      <c r="E903">
        <v>5</v>
      </c>
      <c r="F903" t="s">
        <v>123</v>
      </c>
      <c r="G903" t="s">
        <v>124</v>
      </c>
    </row>
    <row r="904" spans="1:7" hidden="1" x14ac:dyDescent="0.25">
      <c r="A904">
        <v>99</v>
      </c>
      <c r="B904">
        <v>5992</v>
      </c>
      <c r="C904">
        <v>0</v>
      </c>
      <c r="D904">
        <v>0</v>
      </c>
      <c r="E904">
        <v>5</v>
      </c>
      <c r="F904" t="s">
        <v>123</v>
      </c>
      <c r="G904" t="s">
        <v>124</v>
      </c>
    </row>
    <row r="905" spans="1:7" hidden="1" x14ac:dyDescent="0.25">
      <c r="A905">
        <v>99</v>
      </c>
      <c r="B905">
        <v>7188</v>
      </c>
      <c r="C905">
        <v>0</v>
      </c>
      <c r="D905">
        <v>0</v>
      </c>
      <c r="E905">
        <v>5</v>
      </c>
      <c r="F905" t="s">
        <v>123</v>
      </c>
      <c r="G905" t="s">
        <v>124</v>
      </c>
    </row>
    <row r="906" spans="1:7" hidden="1" x14ac:dyDescent="0.25">
      <c r="A906">
        <v>99</v>
      </c>
      <c r="B906">
        <v>7260</v>
      </c>
      <c r="C906">
        <v>0</v>
      </c>
      <c r="D906">
        <v>0</v>
      </c>
      <c r="E906">
        <v>5</v>
      </c>
      <c r="F906" t="s">
        <v>123</v>
      </c>
      <c r="G906" t="s">
        <v>124</v>
      </c>
    </row>
    <row r="907" spans="1:7" hidden="1" x14ac:dyDescent="0.25">
      <c r="A907">
        <v>99</v>
      </c>
      <c r="B907">
        <v>7300</v>
      </c>
      <c r="C907">
        <v>0</v>
      </c>
      <c r="D907">
        <v>0</v>
      </c>
      <c r="E907">
        <v>5</v>
      </c>
      <c r="F907" t="s">
        <v>123</v>
      </c>
      <c r="G907" t="s">
        <v>124</v>
      </c>
    </row>
    <row r="908" spans="1:7" hidden="1" x14ac:dyDescent="0.25">
      <c r="A908">
        <v>99</v>
      </c>
      <c r="B908">
        <v>7552</v>
      </c>
      <c r="C908">
        <v>0</v>
      </c>
      <c r="D908">
        <v>0</v>
      </c>
      <c r="E908">
        <v>5</v>
      </c>
      <c r="F908" t="s">
        <v>123</v>
      </c>
      <c r="G908" t="s">
        <v>124</v>
      </c>
    </row>
    <row r="909" spans="1:7" hidden="1" x14ac:dyDescent="0.25">
      <c r="A909">
        <v>99</v>
      </c>
      <c r="B909">
        <v>8004</v>
      </c>
      <c r="C909">
        <v>0</v>
      </c>
      <c r="D909">
        <v>0</v>
      </c>
      <c r="E909">
        <v>5</v>
      </c>
      <c r="F909" t="s">
        <v>123</v>
      </c>
      <c r="G909" t="s">
        <v>124</v>
      </c>
    </row>
    <row r="910" spans="1:7" hidden="1" x14ac:dyDescent="0.25">
      <c r="A910">
        <v>99</v>
      </c>
      <c r="B910">
        <v>8144</v>
      </c>
      <c r="C910">
        <v>0</v>
      </c>
      <c r="D910">
        <v>0</v>
      </c>
      <c r="E910">
        <v>5</v>
      </c>
      <c r="F910" t="s">
        <v>123</v>
      </c>
      <c r="G910" t="s">
        <v>124</v>
      </c>
    </row>
    <row r="911" spans="1:7" hidden="1" x14ac:dyDescent="0.25">
      <c r="A911">
        <v>99</v>
      </c>
      <c r="B911">
        <v>8668</v>
      </c>
      <c r="C911">
        <v>0</v>
      </c>
      <c r="D911">
        <v>0</v>
      </c>
      <c r="E911">
        <v>5</v>
      </c>
      <c r="F911" t="s">
        <v>123</v>
      </c>
      <c r="G911" t="s">
        <v>124</v>
      </c>
    </row>
    <row r="912" spans="1:7" hidden="1" x14ac:dyDescent="0.25">
      <c r="A912">
        <v>99</v>
      </c>
      <c r="B912">
        <v>8804</v>
      </c>
      <c r="C912">
        <v>0</v>
      </c>
      <c r="D912">
        <v>0</v>
      </c>
      <c r="E912">
        <v>5</v>
      </c>
      <c r="F912" t="s">
        <v>123</v>
      </c>
      <c r="G912" t="s">
        <v>124</v>
      </c>
    </row>
    <row r="913" spans="1:7" hidden="1" x14ac:dyDescent="0.25">
      <c r="A913">
        <v>99</v>
      </c>
      <c r="B913">
        <v>9032</v>
      </c>
      <c r="C913">
        <v>0</v>
      </c>
      <c r="D913">
        <v>0</v>
      </c>
      <c r="E913">
        <v>5</v>
      </c>
      <c r="F913" t="s">
        <v>123</v>
      </c>
      <c r="G913" t="s">
        <v>124</v>
      </c>
    </row>
    <row r="914" spans="1:7" hidden="1" x14ac:dyDescent="0.25">
      <c r="A914">
        <v>99</v>
      </c>
      <c r="B914">
        <v>9072</v>
      </c>
      <c r="C914">
        <v>0</v>
      </c>
      <c r="D914">
        <v>0</v>
      </c>
      <c r="E914">
        <v>5</v>
      </c>
      <c r="F914" t="s">
        <v>123</v>
      </c>
      <c r="G914" t="s">
        <v>124</v>
      </c>
    </row>
    <row r="915" spans="1:7" hidden="1" x14ac:dyDescent="0.25">
      <c r="A915">
        <v>99</v>
      </c>
      <c r="B915">
        <v>9176</v>
      </c>
      <c r="C915">
        <v>0</v>
      </c>
      <c r="D915">
        <v>0</v>
      </c>
      <c r="E915">
        <v>5</v>
      </c>
      <c r="F915" t="s">
        <v>123</v>
      </c>
      <c r="G915" t="s">
        <v>124</v>
      </c>
    </row>
    <row r="916" spans="1:7" hidden="1" x14ac:dyDescent="0.25">
      <c r="A916">
        <v>99</v>
      </c>
      <c r="B916">
        <v>9256</v>
      </c>
      <c r="C916">
        <v>0</v>
      </c>
      <c r="D916">
        <v>0</v>
      </c>
      <c r="E916">
        <v>5</v>
      </c>
      <c r="F916" t="s">
        <v>123</v>
      </c>
      <c r="G916" t="s">
        <v>124</v>
      </c>
    </row>
    <row r="917" spans="1:7" hidden="1" x14ac:dyDescent="0.25">
      <c r="A917">
        <v>99</v>
      </c>
      <c r="B917">
        <v>9272</v>
      </c>
      <c r="C917">
        <v>0</v>
      </c>
      <c r="D917">
        <v>0</v>
      </c>
      <c r="E917">
        <v>5</v>
      </c>
      <c r="F917" t="s">
        <v>123</v>
      </c>
      <c r="G917" t="s">
        <v>124</v>
      </c>
    </row>
    <row r="918" spans="1:7" hidden="1" x14ac:dyDescent="0.25">
      <c r="A918">
        <v>99</v>
      </c>
      <c r="B918">
        <v>9752</v>
      </c>
      <c r="C918">
        <v>0</v>
      </c>
      <c r="D918">
        <v>0</v>
      </c>
      <c r="E918">
        <v>5</v>
      </c>
      <c r="F918" t="s">
        <v>123</v>
      </c>
      <c r="G918" t="s">
        <v>124</v>
      </c>
    </row>
    <row r="919" spans="1:7" hidden="1" x14ac:dyDescent="0.25">
      <c r="A919">
        <v>99</v>
      </c>
      <c r="B919">
        <v>10364</v>
      </c>
      <c r="C919">
        <v>0</v>
      </c>
      <c r="D919">
        <v>0</v>
      </c>
      <c r="E919">
        <v>5</v>
      </c>
      <c r="F919" t="s">
        <v>123</v>
      </c>
      <c r="G919" t="s">
        <v>124</v>
      </c>
    </row>
    <row r="920" spans="1:7" hidden="1" x14ac:dyDescent="0.25">
      <c r="A920">
        <v>99</v>
      </c>
      <c r="B920">
        <v>10420</v>
      </c>
      <c r="C920">
        <v>0</v>
      </c>
      <c r="D920">
        <v>0</v>
      </c>
      <c r="E920">
        <v>5</v>
      </c>
      <c r="F920" t="s">
        <v>123</v>
      </c>
      <c r="G920" t="s">
        <v>124</v>
      </c>
    </row>
    <row r="921" spans="1:7" hidden="1" x14ac:dyDescent="0.25">
      <c r="A921">
        <v>50</v>
      </c>
      <c r="B921">
        <v>476</v>
      </c>
      <c r="C921">
        <v>0</v>
      </c>
      <c r="D921">
        <v>0</v>
      </c>
      <c r="E921">
        <v>19</v>
      </c>
      <c r="F921" t="s">
        <v>125</v>
      </c>
      <c r="G921" t="s">
        <v>122</v>
      </c>
    </row>
    <row r="922" spans="1:7" hidden="1" x14ac:dyDescent="0.25">
      <c r="A922">
        <v>50</v>
      </c>
      <c r="B922">
        <v>1172</v>
      </c>
      <c r="C922">
        <v>0</v>
      </c>
      <c r="D922">
        <v>0</v>
      </c>
      <c r="E922">
        <v>19</v>
      </c>
      <c r="F922" t="s">
        <v>125</v>
      </c>
      <c r="G922" t="s">
        <v>122</v>
      </c>
    </row>
    <row r="923" spans="1:7" hidden="1" x14ac:dyDescent="0.25">
      <c r="A923">
        <v>50</v>
      </c>
      <c r="B923">
        <v>1264</v>
      </c>
      <c r="C923">
        <v>0</v>
      </c>
      <c r="D923">
        <v>0</v>
      </c>
      <c r="E923">
        <v>19</v>
      </c>
      <c r="F923" t="s">
        <v>125</v>
      </c>
      <c r="G923" t="s">
        <v>122</v>
      </c>
    </row>
    <row r="924" spans="1:7" hidden="1" x14ac:dyDescent="0.25">
      <c r="A924">
        <v>50</v>
      </c>
      <c r="B924">
        <v>1476</v>
      </c>
      <c r="C924">
        <v>0</v>
      </c>
      <c r="D924">
        <v>0</v>
      </c>
      <c r="E924">
        <v>19</v>
      </c>
      <c r="F924" t="s">
        <v>125</v>
      </c>
      <c r="G924" t="s">
        <v>122</v>
      </c>
    </row>
    <row r="925" spans="1:7" hidden="1" x14ac:dyDescent="0.25">
      <c r="A925">
        <v>50</v>
      </c>
      <c r="B925">
        <v>2548</v>
      </c>
      <c r="C925">
        <v>0</v>
      </c>
      <c r="D925">
        <v>0</v>
      </c>
      <c r="E925">
        <v>19</v>
      </c>
      <c r="F925" t="s">
        <v>125</v>
      </c>
      <c r="G925" t="s">
        <v>122</v>
      </c>
    </row>
    <row r="926" spans="1:7" hidden="1" x14ac:dyDescent="0.25">
      <c r="A926">
        <v>50</v>
      </c>
      <c r="B926">
        <v>4144</v>
      </c>
      <c r="C926">
        <v>0</v>
      </c>
      <c r="D926">
        <v>0</v>
      </c>
      <c r="E926">
        <v>19</v>
      </c>
      <c r="F926" t="s">
        <v>125</v>
      </c>
      <c r="G926" t="s">
        <v>122</v>
      </c>
    </row>
    <row r="927" spans="1:7" hidden="1" x14ac:dyDescent="0.25">
      <c r="A927">
        <v>50</v>
      </c>
      <c r="B927">
        <v>4228</v>
      </c>
      <c r="C927">
        <v>0</v>
      </c>
      <c r="D927">
        <v>0</v>
      </c>
      <c r="E927">
        <v>19</v>
      </c>
      <c r="F927" t="s">
        <v>125</v>
      </c>
      <c r="G927" t="s">
        <v>122</v>
      </c>
    </row>
    <row r="928" spans="1:7" hidden="1" x14ac:dyDescent="0.25">
      <c r="A928">
        <v>50</v>
      </c>
      <c r="B928">
        <v>4336</v>
      </c>
      <c r="C928">
        <v>0</v>
      </c>
      <c r="D928">
        <v>0</v>
      </c>
      <c r="E928">
        <v>19</v>
      </c>
      <c r="F928" t="s">
        <v>125</v>
      </c>
      <c r="G928" t="s">
        <v>122</v>
      </c>
    </row>
    <row r="929" spans="1:7" hidden="1" x14ac:dyDescent="0.25">
      <c r="A929">
        <v>50</v>
      </c>
      <c r="B929">
        <v>4600</v>
      </c>
      <c r="C929">
        <v>0</v>
      </c>
      <c r="D929">
        <v>0</v>
      </c>
      <c r="E929">
        <v>19</v>
      </c>
      <c r="F929" t="s">
        <v>125</v>
      </c>
      <c r="G929" t="s">
        <v>122</v>
      </c>
    </row>
    <row r="930" spans="1:7" hidden="1" x14ac:dyDescent="0.25">
      <c r="A930">
        <v>50</v>
      </c>
      <c r="B930">
        <v>5004</v>
      </c>
      <c r="C930">
        <v>0</v>
      </c>
      <c r="D930">
        <v>0</v>
      </c>
      <c r="E930">
        <v>19</v>
      </c>
      <c r="F930" t="s">
        <v>125</v>
      </c>
      <c r="G930" t="s">
        <v>122</v>
      </c>
    </row>
    <row r="931" spans="1:7" hidden="1" x14ac:dyDescent="0.25">
      <c r="A931">
        <v>50</v>
      </c>
      <c r="B931">
        <v>5892</v>
      </c>
      <c r="C931">
        <v>0</v>
      </c>
      <c r="D931">
        <v>0</v>
      </c>
      <c r="E931">
        <v>19</v>
      </c>
      <c r="F931" t="s">
        <v>125</v>
      </c>
      <c r="G931" t="s">
        <v>122</v>
      </c>
    </row>
    <row r="932" spans="1:7" hidden="1" x14ac:dyDescent="0.25">
      <c r="A932">
        <v>50</v>
      </c>
      <c r="B932">
        <v>5904</v>
      </c>
      <c r="C932">
        <v>0</v>
      </c>
      <c r="D932">
        <v>0</v>
      </c>
      <c r="E932">
        <v>19</v>
      </c>
      <c r="F932" t="s">
        <v>125</v>
      </c>
      <c r="G932" t="s">
        <v>122</v>
      </c>
    </row>
    <row r="933" spans="1:7" hidden="1" x14ac:dyDescent="0.25">
      <c r="A933">
        <v>50</v>
      </c>
      <c r="B933">
        <v>6280</v>
      </c>
      <c r="C933">
        <v>0</v>
      </c>
      <c r="D933">
        <v>0</v>
      </c>
      <c r="E933">
        <v>19</v>
      </c>
      <c r="F933" t="s">
        <v>125</v>
      </c>
      <c r="G933" t="s">
        <v>122</v>
      </c>
    </row>
    <row r="934" spans="1:7" hidden="1" x14ac:dyDescent="0.25">
      <c r="A934">
        <v>50</v>
      </c>
      <c r="B934">
        <v>6312</v>
      </c>
      <c r="C934">
        <v>0</v>
      </c>
      <c r="D934">
        <v>0</v>
      </c>
      <c r="E934">
        <v>19</v>
      </c>
      <c r="F934" t="s">
        <v>125</v>
      </c>
      <c r="G934" t="s">
        <v>122</v>
      </c>
    </row>
    <row r="935" spans="1:7" hidden="1" x14ac:dyDescent="0.25">
      <c r="A935">
        <v>50</v>
      </c>
      <c r="B935">
        <v>7283</v>
      </c>
      <c r="C935">
        <v>0</v>
      </c>
      <c r="D935">
        <v>0</v>
      </c>
      <c r="E935">
        <v>19</v>
      </c>
      <c r="F935" t="s">
        <v>125</v>
      </c>
      <c r="G935" t="s">
        <v>122</v>
      </c>
    </row>
    <row r="936" spans="1:7" hidden="1" x14ac:dyDescent="0.25">
      <c r="A936">
        <v>50</v>
      </c>
      <c r="B936">
        <v>7284</v>
      </c>
      <c r="C936">
        <v>0</v>
      </c>
      <c r="D936">
        <v>0</v>
      </c>
      <c r="E936">
        <v>19</v>
      </c>
      <c r="F936" t="s">
        <v>125</v>
      </c>
      <c r="G936" t="s">
        <v>122</v>
      </c>
    </row>
    <row r="937" spans="1:7" hidden="1" x14ac:dyDescent="0.25">
      <c r="A937">
        <v>50</v>
      </c>
      <c r="B937">
        <v>7528</v>
      </c>
      <c r="C937">
        <v>0</v>
      </c>
      <c r="D937">
        <v>0</v>
      </c>
      <c r="E937">
        <v>19</v>
      </c>
      <c r="F937" t="s">
        <v>125</v>
      </c>
      <c r="G937" t="s">
        <v>122</v>
      </c>
    </row>
    <row r="938" spans="1:7" hidden="1" x14ac:dyDescent="0.25">
      <c r="A938">
        <v>50</v>
      </c>
      <c r="B938">
        <v>7756</v>
      </c>
      <c r="C938">
        <v>0</v>
      </c>
      <c r="D938">
        <v>0</v>
      </c>
      <c r="E938">
        <v>19</v>
      </c>
      <c r="F938" t="s">
        <v>125</v>
      </c>
      <c r="G938" t="s">
        <v>122</v>
      </c>
    </row>
    <row r="939" spans="1:7" hidden="1" x14ac:dyDescent="0.25">
      <c r="A939">
        <v>50</v>
      </c>
      <c r="B939">
        <v>8256</v>
      </c>
      <c r="C939">
        <v>0</v>
      </c>
      <c r="D939">
        <v>0</v>
      </c>
      <c r="E939">
        <v>19</v>
      </c>
      <c r="F939" t="s">
        <v>125</v>
      </c>
      <c r="G939" t="s">
        <v>122</v>
      </c>
    </row>
    <row r="940" spans="1:7" hidden="1" x14ac:dyDescent="0.25">
      <c r="A940">
        <v>50</v>
      </c>
      <c r="B940">
        <v>9356</v>
      </c>
      <c r="C940">
        <v>0</v>
      </c>
      <c r="D940">
        <v>0</v>
      </c>
      <c r="E940">
        <v>19</v>
      </c>
      <c r="F940" t="s">
        <v>125</v>
      </c>
      <c r="G940" t="s">
        <v>122</v>
      </c>
    </row>
    <row r="941" spans="1:7" hidden="1" x14ac:dyDescent="0.25">
      <c r="A941">
        <v>50</v>
      </c>
      <c r="B941">
        <v>10012</v>
      </c>
      <c r="C941">
        <v>0</v>
      </c>
      <c r="D941">
        <v>0</v>
      </c>
      <c r="E941">
        <v>19</v>
      </c>
      <c r="F941" t="s">
        <v>125</v>
      </c>
      <c r="G941" t="s">
        <v>122</v>
      </c>
    </row>
    <row r="942" spans="1:7" hidden="1" x14ac:dyDescent="0.25">
      <c r="A942">
        <v>50</v>
      </c>
      <c r="B942">
        <v>10064</v>
      </c>
      <c r="C942">
        <v>0</v>
      </c>
      <c r="D942">
        <v>0</v>
      </c>
      <c r="E942">
        <v>19</v>
      </c>
      <c r="F942" t="s">
        <v>125</v>
      </c>
      <c r="G942" t="s">
        <v>122</v>
      </c>
    </row>
    <row r="943" spans="1:7" hidden="1" x14ac:dyDescent="0.25">
      <c r="A943">
        <v>50</v>
      </c>
      <c r="B943">
        <v>10100</v>
      </c>
      <c r="C943">
        <v>0</v>
      </c>
      <c r="D943">
        <v>0</v>
      </c>
      <c r="E943">
        <v>19</v>
      </c>
      <c r="F943" t="s">
        <v>125</v>
      </c>
      <c r="G943" t="s">
        <v>122</v>
      </c>
    </row>
    <row r="944" spans="1:7" hidden="1" x14ac:dyDescent="0.25">
      <c r="A944">
        <v>50</v>
      </c>
      <c r="B944">
        <v>10592</v>
      </c>
      <c r="C944">
        <v>0</v>
      </c>
      <c r="D944">
        <v>0</v>
      </c>
      <c r="E944">
        <v>19</v>
      </c>
      <c r="F944" t="s">
        <v>125</v>
      </c>
      <c r="G944" t="s">
        <v>122</v>
      </c>
    </row>
    <row r="945" spans="1:7" hidden="1" x14ac:dyDescent="0.25">
      <c r="A945">
        <v>99</v>
      </c>
      <c r="B945">
        <v>2068</v>
      </c>
      <c r="C945">
        <v>0</v>
      </c>
      <c r="D945">
        <v>0</v>
      </c>
      <c r="E945">
        <v>19</v>
      </c>
      <c r="F945" t="s">
        <v>125</v>
      </c>
      <c r="G945" t="s">
        <v>122</v>
      </c>
    </row>
    <row r="946" spans="1:7" hidden="1" x14ac:dyDescent="0.25">
      <c r="A946">
        <v>99</v>
      </c>
      <c r="B946">
        <v>2168</v>
      </c>
      <c r="C946">
        <v>0</v>
      </c>
      <c r="D946">
        <v>0</v>
      </c>
      <c r="E946">
        <v>19</v>
      </c>
      <c r="F946" t="s">
        <v>125</v>
      </c>
      <c r="G946" t="s">
        <v>122</v>
      </c>
    </row>
    <row r="947" spans="1:7" hidden="1" x14ac:dyDescent="0.25">
      <c r="A947">
        <v>99</v>
      </c>
      <c r="B947">
        <v>2472</v>
      </c>
      <c r="C947">
        <v>0</v>
      </c>
      <c r="D947">
        <v>0</v>
      </c>
      <c r="E947">
        <v>19</v>
      </c>
      <c r="F947" t="s">
        <v>125</v>
      </c>
      <c r="G947" t="s">
        <v>122</v>
      </c>
    </row>
    <row r="948" spans="1:7" hidden="1" x14ac:dyDescent="0.25">
      <c r="A948">
        <v>99</v>
      </c>
      <c r="B948">
        <v>3056</v>
      </c>
      <c r="C948">
        <v>0</v>
      </c>
      <c r="D948">
        <v>0</v>
      </c>
      <c r="E948">
        <v>19</v>
      </c>
      <c r="F948" t="s">
        <v>125</v>
      </c>
      <c r="G948" t="s">
        <v>122</v>
      </c>
    </row>
    <row r="949" spans="1:7" hidden="1" x14ac:dyDescent="0.25">
      <c r="A949">
        <v>99</v>
      </c>
      <c r="B949">
        <v>3100</v>
      </c>
      <c r="C949">
        <v>0</v>
      </c>
      <c r="D949">
        <v>0</v>
      </c>
      <c r="E949">
        <v>19</v>
      </c>
      <c r="F949" t="s">
        <v>125</v>
      </c>
      <c r="G949" t="s">
        <v>122</v>
      </c>
    </row>
    <row r="950" spans="1:7" hidden="1" x14ac:dyDescent="0.25">
      <c r="A950">
        <v>99</v>
      </c>
      <c r="B950">
        <v>3284</v>
      </c>
      <c r="C950">
        <v>0</v>
      </c>
      <c r="D950">
        <v>0</v>
      </c>
      <c r="E950">
        <v>19</v>
      </c>
      <c r="F950" t="s">
        <v>125</v>
      </c>
      <c r="G950" t="s">
        <v>122</v>
      </c>
    </row>
    <row r="951" spans="1:7" x14ac:dyDescent="0.25">
      <c r="A951">
        <v>99</v>
      </c>
      <c r="B951">
        <v>4124</v>
      </c>
      <c r="C951">
        <v>0</v>
      </c>
      <c r="D951">
        <v>0</v>
      </c>
      <c r="E951">
        <v>19</v>
      </c>
      <c r="F951" t="s">
        <v>125</v>
      </c>
      <c r="G951" t="s">
        <v>122</v>
      </c>
    </row>
    <row r="952" spans="1:7" hidden="1" x14ac:dyDescent="0.25">
      <c r="A952">
        <v>99</v>
      </c>
      <c r="B952">
        <v>5932</v>
      </c>
      <c r="C952">
        <v>0</v>
      </c>
      <c r="D952">
        <v>0</v>
      </c>
      <c r="E952">
        <v>19</v>
      </c>
      <c r="F952" t="s">
        <v>125</v>
      </c>
      <c r="G952" t="s">
        <v>122</v>
      </c>
    </row>
    <row r="953" spans="1:7" hidden="1" x14ac:dyDescent="0.25">
      <c r="A953">
        <v>99</v>
      </c>
      <c r="B953">
        <v>5992</v>
      </c>
      <c r="C953">
        <v>0</v>
      </c>
      <c r="D953">
        <v>0</v>
      </c>
      <c r="E953">
        <v>19</v>
      </c>
      <c r="F953" t="s">
        <v>125</v>
      </c>
      <c r="G953" t="s">
        <v>122</v>
      </c>
    </row>
    <row r="954" spans="1:7" hidden="1" x14ac:dyDescent="0.25">
      <c r="A954">
        <v>99</v>
      </c>
      <c r="B954">
        <v>7188</v>
      </c>
      <c r="C954">
        <v>0</v>
      </c>
      <c r="D954">
        <v>0</v>
      </c>
      <c r="E954">
        <v>13</v>
      </c>
      <c r="F954" t="s">
        <v>125</v>
      </c>
      <c r="G954" t="s">
        <v>122</v>
      </c>
    </row>
    <row r="955" spans="1:7" hidden="1" x14ac:dyDescent="0.25">
      <c r="A955">
        <v>99</v>
      </c>
      <c r="B955">
        <v>7260</v>
      </c>
      <c r="C955">
        <v>0</v>
      </c>
      <c r="D955">
        <v>0</v>
      </c>
      <c r="E955">
        <v>19</v>
      </c>
      <c r="F955" t="s">
        <v>125</v>
      </c>
      <c r="G955" t="s">
        <v>122</v>
      </c>
    </row>
    <row r="956" spans="1:7" hidden="1" x14ac:dyDescent="0.25">
      <c r="A956">
        <v>99</v>
      </c>
      <c r="B956">
        <v>7300</v>
      </c>
      <c r="C956">
        <v>0</v>
      </c>
      <c r="D956">
        <v>0</v>
      </c>
      <c r="E956">
        <v>19</v>
      </c>
      <c r="F956" t="s">
        <v>125</v>
      </c>
      <c r="G956" t="s">
        <v>122</v>
      </c>
    </row>
    <row r="957" spans="1:7" hidden="1" x14ac:dyDescent="0.25">
      <c r="A957">
        <v>99</v>
      </c>
      <c r="B957">
        <v>7552</v>
      </c>
      <c r="C957">
        <v>0</v>
      </c>
      <c r="D957">
        <v>0</v>
      </c>
      <c r="E957">
        <v>19</v>
      </c>
      <c r="F957" t="s">
        <v>125</v>
      </c>
      <c r="G957" t="s">
        <v>122</v>
      </c>
    </row>
    <row r="958" spans="1:7" hidden="1" x14ac:dyDescent="0.25">
      <c r="A958">
        <v>99</v>
      </c>
      <c r="B958">
        <v>8004</v>
      </c>
      <c r="C958">
        <v>0</v>
      </c>
      <c r="D958">
        <v>0</v>
      </c>
      <c r="E958">
        <v>19</v>
      </c>
      <c r="F958" t="s">
        <v>125</v>
      </c>
      <c r="G958" t="s">
        <v>122</v>
      </c>
    </row>
    <row r="959" spans="1:7" hidden="1" x14ac:dyDescent="0.25">
      <c r="A959">
        <v>99</v>
      </c>
      <c r="B959">
        <v>8144</v>
      </c>
      <c r="C959">
        <v>0</v>
      </c>
      <c r="D959">
        <v>0</v>
      </c>
      <c r="E959">
        <v>19</v>
      </c>
      <c r="F959" t="s">
        <v>125</v>
      </c>
      <c r="G959" t="s">
        <v>122</v>
      </c>
    </row>
    <row r="960" spans="1:7" hidden="1" x14ac:dyDescent="0.25">
      <c r="A960">
        <v>99</v>
      </c>
      <c r="B960">
        <v>8668</v>
      </c>
      <c r="C960">
        <v>0</v>
      </c>
      <c r="D960">
        <v>0</v>
      </c>
      <c r="E960">
        <v>19</v>
      </c>
      <c r="F960" t="s">
        <v>125</v>
      </c>
      <c r="G960" t="s">
        <v>122</v>
      </c>
    </row>
    <row r="961" spans="1:7" hidden="1" x14ac:dyDescent="0.25">
      <c r="A961">
        <v>99</v>
      </c>
      <c r="B961">
        <v>8804</v>
      </c>
      <c r="C961">
        <v>0</v>
      </c>
      <c r="D961">
        <v>0</v>
      </c>
      <c r="E961">
        <v>19</v>
      </c>
      <c r="F961" t="s">
        <v>125</v>
      </c>
      <c r="G961" t="s">
        <v>122</v>
      </c>
    </row>
    <row r="962" spans="1:7" hidden="1" x14ac:dyDescent="0.25">
      <c r="A962">
        <v>99</v>
      </c>
      <c r="B962">
        <v>9032</v>
      </c>
      <c r="C962">
        <v>0</v>
      </c>
      <c r="D962">
        <v>0</v>
      </c>
      <c r="E962">
        <v>19</v>
      </c>
      <c r="F962" t="s">
        <v>125</v>
      </c>
      <c r="G962" t="s">
        <v>122</v>
      </c>
    </row>
    <row r="963" spans="1:7" hidden="1" x14ac:dyDescent="0.25">
      <c r="A963">
        <v>99</v>
      </c>
      <c r="B963">
        <v>9072</v>
      </c>
      <c r="C963">
        <v>0</v>
      </c>
      <c r="D963">
        <v>0</v>
      </c>
      <c r="E963">
        <v>19</v>
      </c>
      <c r="F963" t="s">
        <v>125</v>
      </c>
      <c r="G963" t="s">
        <v>122</v>
      </c>
    </row>
    <row r="964" spans="1:7" hidden="1" x14ac:dyDescent="0.25">
      <c r="A964">
        <v>99</v>
      </c>
      <c r="B964">
        <v>9176</v>
      </c>
      <c r="C964">
        <v>0</v>
      </c>
      <c r="D964">
        <v>0</v>
      </c>
      <c r="E964">
        <v>19</v>
      </c>
      <c r="F964" t="s">
        <v>125</v>
      </c>
      <c r="G964" t="s">
        <v>122</v>
      </c>
    </row>
    <row r="965" spans="1:7" hidden="1" x14ac:dyDescent="0.25">
      <c r="A965">
        <v>99</v>
      </c>
      <c r="B965">
        <v>9256</v>
      </c>
      <c r="C965">
        <v>0</v>
      </c>
      <c r="D965">
        <v>0</v>
      </c>
      <c r="E965">
        <v>13</v>
      </c>
      <c r="F965" t="s">
        <v>125</v>
      </c>
      <c r="G965" t="s">
        <v>122</v>
      </c>
    </row>
    <row r="966" spans="1:7" hidden="1" x14ac:dyDescent="0.25">
      <c r="A966">
        <v>99</v>
      </c>
      <c r="B966">
        <v>9272</v>
      </c>
      <c r="C966">
        <v>0</v>
      </c>
      <c r="D966">
        <v>0</v>
      </c>
      <c r="E966">
        <v>19</v>
      </c>
      <c r="F966" t="s">
        <v>125</v>
      </c>
      <c r="G966" t="s">
        <v>122</v>
      </c>
    </row>
    <row r="967" spans="1:7" hidden="1" x14ac:dyDescent="0.25">
      <c r="A967">
        <v>99</v>
      </c>
      <c r="B967">
        <v>9752</v>
      </c>
      <c r="C967">
        <v>0</v>
      </c>
      <c r="D967">
        <v>0</v>
      </c>
      <c r="E967">
        <v>19</v>
      </c>
      <c r="F967" t="s">
        <v>125</v>
      </c>
      <c r="G967" t="s">
        <v>122</v>
      </c>
    </row>
    <row r="968" spans="1:7" hidden="1" x14ac:dyDescent="0.25">
      <c r="A968">
        <v>99</v>
      </c>
      <c r="B968">
        <v>10364</v>
      </c>
      <c r="C968">
        <v>0</v>
      </c>
      <c r="D968">
        <v>0</v>
      </c>
      <c r="E968">
        <v>19</v>
      </c>
      <c r="F968" t="s">
        <v>125</v>
      </c>
      <c r="G968" t="s">
        <v>122</v>
      </c>
    </row>
    <row r="969" spans="1:7" hidden="1" x14ac:dyDescent="0.25">
      <c r="A969">
        <v>99</v>
      </c>
      <c r="B969">
        <v>10420</v>
      </c>
      <c r="C969">
        <v>0</v>
      </c>
      <c r="D969">
        <v>0</v>
      </c>
      <c r="E969">
        <v>19</v>
      </c>
      <c r="F969" t="s">
        <v>125</v>
      </c>
      <c r="G969" t="s">
        <v>122</v>
      </c>
    </row>
    <row r="970" spans="1:7" hidden="1" x14ac:dyDescent="0.25">
      <c r="A970">
        <v>50</v>
      </c>
      <c r="B970">
        <v>476</v>
      </c>
      <c r="C970">
        <v>0</v>
      </c>
      <c r="D970">
        <v>3</v>
      </c>
      <c r="E970">
        <v>1</v>
      </c>
      <c r="F970" t="s">
        <v>244</v>
      </c>
      <c r="G970" t="s">
        <v>180</v>
      </c>
    </row>
    <row r="971" spans="1:7" hidden="1" x14ac:dyDescent="0.25">
      <c r="A971">
        <v>50</v>
      </c>
      <c r="B971">
        <v>1264</v>
      </c>
      <c r="C971">
        <v>0</v>
      </c>
      <c r="D971">
        <v>3</v>
      </c>
      <c r="E971">
        <v>1</v>
      </c>
      <c r="F971" t="s">
        <v>244</v>
      </c>
      <c r="G971" t="s">
        <v>180</v>
      </c>
    </row>
    <row r="972" spans="1:7" hidden="1" x14ac:dyDescent="0.25">
      <c r="A972">
        <v>50</v>
      </c>
      <c r="B972">
        <v>4228</v>
      </c>
      <c r="C972">
        <v>0</v>
      </c>
      <c r="D972">
        <v>3</v>
      </c>
      <c r="E972">
        <v>1</v>
      </c>
      <c r="F972" t="s">
        <v>244</v>
      </c>
      <c r="G972" t="s">
        <v>180</v>
      </c>
    </row>
    <row r="973" spans="1:7" hidden="1" x14ac:dyDescent="0.25">
      <c r="A973">
        <v>50</v>
      </c>
      <c r="B973">
        <v>5004</v>
      </c>
      <c r="C973">
        <v>0</v>
      </c>
      <c r="D973">
        <v>3</v>
      </c>
      <c r="E973">
        <v>1</v>
      </c>
      <c r="F973" t="s">
        <v>244</v>
      </c>
      <c r="G973" t="s">
        <v>180</v>
      </c>
    </row>
    <row r="974" spans="1:7" hidden="1" x14ac:dyDescent="0.25">
      <c r="A974">
        <v>50</v>
      </c>
      <c r="B974">
        <v>7283</v>
      </c>
      <c r="C974">
        <v>0</v>
      </c>
      <c r="D974">
        <v>3</v>
      </c>
      <c r="E974">
        <v>1</v>
      </c>
      <c r="F974" t="s">
        <v>244</v>
      </c>
      <c r="G974" t="s">
        <v>180</v>
      </c>
    </row>
    <row r="975" spans="1:7" hidden="1" x14ac:dyDescent="0.25">
      <c r="A975">
        <v>50</v>
      </c>
      <c r="B975">
        <v>7284</v>
      </c>
      <c r="C975">
        <v>0</v>
      </c>
      <c r="D975">
        <v>3</v>
      </c>
      <c r="E975">
        <v>1</v>
      </c>
      <c r="F975" t="s">
        <v>244</v>
      </c>
      <c r="G975" t="s">
        <v>180</v>
      </c>
    </row>
    <row r="976" spans="1:7" hidden="1" x14ac:dyDescent="0.25">
      <c r="A976">
        <v>50</v>
      </c>
      <c r="B976">
        <v>9356</v>
      </c>
      <c r="C976">
        <v>0</v>
      </c>
      <c r="D976">
        <v>3</v>
      </c>
      <c r="E976">
        <v>1</v>
      </c>
      <c r="F976" t="s">
        <v>244</v>
      </c>
      <c r="G976" t="s">
        <v>180</v>
      </c>
    </row>
    <row r="977" spans="1:7" hidden="1" x14ac:dyDescent="0.25">
      <c r="A977">
        <v>50</v>
      </c>
      <c r="B977">
        <v>10592</v>
      </c>
      <c r="C977">
        <v>0</v>
      </c>
      <c r="D977">
        <v>3</v>
      </c>
      <c r="E977">
        <v>1</v>
      </c>
      <c r="F977" t="s">
        <v>244</v>
      </c>
      <c r="G977" t="s">
        <v>180</v>
      </c>
    </row>
    <row r="978" spans="1:7" hidden="1" x14ac:dyDescent="0.25">
      <c r="A978">
        <v>99</v>
      </c>
      <c r="B978">
        <v>2168</v>
      </c>
      <c r="C978">
        <v>0</v>
      </c>
      <c r="D978">
        <v>3</v>
      </c>
      <c r="E978">
        <v>1</v>
      </c>
      <c r="F978" t="s">
        <v>244</v>
      </c>
      <c r="G978" t="s">
        <v>180</v>
      </c>
    </row>
    <row r="979" spans="1:7" hidden="1" x14ac:dyDescent="0.25">
      <c r="A979">
        <v>99</v>
      </c>
      <c r="B979">
        <v>2472</v>
      </c>
      <c r="C979">
        <v>0</v>
      </c>
      <c r="D979">
        <v>3</v>
      </c>
      <c r="E979">
        <v>1</v>
      </c>
      <c r="F979" t="s">
        <v>244</v>
      </c>
      <c r="G979" t="s">
        <v>180</v>
      </c>
    </row>
    <row r="980" spans="1:7" hidden="1" x14ac:dyDescent="0.25">
      <c r="A980">
        <v>99</v>
      </c>
      <c r="B980">
        <v>3056</v>
      </c>
      <c r="C980">
        <v>0</v>
      </c>
      <c r="D980">
        <v>3</v>
      </c>
      <c r="E980">
        <v>1</v>
      </c>
      <c r="F980" t="s">
        <v>244</v>
      </c>
      <c r="G980" t="s">
        <v>180</v>
      </c>
    </row>
    <row r="981" spans="1:7" hidden="1" x14ac:dyDescent="0.25">
      <c r="A981">
        <v>99</v>
      </c>
      <c r="B981">
        <v>3100</v>
      </c>
      <c r="C981">
        <v>0</v>
      </c>
      <c r="D981">
        <v>3</v>
      </c>
      <c r="E981">
        <v>1</v>
      </c>
      <c r="F981" t="s">
        <v>244</v>
      </c>
      <c r="G981" t="s">
        <v>180</v>
      </c>
    </row>
    <row r="982" spans="1:7" x14ac:dyDescent="0.25">
      <c r="A982">
        <v>99</v>
      </c>
      <c r="B982">
        <v>4124</v>
      </c>
      <c r="C982">
        <v>0</v>
      </c>
      <c r="D982">
        <v>3</v>
      </c>
      <c r="E982">
        <v>1</v>
      </c>
      <c r="F982" t="s">
        <v>244</v>
      </c>
      <c r="G982" t="s">
        <v>180</v>
      </c>
    </row>
    <row r="983" spans="1:7" hidden="1" x14ac:dyDescent="0.25">
      <c r="A983">
        <v>99</v>
      </c>
      <c r="B983">
        <v>5932</v>
      </c>
      <c r="C983">
        <v>0</v>
      </c>
      <c r="D983">
        <v>3</v>
      </c>
      <c r="E983">
        <v>1</v>
      </c>
      <c r="F983" t="s">
        <v>244</v>
      </c>
      <c r="G983" t="s">
        <v>180</v>
      </c>
    </row>
    <row r="984" spans="1:7" hidden="1" x14ac:dyDescent="0.25">
      <c r="A984">
        <v>99</v>
      </c>
      <c r="B984">
        <v>5992</v>
      </c>
      <c r="C984">
        <v>0</v>
      </c>
      <c r="D984">
        <v>3</v>
      </c>
      <c r="E984">
        <v>1</v>
      </c>
      <c r="F984" t="s">
        <v>244</v>
      </c>
      <c r="G984" t="s">
        <v>180</v>
      </c>
    </row>
    <row r="985" spans="1:7" hidden="1" x14ac:dyDescent="0.25">
      <c r="A985">
        <v>99</v>
      </c>
      <c r="B985">
        <v>7260</v>
      </c>
      <c r="C985">
        <v>0</v>
      </c>
      <c r="D985">
        <v>3</v>
      </c>
      <c r="E985">
        <v>1</v>
      </c>
      <c r="F985" t="s">
        <v>244</v>
      </c>
      <c r="G985" t="s">
        <v>180</v>
      </c>
    </row>
    <row r="986" spans="1:7" hidden="1" x14ac:dyDescent="0.25">
      <c r="A986">
        <v>99</v>
      </c>
      <c r="B986">
        <v>8804</v>
      </c>
      <c r="C986">
        <v>0</v>
      </c>
      <c r="D986">
        <v>3</v>
      </c>
      <c r="E986">
        <v>1</v>
      </c>
      <c r="F986" t="s">
        <v>244</v>
      </c>
      <c r="G986" t="s">
        <v>180</v>
      </c>
    </row>
    <row r="987" spans="1:7" hidden="1" x14ac:dyDescent="0.25">
      <c r="A987">
        <v>99</v>
      </c>
      <c r="B987">
        <v>9176</v>
      </c>
      <c r="C987">
        <v>0</v>
      </c>
      <c r="D987">
        <v>3</v>
      </c>
      <c r="E987">
        <v>1</v>
      </c>
      <c r="F987" t="s">
        <v>244</v>
      </c>
      <c r="G987" t="s">
        <v>180</v>
      </c>
    </row>
    <row r="988" spans="1:7" hidden="1" x14ac:dyDescent="0.25">
      <c r="A988">
        <v>99</v>
      </c>
      <c r="B988">
        <v>9256</v>
      </c>
      <c r="C988">
        <v>0</v>
      </c>
      <c r="D988">
        <v>3</v>
      </c>
      <c r="E988">
        <v>1</v>
      </c>
      <c r="F988" t="s">
        <v>244</v>
      </c>
      <c r="G988" t="s">
        <v>180</v>
      </c>
    </row>
    <row r="989" spans="1:7" hidden="1" x14ac:dyDescent="0.25">
      <c r="A989">
        <v>99</v>
      </c>
      <c r="B989">
        <v>9752</v>
      </c>
      <c r="C989">
        <v>0</v>
      </c>
      <c r="D989">
        <v>3</v>
      </c>
      <c r="E989">
        <v>1</v>
      </c>
      <c r="F989" t="s">
        <v>244</v>
      </c>
      <c r="G989" t="s">
        <v>180</v>
      </c>
    </row>
    <row r="990" spans="1:7" hidden="1" x14ac:dyDescent="0.25">
      <c r="A990">
        <v>99</v>
      </c>
      <c r="B990">
        <v>10364</v>
      </c>
      <c r="C990">
        <v>0</v>
      </c>
      <c r="D990">
        <v>3</v>
      </c>
      <c r="E990">
        <v>1</v>
      </c>
      <c r="F990" t="s">
        <v>244</v>
      </c>
      <c r="G990" t="s">
        <v>180</v>
      </c>
    </row>
    <row r="991" spans="1:7" hidden="1" x14ac:dyDescent="0.25">
      <c r="A991">
        <v>50</v>
      </c>
      <c r="B991">
        <v>476</v>
      </c>
      <c r="C991">
        <v>0</v>
      </c>
      <c r="D991">
        <v>3</v>
      </c>
      <c r="E991">
        <v>2</v>
      </c>
      <c r="F991" t="s">
        <v>245</v>
      </c>
      <c r="G991" t="s">
        <v>180</v>
      </c>
    </row>
    <row r="992" spans="1:7" hidden="1" x14ac:dyDescent="0.25">
      <c r="A992">
        <v>50</v>
      </c>
      <c r="B992">
        <v>1264</v>
      </c>
      <c r="C992">
        <v>0</v>
      </c>
      <c r="D992">
        <v>3</v>
      </c>
      <c r="E992">
        <v>2</v>
      </c>
      <c r="F992" t="s">
        <v>245</v>
      </c>
      <c r="G992" t="s">
        <v>180</v>
      </c>
    </row>
    <row r="993" spans="1:7" hidden="1" x14ac:dyDescent="0.25">
      <c r="A993">
        <v>50</v>
      </c>
      <c r="B993">
        <v>4228</v>
      </c>
      <c r="C993">
        <v>0</v>
      </c>
      <c r="D993">
        <v>3</v>
      </c>
      <c r="E993">
        <v>2</v>
      </c>
      <c r="F993" t="s">
        <v>245</v>
      </c>
      <c r="G993" t="s">
        <v>180</v>
      </c>
    </row>
    <row r="994" spans="1:7" hidden="1" x14ac:dyDescent="0.25">
      <c r="A994">
        <v>50</v>
      </c>
      <c r="B994">
        <v>5004</v>
      </c>
      <c r="C994">
        <v>0</v>
      </c>
      <c r="D994">
        <v>3</v>
      </c>
      <c r="E994">
        <v>2</v>
      </c>
      <c r="F994" t="s">
        <v>245</v>
      </c>
      <c r="G994" t="s">
        <v>180</v>
      </c>
    </row>
    <row r="995" spans="1:7" hidden="1" x14ac:dyDescent="0.25">
      <c r="A995">
        <v>50</v>
      </c>
      <c r="B995">
        <v>7283</v>
      </c>
      <c r="C995">
        <v>0</v>
      </c>
      <c r="D995">
        <v>3</v>
      </c>
      <c r="E995">
        <v>2</v>
      </c>
      <c r="F995" t="s">
        <v>245</v>
      </c>
      <c r="G995" t="s">
        <v>180</v>
      </c>
    </row>
    <row r="996" spans="1:7" hidden="1" x14ac:dyDescent="0.25">
      <c r="A996">
        <v>50</v>
      </c>
      <c r="B996">
        <v>7284</v>
      </c>
      <c r="C996">
        <v>0</v>
      </c>
      <c r="D996">
        <v>3</v>
      </c>
      <c r="E996">
        <v>2</v>
      </c>
      <c r="F996" t="s">
        <v>245</v>
      </c>
      <c r="G996" t="s">
        <v>180</v>
      </c>
    </row>
    <row r="997" spans="1:7" hidden="1" x14ac:dyDescent="0.25">
      <c r="A997">
        <v>50</v>
      </c>
      <c r="B997">
        <v>9356</v>
      </c>
      <c r="C997">
        <v>0</v>
      </c>
      <c r="D997">
        <v>3</v>
      </c>
      <c r="E997">
        <v>2</v>
      </c>
      <c r="F997" t="s">
        <v>245</v>
      </c>
      <c r="G997" t="s">
        <v>180</v>
      </c>
    </row>
    <row r="998" spans="1:7" hidden="1" x14ac:dyDescent="0.25">
      <c r="A998">
        <v>50</v>
      </c>
      <c r="B998">
        <v>10592</v>
      </c>
      <c r="C998">
        <v>0</v>
      </c>
      <c r="D998">
        <v>3</v>
      </c>
      <c r="E998">
        <v>2</v>
      </c>
      <c r="F998" t="s">
        <v>245</v>
      </c>
      <c r="G998" t="s">
        <v>180</v>
      </c>
    </row>
    <row r="999" spans="1:7" hidden="1" x14ac:dyDescent="0.25">
      <c r="A999">
        <v>99</v>
      </c>
      <c r="B999">
        <v>2168</v>
      </c>
      <c r="C999">
        <v>0</v>
      </c>
      <c r="D999">
        <v>3</v>
      </c>
      <c r="E999">
        <v>2</v>
      </c>
      <c r="F999" t="s">
        <v>245</v>
      </c>
      <c r="G999" t="s">
        <v>180</v>
      </c>
    </row>
    <row r="1000" spans="1:7" hidden="1" x14ac:dyDescent="0.25">
      <c r="A1000">
        <v>99</v>
      </c>
      <c r="B1000">
        <v>2472</v>
      </c>
      <c r="C1000">
        <v>0</v>
      </c>
      <c r="D1000">
        <v>3</v>
      </c>
      <c r="E1000">
        <v>2</v>
      </c>
      <c r="F1000" t="s">
        <v>245</v>
      </c>
      <c r="G1000" t="s">
        <v>180</v>
      </c>
    </row>
    <row r="1001" spans="1:7" hidden="1" x14ac:dyDescent="0.25">
      <c r="A1001">
        <v>99</v>
      </c>
      <c r="B1001">
        <v>3056</v>
      </c>
      <c r="C1001">
        <v>0</v>
      </c>
      <c r="D1001">
        <v>3</v>
      </c>
      <c r="E1001">
        <v>2</v>
      </c>
      <c r="F1001" t="s">
        <v>245</v>
      </c>
      <c r="G1001" t="s">
        <v>180</v>
      </c>
    </row>
    <row r="1002" spans="1:7" hidden="1" x14ac:dyDescent="0.25">
      <c r="A1002">
        <v>99</v>
      </c>
      <c r="B1002">
        <v>3100</v>
      </c>
      <c r="C1002">
        <v>0</v>
      </c>
      <c r="D1002">
        <v>3</v>
      </c>
      <c r="E1002">
        <v>2</v>
      </c>
      <c r="F1002" t="s">
        <v>245</v>
      </c>
      <c r="G1002" t="s">
        <v>180</v>
      </c>
    </row>
    <row r="1003" spans="1:7" x14ac:dyDescent="0.25">
      <c r="A1003">
        <v>99</v>
      </c>
      <c r="B1003">
        <v>4124</v>
      </c>
      <c r="C1003">
        <v>0</v>
      </c>
      <c r="D1003">
        <v>3</v>
      </c>
      <c r="E1003">
        <v>2</v>
      </c>
      <c r="F1003" t="s">
        <v>245</v>
      </c>
      <c r="G1003" t="s">
        <v>180</v>
      </c>
    </row>
    <row r="1004" spans="1:7" hidden="1" x14ac:dyDescent="0.25">
      <c r="A1004">
        <v>99</v>
      </c>
      <c r="B1004">
        <v>5932</v>
      </c>
      <c r="C1004">
        <v>0</v>
      </c>
      <c r="D1004">
        <v>3</v>
      </c>
      <c r="E1004">
        <v>2</v>
      </c>
      <c r="F1004" t="s">
        <v>245</v>
      </c>
      <c r="G1004" t="s">
        <v>180</v>
      </c>
    </row>
    <row r="1005" spans="1:7" hidden="1" x14ac:dyDescent="0.25">
      <c r="A1005">
        <v>99</v>
      </c>
      <c r="B1005">
        <v>5992</v>
      </c>
      <c r="C1005">
        <v>0</v>
      </c>
      <c r="D1005">
        <v>3</v>
      </c>
      <c r="E1005">
        <v>2</v>
      </c>
      <c r="F1005" t="s">
        <v>245</v>
      </c>
      <c r="G1005" t="s">
        <v>180</v>
      </c>
    </row>
    <row r="1006" spans="1:7" hidden="1" x14ac:dyDescent="0.25">
      <c r="A1006">
        <v>99</v>
      </c>
      <c r="B1006">
        <v>7260</v>
      </c>
      <c r="C1006">
        <v>0</v>
      </c>
      <c r="D1006">
        <v>3</v>
      </c>
      <c r="E1006">
        <v>2</v>
      </c>
      <c r="F1006" t="s">
        <v>245</v>
      </c>
      <c r="G1006" t="s">
        <v>180</v>
      </c>
    </row>
    <row r="1007" spans="1:7" hidden="1" x14ac:dyDescent="0.25">
      <c r="A1007">
        <v>99</v>
      </c>
      <c r="B1007">
        <v>8804</v>
      </c>
      <c r="C1007">
        <v>0</v>
      </c>
      <c r="D1007">
        <v>3</v>
      </c>
      <c r="E1007">
        <v>2</v>
      </c>
      <c r="F1007" t="s">
        <v>245</v>
      </c>
      <c r="G1007" t="s">
        <v>180</v>
      </c>
    </row>
    <row r="1008" spans="1:7" hidden="1" x14ac:dyDescent="0.25">
      <c r="A1008">
        <v>99</v>
      </c>
      <c r="B1008">
        <v>9176</v>
      </c>
      <c r="C1008">
        <v>0</v>
      </c>
      <c r="D1008">
        <v>3</v>
      </c>
      <c r="E1008">
        <v>2</v>
      </c>
      <c r="F1008" t="s">
        <v>245</v>
      </c>
      <c r="G1008" t="s">
        <v>180</v>
      </c>
    </row>
    <row r="1009" spans="1:7" hidden="1" x14ac:dyDescent="0.25">
      <c r="A1009">
        <v>99</v>
      </c>
      <c r="B1009">
        <v>9256</v>
      </c>
      <c r="C1009">
        <v>0</v>
      </c>
      <c r="D1009">
        <v>3</v>
      </c>
      <c r="E1009">
        <v>2</v>
      </c>
      <c r="F1009" t="s">
        <v>245</v>
      </c>
      <c r="G1009" t="s">
        <v>180</v>
      </c>
    </row>
    <row r="1010" spans="1:7" hidden="1" x14ac:dyDescent="0.25">
      <c r="A1010">
        <v>99</v>
      </c>
      <c r="B1010">
        <v>9752</v>
      </c>
      <c r="C1010">
        <v>0</v>
      </c>
      <c r="D1010">
        <v>3</v>
      </c>
      <c r="E1010">
        <v>2</v>
      </c>
      <c r="F1010" t="s">
        <v>245</v>
      </c>
      <c r="G1010" t="s">
        <v>180</v>
      </c>
    </row>
    <row r="1011" spans="1:7" hidden="1" x14ac:dyDescent="0.25">
      <c r="A1011">
        <v>99</v>
      </c>
      <c r="B1011">
        <v>10364</v>
      </c>
      <c r="C1011">
        <v>0</v>
      </c>
      <c r="D1011">
        <v>3</v>
      </c>
      <c r="E1011">
        <v>2</v>
      </c>
      <c r="F1011" t="s">
        <v>245</v>
      </c>
      <c r="G1011" t="s">
        <v>180</v>
      </c>
    </row>
    <row r="1012" spans="1:7" hidden="1" x14ac:dyDescent="0.25">
      <c r="A1012">
        <v>50</v>
      </c>
      <c r="B1012">
        <v>476</v>
      </c>
      <c r="C1012">
        <v>0</v>
      </c>
      <c r="D1012">
        <v>3</v>
      </c>
      <c r="E1012">
        <v>0</v>
      </c>
      <c r="F1012" t="s">
        <v>243</v>
      </c>
      <c r="G1012" t="s">
        <v>179</v>
      </c>
    </row>
    <row r="1013" spans="1:7" hidden="1" x14ac:dyDescent="0.25">
      <c r="A1013">
        <v>50</v>
      </c>
      <c r="B1013">
        <v>1264</v>
      </c>
      <c r="C1013">
        <v>0</v>
      </c>
      <c r="D1013">
        <v>3</v>
      </c>
      <c r="E1013">
        <v>0</v>
      </c>
      <c r="F1013" t="s">
        <v>243</v>
      </c>
      <c r="G1013" t="s">
        <v>179</v>
      </c>
    </row>
    <row r="1014" spans="1:7" hidden="1" x14ac:dyDescent="0.25">
      <c r="A1014">
        <v>50</v>
      </c>
      <c r="B1014">
        <v>4228</v>
      </c>
      <c r="C1014">
        <v>0</v>
      </c>
      <c r="D1014">
        <v>3</v>
      </c>
      <c r="E1014">
        <v>0</v>
      </c>
      <c r="F1014" t="s">
        <v>243</v>
      </c>
      <c r="G1014" t="s">
        <v>179</v>
      </c>
    </row>
    <row r="1015" spans="1:7" hidden="1" x14ac:dyDescent="0.25">
      <c r="A1015">
        <v>50</v>
      </c>
      <c r="B1015">
        <v>5004</v>
      </c>
      <c r="C1015">
        <v>0</v>
      </c>
      <c r="D1015">
        <v>3</v>
      </c>
      <c r="E1015">
        <v>0</v>
      </c>
      <c r="F1015" t="s">
        <v>243</v>
      </c>
      <c r="G1015" t="s">
        <v>179</v>
      </c>
    </row>
    <row r="1016" spans="1:7" hidden="1" x14ac:dyDescent="0.25">
      <c r="A1016">
        <v>50</v>
      </c>
      <c r="B1016">
        <v>7283</v>
      </c>
      <c r="C1016">
        <v>0</v>
      </c>
      <c r="D1016">
        <v>3</v>
      </c>
      <c r="E1016">
        <v>0</v>
      </c>
      <c r="F1016" t="s">
        <v>243</v>
      </c>
      <c r="G1016" t="s">
        <v>179</v>
      </c>
    </row>
    <row r="1017" spans="1:7" hidden="1" x14ac:dyDescent="0.25">
      <c r="A1017">
        <v>50</v>
      </c>
      <c r="B1017">
        <v>7284</v>
      </c>
      <c r="C1017">
        <v>0</v>
      </c>
      <c r="D1017">
        <v>3</v>
      </c>
      <c r="E1017">
        <v>0</v>
      </c>
      <c r="F1017" t="s">
        <v>243</v>
      </c>
      <c r="G1017" t="s">
        <v>179</v>
      </c>
    </row>
    <row r="1018" spans="1:7" hidden="1" x14ac:dyDescent="0.25">
      <c r="A1018">
        <v>50</v>
      </c>
      <c r="B1018">
        <v>9356</v>
      </c>
      <c r="C1018">
        <v>0</v>
      </c>
      <c r="D1018">
        <v>3</v>
      </c>
      <c r="E1018">
        <v>0</v>
      </c>
      <c r="F1018" t="s">
        <v>243</v>
      </c>
      <c r="G1018" t="s">
        <v>179</v>
      </c>
    </row>
    <row r="1019" spans="1:7" hidden="1" x14ac:dyDescent="0.25">
      <c r="A1019">
        <v>50</v>
      </c>
      <c r="B1019">
        <v>10592</v>
      </c>
      <c r="C1019">
        <v>0</v>
      </c>
      <c r="D1019">
        <v>3</v>
      </c>
      <c r="E1019">
        <v>0</v>
      </c>
      <c r="F1019" t="s">
        <v>243</v>
      </c>
      <c r="G1019" t="s">
        <v>179</v>
      </c>
    </row>
    <row r="1020" spans="1:7" hidden="1" x14ac:dyDescent="0.25">
      <c r="A1020">
        <v>99</v>
      </c>
      <c r="B1020">
        <v>2168</v>
      </c>
      <c r="C1020">
        <v>0</v>
      </c>
      <c r="D1020">
        <v>3</v>
      </c>
      <c r="E1020">
        <v>0</v>
      </c>
      <c r="F1020" t="s">
        <v>243</v>
      </c>
      <c r="G1020" t="s">
        <v>179</v>
      </c>
    </row>
    <row r="1021" spans="1:7" hidden="1" x14ac:dyDescent="0.25">
      <c r="A1021">
        <v>99</v>
      </c>
      <c r="B1021">
        <v>2472</v>
      </c>
      <c r="C1021">
        <v>0</v>
      </c>
      <c r="D1021">
        <v>3</v>
      </c>
      <c r="E1021">
        <v>0</v>
      </c>
      <c r="F1021" t="s">
        <v>243</v>
      </c>
      <c r="G1021" t="s">
        <v>179</v>
      </c>
    </row>
    <row r="1022" spans="1:7" hidden="1" x14ac:dyDescent="0.25">
      <c r="A1022">
        <v>99</v>
      </c>
      <c r="B1022">
        <v>3056</v>
      </c>
      <c r="C1022">
        <v>0</v>
      </c>
      <c r="D1022">
        <v>3</v>
      </c>
      <c r="E1022">
        <v>0</v>
      </c>
      <c r="F1022" t="s">
        <v>243</v>
      </c>
      <c r="G1022" t="s">
        <v>179</v>
      </c>
    </row>
    <row r="1023" spans="1:7" hidden="1" x14ac:dyDescent="0.25">
      <c r="A1023">
        <v>99</v>
      </c>
      <c r="B1023">
        <v>3100</v>
      </c>
      <c r="C1023">
        <v>0</v>
      </c>
      <c r="D1023">
        <v>3</v>
      </c>
      <c r="E1023">
        <v>0</v>
      </c>
      <c r="F1023" t="s">
        <v>243</v>
      </c>
      <c r="G1023" t="s">
        <v>179</v>
      </c>
    </row>
    <row r="1024" spans="1:7" x14ac:dyDescent="0.25">
      <c r="A1024">
        <v>99</v>
      </c>
      <c r="B1024">
        <v>4124</v>
      </c>
      <c r="C1024">
        <v>0</v>
      </c>
      <c r="D1024">
        <v>3</v>
      </c>
      <c r="E1024">
        <v>0</v>
      </c>
      <c r="F1024" t="s">
        <v>243</v>
      </c>
      <c r="G1024" t="s">
        <v>179</v>
      </c>
    </row>
    <row r="1025" spans="1:7" hidden="1" x14ac:dyDescent="0.25">
      <c r="A1025">
        <v>99</v>
      </c>
      <c r="B1025">
        <v>5932</v>
      </c>
      <c r="C1025">
        <v>0</v>
      </c>
      <c r="D1025">
        <v>3</v>
      </c>
      <c r="E1025">
        <v>0</v>
      </c>
      <c r="F1025" t="s">
        <v>243</v>
      </c>
      <c r="G1025" t="s">
        <v>179</v>
      </c>
    </row>
    <row r="1026" spans="1:7" hidden="1" x14ac:dyDescent="0.25">
      <c r="A1026">
        <v>99</v>
      </c>
      <c r="B1026">
        <v>5992</v>
      </c>
      <c r="C1026">
        <v>0</v>
      </c>
      <c r="D1026">
        <v>3</v>
      </c>
      <c r="E1026">
        <v>0</v>
      </c>
      <c r="F1026" t="s">
        <v>243</v>
      </c>
      <c r="G1026" t="s">
        <v>179</v>
      </c>
    </row>
    <row r="1027" spans="1:7" hidden="1" x14ac:dyDescent="0.25">
      <c r="A1027">
        <v>99</v>
      </c>
      <c r="B1027">
        <v>7260</v>
      </c>
      <c r="C1027">
        <v>0</v>
      </c>
      <c r="D1027">
        <v>3</v>
      </c>
      <c r="E1027">
        <v>0</v>
      </c>
      <c r="F1027" t="s">
        <v>243</v>
      </c>
      <c r="G1027" t="s">
        <v>179</v>
      </c>
    </row>
    <row r="1028" spans="1:7" hidden="1" x14ac:dyDescent="0.25">
      <c r="A1028">
        <v>99</v>
      </c>
      <c r="B1028">
        <v>8804</v>
      </c>
      <c r="C1028">
        <v>0</v>
      </c>
      <c r="D1028">
        <v>3</v>
      </c>
      <c r="E1028">
        <v>0</v>
      </c>
      <c r="F1028" t="s">
        <v>243</v>
      </c>
      <c r="G1028" t="s">
        <v>179</v>
      </c>
    </row>
    <row r="1029" spans="1:7" hidden="1" x14ac:dyDescent="0.25">
      <c r="A1029">
        <v>99</v>
      </c>
      <c r="B1029">
        <v>9176</v>
      </c>
      <c r="C1029">
        <v>0</v>
      </c>
      <c r="D1029">
        <v>3</v>
      </c>
      <c r="E1029">
        <v>0</v>
      </c>
      <c r="F1029" t="s">
        <v>243</v>
      </c>
      <c r="G1029" t="s">
        <v>179</v>
      </c>
    </row>
    <row r="1030" spans="1:7" hidden="1" x14ac:dyDescent="0.25">
      <c r="A1030">
        <v>99</v>
      </c>
      <c r="B1030">
        <v>9256</v>
      </c>
      <c r="C1030">
        <v>0</v>
      </c>
      <c r="D1030">
        <v>3</v>
      </c>
      <c r="E1030">
        <v>0</v>
      </c>
      <c r="F1030" t="s">
        <v>243</v>
      </c>
      <c r="G1030" t="s">
        <v>179</v>
      </c>
    </row>
    <row r="1031" spans="1:7" hidden="1" x14ac:dyDescent="0.25">
      <c r="A1031">
        <v>99</v>
      </c>
      <c r="B1031">
        <v>9752</v>
      </c>
      <c r="C1031">
        <v>0</v>
      </c>
      <c r="D1031">
        <v>3</v>
      </c>
      <c r="E1031">
        <v>0</v>
      </c>
      <c r="F1031" t="s">
        <v>243</v>
      </c>
      <c r="G1031" t="s">
        <v>179</v>
      </c>
    </row>
    <row r="1032" spans="1:7" hidden="1" x14ac:dyDescent="0.25">
      <c r="A1032">
        <v>99</v>
      </c>
      <c r="B1032">
        <v>10364</v>
      </c>
      <c r="C1032">
        <v>0</v>
      </c>
      <c r="D1032">
        <v>3</v>
      </c>
      <c r="E1032">
        <v>0</v>
      </c>
      <c r="F1032" t="s">
        <v>243</v>
      </c>
      <c r="G1032" t="s">
        <v>179</v>
      </c>
    </row>
    <row r="1033" spans="1:7" hidden="1" x14ac:dyDescent="0.25">
      <c r="A1033">
        <v>50</v>
      </c>
      <c r="B1033">
        <v>476</v>
      </c>
      <c r="C1033">
        <v>0</v>
      </c>
      <c r="D1033">
        <v>3</v>
      </c>
      <c r="E1033">
        <v>4</v>
      </c>
      <c r="F1033" t="s">
        <v>247</v>
      </c>
      <c r="G1033" t="s">
        <v>333</v>
      </c>
    </row>
    <row r="1034" spans="1:7" hidden="1" x14ac:dyDescent="0.25">
      <c r="A1034">
        <v>50</v>
      </c>
      <c r="B1034">
        <v>1264</v>
      </c>
      <c r="C1034">
        <v>0</v>
      </c>
      <c r="D1034">
        <v>3</v>
      </c>
      <c r="E1034">
        <v>4</v>
      </c>
      <c r="F1034" t="s">
        <v>247</v>
      </c>
      <c r="G1034" t="s">
        <v>333</v>
      </c>
    </row>
    <row r="1035" spans="1:7" hidden="1" x14ac:dyDescent="0.25">
      <c r="A1035">
        <v>50</v>
      </c>
      <c r="B1035">
        <v>4228</v>
      </c>
      <c r="C1035">
        <v>0</v>
      </c>
      <c r="D1035">
        <v>3</v>
      </c>
      <c r="E1035">
        <v>4</v>
      </c>
      <c r="F1035" t="s">
        <v>247</v>
      </c>
      <c r="G1035" t="s">
        <v>333</v>
      </c>
    </row>
    <row r="1036" spans="1:7" hidden="1" x14ac:dyDescent="0.25">
      <c r="A1036">
        <v>50</v>
      </c>
      <c r="B1036">
        <v>5004</v>
      </c>
      <c r="C1036">
        <v>0</v>
      </c>
      <c r="D1036">
        <v>3</v>
      </c>
      <c r="E1036">
        <v>4</v>
      </c>
      <c r="F1036" t="s">
        <v>247</v>
      </c>
      <c r="G1036" t="s">
        <v>333</v>
      </c>
    </row>
    <row r="1037" spans="1:7" hidden="1" x14ac:dyDescent="0.25">
      <c r="A1037">
        <v>50</v>
      </c>
      <c r="B1037">
        <v>7283</v>
      </c>
      <c r="C1037">
        <v>0</v>
      </c>
      <c r="D1037">
        <v>3</v>
      </c>
      <c r="E1037">
        <v>4</v>
      </c>
      <c r="F1037" t="s">
        <v>247</v>
      </c>
      <c r="G1037" t="s">
        <v>333</v>
      </c>
    </row>
    <row r="1038" spans="1:7" hidden="1" x14ac:dyDescent="0.25">
      <c r="A1038">
        <v>50</v>
      </c>
      <c r="B1038">
        <v>7284</v>
      </c>
      <c r="C1038">
        <v>0</v>
      </c>
      <c r="D1038">
        <v>3</v>
      </c>
      <c r="E1038">
        <v>4</v>
      </c>
      <c r="F1038" t="s">
        <v>247</v>
      </c>
      <c r="G1038" t="s">
        <v>333</v>
      </c>
    </row>
    <row r="1039" spans="1:7" hidden="1" x14ac:dyDescent="0.25">
      <c r="A1039">
        <v>50</v>
      </c>
      <c r="B1039">
        <v>9356</v>
      </c>
      <c r="C1039">
        <v>0</v>
      </c>
      <c r="D1039">
        <v>3</v>
      </c>
      <c r="E1039">
        <v>4</v>
      </c>
      <c r="F1039" t="s">
        <v>247</v>
      </c>
      <c r="G1039" t="s">
        <v>333</v>
      </c>
    </row>
    <row r="1040" spans="1:7" hidden="1" x14ac:dyDescent="0.25">
      <c r="A1040">
        <v>50</v>
      </c>
      <c r="B1040">
        <v>10592</v>
      </c>
      <c r="C1040">
        <v>0</v>
      </c>
      <c r="D1040">
        <v>3</v>
      </c>
      <c r="E1040">
        <v>4</v>
      </c>
      <c r="F1040" t="s">
        <v>247</v>
      </c>
      <c r="G1040" t="s">
        <v>333</v>
      </c>
    </row>
    <row r="1041" spans="1:7" hidden="1" x14ac:dyDescent="0.25">
      <c r="A1041">
        <v>99</v>
      </c>
      <c r="B1041">
        <v>2168</v>
      </c>
      <c r="C1041">
        <v>0</v>
      </c>
      <c r="D1041">
        <v>3</v>
      </c>
      <c r="E1041">
        <v>4</v>
      </c>
      <c r="F1041" t="s">
        <v>247</v>
      </c>
      <c r="G1041" t="s">
        <v>182</v>
      </c>
    </row>
    <row r="1042" spans="1:7" hidden="1" x14ac:dyDescent="0.25">
      <c r="A1042">
        <v>99</v>
      </c>
      <c r="B1042">
        <v>2472</v>
      </c>
      <c r="C1042">
        <v>0</v>
      </c>
      <c r="D1042">
        <v>3</v>
      </c>
      <c r="E1042">
        <v>4</v>
      </c>
      <c r="F1042" t="s">
        <v>247</v>
      </c>
      <c r="G1042" t="s">
        <v>182</v>
      </c>
    </row>
    <row r="1043" spans="1:7" hidden="1" x14ac:dyDescent="0.25">
      <c r="A1043">
        <v>99</v>
      </c>
      <c r="B1043">
        <v>3056</v>
      </c>
      <c r="C1043">
        <v>0</v>
      </c>
      <c r="D1043">
        <v>3</v>
      </c>
      <c r="E1043">
        <v>4</v>
      </c>
      <c r="F1043" t="s">
        <v>247</v>
      </c>
      <c r="G1043" t="s">
        <v>182</v>
      </c>
    </row>
    <row r="1044" spans="1:7" hidden="1" x14ac:dyDescent="0.25">
      <c r="A1044">
        <v>99</v>
      </c>
      <c r="B1044">
        <v>3100</v>
      </c>
      <c r="C1044">
        <v>0</v>
      </c>
      <c r="D1044">
        <v>3</v>
      </c>
      <c r="E1044">
        <v>4</v>
      </c>
      <c r="F1044" t="s">
        <v>247</v>
      </c>
      <c r="G1044" t="s">
        <v>182</v>
      </c>
    </row>
    <row r="1045" spans="1:7" x14ac:dyDescent="0.25">
      <c r="A1045">
        <v>99</v>
      </c>
      <c r="B1045">
        <v>4124</v>
      </c>
      <c r="C1045">
        <v>0</v>
      </c>
      <c r="D1045">
        <v>3</v>
      </c>
      <c r="E1045">
        <v>4</v>
      </c>
      <c r="F1045" t="s">
        <v>247</v>
      </c>
      <c r="G1045" t="s">
        <v>182</v>
      </c>
    </row>
    <row r="1046" spans="1:7" hidden="1" x14ac:dyDescent="0.25">
      <c r="A1046">
        <v>99</v>
      </c>
      <c r="B1046">
        <v>5932</v>
      </c>
      <c r="C1046">
        <v>0</v>
      </c>
      <c r="D1046">
        <v>3</v>
      </c>
      <c r="E1046">
        <v>4</v>
      </c>
      <c r="F1046" t="s">
        <v>247</v>
      </c>
      <c r="G1046" t="s">
        <v>182</v>
      </c>
    </row>
    <row r="1047" spans="1:7" hidden="1" x14ac:dyDescent="0.25">
      <c r="A1047">
        <v>99</v>
      </c>
      <c r="B1047">
        <v>5992</v>
      </c>
      <c r="C1047">
        <v>0</v>
      </c>
      <c r="D1047">
        <v>3</v>
      </c>
      <c r="E1047">
        <v>4</v>
      </c>
      <c r="F1047" t="s">
        <v>247</v>
      </c>
      <c r="G1047" t="s">
        <v>182</v>
      </c>
    </row>
    <row r="1048" spans="1:7" hidden="1" x14ac:dyDescent="0.25">
      <c r="A1048">
        <v>99</v>
      </c>
      <c r="B1048">
        <v>7260</v>
      </c>
      <c r="C1048">
        <v>0</v>
      </c>
      <c r="D1048">
        <v>3</v>
      </c>
      <c r="E1048">
        <v>4</v>
      </c>
      <c r="F1048" t="s">
        <v>247</v>
      </c>
      <c r="G1048" t="s">
        <v>182</v>
      </c>
    </row>
    <row r="1049" spans="1:7" hidden="1" x14ac:dyDescent="0.25">
      <c r="A1049">
        <v>99</v>
      </c>
      <c r="B1049">
        <v>8804</v>
      </c>
      <c r="C1049">
        <v>0</v>
      </c>
      <c r="D1049">
        <v>3</v>
      </c>
      <c r="E1049">
        <v>4</v>
      </c>
      <c r="F1049" t="s">
        <v>247</v>
      </c>
      <c r="G1049" t="s">
        <v>182</v>
      </c>
    </row>
    <row r="1050" spans="1:7" hidden="1" x14ac:dyDescent="0.25">
      <c r="A1050">
        <v>99</v>
      </c>
      <c r="B1050">
        <v>9176</v>
      </c>
      <c r="C1050">
        <v>0</v>
      </c>
      <c r="D1050">
        <v>3</v>
      </c>
      <c r="E1050">
        <v>4</v>
      </c>
      <c r="F1050" t="s">
        <v>247</v>
      </c>
      <c r="G1050" t="s">
        <v>182</v>
      </c>
    </row>
    <row r="1051" spans="1:7" hidden="1" x14ac:dyDescent="0.25">
      <c r="A1051">
        <v>99</v>
      </c>
      <c r="B1051">
        <v>9256</v>
      </c>
      <c r="C1051">
        <v>0</v>
      </c>
      <c r="D1051">
        <v>3</v>
      </c>
      <c r="E1051">
        <v>4</v>
      </c>
      <c r="F1051" t="s">
        <v>247</v>
      </c>
      <c r="G1051" t="s">
        <v>182</v>
      </c>
    </row>
    <row r="1052" spans="1:7" hidden="1" x14ac:dyDescent="0.25">
      <c r="A1052">
        <v>99</v>
      </c>
      <c r="B1052">
        <v>9752</v>
      </c>
      <c r="C1052">
        <v>0</v>
      </c>
      <c r="D1052">
        <v>3</v>
      </c>
      <c r="E1052">
        <v>4</v>
      </c>
      <c r="F1052" t="s">
        <v>247</v>
      </c>
      <c r="G1052" t="s">
        <v>182</v>
      </c>
    </row>
    <row r="1053" spans="1:7" hidden="1" x14ac:dyDescent="0.25">
      <c r="A1053">
        <v>99</v>
      </c>
      <c r="B1053">
        <v>10364</v>
      </c>
      <c r="C1053">
        <v>0</v>
      </c>
      <c r="D1053">
        <v>3</v>
      </c>
      <c r="E1053">
        <v>4</v>
      </c>
      <c r="F1053" t="s">
        <v>247</v>
      </c>
      <c r="G1053" t="s">
        <v>182</v>
      </c>
    </row>
    <row r="1054" spans="1:7" hidden="1" x14ac:dyDescent="0.25">
      <c r="A1054">
        <v>50</v>
      </c>
      <c r="B1054">
        <v>476</v>
      </c>
      <c r="C1054">
        <v>0</v>
      </c>
      <c r="D1054">
        <v>3</v>
      </c>
      <c r="E1054">
        <v>3</v>
      </c>
      <c r="F1054" t="s">
        <v>246</v>
      </c>
      <c r="G1054" t="s">
        <v>332</v>
      </c>
    </row>
    <row r="1055" spans="1:7" hidden="1" x14ac:dyDescent="0.25">
      <c r="A1055">
        <v>50</v>
      </c>
      <c r="B1055">
        <v>1264</v>
      </c>
      <c r="C1055">
        <v>0</v>
      </c>
      <c r="D1055">
        <v>3</v>
      </c>
      <c r="E1055">
        <v>3</v>
      </c>
      <c r="F1055" t="s">
        <v>246</v>
      </c>
      <c r="G1055" t="s">
        <v>332</v>
      </c>
    </row>
    <row r="1056" spans="1:7" hidden="1" x14ac:dyDescent="0.25">
      <c r="A1056">
        <v>50</v>
      </c>
      <c r="B1056">
        <v>4228</v>
      </c>
      <c r="C1056">
        <v>0</v>
      </c>
      <c r="D1056">
        <v>3</v>
      </c>
      <c r="E1056">
        <v>3</v>
      </c>
      <c r="F1056" t="s">
        <v>246</v>
      </c>
      <c r="G1056" t="s">
        <v>332</v>
      </c>
    </row>
    <row r="1057" spans="1:7" hidden="1" x14ac:dyDescent="0.25">
      <c r="A1057">
        <v>50</v>
      </c>
      <c r="B1057">
        <v>5004</v>
      </c>
      <c r="C1057">
        <v>0</v>
      </c>
      <c r="D1057">
        <v>3</v>
      </c>
      <c r="E1057">
        <v>3</v>
      </c>
      <c r="F1057" t="s">
        <v>246</v>
      </c>
      <c r="G1057" t="s">
        <v>332</v>
      </c>
    </row>
    <row r="1058" spans="1:7" hidden="1" x14ac:dyDescent="0.25">
      <c r="A1058">
        <v>50</v>
      </c>
      <c r="B1058">
        <v>7283</v>
      </c>
      <c r="C1058">
        <v>0</v>
      </c>
      <c r="D1058">
        <v>3</v>
      </c>
      <c r="E1058">
        <v>3</v>
      </c>
      <c r="F1058" t="s">
        <v>246</v>
      </c>
      <c r="G1058" t="s">
        <v>332</v>
      </c>
    </row>
    <row r="1059" spans="1:7" hidden="1" x14ac:dyDescent="0.25">
      <c r="A1059">
        <v>50</v>
      </c>
      <c r="B1059">
        <v>7284</v>
      </c>
      <c r="C1059">
        <v>0</v>
      </c>
      <c r="D1059">
        <v>3</v>
      </c>
      <c r="E1059">
        <v>3</v>
      </c>
      <c r="F1059" t="s">
        <v>246</v>
      </c>
      <c r="G1059" t="s">
        <v>332</v>
      </c>
    </row>
    <row r="1060" spans="1:7" hidden="1" x14ac:dyDescent="0.25">
      <c r="A1060">
        <v>50</v>
      </c>
      <c r="B1060">
        <v>9356</v>
      </c>
      <c r="C1060">
        <v>0</v>
      </c>
      <c r="D1060">
        <v>3</v>
      </c>
      <c r="E1060">
        <v>3</v>
      </c>
      <c r="F1060" t="s">
        <v>246</v>
      </c>
      <c r="G1060" t="s">
        <v>332</v>
      </c>
    </row>
    <row r="1061" spans="1:7" hidden="1" x14ac:dyDescent="0.25">
      <c r="A1061">
        <v>50</v>
      </c>
      <c r="B1061">
        <v>10592</v>
      </c>
      <c r="C1061">
        <v>0</v>
      </c>
      <c r="D1061">
        <v>3</v>
      </c>
      <c r="E1061">
        <v>3</v>
      </c>
      <c r="F1061" t="s">
        <v>246</v>
      </c>
      <c r="G1061" t="s">
        <v>332</v>
      </c>
    </row>
    <row r="1062" spans="1:7" hidden="1" x14ac:dyDescent="0.25">
      <c r="A1062">
        <v>99</v>
      </c>
      <c r="B1062">
        <v>2168</v>
      </c>
      <c r="C1062">
        <v>0</v>
      </c>
      <c r="D1062">
        <v>3</v>
      </c>
      <c r="E1062">
        <v>3</v>
      </c>
      <c r="F1062" t="s">
        <v>246</v>
      </c>
      <c r="G1062" t="s">
        <v>181</v>
      </c>
    </row>
    <row r="1063" spans="1:7" hidden="1" x14ac:dyDescent="0.25">
      <c r="A1063">
        <v>99</v>
      </c>
      <c r="B1063">
        <v>2472</v>
      </c>
      <c r="C1063">
        <v>0</v>
      </c>
      <c r="D1063">
        <v>3</v>
      </c>
      <c r="E1063">
        <v>3</v>
      </c>
      <c r="F1063" t="s">
        <v>246</v>
      </c>
      <c r="G1063" t="s">
        <v>181</v>
      </c>
    </row>
    <row r="1064" spans="1:7" hidden="1" x14ac:dyDescent="0.25">
      <c r="A1064">
        <v>99</v>
      </c>
      <c r="B1064">
        <v>3056</v>
      </c>
      <c r="C1064">
        <v>0</v>
      </c>
      <c r="D1064">
        <v>3</v>
      </c>
      <c r="E1064">
        <v>3</v>
      </c>
      <c r="F1064" t="s">
        <v>246</v>
      </c>
      <c r="G1064" t="s">
        <v>181</v>
      </c>
    </row>
    <row r="1065" spans="1:7" hidden="1" x14ac:dyDescent="0.25">
      <c r="A1065">
        <v>99</v>
      </c>
      <c r="B1065">
        <v>3100</v>
      </c>
      <c r="C1065">
        <v>0</v>
      </c>
      <c r="D1065">
        <v>3</v>
      </c>
      <c r="E1065">
        <v>3</v>
      </c>
      <c r="F1065" t="s">
        <v>246</v>
      </c>
      <c r="G1065" t="s">
        <v>181</v>
      </c>
    </row>
    <row r="1066" spans="1:7" x14ac:dyDescent="0.25">
      <c r="A1066">
        <v>99</v>
      </c>
      <c r="B1066">
        <v>4124</v>
      </c>
      <c r="C1066">
        <v>0</v>
      </c>
      <c r="D1066">
        <v>3</v>
      </c>
      <c r="E1066">
        <v>3</v>
      </c>
      <c r="F1066" t="s">
        <v>246</v>
      </c>
      <c r="G1066" t="s">
        <v>181</v>
      </c>
    </row>
    <row r="1067" spans="1:7" hidden="1" x14ac:dyDescent="0.25">
      <c r="A1067">
        <v>99</v>
      </c>
      <c r="B1067">
        <v>5932</v>
      </c>
      <c r="C1067">
        <v>0</v>
      </c>
      <c r="D1067">
        <v>3</v>
      </c>
      <c r="E1067">
        <v>3</v>
      </c>
      <c r="F1067" t="s">
        <v>246</v>
      </c>
      <c r="G1067" t="s">
        <v>181</v>
      </c>
    </row>
    <row r="1068" spans="1:7" hidden="1" x14ac:dyDescent="0.25">
      <c r="A1068">
        <v>99</v>
      </c>
      <c r="B1068">
        <v>5992</v>
      </c>
      <c r="C1068">
        <v>0</v>
      </c>
      <c r="D1068">
        <v>3</v>
      </c>
      <c r="E1068">
        <v>3</v>
      </c>
      <c r="F1068" t="s">
        <v>246</v>
      </c>
      <c r="G1068" t="s">
        <v>181</v>
      </c>
    </row>
    <row r="1069" spans="1:7" hidden="1" x14ac:dyDescent="0.25">
      <c r="A1069">
        <v>99</v>
      </c>
      <c r="B1069">
        <v>7260</v>
      </c>
      <c r="C1069">
        <v>0</v>
      </c>
      <c r="D1069">
        <v>3</v>
      </c>
      <c r="E1069">
        <v>3</v>
      </c>
      <c r="F1069" t="s">
        <v>246</v>
      </c>
      <c r="G1069" t="s">
        <v>181</v>
      </c>
    </row>
    <row r="1070" spans="1:7" hidden="1" x14ac:dyDescent="0.25">
      <c r="A1070">
        <v>99</v>
      </c>
      <c r="B1070">
        <v>8804</v>
      </c>
      <c r="C1070">
        <v>0</v>
      </c>
      <c r="D1070">
        <v>3</v>
      </c>
      <c r="E1070">
        <v>3</v>
      </c>
      <c r="F1070" t="s">
        <v>246</v>
      </c>
      <c r="G1070" t="s">
        <v>181</v>
      </c>
    </row>
    <row r="1071" spans="1:7" hidden="1" x14ac:dyDescent="0.25">
      <c r="A1071">
        <v>99</v>
      </c>
      <c r="B1071">
        <v>9176</v>
      </c>
      <c r="C1071">
        <v>0</v>
      </c>
      <c r="D1071">
        <v>3</v>
      </c>
      <c r="E1071">
        <v>3</v>
      </c>
      <c r="F1071" t="s">
        <v>246</v>
      </c>
      <c r="G1071" t="s">
        <v>181</v>
      </c>
    </row>
    <row r="1072" spans="1:7" hidden="1" x14ac:dyDescent="0.25">
      <c r="A1072">
        <v>99</v>
      </c>
      <c r="B1072">
        <v>9256</v>
      </c>
      <c r="C1072">
        <v>0</v>
      </c>
      <c r="D1072">
        <v>3</v>
      </c>
      <c r="E1072">
        <v>3</v>
      </c>
      <c r="F1072" t="s">
        <v>246</v>
      </c>
      <c r="G1072" t="s">
        <v>181</v>
      </c>
    </row>
    <row r="1073" spans="1:7" hidden="1" x14ac:dyDescent="0.25">
      <c r="A1073">
        <v>99</v>
      </c>
      <c r="B1073">
        <v>9752</v>
      </c>
      <c r="C1073">
        <v>0</v>
      </c>
      <c r="D1073">
        <v>3</v>
      </c>
      <c r="E1073">
        <v>3</v>
      </c>
      <c r="F1073" t="s">
        <v>246</v>
      </c>
      <c r="G1073" t="s">
        <v>181</v>
      </c>
    </row>
    <row r="1074" spans="1:7" hidden="1" x14ac:dyDescent="0.25">
      <c r="A1074">
        <v>99</v>
      </c>
      <c r="B1074">
        <v>10364</v>
      </c>
      <c r="C1074">
        <v>0</v>
      </c>
      <c r="D1074">
        <v>3</v>
      </c>
      <c r="E1074">
        <v>3</v>
      </c>
      <c r="F1074" t="s">
        <v>246</v>
      </c>
      <c r="G1074" t="s">
        <v>181</v>
      </c>
    </row>
    <row r="1075" spans="1:7" hidden="1" x14ac:dyDescent="0.25">
      <c r="A1075">
        <v>50</v>
      </c>
      <c r="B1075">
        <v>476</v>
      </c>
      <c r="C1075">
        <v>0</v>
      </c>
      <c r="D1075">
        <v>3</v>
      </c>
      <c r="E1075">
        <v>6</v>
      </c>
      <c r="F1075" t="s">
        <v>249</v>
      </c>
      <c r="G1075" t="s">
        <v>124</v>
      </c>
    </row>
    <row r="1076" spans="1:7" hidden="1" x14ac:dyDescent="0.25">
      <c r="A1076">
        <v>50</v>
      </c>
      <c r="B1076">
        <v>1264</v>
      </c>
      <c r="C1076">
        <v>0</v>
      </c>
      <c r="D1076">
        <v>3</v>
      </c>
      <c r="E1076">
        <v>6</v>
      </c>
      <c r="F1076" t="s">
        <v>249</v>
      </c>
      <c r="G1076" t="s">
        <v>124</v>
      </c>
    </row>
    <row r="1077" spans="1:7" hidden="1" x14ac:dyDescent="0.25">
      <c r="A1077">
        <v>50</v>
      </c>
      <c r="B1077">
        <v>4228</v>
      </c>
      <c r="C1077">
        <v>0</v>
      </c>
      <c r="D1077">
        <v>3</v>
      </c>
      <c r="E1077">
        <v>6</v>
      </c>
      <c r="F1077" t="s">
        <v>249</v>
      </c>
      <c r="G1077" t="s">
        <v>124</v>
      </c>
    </row>
    <row r="1078" spans="1:7" hidden="1" x14ac:dyDescent="0.25">
      <c r="A1078">
        <v>50</v>
      </c>
      <c r="B1078">
        <v>5004</v>
      </c>
      <c r="C1078">
        <v>0</v>
      </c>
      <c r="D1078">
        <v>3</v>
      </c>
      <c r="E1078">
        <v>6</v>
      </c>
      <c r="F1078" t="s">
        <v>249</v>
      </c>
      <c r="G1078" t="s">
        <v>124</v>
      </c>
    </row>
    <row r="1079" spans="1:7" hidden="1" x14ac:dyDescent="0.25">
      <c r="A1079">
        <v>50</v>
      </c>
      <c r="B1079">
        <v>7283</v>
      </c>
      <c r="C1079">
        <v>0</v>
      </c>
      <c r="D1079">
        <v>3</v>
      </c>
      <c r="E1079">
        <v>6</v>
      </c>
      <c r="F1079" t="s">
        <v>249</v>
      </c>
      <c r="G1079" t="s">
        <v>124</v>
      </c>
    </row>
    <row r="1080" spans="1:7" hidden="1" x14ac:dyDescent="0.25">
      <c r="A1080">
        <v>50</v>
      </c>
      <c r="B1080">
        <v>7284</v>
      </c>
      <c r="C1080">
        <v>0</v>
      </c>
      <c r="D1080">
        <v>3</v>
      </c>
      <c r="E1080">
        <v>6</v>
      </c>
      <c r="F1080" t="s">
        <v>249</v>
      </c>
      <c r="G1080" t="s">
        <v>124</v>
      </c>
    </row>
    <row r="1081" spans="1:7" hidden="1" x14ac:dyDescent="0.25">
      <c r="A1081">
        <v>50</v>
      </c>
      <c r="B1081">
        <v>9356</v>
      </c>
      <c r="C1081">
        <v>0</v>
      </c>
      <c r="D1081">
        <v>3</v>
      </c>
      <c r="E1081">
        <v>6</v>
      </c>
      <c r="F1081" t="s">
        <v>249</v>
      </c>
      <c r="G1081" t="s">
        <v>124</v>
      </c>
    </row>
    <row r="1082" spans="1:7" hidden="1" x14ac:dyDescent="0.25">
      <c r="A1082">
        <v>50</v>
      </c>
      <c r="B1082">
        <v>10592</v>
      </c>
      <c r="C1082">
        <v>0</v>
      </c>
      <c r="D1082">
        <v>3</v>
      </c>
      <c r="E1082">
        <v>6</v>
      </c>
      <c r="F1082" t="s">
        <v>249</v>
      </c>
      <c r="G1082" t="s">
        <v>124</v>
      </c>
    </row>
    <row r="1083" spans="1:7" hidden="1" x14ac:dyDescent="0.25">
      <c r="A1083">
        <v>99</v>
      </c>
      <c r="B1083">
        <v>2168</v>
      </c>
      <c r="C1083">
        <v>0</v>
      </c>
      <c r="D1083">
        <v>3</v>
      </c>
      <c r="E1083">
        <v>6</v>
      </c>
      <c r="F1083" t="s">
        <v>249</v>
      </c>
      <c r="G1083" t="s">
        <v>124</v>
      </c>
    </row>
    <row r="1084" spans="1:7" hidden="1" x14ac:dyDescent="0.25">
      <c r="A1084">
        <v>99</v>
      </c>
      <c r="B1084">
        <v>2472</v>
      </c>
      <c r="C1084">
        <v>0</v>
      </c>
      <c r="D1084">
        <v>3</v>
      </c>
      <c r="E1084">
        <v>6</v>
      </c>
      <c r="F1084" t="s">
        <v>249</v>
      </c>
      <c r="G1084" t="s">
        <v>124</v>
      </c>
    </row>
    <row r="1085" spans="1:7" hidden="1" x14ac:dyDescent="0.25">
      <c r="A1085">
        <v>99</v>
      </c>
      <c r="B1085">
        <v>3056</v>
      </c>
      <c r="C1085">
        <v>0</v>
      </c>
      <c r="D1085">
        <v>3</v>
      </c>
      <c r="E1085">
        <v>6</v>
      </c>
      <c r="F1085" t="s">
        <v>249</v>
      </c>
      <c r="G1085" t="s">
        <v>124</v>
      </c>
    </row>
    <row r="1086" spans="1:7" hidden="1" x14ac:dyDescent="0.25">
      <c r="A1086">
        <v>99</v>
      </c>
      <c r="B1086">
        <v>3100</v>
      </c>
      <c r="C1086">
        <v>0</v>
      </c>
      <c r="D1086">
        <v>3</v>
      </c>
      <c r="E1086">
        <v>6</v>
      </c>
      <c r="F1086" t="s">
        <v>249</v>
      </c>
      <c r="G1086" t="s">
        <v>124</v>
      </c>
    </row>
    <row r="1087" spans="1:7" x14ac:dyDescent="0.25">
      <c r="A1087">
        <v>99</v>
      </c>
      <c r="B1087">
        <v>4124</v>
      </c>
      <c r="C1087">
        <v>0</v>
      </c>
      <c r="D1087">
        <v>3</v>
      </c>
      <c r="E1087">
        <v>6</v>
      </c>
      <c r="F1087" t="s">
        <v>249</v>
      </c>
      <c r="G1087" t="s">
        <v>124</v>
      </c>
    </row>
    <row r="1088" spans="1:7" hidden="1" x14ac:dyDescent="0.25">
      <c r="A1088">
        <v>99</v>
      </c>
      <c r="B1088">
        <v>5932</v>
      </c>
      <c r="C1088">
        <v>0</v>
      </c>
      <c r="D1088">
        <v>3</v>
      </c>
      <c r="E1088">
        <v>6</v>
      </c>
      <c r="F1088" t="s">
        <v>249</v>
      </c>
      <c r="G1088" t="s">
        <v>124</v>
      </c>
    </row>
    <row r="1089" spans="1:7" hidden="1" x14ac:dyDescent="0.25">
      <c r="A1089">
        <v>99</v>
      </c>
      <c r="B1089">
        <v>5992</v>
      </c>
      <c r="C1089">
        <v>0</v>
      </c>
      <c r="D1089">
        <v>3</v>
      </c>
      <c r="E1089">
        <v>6</v>
      </c>
      <c r="F1089" t="s">
        <v>249</v>
      </c>
      <c r="G1089" t="s">
        <v>124</v>
      </c>
    </row>
    <row r="1090" spans="1:7" hidden="1" x14ac:dyDescent="0.25">
      <c r="A1090">
        <v>99</v>
      </c>
      <c r="B1090">
        <v>7260</v>
      </c>
      <c r="C1090">
        <v>0</v>
      </c>
      <c r="D1090">
        <v>3</v>
      </c>
      <c r="E1090">
        <v>6</v>
      </c>
      <c r="F1090" t="s">
        <v>249</v>
      </c>
      <c r="G1090" t="s">
        <v>124</v>
      </c>
    </row>
    <row r="1091" spans="1:7" hidden="1" x14ac:dyDescent="0.25">
      <c r="A1091">
        <v>99</v>
      </c>
      <c r="B1091">
        <v>8804</v>
      </c>
      <c r="C1091">
        <v>0</v>
      </c>
      <c r="D1091">
        <v>3</v>
      </c>
      <c r="E1091">
        <v>6</v>
      </c>
      <c r="F1091" t="s">
        <v>249</v>
      </c>
      <c r="G1091" t="s">
        <v>124</v>
      </c>
    </row>
    <row r="1092" spans="1:7" hidden="1" x14ac:dyDescent="0.25">
      <c r="A1092">
        <v>99</v>
      </c>
      <c r="B1092">
        <v>9176</v>
      </c>
      <c r="C1092">
        <v>0</v>
      </c>
      <c r="D1092">
        <v>3</v>
      </c>
      <c r="E1092">
        <v>6</v>
      </c>
      <c r="F1092" t="s">
        <v>249</v>
      </c>
      <c r="G1092" t="s">
        <v>124</v>
      </c>
    </row>
    <row r="1093" spans="1:7" hidden="1" x14ac:dyDescent="0.25">
      <c r="A1093">
        <v>99</v>
      </c>
      <c r="B1093">
        <v>9256</v>
      </c>
      <c r="C1093">
        <v>0</v>
      </c>
      <c r="D1093">
        <v>3</v>
      </c>
      <c r="E1093">
        <v>6</v>
      </c>
      <c r="F1093" t="s">
        <v>249</v>
      </c>
      <c r="G1093" t="s">
        <v>124</v>
      </c>
    </row>
    <row r="1094" spans="1:7" hidden="1" x14ac:dyDescent="0.25">
      <c r="A1094">
        <v>99</v>
      </c>
      <c r="B1094">
        <v>9752</v>
      </c>
      <c r="C1094">
        <v>0</v>
      </c>
      <c r="D1094">
        <v>3</v>
      </c>
      <c r="E1094">
        <v>6</v>
      </c>
      <c r="F1094" t="s">
        <v>249</v>
      </c>
      <c r="G1094" t="s">
        <v>124</v>
      </c>
    </row>
    <row r="1095" spans="1:7" hidden="1" x14ac:dyDescent="0.25">
      <c r="A1095">
        <v>99</v>
      </c>
      <c r="B1095">
        <v>10364</v>
      </c>
      <c r="C1095">
        <v>0</v>
      </c>
      <c r="D1095">
        <v>3</v>
      </c>
      <c r="E1095">
        <v>6</v>
      </c>
      <c r="F1095" t="s">
        <v>249</v>
      </c>
      <c r="G1095" t="s">
        <v>124</v>
      </c>
    </row>
    <row r="1096" spans="1:7" hidden="1" x14ac:dyDescent="0.25">
      <c r="A1096">
        <v>50</v>
      </c>
      <c r="B1096">
        <v>476</v>
      </c>
      <c r="C1096">
        <v>0</v>
      </c>
      <c r="D1096">
        <v>3</v>
      </c>
      <c r="E1096">
        <v>5</v>
      </c>
      <c r="F1096" t="s">
        <v>248</v>
      </c>
      <c r="G1096" t="s">
        <v>124</v>
      </c>
    </row>
    <row r="1097" spans="1:7" hidden="1" x14ac:dyDescent="0.25">
      <c r="A1097">
        <v>50</v>
      </c>
      <c r="B1097">
        <v>1264</v>
      </c>
      <c r="C1097">
        <v>0</v>
      </c>
      <c r="D1097">
        <v>3</v>
      </c>
      <c r="E1097">
        <v>5</v>
      </c>
      <c r="F1097" t="s">
        <v>248</v>
      </c>
      <c r="G1097" t="s">
        <v>122</v>
      </c>
    </row>
    <row r="1098" spans="1:7" hidden="1" x14ac:dyDescent="0.25">
      <c r="A1098">
        <v>50</v>
      </c>
      <c r="B1098">
        <v>4228</v>
      </c>
      <c r="C1098">
        <v>0</v>
      </c>
      <c r="D1098">
        <v>3</v>
      </c>
      <c r="E1098">
        <v>5</v>
      </c>
      <c r="F1098" t="s">
        <v>248</v>
      </c>
      <c r="G1098" t="s">
        <v>122</v>
      </c>
    </row>
    <row r="1099" spans="1:7" hidden="1" x14ac:dyDescent="0.25">
      <c r="A1099">
        <v>50</v>
      </c>
      <c r="B1099">
        <v>5004</v>
      </c>
      <c r="C1099">
        <v>0</v>
      </c>
      <c r="D1099">
        <v>3</v>
      </c>
      <c r="E1099">
        <v>5</v>
      </c>
      <c r="F1099" t="s">
        <v>248</v>
      </c>
      <c r="G1099" t="s">
        <v>122</v>
      </c>
    </row>
    <row r="1100" spans="1:7" hidden="1" x14ac:dyDescent="0.25">
      <c r="A1100">
        <v>50</v>
      </c>
      <c r="B1100">
        <v>7283</v>
      </c>
      <c r="C1100">
        <v>0</v>
      </c>
      <c r="D1100">
        <v>3</v>
      </c>
      <c r="E1100">
        <v>5</v>
      </c>
      <c r="F1100" t="s">
        <v>248</v>
      </c>
      <c r="G1100" t="s">
        <v>122</v>
      </c>
    </row>
    <row r="1101" spans="1:7" hidden="1" x14ac:dyDescent="0.25">
      <c r="A1101">
        <v>50</v>
      </c>
      <c r="B1101">
        <v>7284</v>
      </c>
      <c r="C1101">
        <v>0</v>
      </c>
      <c r="D1101">
        <v>3</v>
      </c>
      <c r="E1101">
        <v>5</v>
      </c>
      <c r="F1101" t="s">
        <v>248</v>
      </c>
      <c r="G1101" t="s">
        <v>122</v>
      </c>
    </row>
    <row r="1102" spans="1:7" hidden="1" x14ac:dyDescent="0.25">
      <c r="A1102">
        <v>50</v>
      </c>
      <c r="B1102">
        <v>9356</v>
      </c>
      <c r="C1102">
        <v>0</v>
      </c>
      <c r="D1102">
        <v>3</v>
      </c>
      <c r="E1102">
        <v>5</v>
      </c>
      <c r="F1102" t="s">
        <v>248</v>
      </c>
      <c r="G1102" t="s">
        <v>122</v>
      </c>
    </row>
    <row r="1103" spans="1:7" hidden="1" x14ac:dyDescent="0.25">
      <c r="A1103">
        <v>50</v>
      </c>
      <c r="B1103">
        <v>10592</v>
      </c>
      <c r="C1103">
        <v>0</v>
      </c>
      <c r="D1103">
        <v>3</v>
      </c>
      <c r="E1103">
        <v>5</v>
      </c>
      <c r="F1103" t="s">
        <v>248</v>
      </c>
      <c r="G1103" t="s">
        <v>122</v>
      </c>
    </row>
    <row r="1104" spans="1:7" hidden="1" x14ac:dyDescent="0.25">
      <c r="A1104">
        <v>99</v>
      </c>
      <c r="B1104">
        <v>2168</v>
      </c>
      <c r="C1104">
        <v>0</v>
      </c>
      <c r="D1104">
        <v>3</v>
      </c>
      <c r="E1104">
        <v>5</v>
      </c>
      <c r="F1104" t="s">
        <v>248</v>
      </c>
      <c r="G1104" t="s">
        <v>122</v>
      </c>
    </row>
    <row r="1105" spans="1:7" hidden="1" x14ac:dyDescent="0.25">
      <c r="A1105">
        <v>99</v>
      </c>
      <c r="B1105">
        <v>2472</v>
      </c>
      <c r="C1105">
        <v>0</v>
      </c>
      <c r="D1105">
        <v>3</v>
      </c>
      <c r="E1105">
        <v>5</v>
      </c>
      <c r="F1105" t="s">
        <v>248</v>
      </c>
      <c r="G1105" t="s">
        <v>122</v>
      </c>
    </row>
    <row r="1106" spans="1:7" hidden="1" x14ac:dyDescent="0.25">
      <c r="A1106">
        <v>99</v>
      </c>
      <c r="B1106">
        <v>3056</v>
      </c>
      <c r="C1106">
        <v>0</v>
      </c>
      <c r="D1106">
        <v>3</v>
      </c>
      <c r="E1106">
        <v>5</v>
      </c>
      <c r="F1106" t="s">
        <v>248</v>
      </c>
      <c r="G1106" t="s">
        <v>122</v>
      </c>
    </row>
    <row r="1107" spans="1:7" hidden="1" x14ac:dyDescent="0.25">
      <c r="A1107">
        <v>99</v>
      </c>
      <c r="B1107">
        <v>3100</v>
      </c>
      <c r="C1107">
        <v>0</v>
      </c>
      <c r="D1107">
        <v>3</v>
      </c>
      <c r="E1107">
        <v>5</v>
      </c>
      <c r="F1107" t="s">
        <v>248</v>
      </c>
      <c r="G1107" t="s">
        <v>122</v>
      </c>
    </row>
    <row r="1108" spans="1:7" x14ac:dyDescent="0.25">
      <c r="A1108">
        <v>99</v>
      </c>
      <c r="B1108">
        <v>4124</v>
      </c>
      <c r="C1108">
        <v>0</v>
      </c>
      <c r="D1108">
        <v>3</v>
      </c>
      <c r="E1108">
        <v>5</v>
      </c>
      <c r="F1108" t="s">
        <v>248</v>
      </c>
      <c r="G1108" t="s">
        <v>122</v>
      </c>
    </row>
    <row r="1109" spans="1:7" hidden="1" x14ac:dyDescent="0.25">
      <c r="A1109">
        <v>99</v>
      </c>
      <c r="B1109">
        <v>5932</v>
      </c>
      <c r="C1109">
        <v>0</v>
      </c>
      <c r="D1109">
        <v>3</v>
      </c>
      <c r="E1109">
        <v>5</v>
      </c>
      <c r="F1109" t="s">
        <v>248</v>
      </c>
      <c r="G1109" t="s">
        <v>122</v>
      </c>
    </row>
    <row r="1110" spans="1:7" hidden="1" x14ac:dyDescent="0.25">
      <c r="A1110">
        <v>99</v>
      </c>
      <c r="B1110">
        <v>5992</v>
      </c>
      <c r="C1110">
        <v>0</v>
      </c>
      <c r="D1110">
        <v>3</v>
      </c>
      <c r="E1110">
        <v>5</v>
      </c>
      <c r="F1110" t="s">
        <v>248</v>
      </c>
      <c r="G1110" t="s">
        <v>122</v>
      </c>
    </row>
    <row r="1111" spans="1:7" hidden="1" x14ac:dyDescent="0.25">
      <c r="A1111">
        <v>99</v>
      </c>
      <c r="B1111">
        <v>7260</v>
      </c>
      <c r="C1111">
        <v>0</v>
      </c>
      <c r="D1111">
        <v>3</v>
      </c>
      <c r="E1111">
        <v>5</v>
      </c>
      <c r="F1111" t="s">
        <v>248</v>
      </c>
      <c r="G1111" t="s">
        <v>122</v>
      </c>
    </row>
    <row r="1112" spans="1:7" hidden="1" x14ac:dyDescent="0.25">
      <c r="A1112">
        <v>99</v>
      </c>
      <c r="B1112">
        <v>8804</v>
      </c>
      <c r="C1112">
        <v>0</v>
      </c>
      <c r="D1112">
        <v>3</v>
      </c>
      <c r="E1112">
        <v>5</v>
      </c>
      <c r="F1112" t="s">
        <v>248</v>
      </c>
      <c r="G1112" t="s">
        <v>122</v>
      </c>
    </row>
    <row r="1113" spans="1:7" hidden="1" x14ac:dyDescent="0.25">
      <c r="A1113">
        <v>99</v>
      </c>
      <c r="B1113">
        <v>9176</v>
      </c>
      <c r="C1113">
        <v>0</v>
      </c>
      <c r="D1113">
        <v>3</v>
      </c>
      <c r="E1113">
        <v>5</v>
      </c>
      <c r="F1113" t="s">
        <v>248</v>
      </c>
      <c r="G1113" t="s">
        <v>122</v>
      </c>
    </row>
    <row r="1114" spans="1:7" hidden="1" x14ac:dyDescent="0.25">
      <c r="A1114">
        <v>99</v>
      </c>
      <c r="B1114">
        <v>9256</v>
      </c>
      <c r="C1114">
        <v>0</v>
      </c>
      <c r="D1114">
        <v>3</v>
      </c>
      <c r="E1114">
        <v>5</v>
      </c>
      <c r="F1114" t="s">
        <v>248</v>
      </c>
      <c r="G1114" t="s">
        <v>122</v>
      </c>
    </row>
    <row r="1115" spans="1:7" hidden="1" x14ac:dyDescent="0.25">
      <c r="A1115">
        <v>99</v>
      </c>
      <c r="B1115">
        <v>9752</v>
      </c>
      <c r="C1115">
        <v>0</v>
      </c>
      <c r="D1115">
        <v>3</v>
      </c>
      <c r="E1115">
        <v>5</v>
      </c>
      <c r="F1115" t="s">
        <v>248</v>
      </c>
      <c r="G1115" t="s">
        <v>122</v>
      </c>
    </row>
    <row r="1116" spans="1:7" hidden="1" x14ac:dyDescent="0.25">
      <c r="A1116">
        <v>99</v>
      </c>
      <c r="B1116">
        <v>10364</v>
      </c>
      <c r="C1116">
        <v>0</v>
      </c>
      <c r="D1116">
        <v>3</v>
      </c>
      <c r="E1116">
        <v>5</v>
      </c>
      <c r="F1116" t="s">
        <v>248</v>
      </c>
      <c r="G1116" t="s">
        <v>122</v>
      </c>
    </row>
    <row r="1117" spans="1:7" hidden="1" x14ac:dyDescent="0.25">
      <c r="A1117">
        <v>50</v>
      </c>
      <c r="B1117">
        <v>476</v>
      </c>
      <c r="C1117">
        <v>0</v>
      </c>
      <c r="D1117">
        <v>3</v>
      </c>
      <c r="E1117">
        <v>13</v>
      </c>
      <c r="F1117" t="s">
        <v>258</v>
      </c>
      <c r="G1117" t="s">
        <v>185</v>
      </c>
    </row>
    <row r="1118" spans="1:7" hidden="1" x14ac:dyDescent="0.25">
      <c r="A1118">
        <v>50</v>
      </c>
      <c r="B1118">
        <v>1264</v>
      </c>
      <c r="C1118">
        <v>0</v>
      </c>
      <c r="D1118">
        <v>3</v>
      </c>
      <c r="E1118">
        <v>13</v>
      </c>
      <c r="F1118" t="s">
        <v>258</v>
      </c>
      <c r="G1118" t="s">
        <v>185</v>
      </c>
    </row>
    <row r="1119" spans="1:7" hidden="1" x14ac:dyDescent="0.25">
      <c r="A1119">
        <v>50</v>
      </c>
      <c r="B1119">
        <v>4228</v>
      </c>
      <c r="C1119">
        <v>0</v>
      </c>
      <c r="D1119">
        <v>3</v>
      </c>
      <c r="E1119">
        <v>13</v>
      </c>
      <c r="F1119" t="s">
        <v>258</v>
      </c>
      <c r="G1119" t="s">
        <v>185</v>
      </c>
    </row>
    <row r="1120" spans="1:7" hidden="1" x14ac:dyDescent="0.25">
      <c r="A1120">
        <v>50</v>
      </c>
      <c r="B1120">
        <v>5004</v>
      </c>
      <c r="C1120">
        <v>0</v>
      </c>
      <c r="D1120">
        <v>3</v>
      </c>
      <c r="E1120">
        <v>13</v>
      </c>
      <c r="F1120" t="s">
        <v>258</v>
      </c>
      <c r="G1120" t="s">
        <v>185</v>
      </c>
    </row>
    <row r="1121" spans="1:7" hidden="1" x14ac:dyDescent="0.25">
      <c r="A1121">
        <v>50</v>
      </c>
      <c r="B1121">
        <v>7283</v>
      </c>
      <c r="C1121">
        <v>0</v>
      </c>
      <c r="D1121">
        <v>3</v>
      </c>
      <c r="E1121">
        <v>13</v>
      </c>
      <c r="F1121" t="s">
        <v>258</v>
      </c>
      <c r="G1121" t="s">
        <v>185</v>
      </c>
    </row>
    <row r="1122" spans="1:7" hidden="1" x14ac:dyDescent="0.25">
      <c r="A1122">
        <v>50</v>
      </c>
      <c r="B1122">
        <v>7284</v>
      </c>
      <c r="C1122">
        <v>0</v>
      </c>
      <c r="D1122">
        <v>3</v>
      </c>
      <c r="E1122">
        <v>13</v>
      </c>
      <c r="F1122" t="s">
        <v>258</v>
      </c>
      <c r="G1122" t="s">
        <v>185</v>
      </c>
    </row>
    <row r="1123" spans="1:7" hidden="1" x14ac:dyDescent="0.25">
      <c r="A1123">
        <v>50</v>
      </c>
      <c r="B1123">
        <v>9356</v>
      </c>
      <c r="C1123">
        <v>0</v>
      </c>
      <c r="D1123">
        <v>3</v>
      </c>
      <c r="E1123">
        <v>13</v>
      </c>
      <c r="F1123" t="s">
        <v>258</v>
      </c>
      <c r="G1123" t="s">
        <v>185</v>
      </c>
    </row>
    <row r="1124" spans="1:7" hidden="1" x14ac:dyDescent="0.25">
      <c r="A1124">
        <v>50</v>
      </c>
      <c r="B1124">
        <v>10592</v>
      </c>
      <c r="C1124">
        <v>0</v>
      </c>
      <c r="D1124">
        <v>3</v>
      </c>
      <c r="E1124">
        <v>13</v>
      </c>
      <c r="F1124" t="s">
        <v>258</v>
      </c>
      <c r="G1124" t="s">
        <v>185</v>
      </c>
    </row>
    <row r="1125" spans="1:7" hidden="1" x14ac:dyDescent="0.25">
      <c r="A1125">
        <v>99</v>
      </c>
      <c r="B1125">
        <v>2168</v>
      </c>
      <c r="C1125">
        <v>0</v>
      </c>
      <c r="D1125">
        <v>3</v>
      </c>
      <c r="E1125">
        <v>13</v>
      </c>
      <c r="F1125" t="s">
        <v>258</v>
      </c>
      <c r="G1125" t="s">
        <v>185</v>
      </c>
    </row>
    <row r="1126" spans="1:7" hidden="1" x14ac:dyDescent="0.25">
      <c r="A1126">
        <v>99</v>
      </c>
      <c r="B1126">
        <v>2472</v>
      </c>
      <c r="C1126">
        <v>0</v>
      </c>
      <c r="D1126">
        <v>3</v>
      </c>
      <c r="E1126">
        <v>13</v>
      </c>
      <c r="F1126" t="s">
        <v>258</v>
      </c>
      <c r="G1126" t="s">
        <v>185</v>
      </c>
    </row>
    <row r="1127" spans="1:7" hidden="1" x14ac:dyDescent="0.25">
      <c r="A1127">
        <v>99</v>
      </c>
      <c r="B1127">
        <v>3056</v>
      </c>
      <c r="C1127">
        <v>0</v>
      </c>
      <c r="D1127">
        <v>3</v>
      </c>
      <c r="E1127">
        <v>13</v>
      </c>
      <c r="F1127" t="s">
        <v>258</v>
      </c>
      <c r="G1127" t="s">
        <v>185</v>
      </c>
    </row>
    <row r="1128" spans="1:7" hidden="1" x14ac:dyDescent="0.25">
      <c r="A1128">
        <v>99</v>
      </c>
      <c r="B1128">
        <v>3100</v>
      </c>
      <c r="C1128">
        <v>0</v>
      </c>
      <c r="D1128">
        <v>3</v>
      </c>
      <c r="E1128">
        <v>13</v>
      </c>
      <c r="F1128" t="s">
        <v>258</v>
      </c>
      <c r="G1128" t="s">
        <v>185</v>
      </c>
    </row>
    <row r="1129" spans="1:7" x14ac:dyDescent="0.25">
      <c r="A1129">
        <v>99</v>
      </c>
      <c r="B1129">
        <v>4124</v>
      </c>
      <c r="C1129">
        <v>0</v>
      </c>
      <c r="D1129">
        <v>3</v>
      </c>
      <c r="E1129">
        <v>13</v>
      </c>
      <c r="F1129" t="s">
        <v>258</v>
      </c>
      <c r="G1129" t="s">
        <v>185</v>
      </c>
    </row>
    <row r="1130" spans="1:7" hidden="1" x14ac:dyDescent="0.25">
      <c r="A1130">
        <v>99</v>
      </c>
      <c r="B1130">
        <v>5932</v>
      </c>
      <c r="C1130">
        <v>0</v>
      </c>
      <c r="D1130">
        <v>3</v>
      </c>
      <c r="E1130">
        <v>13</v>
      </c>
      <c r="F1130" t="s">
        <v>258</v>
      </c>
      <c r="G1130" t="s">
        <v>185</v>
      </c>
    </row>
    <row r="1131" spans="1:7" hidden="1" x14ac:dyDescent="0.25">
      <c r="A1131">
        <v>99</v>
      </c>
      <c r="B1131">
        <v>5992</v>
      </c>
      <c r="C1131">
        <v>0</v>
      </c>
      <c r="D1131">
        <v>3</v>
      </c>
      <c r="E1131">
        <v>13</v>
      </c>
      <c r="F1131" t="s">
        <v>258</v>
      </c>
      <c r="G1131" t="s">
        <v>185</v>
      </c>
    </row>
    <row r="1132" spans="1:7" hidden="1" x14ac:dyDescent="0.25">
      <c r="A1132">
        <v>99</v>
      </c>
      <c r="B1132">
        <v>7260</v>
      </c>
      <c r="C1132">
        <v>0</v>
      </c>
      <c r="D1132">
        <v>3</v>
      </c>
      <c r="E1132">
        <v>13</v>
      </c>
      <c r="F1132" t="s">
        <v>258</v>
      </c>
      <c r="G1132" t="s">
        <v>185</v>
      </c>
    </row>
    <row r="1133" spans="1:7" hidden="1" x14ac:dyDescent="0.25">
      <c r="A1133">
        <v>99</v>
      </c>
      <c r="B1133">
        <v>8804</v>
      </c>
      <c r="C1133">
        <v>0</v>
      </c>
      <c r="D1133">
        <v>3</v>
      </c>
      <c r="E1133">
        <v>13</v>
      </c>
      <c r="F1133" t="s">
        <v>258</v>
      </c>
      <c r="G1133" t="s">
        <v>185</v>
      </c>
    </row>
    <row r="1134" spans="1:7" hidden="1" x14ac:dyDescent="0.25">
      <c r="A1134">
        <v>99</v>
      </c>
      <c r="B1134">
        <v>9176</v>
      </c>
      <c r="C1134">
        <v>0</v>
      </c>
      <c r="D1134">
        <v>3</v>
      </c>
      <c r="E1134">
        <v>13</v>
      </c>
      <c r="F1134" t="s">
        <v>258</v>
      </c>
      <c r="G1134" t="s">
        <v>185</v>
      </c>
    </row>
    <row r="1135" spans="1:7" hidden="1" x14ac:dyDescent="0.25">
      <c r="A1135">
        <v>99</v>
      </c>
      <c r="B1135">
        <v>9256</v>
      </c>
      <c r="C1135">
        <v>0</v>
      </c>
      <c r="D1135">
        <v>3</v>
      </c>
      <c r="E1135">
        <v>13</v>
      </c>
      <c r="F1135" t="s">
        <v>258</v>
      </c>
      <c r="G1135" t="s">
        <v>185</v>
      </c>
    </row>
    <row r="1136" spans="1:7" hidden="1" x14ac:dyDescent="0.25">
      <c r="A1136">
        <v>99</v>
      </c>
      <c r="B1136">
        <v>9752</v>
      </c>
      <c r="C1136">
        <v>0</v>
      </c>
      <c r="D1136">
        <v>3</v>
      </c>
      <c r="E1136">
        <v>13</v>
      </c>
      <c r="F1136" t="s">
        <v>258</v>
      </c>
      <c r="G1136" t="s">
        <v>185</v>
      </c>
    </row>
    <row r="1137" spans="1:7" hidden="1" x14ac:dyDescent="0.25">
      <c r="A1137">
        <v>99</v>
      </c>
      <c r="B1137">
        <v>10364</v>
      </c>
      <c r="C1137">
        <v>0</v>
      </c>
      <c r="D1137">
        <v>3</v>
      </c>
      <c r="E1137">
        <v>13</v>
      </c>
      <c r="F1137" t="s">
        <v>258</v>
      </c>
      <c r="G1137" t="s">
        <v>185</v>
      </c>
    </row>
    <row r="1138" spans="1:7" hidden="1" x14ac:dyDescent="0.25">
      <c r="A1138">
        <v>50</v>
      </c>
      <c r="B1138">
        <v>476</v>
      </c>
      <c r="C1138">
        <v>0</v>
      </c>
      <c r="D1138">
        <v>3</v>
      </c>
      <c r="E1138">
        <v>8</v>
      </c>
      <c r="F1138" t="s">
        <v>252</v>
      </c>
      <c r="G1138" t="s">
        <v>340</v>
      </c>
    </row>
    <row r="1139" spans="1:7" hidden="1" x14ac:dyDescent="0.25">
      <c r="A1139">
        <v>50</v>
      </c>
      <c r="B1139">
        <v>1264</v>
      </c>
      <c r="C1139">
        <v>0</v>
      </c>
      <c r="D1139">
        <v>3</v>
      </c>
      <c r="E1139">
        <v>8</v>
      </c>
      <c r="F1139" t="s">
        <v>252</v>
      </c>
      <c r="G1139" t="s">
        <v>340</v>
      </c>
    </row>
    <row r="1140" spans="1:7" hidden="1" x14ac:dyDescent="0.25">
      <c r="A1140">
        <v>50</v>
      </c>
      <c r="B1140">
        <v>4228</v>
      </c>
      <c r="C1140">
        <v>0</v>
      </c>
      <c r="D1140">
        <v>3</v>
      </c>
      <c r="E1140">
        <v>8</v>
      </c>
      <c r="F1140" t="s">
        <v>252</v>
      </c>
      <c r="G1140" t="s">
        <v>340</v>
      </c>
    </row>
    <row r="1141" spans="1:7" hidden="1" x14ac:dyDescent="0.25">
      <c r="A1141">
        <v>50</v>
      </c>
      <c r="B1141">
        <v>5004</v>
      </c>
      <c r="C1141">
        <v>0</v>
      </c>
      <c r="D1141">
        <v>3</v>
      </c>
      <c r="E1141">
        <v>8</v>
      </c>
      <c r="F1141" t="s">
        <v>252</v>
      </c>
      <c r="G1141" t="s">
        <v>340</v>
      </c>
    </row>
    <row r="1142" spans="1:7" hidden="1" x14ac:dyDescent="0.25">
      <c r="A1142">
        <v>50</v>
      </c>
      <c r="B1142">
        <v>7283</v>
      </c>
      <c r="C1142">
        <v>0</v>
      </c>
      <c r="D1142">
        <v>3</v>
      </c>
      <c r="E1142">
        <v>8</v>
      </c>
      <c r="F1142" t="s">
        <v>252</v>
      </c>
      <c r="G1142" t="s">
        <v>340</v>
      </c>
    </row>
    <row r="1143" spans="1:7" hidden="1" x14ac:dyDescent="0.25">
      <c r="A1143">
        <v>50</v>
      </c>
      <c r="B1143">
        <v>7284</v>
      </c>
      <c r="C1143">
        <v>0</v>
      </c>
      <c r="D1143">
        <v>3</v>
      </c>
      <c r="E1143">
        <v>8</v>
      </c>
      <c r="F1143" t="s">
        <v>252</v>
      </c>
      <c r="G1143" t="s">
        <v>340</v>
      </c>
    </row>
    <row r="1144" spans="1:7" hidden="1" x14ac:dyDescent="0.25">
      <c r="A1144">
        <v>50</v>
      </c>
      <c r="B1144">
        <v>9356</v>
      </c>
      <c r="C1144">
        <v>0</v>
      </c>
      <c r="D1144">
        <v>3</v>
      </c>
      <c r="E1144">
        <v>8</v>
      </c>
      <c r="F1144" t="s">
        <v>252</v>
      </c>
      <c r="G1144" t="s">
        <v>340</v>
      </c>
    </row>
    <row r="1145" spans="1:7" hidden="1" x14ac:dyDescent="0.25">
      <c r="A1145">
        <v>50</v>
      </c>
      <c r="B1145">
        <v>10592</v>
      </c>
      <c r="C1145">
        <v>0</v>
      </c>
      <c r="D1145">
        <v>3</v>
      </c>
      <c r="E1145">
        <v>8</v>
      </c>
      <c r="F1145" t="s">
        <v>252</v>
      </c>
      <c r="G1145" t="s">
        <v>340</v>
      </c>
    </row>
    <row r="1146" spans="1:7" hidden="1" x14ac:dyDescent="0.25">
      <c r="A1146">
        <v>99</v>
      </c>
      <c r="B1146">
        <v>2168</v>
      </c>
      <c r="C1146">
        <v>0</v>
      </c>
      <c r="D1146">
        <v>3</v>
      </c>
      <c r="E1146">
        <v>8</v>
      </c>
      <c r="F1146" t="s">
        <v>252</v>
      </c>
      <c r="G1146" t="s">
        <v>253</v>
      </c>
    </row>
    <row r="1147" spans="1:7" hidden="1" x14ac:dyDescent="0.25">
      <c r="A1147">
        <v>99</v>
      </c>
      <c r="B1147">
        <v>2472</v>
      </c>
      <c r="C1147">
        <v>0</v>
      </c>
      <c r="D1147">
        <v>3</v>
      </c>
      <c r="E1147">
        <v>8</v>
      </c>
      <c r="F1147" t="s">
        <v>252</v>
      </c>
      <c r="G1147" t="s">
        <v>253</v>
      </c>
    </row>
    <row r="1148" spans="1:7" hidden="1" x14ac:dyDescent="0.25">
      <c r="A1148">
        <v>99</v>
      </c>
      <c r="B1148">
        <v>3056</v>
      </c>
      <c r="C1148">
        <v>0</v>
      </c>
      <c r="D1148">
        <v>3</v>
      </c>
      <c r="E1148">
        <v>8</v>
      </c>
      <c r="F1148" t="s">
        <v>252</v>
      </c>
      <c r="G1148" t="s">
        <v>253</v>
      </c>
    </row>
    <row r="1149" spans="1:7" hidden="1" x14ac:dyDescent="0.25">
      <c r="A1149">
        <v>99</v>
      </c>
      <c r="B1149">
        <v>3100</v>
      </c>
      <c r="C1149">
        <v>0</v>
      </c>
      <c r="D1149">
        <v>3</v>
      </c>
      <c r="E1149">
        <v>8</v>
      </c>
      <c r="F1149" t="s">
        <v>252</v>
      </c>
      <c r="G1149" t="s">
        <v>253</v>
      </c>
    </row>
    <row r="1150" spans="1:7" x14ac:dyDescent="0.25">
      <c r="A1150">
        <v>99</v>
      </c>
      <c r="B1150">
        <v>4124</v>
      </c>
      <c r="C1150">
        <v>0</v>
      </c>
      <c r="D1150">
        <v>3</v>
      </c>
      <c r="E1150">
        <v>8</v>
      </c>
      <c r="F1150" t="s">
        <v>252</v>
      </c>
      <c r="G1150" t="s">
        <v>253</v>
      </c>
    </row>
    <row r="1151" spans="1:7" hidden="1" x14ac:dyDescent="0.25">
      <c r="A1151">
        <v>99</v>
      </c>
      <c r="B1151">
        <v>5932</v>
      </c>
      <c r="C1151">
        <v>0</v>
      </c>
      <c r="D1151">
        <v>3</v>
      </c>
      <c r="E1151">
        <v>8</v>
      </c>
      <c r="F1151" t="s">
        <v>252</v>
      </c>
      <c r="G1151" t="s">
        <v>253</v>
      </c>
    </row>
    <row r="1152" spans="1:7" hidden="1" x14ac:dyDescent="0.25">
      <c r="A1152">
        <v>99</v>
      </c>
      <c r="B1152">
        <v>5992</v>
      </c>
      <c r="C1152">
        <v>0</v>
      </c>
      <c r="D1152">
        <v>3</v>
      </c>
      <c r="E1152">
        <v>8</v>
      </c>
      <c r="F1152" t="s">
        <v>252</v>
      </c>
      <c r="G1152" t="s">
        <v>253</v>
      </c>
    </row>
    <row r="1153" spans="1:7" hidden="1" x14ac:dyDescent="0.25">
      <c r="A1153">
        <v>99</v>
      </c>
      <c r="B1153">
        <v>7260</v>
      </c>
      <c r="C1153">
        <v>0</v>
      </c>
      <c r="D1153">
        <v>3</v>
      </c>
      <c r="E1153">
        <v>8</v>
      </c>
      <c r="F1153" t="s">
        <v>252</v>
      </c>
      <c r="G1153" t="s">
        <v>253</v>
      </c>
    </row>
    <row r="1154" spans="1:7" hidden="1" x14ac:dyDescent="0.25">
      <c r="A1154">
        <v>99</v>
      </c>
      <c r="B1154">
        <v>8804</v>
      </c>
      <c r="C1154">
        <v>0</v>
      </c>
      <c r="D1154">
        <v>3</v>
      </c>
      <c r="E1154">
        <v>8</v>
      </c>
      <c r="F1154" t="s">
        <v>252</v>
      </c>
      <c r="G1154" t="s">
        <v>253</v>
      </c>
    </row>
    <row r="1155" spans="1:7" hidden="1" x14ac:dyDescent="0.25">
      <c r="A1155">
        <v>99</v>
      </c>
      <c r="B1155">
        <v>9176</v>
      </c>
      <c r="C1155">
        <v>0</v>
      </c>
      <c r="D1155">
        <v>3</v>
      </c>
      <c r="E1155">
        <v>8</v>
      </c>
      <c r="F1155" t="s">
        <v>252</v>
      </c>
      <c r="G1155" t="s">
        <v>253</v>
      </c>
    </row>
    <row r="1156" spans="1:7" hidden="1" x14ac:dyDescent="0.25">
      <c r="A1156">
        <v>99</v>
      </c>
      <c r="B1156">
        <v>9256</v>
      </c>
      <c r="C1156">
        <v>0</v>
      </c>
      <c r="D1156">
        <v>3</v>
      </c>
      <c r="E1156">
        <v>8</v>
      </c>
      <c r="F1156" t="s">
        <v>252</v>
      </c>
      <c r="G1156" t="s">
        <v>253</v>
      </c>
    </row>
    <row r="1157" spans="1:7" hidden="1" x14ac:dyDescent="0.25">
      <c r="A1157">
        <v>99</v>
      </c>
      <c r="B1157">
        <v>9752</v>
      </c>
      <c r="C1157">
        <v>0</v>
      </c>
      <c r="D1157">
        <v>3</v>
      </c>
      <c r="E1157">
        <v>8</v>
      </c>
      <c r="F1157" t="s">
        <v>252</v>
      </c>
      <c r="G1157" t="s">
        <v>253</v>
      </c>
    </row>
    <row r="1158" spans="1:7" hidden="1" x14ac:dyDescent="0.25">
      <c r="A1158">
        <v>99</v>
      </c>
      <c r="B1158">
        <v>10364</v>
      </c>
      <c r="C1158">
        <v>0</v>
      </c>
      <c r="D1158">
        <v>3</v>
      </c>
      <c r="E1158">
        <v>8</v>
      </c>
      <c r="F1158" t="s">
        <v>252</v>
      </c>
      <c r="G1158" t="s">
        <v>253</v>
      </c>
    </row>
    <row r="1159" spans="1:7" hidden="1" x14ac:dyDescent="0.25">
      <c r="A1159">
        <v>50</v>
      </c>
      <c r="B1159">
        <v>476</v>
      </c>
      <c r="C1159">
        <v>0</v>
      </c>
      <c r="D1159">
        <v>3</v>
      </c>
      <c r="E1159">
        <v>7</v>
      </c>
      <c r="F1159" t="s">
        <v>250</v>
      </c>
      <c r="G1159" t="s">
        <v>251</v>
      </c>
    </row>
    <row r="1160" spans="1:7" hidden="1" x14ac:dyDescent="0.25">
      <c r="A1160">
        <v>50</v>
      </c>
      <c r="B1160">
        <v>1264</v>
      </c>
      <c r="C1160">
        <v>0</v>
      </c>
      <c r="D1160">
        <v>3</v>
      </c>
      <c r="E1160">
        <v>7</v>
      </c>
      <c r="F1160" t="s">
        <v>250</v>
      </c>
      <c r="G1160" t="s">
        <v>251</v>
      </c>
    </row>
    <row r="1161" spans="1:7" hidden="1" x14ac:dyDescent="0.25">
      <c r="A1161">
        <v>50</v>
      </c>
      <c r="B1161">
        <v>4228</v>
      </c>
      <c r="C1161">
        <v>0</v>
      </c>
      <c r="D1161">
        <v>3</v>
      </c>
      <c r="E1161">
        <v>7</v>
      </c>
      <c r="F1161" t="s">
        <v>250</v>
      </c>
      <c r="G1161" t="s">
        <v>251</v>
      </c>
    </row>
    <row r="1162" spans="1:7" hidden="1" x14ac:dyDescent="0.25">
      <c r="A1162">
        <v>50</v>
      </c>
      <c r="B1162">
        <v>5004</v>
      </c>
      <c r="C1162">
        <v>0</v>
      </c>
      <c r="D1162">
        <v>3</v>
      </c>
      <c r="E1162">
        <v>7</v>
      </c>
      <c r="F1162" t="s">
        <v>250</v>
      </c>
      <c r="G1162" t="s">
        <v>251</v>
      </c>
    </row>
    <row r="1163" spans="1:7" hidden="1" x14ac:dyDescent="0.25">
      <c r="A1163">
        <v>50</v>
      </c>
      <c r="B1163">
        <v>7283</v>
      </c>
      <c r="C1163">
        <v>0</v>
      </c>
      <c r="D1163">
        <v>3</v>
      </c>
      <c r="E1163">
        <v>7</v>
      </c>
      <c r="F1163" t="s">
        <v>250</v>
      </c>
      <c r="G1163" t="s">
        <v>251</v>
      </c>
    </row>
    <row r="1164" spans="1:7" hidden="1" x14ac:dyDescent="0.25">
      <c r="A1164">
        <v>50</v>
      </c>
      <c r="B1164">
        <v>7284</v>
      </c>
      <c r="C1164">
        <v>0</v>
      </c>
      <c r="D1164">
        <v>3</v>
      </c>
      <c r="E1164">
        <v>7</v>
      </c>
      <c r="F1164" t="s">
        <v>250</v>
      </c>
      <c r="G1164" t="s">
        <v>251</v>
      </c>
    </row>
    <row r="1165" spans="1:7" hidden="1" x14ac:dyDescent="0.25">
      <c r="A1165">
        <v>50</v>
      </c>
      <c r="B1165">
        <v>9356</v>
      </c>
      <c r="C1165">
        <v>0</v>
      </c>
      <c r="D1165">
        <v>3</v>
      </c>
      <c r="E1165">
        <v>7</v>
      </c>
      <c r="F1165" t="s">
        <v>250</v>
      </c>
      <c r="G1165" t="s">
        <v>251</v>
      </c>
    </row>
    <row r="1166" spans="1:7" hidden="1" x14ac:dyDescent="0.25">
      <c r="A1166">
        <v>50</v>
      </c>
      <c r="B1166">
        <v>10592</v>
      </c>
      <c r="C1166">
        <v>0</v>
      </c>
      <c r="D1166">
        <v>3</v>
      </c>
      <c r="E1166">
        <v>7</v>
      </c>
      <c r="F1166" t="s">
        <v>250</v>
      </c>
      <c r="G1166" t="s">
        <v>251</v>
      </c>
    </row>
    <row r="1167" spans="1:7" hidden="1" x14ac:dyDescent="0.25">
      <c r="A1167">
        <v>99</v>
      </c>
      <c r="B1167">
        <v>2168</v>
      </c>
      <c r="C1167">
        <v>0</v>
      </c>
      <c r="D1167">
        <v>3</v>
      </c>
      <c r="E1167">
        <v>7</v>
      </c>
      <c r="F1167" t="s">
        <v>250</v>
      </c>
      <c r="G1167" t="s">
        <v>251</v>
      </c>
    </row>
    <row r="1168" spans="1:7" hidden="1" x14ac:dyDescent="0.25">
      <c r="A1168">
        <v>99</v>
      </c>
      <c r="B1168">
        <v>2472</v>
      </c>
      <c r="C1168">
        <v>0</v>
      </c>
      <c r="D1168">
        <v>3</v>
      </c>
      <c r="E1168">
        <v>7</v>
      </c>
      <c r="F1168" t="s">
        <v>250</v>
      </c>
      <c r="G1168" t="s">
        <v>251</v>
      </c>
    </row>
    <row r="1169" spans="1:7" hidden="1" x14ac:dyDescent="0.25">
      <c r="A1169">
        <v>99</v>
      </c>
      <c r="B1169">
        <v>3056</v>
      </c>
      <c r="C1169">
        <v>0</v>
      </c>
      <c r="D1169">
        <v>3</v>
      </c>
      <c r="E1169">
        <v>7</v>
      </c>
      <c r="F1169" t="s">
        <v>250</v>
      </c>
      <c r="G1169" t="s">
        <v>251</v>
      </c>
    </row>
    <row r="1170" spans="1:7" hidden="1" x14ac:dyDescent="0.25">
      <c r="A1170">
        <v>99</v>
      </c>
      <c r="B1170">
        <v>3100</v>
      </c>
      <c r="C1170">
        <v>0</v>
      </c>
      <c r="D1170">
        <v>3</v>
      </c>
      <c r="E1170">
        <v>7</v>
      </c>
      <c r="F1170" t="s">
        <v>250</v>
      </c>
      <c r="G1170" t="s">
        <v>251</v>
      </c>
    </row>
    <row r="1171" spans="1:7" x14ac:dyDescent="0.25">
      <c r="A1171">
        <v>99</v>
      </c>
      <c r="B1171">
        <v>4124</v>
      </c>
      <c r="C1171">
        <v>0</v>
      </c>
      <c r="D1171">
        <v>3</v>
      </c>
      <c r="E1171">
        <v>7</v>
      </c>
      <c r="F1171" t="s">
        <v>250</v>
      </c>
      <c r="G1171" t="s">
        <v>251</v>
      </c>
    </row>
    <row r="1172" spans="1:7" hidden="1" x14ac:dyDescent="0.25">
      <c r="A1172">
        <v>99</v>
      </c>
      <c r="B1172">
        <v>5932</v>
      </c>
      <c r="C1172">
        <v>0</v>
      </c>
      <c r="D1172">
        <v>3</v>
      </c>
      <c r="E1172">
        <v>7</v>
      </c>
      <c r="F1172" t="s">
        <v>250</v>
      </c>
      <c r="G1172" t="s">
        <v>251</v>
      </c>
    </row>
    <row r="1173" spans="1:7" hidden="1" x14ac:dyDescent="0.25">
      <c r="A1173">
        <v>99</v>
      </c>
      <c r="B1173">
        <v>5992</v>
      </c>
      <c r="C1173">
        <v>0</v>
      </c>
      <c r="D1173">
        <v>3</v>
      </c>
      <c r="E1173">
        <v>7</v>
      </c>
      <c r="F1173" t="s">
        <v>250</v>
      </c>
      <c r="G1173" t="s">
        <v>251</v>
      </c>
    </row>
    <row r="1174" spans="1:7" hidden="1" x14ac:dyDescent="0.25">
      <c r="A1174">
        <v>99</v>
      </c>
      <c r="B1174">
        <v>7260</v>
      </c>
      <c r="C1174">
        <v>0</v>
      </c>
      <c r="D1174">
        <v>3</v>
      </c>
      <c r="E1174">
        <v>7</v>
      </c>
      <c r="F1174" t="s">
        <v>250</v>
      </c>
      <c r="G1174" t="s">
        <v>251</v>
      </c>
    </row>
    <row r="1175" spans="1:7" hidden="1" x14ac:dyDescent="0.25">
      <c r="A1175">
        <v>99</v>
      </c>
      <c r="B1175">
        <v>8804</v>
      </c>
      <c r="C1175">
        <v>0</v>
      </c>
      <c r="D1175">
        <v>3</v>
      </c>
      <c r="E1175">
        <v>7</v>
      </c>
      <c r="F1175" t="s">
        <v>250</v>
      </c>
      <c r="G1175" t="s">
        <v>251</v>
      </c>
    </row>
    <row r="1176" spans="1:7" hidden="1" x14ac:dyDescent="0.25">
      <c r="A1176">
        <v>99</v>
      </c>
      <c r="B1176">
        <v>9176</v>
      </c>
      <c r="C1176">
        <v>0</v>
      </c>
      <c r="D1176">
        <v>3</v>
      </c>
      <c r="E1176">
        <v>7</v>
      </c>
      <c r="F1176" t="s">
        <v>250</v>
      </c>
      <c r="G1176" t="s">
        <v>251</v>
      </c>
    </row>
    <row r="1177" spans="1:7" hidden="1" x14ac:dyDescent="0.25">
      <c r="A1177">
        <v>99</v>
      </c>
      <c r="B1177">
        <v>9256</v>
      </c>
      <c r="C1177">
        <v>0</v>
      </c>
      <c r="D1177">
        <v>3</v>
      </c>
      <c r="E1177">
        <v>7</v>
      </c>
      <c r="F1177" t="s">
        <v>250</v>
      </c>
      <c r="G1177" t="s">
        <v>251</v>
      </c>
    </row>
    <row r="1178" spans="1:7" hidden="1" x14ac:dyDescent="0.25">
      <c r="A1178">
        <v>99</v>
      </c>
      <c r="B1178">
        <v>9752</v>
      </c>
      <c r="C1178">
        <v>0</v>
      </c>
      <c r="D1178">
        <v>3</v>
      </c>
      <c r="E1178">
        <v>7</v>
      </c>
      <c r="F1178" t="s">
        <v>250</v>
      </c>
      <c r="G1178" t="s">
        <v>251</v>
      </c>
    </row>
    <row r="1179" spans="1:7" hidden="1" x14ac:dyDescent="0.25">
      <c r="A1179">
        <v>99</v>
      </c>
      <c r="B1179">
        <v>10364</v>
      </c>
      <c r="C1179">
        <v>0</v>
      </c>
      <c r="D1179">
        <v>3</v>
      </c>
      <c r="E1179">
        <v>7</v>
      </c>
      <c r="F1179" t="s">
        <v>250</v>
      </c>
      <c r="G1179" t="s">
        <v>251</v>
      </c>
    </row>
    <row r="1180" spans="1:7" hidden="1" x14ac:dyDescent="0.25">
      <c r="A1180">
        <v>50</v>
      </c>
      <c r="B1180">
        <v>476</v>
      </c>
      <c r="C1180">
        <v>0</v>
      </c>
      <c r="D1180">
        <v>3</v>
      </c>
      <c r="E1180">
        <v>9</v>
      </c>
      <c r="F1180" t="s">
        <v>254</v>
      </c>
      <c r="G1180" t="s">
        <v>158</v>
      </c>
    </row>
    <row r="1181" spans="1:7" hidden="1" x14ac:dyDescent="0.25">
      <c r="A1181">
        <v>50</v>
      </c>
      <c r="B1181">
        <v>1264</v>
      </c>
      <c r="C1181">
        <v>0</v>
      </c>
      <c r="D1181">
        <v>3</v>
      </c>
      <c r="E1181">
        <v>9</v>
      </c>
      <c r="F1181" t="s">
        <v>254</v>
      </c>
      <c r="G1181" t="s">
        <v>158</v>
      </c>
    </row>
    <row r="1182" spans="1:7" hidden="1" x14ac:dyDescent="0.25">
      <c r="A1182">
        <v>50</v>
      </c>
      <c r="B1182">
        <v>4228</v>
      </c>
      <c r="C1182">
        <v>0</v>
      </c>
      <c r="D1182">
        <v>3</v>
      </c>
      <c r="E1182">
        <v>9</v>
      </c>
      <c r="F1182" t="s">
        <v>254</v>
      </c>
      <c r="G1182" t="s">
        <v>158</v>
      </c>
    </row>
    <row r="1183" spans="1:7" hidden="1" x14ac:dyDescent="0.25">
      <c r="A1183">
        <v>50</v>
      </c>
      <c r="B1183">
        <v>5004</v>
      </c>
      <c r="C1183">
        <v>0</v>
      </c>
      <c r="D1183">
        <v>3</v>
      </c>
      <c r="E1183">
        <v>9</v>
      </c>
      <c r="F1183" t="s">
        <v>254</v>
      </c>
      <c r="G1183" t="s">
        <v>158</v>
      </c>
    </row>
    <row r="1184" spans="1:7" hidden="1" x14ac:dyDescent="0.25">
      <c r="A1184">
        <v>50</v>
      </c>
      <c r="B1184">
        <v>7283</v>
      </c>
      <c r="C1184">
        <v>0</v>
      </c>
      <c r="D1184">
        <v>3</v>
      </c>
      <c r="E1184">
        <v>9</v>
      </c>
      <c r="F1184" t="s">
        <v>254</v>
      </c>
      <c r="G1184" t="s">
        <v>158</v>
      </c>
    </row>
    <row r="1185" spans="1:7" hidden="1" x14ac:dyDescent="0.25">
      <c r="A1185">
        <v>50</v>
      </c>
      <c r="B1185">
        <v>7284</v>
      </c>
      <c r="C1185">
        <v>0</v>
      </c>
      <c r="D1185">
        <v>3</v>
      </c>
      <c r="E1185">
        <v>9</v>
      </c>
      <c r="F1185" t="s">
        <v>254</v>
      </c>
      <c r="G1185" t="s">
        <v>158</v>
      </c>
    </row>
    <row r="1186" spans="1:7" hidden="1" x14ac:dyDescent="0.25">
      <c r="A1186">
        <v>50</v>
      </c>
      <c r="B1186">
        <v>9356</v>
      </c>
      <c r="C1186">
        <v>0</v>
      </c>
      <c r="D1186">
        <v>3</v>
      </c>
      <c r="E1186">
        <v>9</v>
      </c>
      <c r="F1186" t="s">
        <v>254</v>
      </c>
      <c r="G1186" t="s">
        <v>158</v>
      </c>
    </row>
    <row r="1187" spans="1:7" hidden="1" x14ac:dyDescent="0.25">
      <c r="A1187">
        <v>50</v>
      </c>
      <c r="B1187">
        <v>10592</v>
      </c>
      <c r="C1187">
        <v>0</v>
      </c>
      <c r="D1187">
        <v>3</v>
      </c>
      <c r="E1187">
        <v>9</v>
      </c>
      <c r="F1187" t="s">
        <v>254</v>
      </c>
      <c r="G1187" t="s">
        <v>331</v>
      </c>
    </row>
    <row r="1188" spans="1:7" hidden="1" x14ac:dyDescent="0.25">
      <c r="A1188">
        <v>99</v>
      </c>
      <c r="B1188">
        <v>2168</v>
      </c>
      <c r="C1188">
        <v>0</v>
      </c>
      <c r="D1188">
        <v>3</v>
      </c>
      <c r="E1188">
        <v>9</v>
      </c>
      <c r="F1188" t="s">
        <v>254</v>
      </c>
      <c r="G1188" t="s">
        <v>194</v>
      </c>
    </row>
    <row r="1189" spans="1:7" hidden="1" x14ac:dyDescent="0.25">
      <c r="A1189">
        <v>99</v>
      </c>
      <c r="B1189">
        <v>2472</v>
      </c>
      <c r="C1189">
        <v>0</v>
      </c>
      <c r="D1189">
        <v>3</v>
      </c>
      <c r="E1189">
        <v>9</v>
      </c>
      <c r="F1189" t="s">
        <v>254</v>
      </c>
      <c r="G1189" t="s">
        <v>194</v>
      </c>
    </row>
    <row r="1190" spans="1:7" hidden="1" x14ac:dyDescent="0.25">
      <c r="A1190">
        <v>99</v>
      </c>
      <c r="B1190">
        <v>3056</v>
      </c>
      <c r="C1190">
        <v>0</v>
      </c>
      <c r="D1190">
        <v>3</v>
      </c>
      <c r="E1190">
        <v>9</v>
      </c>
      <c r="F1190" t="s">
        <v>254</v>
      </c>
      <c r="G1190" t="s">
        <v>194</v>
      </c>
    </row>
    <row r="1191" spans="1:7" hidden="1" x14ac:dyDescent="0.25">
      <c r="A1191">
        <v>99</v>
      </c>
      <c r="B1191">
        <v>3100</v>
      </c>
      <c r="C1191">
        <v>0</v>
      </c>
      <c r="D1191">
        <v>3</v>
      </c>
      <c r="E1191">
        <v>9</v>
      </c>
      <c r="F1191" t="s">
        <v>254</v>
      </c>
      <c r="G1191" t="s">
        <v>194</v>
      </c>
    </row>
    <row r="1192" spans="1:7" x14ac:dyDescent="0.25">
      <c r="A1192">
        <v>99</v>
      </c>
      <c r="B1192">
        <v>4124</v>
      </c>
      <c r="C1192">
        <v>0</v>
      </c>
      <c r="D1192">
        <v>3</v>
      </c>
      <c r="E1192">
        <v>9</v>
      </c>
      <c r="F1192" t="s">
        <v>254</v>
      </c>
      <c r="G1192" t="s">
        <v>194</v>
      </c>
    </row>
    <row r="1193" spans="1:7" hidden="1" x14ac:dyDescent="0.25">
      <c r="A1193">
        <v>99</v>
      </c>
      <c r="B1193">
        <v>5932</v>
      </c>
      <c r="C1193">
        <v>0</v>
      </c>
      <c r="D1193">
        <v>3</v>
      </c>
      <c r="E1193">
        <v>9</v>
      </c>
      <c r="F1193" t="s">
        <v>254</v>
      </c>
      <c r="G1193" t="s">
        <v>194</v>
      </c>
    </row>
    <row r="1194" spans="1:7" hidden="1" x14ac:dyDescent="0.25">
      <c r="A1194">
        <v>99</v>
      </c>
      <c r="B1194">
        <v>5992</v>
      </c>
      <c r="C1194">
        <v>0</v>
      </c>
      <c r="D1194">
        <v>3</v>
      </c>
      <c r="E1194">
        <v>9</v>
      </c>
      <c r="F1194" t="s">
        <v>254</v>
      </c>
      <c r="G1194" t="s">
        <v>194</v>
      </c>
    </row>
    <row r="1195" spans="1:7" hidden="1" x14ac:dyDescent="0.25">
      <c r="A1195">
        <v>99</v>
      </c>
      <c r="B1195">
        <v>7260</v>
      </c>
      <c r="C1195">
        <v>0</v>
      </c>
      <c r="D1195">
        <v>3</v>
      </c>
      <c r="E1195">
        <v>9</v>
      </c>
      <c r="F1195" t="s">
        <v>254</v>
      </c>
      <c r="G1195" t="s">
        <v>194</v>
      </c>
    </row>
    <row r="1196" spans="1:7" hidden="1" x14ac:dyDescent="0.25">
      <c r="A1196">
        <v>99</v>
      </c>
      <c r="B1196">
        <v>8804</v>
      </c>
      <c r="C1196">
        <v>0</v>
      </c>
      <c r="D1196">
        <v>3</v>
      </c>
      <c r="E1196">
        <v>9</v>
      </c>
      <c r="F1196" t="s">
        <v>254</v>
      </c>
      <c r="G1196" t="s">
        <v>194</v>
      </c>
    </row>
    <row r="1197" spans="1:7" hidden="1" x14ac:dyDescent="0.25">
      <c r="A1197">
        <v>99</v>
      </c>
      <c r="B1197">
        <v>9176</v>
      </c>
      <c r="C1197">
        <v>0</v>
      </c>
      <c r="D1197">
        <v>3</v>
      </c>
      <c r="E1197">
        <v>9</v>
      </c>
      <c r="F1197" t="s">
        <v>254</v>
      </c>
      <c r="G1197" t="s">
        <v>158</v>
      </c>
    </row>
    <row r="1198" spans="1:7" hidden="1" x14ac:dyDescent="0.25">
      <c r="A1198">
        <v>99</v>
      </c>
      <c r="B1198">
        <v>9256</v>
      </c>
      <c r="C1198">
        <v>0</v>
      </c>
      <c r="D1198">
        <v>3</v>
      </c>
      <c r="E1198">
        <v>9</v>
      </c>
      <c r="F1198" t="s">
        <v>254</v>
      </c>
      <c r="G1198" t="s">
        <v>194</v>
      </c>
    </row>
    <row r="1199" spans="1:7" hidden="1" x14ac:dyDescent="0.25">
      <c r="A1199">
        <v>99</v>
      </c>
      <c r="B1199">
        <v>9752</v>
      </c>
      <c r="C1199">
        <v>0</v>
      </c>
      <c r="D1199">
        <v>3</v>
      </c>
      <c r="E1199">
        <v>9</v>
      </c>
      <c r="F1199" t="s">
        <v>254</v>
      </c>
      <c r="G1199" t="s">
        <v>194</v>
      </c>
    </row>
    <row r="1200" spans="1:7" hidden="1" x14ac:dyDescent="0.25">
      <c r="A1200">
        <v>99</v>
      </c>
      <c r="B1200">
        <v>10364</v>
      </c>
      <c r="C1200">
        <v>0</v>
      </c>
      <c r="D1200">
        <v>3</v>
      </c>
      <c r="E1200">
        <v>9</v>
      </c>
      <c r="F1200" t="s">
        <v>254</v>
      </c>
      <c r="G1200" t="s">
        <v>194</v>
      </c>
    </row>
    <row r="1201" spans="1:7" hidden="1" x14ac:dyDescent="0.25">
      <c r="A1201">
        <v>50</v>
      </c>
      <c r="B1201">
        <v>476</v>
      </c>
      <c r="C1201">
        <v>0</v>
      </c>
      <c r="D1201">
        <v>3</v>
      </c>
      <c r="E1201">
        <v>11</v>
      </c>
      <c r="F1201" t="s">
        <v>256</v>
      </c>
      <c r="G1201" t="s">
        <v>154</v>
      </c>
    </row>
    <row r="1202" spans="1:7" hidden="1" x14ac:dyDescent="0.25">
      <c r="A1202">
        <v>50</v>
      </c>
      <c r="B1202">
        <v>1264</v>
      </c>
      <c r="C1202">
        <v>0</v>
      </c>
      <c r="D1202">
        <v>3</v>
      </c>
      <c r="E1202">
        <v>11</v>
      </c>
      <c r="F1202" t="s">
        <v>256</v>
      </c>
      <c r="G1202" t="s">
        <v>154</v>
      </c>
    </row>
    <row r="1203" spans="1:7" hidden="1" x14ac:dyDescent="0.25">
      <c r="A1203">
        <v>50</v>
      </c>
      <c r="B1203">
        <v>4228</v>
      </c>
      <c r="C1203">
        <v>0</v>
      </c>
      <c r="D1203">
        <v>3</v>
      </c>
      <c r="E1203">
        <v>11</v>
      </c>
      <c r="F1203" t="s">
        <v>256</v>
      </c>
      <c r="G1203" t="s">
        <v>154</v>
      </c>
    </row>
    <row r="1204" spans="1:7" hidden="1" x14ac:dyDescent="0.25">
      <c r="A1204">
        <v>50</v>
      </c>
      <c r="B1204">
        <v>5004</v>
      </c>
      <c r="C1204">
        <v>0</v>
      </c>
      <c r="D1204">
        <v>3</v>
      </c>
      <c r="E1204">
        <v>11</v>
      </c>
      <c r="F1204" t="s">
        <v>256</v>
      </c>
      <c r="G1204" t="s">
        <v>154</v>
      </c>
    </row>
    <row r="1205" spans="1:7" hidden="1" x14ac:dyDescent="0.25">
      <c r="A1205">
        <v>50</v>
      </c>
      <c r="B1205">
        <v>7283</v>
      </c>
      <c r="C1205">
        <v>0</v>
      </c>
      <c r="D1205">
        <v>3</v>
      </c>
      <c r="E1205">
        <v>11</v>
      </c>
      <c r="F1205" t="s">
        <v>256</v>
      </c>
      <c r="G1205" t="s">
        <v>154</v>
      </c>
    </row>
    <row r="1206" spans="1:7" hidden="1" x14ac:dyDescent="0.25">
      <c r="A1206">
        <v>50</v>
      </c>
      <c r="B1206">
        <v>7284</v>
      </c>
      <c r="C1206">
        <v>0</v>
      </c>
      <c r="D1206">
        <v>3</v>
      </c>
      <c r="E1206">
        <v>11</v>
      </c>
      <c r="F1206" t="s">
        <v>256</v>
      </c>
      <c r="G1206" t="s">
        <v>154</v>
      </c>
    </row>
    <row r="1207" spans="1:7" hidden="1" x14ac:dyDescent="0.25">
      <c r="A1207">
        <v>50</v>
      </c>
      <c r="B1207">
        <v>9356</v>
      </c>
      <c r="C1207">
        <v>0</v>
      </c>
      <c r="D1207">
        <v>3</v>
      </c>
      <c r="E1207">
        <v>11</v>
      </c>
      <c r="F1207" t="s">
        <v>256</v>
      </c>
      <c r="G1207" t="s">
        <v>154</v>
      </c>
    </row>
    <row r="1208" spans="1:7" hidden="1" x14ac:dyDescent="0.25">
      <c r="A1208">
        <v>50</v>
      </c>
      <c r="B1208">
        <v>10592</v>
      </c>
      <c r="C1208">
        <v>0</v>
      </c>
      <c r="D1208">
        <v>3</v>
      </c>
      <c r="E1208">
        <v>11</v>
      </c>
      <c r="F1208" t="s">
        <v>256</v>
      </c>
      <c r="G1208" t="s">
        <v>154</v>
      </c>
    </row>
    <row r="1209" spans="1:7" hidden="1" x14ac:dyDescent="0.25">
      <c r="A1209">
        <v>99</v>
      </c>
      <c r="B1209">
        <v>2168</v>
      </c>
      <c r="C1209">
        <v>0</v>
      </c>
      <c r="D1209">
        <v>3</v>
      </c>
      <c r="E1209">
        <v>11</v>
      </c>
      <c r="F1209" t="s">
        <v>256</v>
      </c>
      <c r="G1209" t="s">
        <v>154</v>
      </c>
    </row>
    <row r="1210" spans="1:7" hidden="1" x14ac:dyDescent="0.25">
      <c r="A1210">
        <v>99</v>
      </c>
      <c r="B1210">
        <v>2472</v>
      </c>
      <c r="C1210">
        <v>0</v>
      </c>
      <c r="D1210">
        <v>3</v>
      </c>
      <c r="E1210">
        <v>11</v>
      </c>
      <c r="F1210" t="s">
        <v>256</v>
      </c>
      <c r="G1210" t="s">
        <v>154</v>
      </c>
    </row>
    <row r="1211" spans="1:7" hidden="1" x14ac:dyDescent="0.25">
      <c r="A1211">
        <v>99</v>
      </c>
      <c r="B1211">
        <v>3056</v>
      </c>
      <c r="C1211">
        <v>0</v>
      </c>
      <c r="D1211">
        <v>3</v>
      </c>
      <c r="E1211">
        <v>11</v>
      </c>
      <c r="F1211" t="s">
        <v>256</v>
      </c>
      <c r="G1211" t="s">
        <v>154</v>
      </c>
    </row>
    <row r="1212" spans="1:7" hidden="1" x14ac:dyDescent="0.25">
      <c r="A1212">
        <v>99</v>
      </c>
      <c r="B1212">
        <v>3100</v>
      </c>
      <c r="C1212">
        <v>0</v>
      </c>
      <c r="D1212">
        <v>3</v>
      </c>
      <c r="E1212">
        <v>11</v>
      </c>
      <c r="F1212" t="s">
        <v>256</v>
      </c>
      <c r="G1212" t="s">
        <v>154</v>
      </c>
    </row>
    <row r="1213" spans="1:7" x14ac:dyDescent="0.25">
      <c r="A1213">
        <v>99</v>
      </c>
      <c r="B1213">
        <v>4124</v>
      </c>
      <c r="C1213">
        <v>0</v>
      </c>
      <c r="D1213">
        <v>3</v>
      </c>
      <c r="E1213">
        <v>11</v>
      </c>
      <c r="F1213" t="s">
        <v>256</v>
      </c>
      <c r="G1213" t="s">
        <v>154</v>
      </c>
    </row>
    <row r="1214" spans="1:7" hidden="1" x14ac:dyDescent="0.25">
      <c r="A1214">
        <v>99</v>
      </c>
      <c r="B1214">
        <v>5932</v>
      </c>
      <c r="C1214">
        <v>0</v>
      </c>
      <c r="D1214">
        <v>3</v>
      </c>
      <c r="E1214">
        <v>11</v>
      </c>
      <c r="F1214" t="s">
        <v>256</v>
      </c>
      <c r="G1214" t="s">
        <v>154</v>
      </c>
    </row>
    <row r="1215" spans="1:7" hidden="1" x14ac:dyDescent="0.25">
      <c r="A1215">
        <v>99</v>
      </c>
      <c r="B1215">
        <v>5992</v>
      </c>
      <c r="C1215">
        <v>0</v>
      </c>
      <c r="D1215">
        <v>3</v>
      </c>
      <c r="E1215">
        <v>11</v>
      </c>
      <c r="F1215" t="s">
        <v>256</v>
      </c>
      <c r="G1215" t="s">
        <v>154</v>
      </c>
    </row>
    <row r="1216" spans="1:7" hidden="1" x14ac:dyDescent="0.25">
      <c r="A1216">
        <v>99</v>
      </c>
      <c r="B1216">
        <v>7260</v>
      </c>
      <c r="C1216">
        <v>0</v>
      </c>
      <c r="D1216">
        <v>3</v>
      </c>
      <c r="E1216">
        <v>11</v>
      </c>
      <c r="F1216" t="s">
        <v>256</v>
      </c>
      <c r="G1216" t="s">
        <v>154</v>
      </c>
    </row>
    <row r="1217" spans="1:7" hidden="1" x14ac:dyDescent="0.25">
      <c r="A1217">
        <v>99</v>
      </c>
      <c r="B1217">
        <v>8804</v>
      </c>
      <c r="C1217">
        <v>0</v>
      </c>
      <c r="D1217">
        <v>3</v>
      </c>
      <c r="E1217">
        <v>11</v>
      </c>
      <c r="F1217" t="s">
        <v>256</v>
      </c>
      <c r="G1217" t="s">
        <v>154</v>
      </c>
    </row>
    <row r="1218" spans="1:7" hidden="1" x14ac:dyDescent="0.25">
      <c r="A1218">
        <v>99</v>
      </c>
      <c r="B1218">
        <v>9176</v>
      </c>
      <c r="C1218">
        <v>0</v>
      </c>
      <c r="D1218">
        <v>3</v>
      </c>
      <c r="E1218">
        <v>11</v>
      </c>
      <c r="F1218" t="s">
        <v>256</v>
      </c>
      <c r="G1218" t="s">
        <v>154</v>
      </c>
    </row>
    <row r="1219" spans="1:7" hidden="1" x14ac:dyDescent="0.25">
      <c r="A1219">
        <v>99</v>
      </c>
      <c r="B1219">
        <v>9256</v>
      </c>
      <c r="C1219">
        <v>0</v>
      </c>
      <c r="D1219">
        <v>3</v>
      </c>
      <c r="E1219">
        <v>11</v>
      </c>
      <c r="F1219" t="s">
        <v>256</v>
      </c>
      <c r="G1219" t="s">
        <v>154</v>
      </c>
    </row>
    <row r="1220" spans="1:7" hidden="1" x14ac:dyDescent="0.25">
      <c r="A1220">
        <v>99</v>
      </c>
      <c r="B1220">
        <v>9752</v>
      </c>
      <c r="C1220">
        <v>0</v>
      </c>
      <c r="D1220">
        <v>3</v>
      </c>
      <c r="E1220">
        <v>11</v>
      </c>
      <c r="F1220" t="s">
        <v>256</v>
      </c>
      <c r="G1220" t="s">
        <v>154</v>
      </c>
    </row>
    <row r="1221" spans="1:7" hidden="1" x14ac:dyDescent="0.25">
      <c r="A1221">
        <v>99</v>
      </c>
      <c r="B1221">
        <v>10364</v>
      </c>
      <c r="C1221">
        <v>0</v>
      </c>
      <c r="D1221">
        <v>3</v>
      </c>
      <c r="E1221">
        <v>11</v>
      </c>
      <c r="F1221" t="s">
        <v>256</v>
      </c>
      <c r="G1221" t="s">
        <v>154</v>
      </c>
    </row>
    <row r="1222" spans="1:7" hidden="1" x14ac:dyDescent="0.25">
      <c r="A1222">
        <v>50</v>
      </c>
      <c r="B1222">
        <v>476</v>
      </c>
      <c r="C1222">
        <v>0</v>
      </c>
      <c r="D1222">
        <v>3</v>
      </c>
      <c r="E1222">
        <v>12</v>
      </c>
      <c r="F1222" t="s">
        <v>257</v>
      </c>
      <c r="G1222" t="s">
        <v>124</v>
      </c>
    </row>
    <row r="1223" spans="1:7" hidden="1" x14ac:dyDescent="0.25">
      <c r="A1223">
        <v>50</v>
      </c>
      <c r="B1223">
        <v>1264</v>
      </c>
      <c r="C1223">
        <v>0</v>
      </c>
      <c r="D1223">
        <v>3</v>
      </c>
      <c r="E1223">
        <v>12</v>
      </c>
      <c r="F1223" t="s">
        <v>257</v>
      </c>
      <c r="G1223" t="s">
        <v>124</v>
      </c>
    </row>
    <row r="1224" spans="1:7" hidden="1" x14ac:dyDescent="0.25">
      <c r="A1224">
        <v>50</v>
      </c>
      <c r="B1224">
        <v>4228</v>
      </c>
      <c r="C1224">
        <v>0</v>
      </c>
      <c r="D1224">
        <v>3</v>
      </c>
      <c r="E1224">
        <v>12</v>
      </c>
      <c r="F1224" t="s">
        <v>257</v>
      </c>
      <c r="G1224" t="s">
        <v>124</v>
      </c>
    </row>
    <row r="1225" spans="1:7" hidden="1" x14ac:dyDescent="0.25">
      <c r="A1225">
        <v>50</v>
      </c>
      <c r="B1225">
        <v>5004</v>
      </c>
      <c r="C1225">
        <v>0</v>
      </c>
      <c r="D1225">
        <v>3</v>
      </c>
      <c r="E1225">
        <v>12</v>
      </c>
      <c r="F1225" t="s">
        <v>257</v>
      </c>
      <c r="G1225" t="s">
        <v>124</v>
      </c>
    </row>
    <row r="1226" spans="1:7" hidden="1" x14ac:dyDescent="0.25">
      <c r="A1226">
        <v>50</v>
      </c>
      <c r="B1226">
        <v>7283</v>
      </c>
      <c r="C1226">
        <v>0</v>
      </c>
      <c r="D1226">
        <v>3</v>
      </c>
      <c r="E1226">
        <v>12</v>
      </c>
      <c r="F1226" t="s">
        <v>257</v>
      </c>
      <c r="G1226" t="s">
        <v>124</v>
      </c>
    </row>
    <row r="1227" spans="1:7" hidden="1" x14ac:dyDescent="0.25">
      <c r="A1227">
        <v>50</v>
      </c>
      <c r="B1227">
        <v>7284</v>
      </c>
      <c r="C1227">
        <v>0</v>
      </c>
      <c r="D1227">
        <v>3</v>
      </c>
      <c r="E1227">
        <v>12</v>
      </c>
      <c r="F1227" t="s">
        <v>257</v>
      </c>
      <c r="G1227" t="s">
        <v>124</v>
      </c>
    </row>
    <row r="1228" spans="1:7" hidden="1" x14ac:dyDescent="0.25">
      <c r="A1228">
        <v>50</v>
      </c>
      <c r="B1228">
        <v>9356</v>
      </c>
      <c r="C1228">
        <v>0</v>
      </c>
      <c r="D1228">
        <v>3</v>
      </c>
      <c r="E1228">
        <v>12</v>
      </c>
      <c r="F1228" t="s">
        <v>257</v>
      </c>
      <c r="G1228" t="s">
        <v>124</v>
      </c>
    </row>
    <row r="1229" spans="1:7" hidden="1" x14ac:dyDescent="0.25">
      <c r="A1229">
        <v>50</v>
      </c>
      <c r="B1229">
        <v>10592</v>
      </c>
      <c r="C1229">
        <v>0</v>
      </c>
      <c r="D1229">
        <v>3</v>
      </c>
      <c r="E1229">
        <v>12</v>
      </c>
      <c r="F1229" t="s">
        <v>257</v>
      </c>
      <c r="G1229" t="s">
        <v>124</v>
      </c>
    </row>
    <row r="1230" spans="1:7" hidden="1" x14ac:dyDescent="0.25">
      <c r="A1230">
        <v>99</v>
      </c>
      <c r="B1230">
        <v>2168</v>
      </c>
      <c r="C1230">
        <v>0</v>
      </c>
      <c r="D1230">
        <v>3</v>
      </c>
      <c r="E1230">
        <v>12</v>
      </c>
      <c r="F1230" t="s">
        <v>257</v>
      </c>
      <c r="G1230" t="s">
        <v>124</v>
      </c>
    </row>
    <row r="1231" spans="1:7" hidden="1" x14ac:dyDescent="0.25">
      <c r="A1231">
        <v>99</v>
      </c>
      <c r="B1231">
        <v>2472</v>
      </c>
      <c r="C1231">
        <v>0</v>
      </c>
      <c r="D1231">
        <v>3</v>
      </c>
      <c r="E1231">
        <v>12</v>
      </c>
      <c r="F1231" t="s">
        <v>257</v>
      </c>
      <c r="G1231" t="s">
        <v>124</v>
      </c>
    </row>
    <row r="1232" spans="1:7" hidden="1" x14ac:dyDescent="0.25">
      <c r="A1232">
        <v>99</v>
      </c>
      <c r="B1232">
        <v>3056</v>
      </c>
      <c r="C1232">
        <v>0</v>
      </c>
      <c r="D1232">
        <v>3</v>
      </c>
      <c r="E1232">
        <v>12</v>
      </c>
      <c r="F1232" t="s">
        <v>257</v>
      </c>
      <c r="G1232" t="s">
        <v>124</v>
      </c>
    </row>
    <row r="1233" spans="1:7" hidden="1" x14ac:dyDescent="0.25">
      <c r="A1233">
        <v>99</v>
      </c>
      <c r="B1233">
        <v>3100</v>
      </c>
      <c r="C1233">
        <v>0</v>
      </c>
      <c r="D1233">
        <v>3</v>
      </c>
      <c r="E1233">
        <v>12</v>
      </c>
      <c r="F1233" t="s">
        <v>257</v>
      </c>
      <c r="G1233" t="s">
        <v>124</v>
      </c>
    </row>
    <row r="1234" spans="1:7" x14ac:dyDescent="0.25">
      <c r="A1234">
        <v>99</v>
      </c>
      <c r="B1234">
        <v>4124</v>
      </c>
      <c r="C1234">
        <v>0</v>
      </c>
      <c r="D1234">
        <v>3</v>
      </c>
      <c r="E1234">
        <v>12</v>
      </c>
      <c r="F1234" t="s">
        <v>257</v>
      </c>
      <c r="G1234" t="s">
        <v>124</v>
      </c>
    </row>
    <row r="1235" spans="1:7" hidden="1" x14ac:dyDescent="0.25">
      <c r="A1235">
        <v>99</v>
      </c>
      <c r="B1235">
        <v>5932</v>
      </c>
      <c r="C1235">
        <v>0</v>
      </c>
      <c r="D1235">
        <v>3</v>
      </c>
      <c r="E1235">
        <v>12</v>
      </c>
      <c r="F1235" t="s">
        <v>257</v>
      </c>
      <c r="G1235" t="s">
        <v>124</v>
      </c>
    </row>
    <row r="1236" spans="1:7" hidden="1" x14ac:dyDescent="0.25">
      <c r="A1236">
        <v>99</v>
      </c>
      <c r="B1236">
        <v>5992</v>
      </c>
      <c r="C1236">
        <v>0</v>
      </c>
      <c r="D1236">
        <v>3</v>
      </c>
      <c r="E1236">
        <v>12</v>
      </c>
      <c r="F1236" t="s">
        <v>257</v>
      </c>
      <c r="G1236" t="s">
        <v>124</v>
      </c>
    </row>
    <row r="1237" spans="1:7" hidden="1" x14ac:dyDescent="0.25">
      <c r="A1237">
        <v>99</v>
      </c>
      <c r="B1237">
        <v>7260</v>
      </c>
      <c r="C1237">
        <v>0</v>
      </c>
      <c r="D1237">
        <v>3</v>
      </c>
      <c r="E1237">
        <v>12</v>
      </c>
      <c r="F1237" t="s">
        <v>257</v>
      </c>
      <c r="G1237" t="s">
        <v>124</v>
      </c>
    </row>
    <row r="1238" spans="1:7" hidden="1" x14ac:dyDescent="0.25">
      <c r="A1238">
        <v>99</v>
      </c>
      <c r="B1238">
        <v>8804</v>
      </c>
      <c r="C1238">
        <v>0</v>
      </c>
      <c r="D1238">
        <v>3</v>
      </c>
      <c r="E1238">
        <v>12</v>
      </c>
      <c r="F1238" t="s">
        <v>257</v>
      </c>
      <c r="G1238" t="s">
        <v>124</v>
      </c>
    </row>
    <row r="1239" spans="1:7" hidden="1" x14ac:dyDescent="0.25">
      <c r="A1239">
        <v>99</v>
      </c>
      <c r="B1239">
        <v>9176</v>
      </c>
      <c r="C1239">
        <v>0</v>
      </c>
      <c r="D1239">
        <v>3</v>
      </c>
      <c r="E1239">
        <v>12</v>
      </c>
      <c r="F1239" t="s">
        <v>257</v>
      </c>
      <c r="G1239" t="s">
        <v>124</v>
      </c>
    </row>
    <row r="1240" spans="1:7" hidden="1" x14ac:dyDescent="0.25">
      <c r="A1240">
        <v>99</v>
      </c>
      <c r="B1240">
        <v>9256</v>
      </c>
      <c r="C1240">
        <v>0</v>
      </c>
      <c r="D1240">
        <v>3</v>
      </c>
      <c r="E1240">
        <v>12</v>
      </c>
      <c r="F1240" t="s">
        <v>257</v>
      </c>
      <c r="G1240" t="s">
        <v>124</v>
      </c>
    </row>
    <row r="1241" spans="1:7" hidden="1" x14ac:dyDescent="0.25">
      <c r="A1241">
        <v>99</v>
      </c>
      <c r="B1241">
        <v>9752</v>
      </c>
      <c r="C1241">
        <v>0</v>
      </c>
      <c r="D1241">
        <v>3</v>
      </c>
      <c r="E1241">
        <v>12</v>
      </c>
      <c r="F1241" t="s">
        <v>257</v>
      </c>
      <c r="G1241" t="s">
        <v>124</v>
      </c>
    </row>
    <row r="1242" spans="1:7" hidden="1" x14ac:dyDescent="0.25">
      <c r="A1242">
        <v>99</v>
      </c>
      <c r="B1242">
        <v>10364</v>
      </c>
      <c r="C1242">
        <v>0</v>
      </c>
      <c r="D1242">
        <v>3</v>
      </c>
      <c r="E1242">
        <v>12</v>
      </c>
      <c r="F1242" t="s">
        <v>257</v>
      </c>
      <c r="G1242" t="s">
        <v>124</v>
      </c>
    </row>
    <row r="1243" spans="1:7" hidden="1" x14ac:dyDescent="0.25">
      <c r="A1243">
        <v>50</v>
      </c>
      <c r="B1243">
        <v>476</v>
      </c>
      <c r="C1243">
        <v>0</v>
      </c>
      <c r="D1243">
        <v>3</v>
      </c>
      <c r="E1243">
        <v>10</v>
      </c>
      <c r="F1243" t="s">
        <v>255</v>
      </c>
      <c r="G1243" t="s">
        <v>184</v>
      </c>
    </row>
    <row r="1244" spans="1:7" hidden="1" x14ac:dyDescent="0.25">
      <c r="A1244">
        <v>50</v>
      </c>
      <c r="B1244">
        <v>1264</v>
      </c>
      <c r="C1244">
        <v>0</v>
      </c>
      <c r="D1244">
        <v>3</v>
      </c>
      <c r="E1244">
        <v>10</v>
      </c>
      <c r="F1244" t="s">
        <v>255</v>
      </c>
      <c r="G1244" t="s">
        <v>184</v>
      </c>
    </row>
    <row r="1245" spans="1:7" hidden="1" x14ac:dyDescent="0.25">
      <c r="A1245">
        <v>50</v>
      </c>
      <c r="B1245">
        <v>4228</v>
      </c>
      <c r="C1245">
        <v>0</v>
      </c>
      <c r="D1245">
        <v>3</v>
      </c>
      <c r="E1245">
        <v>10</v>
      </c>
      <c r="F1245" t="s">
        <v>255</v>
      </c>
      <c r="G1245" t="s">
        <v>184</v>
      </c>
    </row>
    <row r="1246" spans="1:7" hidden="1" x14ac:dyDescent="0.25">
      <c r="A1246">
        <v>50</v>
      </c>
      <c r="B1246">
        <v>5004</v>
      </c>
      <c r="C1246">
        <v>0</v>
      </c>
      <c r="D1246">
        <v>3</v>
      </c>
      <c r="E1246">
        <v>10</v>
      </c>
      <c r="F1246" t="s">
        <v>255</v>
      </c>
      <c r="G1246" t="s">
        <v>184</v>
      </c>
    </row>
    <row r="1247" spans="1:7" hidden="1" x14ac:dyDescent="0.25">
      <c r="A1247">
        <v>50</v>
      </c>
      <c r="B1247">
        <v>7283</v>
      </c>
      <c r="C1247">
        <v>0</v>
      </c>
      <c r="D1247">
        <v>3</v>
      </c>
      <c r="E1247">
        <v>10</v>
      </c>
      <c r="F1247" t="s">
        <v>255</v>
      </c>
      <c r="G1247" t="s">
        <v>184</v>
      </c>
    </row>
    <row r="1248" spans="1:7" hidden="1" x14ac:dyDescent="0.25">
      <c r="A1248">
        <v>50</v>
      </c>
      <c r="B1248">
        <v>7284</v>
      </c>
      <c r="C1248">
        <v>0</v>
      </c>
      <c r="D1248">
        <v>3</v>
      </c>
      <c r="E1248">
        <v>10</v>
      </c>
      <c r="F1248" t="s">
        <v>255</v>
      </c>
      <c r="G1248" t="s">
        <v>184</v>
      </c>
    </row>
    <row r="1249" spans="1:7" hidden="1" x14ac:dyDescent="0.25">
      <c r="A1249">
        <v>50</v>
      </c>
      <c r="B1249">
        <v>9356</v>
      </c>
      <c r="C1249">
        <v>0</v>
      </c>
      <c r="D1249">
        <v>3</v>
      </c>
      <c r="E1249">
        <v>10</v>
      </c>
      <c r="F1249" t="s">
        <v>255</v>
      </c>
      <c r="G1249" t="s">
        <v>184</v>
      </c>
    </row>
    <row r="1250" spans="1:7" hidden="1" x14ac:dyDescent="0.25">
      <c r="A1250">
        <v>50</v>
      </c>
      <c r="B1250">
        <v>10592</v>
      </c>
      <c r="C1250">
        <v>0</v>
      </c>
      <c r="D1250">
        <v>3</v>
      </c>
      <c r="E1250">
        <v>10</v>
      </c>
      <c r="F1250" t="s">
        <v>255</v>
      </c>
      <c r="G1250" t="s">
        <v>184</v>
      </c>
    </row>
    <row r="1251" spans="1:7" hidden="1" x14ac:dyDescent="0.25">
      <c r="A1251">
        <v>99</v>
      </c>
      <c r="B1251">
        <v>2168</v>
      </c>
      <c r="C1251">
        <v>0</v>
      </c>
      <c r="D1251">
        <v>3</v>
      </c>
      <c r="E1251">
        <v>10</v>
      </c>
      <c r="F1251" t="s">
        <v>255</v>
      </c>
      <c r="G1251" t="s">
        <v>184</v>
      </c>
    </row>
    <row r="1252" spans="1:7" hidden="1" x14ac:dyDescent="0.25">
      <c r="A1252">
        <v>99</v>
      </c>
      <c r="B1252">
        <v>2472</v>
      </c>
      <c r="C1252">
        <v>0</v>
      </c>
      <c r="D1252">
        <v>3</v>
      </c>
      <c r="E1252">
        <v>10</v>
      </c>
      <c r="F1252" t="s">
        <v>255</v>
      </c>
      <c r="G1252" t="s">
        <v>184</v>
      </c>
    </row>
    <row r="1253" spans="1:7" hidden="1" x14ac:dyDescent="0.25">
      <c r="A1253">
        <v>99</v>
      </c>
      <c r="B1253">
        <v>3056</v>
      </c>
      <c r="C1253">
        <v>0</v>
      </c>
      <c r="D1253">
        <v>3</v>
      </c>
      <c r="E1253">
        <v>10</v>
      </c>
      <c r="F1253" t="s">
        <v>255</v>
      </c>
      <c r="G1253" t="s">
        <v>184</v>
      </c>
    </row>
    <row r="1254" spans="1:7" hidden="1" x14ac:dyDescent="0.25">
      <c r="A1254">
        <v>99</v>
      </c>
      <c r="B1254">
        <v>3100</v>
      </c>
      <c r="C1254">
        <v>0</v>
      </c>
      <c r="D1254">
        <v>3</v>
      </c>
      <c r="E1254">
        <v>10</v>
      </c>
      <c r="F1254" t="s">
        <v>255</v>
      </c>
      <c r="G1254" t="s">
        <v>184</v>
      </c>
    </row>
    <row r="1255" spans="1:7" x14ac:dyDescent="0.25">
      <c r="A1255">
        <v>99</v>
      </c>
      <c r="B1255">
        <v>4124</v>
      </c>
      <c r="C1255">
        <v>0</v>
      </c>
      <c r="D1255">
        <v>3</v>
      </c>
      <c r="E1255">
        <v>10</v>
      </c>
      <c r="F1255" t="s">
        <v>255</v>
      </c>
      <c r="G1255" t="s">
        <v>184</v>
      </c>
    </row>
    <row r="1256" spans="1:7" hidden="1" x14ac:dyDescent="0.25">
      <c r="A1256">
        <v>99</v>
      </c>
      <c r="B1256">
        <v>5932</v>
      </c>
      <c r="C1256">
        <v>0</v>
      </c>
      <c r="D1256">
        <v>3</v>
      </c>
      <c r="E1256">
        <v>10</v>
      </c>
      <c r="F1256" t="s">
        <v>255</v>
      </c>
      <c r="G1256" t="s">
        <v>184</v>
      </c>
    </row>
    <row r="1257" spans="1:7" hidden="1" x14ac:dyDescent="0.25">
      <c r="A1257">
        <v>99</v>
      </c>
      <c r="B1257">
        <v>5992</v>
      </c>
      <c r="C1257">
        <v>0</v>
      </c>
      <c r="D1257">
        <v>3</v>
      </c>
      <c r="E1257">
        <v>10</v>
      </c>
      <c r="F1257" t="s">
        <v>255</v>
      </c>
      <c r="G1257" t="s">
        <v>184</v>
      </c>
    </row>
    <row r="1258" spans="1:7" hidden="1" x14ac:dyDescent="0.25">
      <c r="A1258">
        <v>99</v>
      </c>
      <c r="B1258">
        <v>7260</v>
      </c>
      <c r="C1258">
        <v>0</v>
      </c>
      <c r="D1258">
        <v>3</v>
      </c>
      <c r="E1258">
        <v>10</v>
      </c>
      <c r="F1258" t="s">
        <v>255</v>
      </c>
      <c r="G1258" t="s">
        <v>184</v>
      </c>
    </row>
    <row r="1259" spans="1:7" hidden="1" x14ac:dyDescent="0.25">
      <c r="A1259">
        <v>99</v>
      </c>
      <c r="B1259">
        <v>8804</v>
      </c>
      <c r="C1259">
        <v>0</v>
      </c>
      <c r="D1259">
        <v>3</v>
      </c>
      <c r="E1259">
        <v>10</v>
      </c>
      <c r="F1259" t="s">
        <v>255</v>
      </c>
      <c r="G1259" t="s">
        <v>184</v>
      </c>
    </row>
    <row r="1260" spans="1:7" hidden="1" x14ac:dyDescent="0.25">
      <c r="A1260">
        <v>99</v>
      </c>
      <c r="B1260">
        <v>9176</v>
      </c>
      <c r="C1260">
        <v>0</v>
      </c>
      <c r="D1260">
        <v>3</v>
      </c>
      <c r="E1260">
        <v>10</v>
      </c>
      <c r="F1260" t="s">
        <v>255</v>
      </c>
      <c r="G1260" t="s">
        <v>184</v>
      </c>
    </row>
    <row r="1261" spans="1:7" hidden="1" x14ac:dyDescent="0.25">
      <c r="A1261">
        <v>99</v>
      </c>
      <c r="B1261">
        <v>9256</v>
      </c>
      <c r="C1261">
        <v>0</v>
      </c>
      <c r="D1261">
        <v>3</v>
      </c>
      <c r="E1261">
        <v>10</v>
      </c>
      <c r="F1261" t="s">
        <v>255</v>
      </c>
      <c r="G1261" t="s">
        <v>184</v>
      </c>
    </row>
    <row r="1262" spans="1:7" hidden="1" x14ac:dyDescent="0.25">
      <c r="A1262">
        <v>99</v>
      </c>
      <c r="B1262">
        <v>9752</v>
      </c>
      <c r="C1262">
        <v>0</v>
      </c>
      <c r="D1262">
        <v>3</v>
      </c>
      <c r="E1262">
        <v>10</v>
      </c>
      <c r="F1262" t="s">
        <v>255</v>
      </c>
      <c r="G1262" t="s">
        <v>184</v>
      </c>
    </row>
    <row r="1263" spans="1:7" hidden="1" x14ac:dyDescent="0.25">
      <c r="A1263">
        <v>99</v>
      </c>
      <c r="B1263">
        <v>10364</v>
      </c>
      <c r="C1263">
        <v>0</v>
      </c>
      <c r="D1263">
        <v>3</v>
      </c>
      <c r="E1263">
        <v>10</v>
      </c>
      <c r="F1263" t="s">
        <v>255</v>
      </c>
      <c r="G1263" t="s">
        <v>184</v>
      </c>
    </row>
    <row r="1264" spans="1:7" hidden="1" x14ac:dyDescent="0.25">
      <c r="A1264">
        <v>50</v>
      </c>
      <c r="B1264">
        <v>476</v>
      </c>
      <c r="C1264">
        <v>0</v>
      </c>
      <c r="D1264">
        <v>3</v>
      </c>
      <c r="E1264">
        <v>17</v>
      </c>
      <c r="F1264" t="s">
        <v>262</v>
      </c>
      <c r="G1264" t="s">
        <v>137</v>
      </c>
    </row>
    <row r="1265" spans="1:7" hidden="1" x14ac:dyDescent="0.25">
      <c r="A1265">
        <v>50</v>
      </c>
      <c r="B1265">
        <v>1264</v>
      </c>
      <c r="C1265">
        <v>0</v>
      </c>
      <c r="D1265">
        <v>3</v>
      </c>
      <c r="E1265">
        <v>17</v>
      </c>
      <c r="F1265" t="s">
        <v>262</v>
      </c>
      <c r="G1265" t="s">
        <v>137</v>
      </c>
    </row>
    <row r="1266" spans="1:7" hidden="1" x14ac:dyDescent="0.25">
      <c r="A1266">
        <v>50</v>
      </c>
      <c r="B1266">
        <v>4228</v>
      </c>
      <c r="C1266">
        <v>0</v>
      </c>
      <c r="D1266">
        <v>3</v>
      </c>
      <c r="E1266">
        <v>17</v>
      </c>
      <c r="F1266" t="s">
        <v>262</v>
      </c>
      <c r="G1266" t="s">
        <v>137</v>
      </c>
    </row>
    <row r="1267" spans="1:7" hidden="1" x14ac:dyDescent="0.25">
      <c r="A1267">
        <v>50</v>
      </c>
      <c r="B1267">
        <v>5004</v>
      </c>
      <c r="C1267">
        <v>0</v>
      </c>
      <c r="D1267">
        <v>3</v>
      </c>
      <c r="E1267">
        <v>17</v>
      </c>
      <c r="F1267" t="s">
        <v>262</v>
      </c>
      <c r="G1267" t="s">
        <v>137</v>
      </c>
    </row>
    <row r="1268" spans="1:7" hidden="1" x14ac:dyDescent="0.25">
      <c r="A1268">
        <v>50</v>
      </c>
      <c r="B1268">
        <v>7283</v>
      </c>
      <c r="C1268">
        <v>0</v>
      </c>
      <c r="D1268">
        <v>3</v>
      </c>
      <c r="E1268">
        <v>17</v>
      </c>
      <c r="F1268" t="s">
        <v>262</v>
      </c>
      <c r="G1268" t="s">
        <v>137</v>
      </c>
    </row>
    <row r="1269" spans="1:7" hidden="1" x14ac:dyDescent="0.25">
      <c r="A1269">
        <v>50</v>
      </c>
      <c r="B1269">
        <v>7284</v>
      </c>
      <c r="C1269">
        <v>0</v>
      </c>
      <c r="D1269">
        <v>3</v>
      </c>
      <c r="E1269">
        <v>17</v>
      </c>
      <c r="F1269" t="s">
        <v>262</v>
      </c>
      <c r="G1269" t="s">
        <v>137</v>
      </c>
    </row>
    <row r="1270" spans="1:7" hidden="1" x14ac:dyDescent="0.25">
      <c r="A1270">
        <v>50</v>
      </c>
      <c r="B1270">
        <v>9356</v>
      </c>
      <c r="C1270">
        <v>0</v>
      </c>
      <c r="D1270">
        <v>3</v>
      </c>
      <c r="E1270">
        <v>17</v>
      </c>
      <c r="F1270" t="s">
        <v>262</v>
      </c>
      <c r="G1270" t="s">
        <v>137</v>
      </c>
    </row>
    <row r="1271" spans="1:7" hidden="1" x14ac:dyDescent="0.25">
      <c r="A1271">
        <v>50</v>
      </c>
      <c r="B1271">
        <v>10592</v>
      </c>
      <c r="C1271">
        <v>0</v>
      </c>
      <c r="D1271">
        <v>3</v>
      </c>
      <c r="E1271">
        <v>17</v>
      </c>
      <c r="F1271" t="s">
        <v>262</v>
      </c>
      <c r="G1271" t="s">
        <v>137</v>
      </c>
    </row>
    <row r="1272" spans="1:7" hidden="1" x14ac:dyDescent="0.25">
      <c r="A1272">
        <v>99</v>
      </c>
      <c r="B1272">
        <v>2168</v>
      </c>
      <c r="C1272">
        <v>0</v>
      </c>
      <c r="D1272">
        <v>3</v>
      </c>
      <c r="E1272">
        <v>17</v>
      </c>
      <c r="F1272" t="s">
        <v>262</v>
      </c>
      <c r="G1272" t="s">
        <v>137</v>
      </c>
    </row>
    <row r="1273" spans="1:7" hidden="1" x14ac:dyDescent="0.25">
      <c r="A1273">
        <v>99</v>
      </c>
      <c r="B1273">
        <v>2472</v>
      </c>
      <c r="C1273">
        <v>0</v>
      </c>
      <c r="D1273">
        <v>3</v>
      </c>
      <c r="E1273">
        <v>17</v>
      </c>
      <c r="F1273" t="s">
        <v>262</v>
      </c>
      <c r="G1273" t="s">
        <v>137</v>
      </c>
    </row>
    <row r="1274" spans="1:7" hidden="1" x14ac:dyDescent="0.25">
      <c r="A1274">
        <v>99</v>
      </c>
      <c r="B1274">
        <v>3056</v>
      </c>
      <c r="C1274">
        <v>0</v>
      </c>
      <c r="D1274">
        <v>3</v>
      </c>
      <c r="E1274">
        <v>17</v>
      </c>
      <c r="F1274" t="s">
        <v>262</v>
      </c>
      <c r="G1274" t="s">
        <v>137</v>
      </c>
    </row>
    <row r="1275" spans="1:7" hidden="1" x14ac:dyDescent="0.25">
      <c r="A1275">
        <v>99</v>
      </c>
      <c r="B1275">
        <v>3100</v>
      </c>
      <c r="C1275">
        <v>0</v>
      </c>
      <c r="D1275">
        <v>3</v>
      </c>
      <c r="E1275">
        <v>17</v>
      </c>
      <c r="F1275" t="s">
        <v>262</v>
      </c>
      <c r="G1275" t="s">
        <v>137</v>
      </c>
    </row>
    <row r="1276" spans="1:7" x14ac:dyDescent="0.25">
      <c r="A1276">
        <v>99</v>
      </c>
      <c r="B1276">
        <v>4124</v>
      </c>
      <c r="C1276">
        <v>0</v>
      </c>
      <c r="D1276">
        <v>3</v>
      </c>
      <c r="E1276">
        <v>17</v>
      </c>
      <c r="F1276" t="s">
        <v>262</v>
      </c>
      <c r="G1276" t="s">
        <v>137</v>
      </c>
    </row>
    <row r="1277" spans="1:7" hidden="1" x14ac:dyDescent="0.25">
      <c r="A1277">
        <v>99</v>
      </c>
      <c r="B1277">
        <v>5932</v>
      </c>
      <c r="C1277">
        <v>0</v>
      </c>
      <c r="D1277">
        <v>3</v>
      </c>
      <c r="E1277">
        <v>17</v>
      </c>
      <c r="F1277" t="s">
        <v>262</v>
      </c>
      <c r="G1277" t="s">
        <v>137</v>
      </c>
    </row>
    <row r="1278" spans="1:7" hidden="1" x14ac:dyDescent="0.25">
      <c r="A1278">
        <v>99</v>
      </c>
      <c r="B1278">
        <v>5992</v>
      </c>
      <c r="C1278">
        <v>0</v>
      </c>
      <c r="D1278">
        <v>3</v>
      </c>
      <c r="E1278">
        <v>17</v>
      </c>
      <c r="F1278" t="s">
        <v>262</v>
      </c>
      <c r="G1278" t="s">
        <v>137</v>
      </c>
    </row>
    <row r="1279" spans="1:7" hidden="1" x14ac:dyDescent="0.25">
      <c r="A1279">
        <v>99</v>
      </c>
      <c r="B1279">
        <v>7260</v>
      </c>
      <c r="C1279">
        <v>0</v>
      </c>
      <c r="D1279">
        <v>3</v>
      </c>
      <c r="E1279">
        <v>17</v>
      </c>
      <c r="F1279" t="s">
        <v>262</v>
      </c>
      <c r="G1279" t="s">
        <v>137</v>
      </c>
    </row>
    <row r="1280" spans="1:7" hidden="1" x14ac:dyDescent="0.25">
      <c r="A1280">
        <v>99</v>
      </c>
      <c r="B1280">
        <v>8804</v>
      </c>
      <c r="C1280">
        <v>0</v>
      </c>
      <c r="D1280">
        <v>3</v>
      </c>
      <c r="E1280">
        <v>17</v>
      </c>
      <c r="F1280" t="s">
        <v>262</v>
      </c>
      <c r="G1280" t="s">
        <v>137</v>
      </c>
    </row>
    <row r="1281" spans="1:7" hidden="1" x14ac:dyDescent="0.25">
      <c r="A1281">
        <v>99</v>
      </c>
      <c r="B1281">
        <v>9176</v>
      </c>
      <c r="C1281">
        <v>0</v>
      </c>
      <c r="D1281">
        <v>3</v>
      </c>
      <c r="E1281">
        <v>17</v>
      </c>
      <c r="F1281" t="s">
        <v>262</v>
      </c>
      <c r="G1281" t="s">
        <v>137</v>
      </c>
    </row>
    <row r="1282" spans="1:7" hidden="1" x14ac:dyDescent="0.25">
      <c r="A1282">
        <v>99</v>
      </c>
      <c r="B1282">
        <v>9256</v>
      </c>
      <c r="C1282">
        <v>0</v>
      </c>
      <c r="D1282">
        <v>3</v>
      </c>
      <c r="E1282">
        <v>17</v>
      </c>
      <c r="F1282" t="s">
        <v>262</v>
      </c>
      <c r="G1282" t="s">
        <v>137</v>
      </c>
    </row>
    <row r="1283" spans="1:7" hidden="1" x14ac:dyDescent="0.25">
      <c r="A1283">
        <v>99</v>
      </c>
      <c r="B1283">
        <v>9752</v>
      </c>
      <c r="C1283">
        <v>0</v>
      </c>
      <c r="D1283">
        <v>3</v>
      </c>
      <c r="E1283">
        <v>17</v>
      </c>
      <c r="F1283" t="s">
        <v>262</v>
      </c>
      <c r="G1283" t="s">
        <v>137</v>
      </c>
    </row>
    <row r="1284" spans="1:7" hidden="1" x14ac:dyDescent="0.25">
      <c r="A1284">
        <v>99</v>
      </c>
      <c r="B1284">
        <v>10364</v>
      </c>
      <c r="C1284">
        <v>0</v>
      </c>
      <c r="D1284">
        <v>3</v>
      </c>
      <c r="E1284">
        <v>17</v>
      </c>
      <c r="F1284" t="s">
        <v>262</v>
      </c>
      <c r="G1284" t="s">
        <v>137</v>
      </c>
    </row>
    <row r="1285" spans="1:7" hidden="1" x14ac:dyDescent="0.25">
      <c r="A1285">
        <v>50</v>
      </c>
      <c r="B1285">
        <v>476</v>
      </c>
      <c r="C1285">
        <v>0</v>
      </c>
      <c r="D1285">
        <v>3</v>
      </c>
      <c r="E1285">
        <v>21</v>
      </c>
      <c r="F1285" t="s">
        <v>266</v>
      </c>
      <c r="G1285" t="s">
        <v>145</v>
      </c>
    </row>
    <row r="1286" spans="1:7" hidden="1" x14ac:dyDescent="0.25">
      <c r="A1286">
        <v>50</v>
      </c>
      <c r="B1286">
        <v>1264</v>
      </c>
      <c r="C1286">
        <v>0</v>
      </c>
      <c r="D1286">
        <v>3</v>
      </c>
      <c r="E1286">
        <v>21</v>
      </c>
      <c r="F1286" t="s">
        <v>266</v>
      </c>
      <c r="G1286" t="s">
        <v>145</v>
      </c>
    </row>
    <row r="1287" spans="1:7" hidden="1" x14ac:dyDescent="0.25">
      <c r="A1287">
        <v>50</v>
      </c>
      <c r="B1287">
        <v>4228</v>
      </c>
      <c r="C1287">
        <v>0</v>
      </c>
      <c r="D1287">
        <v>3</v>
      </c>
      <c r="E1287">
        <v>21</v>
      </c>
      <c r="F1287" t="s">
        <v>266</v>
      </c>
      <c r="G1287" t="s">
        <v>145</v>
      </c>
    </row>
    <row r="1288" spans="1:7" hidden="1" x14ac:dyDescent="0.25">
      <c r="A1288">
        <v>50</v>
      </c>
      <c r="B1288">
        <v>5004</v>
      </c>
      <c r="C1288">
        <v>0</v>
      </c>
      <c r="D1288">
        <v>3</v>
      </c>
      <c r="E1288">
        <v>21</v>
      </c>
      <c r="F1288" t="s">
        <v>266</v>
      </c>
      <c r="G1288" t="s">
        <v>145</v>
      </c>
    </row>
    <row r="1289" spans="1:7" hidden="1" x14ac:dyDescent="0.25">
      <c r="A1289">
        <v>50</v>
      </c>
      <c r="B1289">
        <v>7283</v>
      </c>
      <c r="C1289">
        <v>0</v>
      </c>
      <c r="D1289">
        <v>3</v>
      </c>
      <c r="E1289">
        <v>21</v>
      </c>
      <c r="F1289" t="s">
        <v>266</v>
      </c>
      <c r="G1289" t="s">
        <v>145</v>
      </c>
    </row>
    <row r="1290" spans="1:7" hidden="1" x14ac:dyDescent="0.25">
      <c r="A1290">
        <v>50</v>
      </c>
      <c r="B1290">
        <v>7284</v>
      </c>
      <c r="C1290">
        <v>0</v>
      </c>
      <c r="D1290">
        <v>3</v>
      </c>
      <c r="E1290">
        <v>21</v>
      </c>
      <c r="F1290" t="s">
        <v>266</v>
      </c>
      <c r="G1290" t="s">
        <v>145</v>
      </c>
    </row>
    <row r="1291" spans="1:7" hidden="1" x14ac:dyDescent="0.25">
      <c r="A1291">
        <v>50</v>
      </c>
      <c r="B1291">
        <v>9356</v>
      </c>
      <c r="C1291">
        <v>0</v>
      </c>
      <c r="D1291">
        <v>3</v>
      </c>
      <c r="E1291">
        <v>21</v>
      </c>
      <c r="F1291" t="s">
        <v>266</v>
      </c>
      <c r="G1291" t="s">
        <v>145</v>
      </c>
    </row>
    <row r="1292" spans="1:7" hidden="1" x14ac:dyDescent="0.25">
      <c r="A1292">
        <v>50</v>
      </c>
      <c r="B1292">
        <v>10592</v>
      </c>
      <c r="C1292">
        <v>0</v>
      </c>
      <c r="D1292">
        <v>3</v>
      </c>
      <c r="E1292">
        <v>21</v>
      </c>
      <c r="F1292" t="s">
        <v>266</v>
      </c>
      <c r="G1292" t="s">
        <v>145</v>
      </c>
    </row>
    <row r="1293" spans="1:7" hidden="1" x14ac:dyDescent="0.25">
      <c r="A1293">
        <v>99</v>
      </c>
      <c r="B1293">
        <v>2168</v>
      </c>
      <c r="C1293">
        <v>0</v>
      </c>
      <c r="D1293">
        <v>3</v>
      </c>
      <c r="E1293">
        <v>21</v>
      </c>
      <c r="F1293" t="s">
        <v>266</v>
      </c>
      <c r="G1293" t="s">
        <v>145</v>
      </c>
    </row>
    <row r="1294" spans="1:7" hidden="1" x14ac:dyDescent="0.25">
      <c r="A1294">
        <v>99</v>
      </c>
      <c r="B1294">
        <v>2472</v>
      </c>
      <c r="C1294">
        <v>0</v>
      </c>
      <c r="D1294">
        <v>3</v>
      </c>
      <c r="E1294">
        <v>21</v>
      </c>
      <c r="F1294" t="s">
        <v>266</v>
      </c>
      <c r="G1294" t="s">
        <v>145</v>
      </c>
    </row>
    <row r="1295" spans="1:7" hidden="1" x14ac:dyDescent="0.25">
      <c r="A1295">
        <v>99</v>
      </c>
      <c r="B1295">
        <v>3056</v>
      </c>
      <c r="C1295">
        <v>0</v>
      </c>
      <c r="D1295">
        <v>3</v>
      </c>
      <c r="E1295">
        <v>21</v>
      </c>
      <c r="F1295" t="s">
        <v>266</v>
      </c>
      <c r="G1295" t="s">
        <v>145</v>
      </c>
    </row>
    <row r="1296" spans="1:7" hidden="1" x14ac:dyDescent="0.25">
      <c r="A1296">
        <v>99</v>
      </c>
      <c r="B1296">
        <v>3100</v>
      </c>
      <c r="C1296">
        <v>0</v>
      </c>
      <c r="D1296">
        <v>3</v>
      </c>
      <c r="E1296">
        <v>21</v>
      </c>
      <c r="F1296" t="s">
        <v>266</v>
      </c>
      <c r="G1296" t="s">
        <v>145</v>
      </c>
    </row>
    <row r="1297" spans="1:7" x14ac:dyDescent="0.25">
      <c r="A1297">
        <v>99</v>
      </c>
      <c r="B1297">
        <v>4124</v>
      </c>
      <c r="C1297">
        <v>0</v>
      </c>
      <c r="D1297">
        <v>3</v>
      </c>
      <c r="E1297">
        <v>21</v>
      </c>
      <c r="F1297" t="s">
        <v>266</v>
      </c>
      <c r="G1297" t="s">
        <v>145</v>
      </c>
    </row>
    <row r="1298" spans="1:7" hidden="1" x14ac:dyDescent="0.25">
      <c r="A1298">
        <v>99</v>
      </c>
      <c r="B1298">
        <v>5932</v>
      </c>
      <c r="C1298">
        <v>0</v>
      </c>
      <c r="D1298">
        <v>3</v>
      </c>
      <c r="E1298">
        <v>21</v>
      </c>
      <c r="F1298" t="s">
        <v>266</v>
      </c>
      <c r="G1298" t="s">
        <v>145</v>
      </c>
    </row>
    <row r="1299" spans="1:7" hidden="1" x14ac:dyDescent="0.25">
      <c r="A1299">
        <v>99</v>
      </c>
      <c r="B1299">
        <v>5992</v>
      </c>
      <c r="C1299">
        <v>0</v>
      </c>
      <c r="D1299">
        <v>3</v>
      </c>
      <c r="E1299">
        <v>21</v>
      </c>
      <c r="F1299" t="s">
        <v>266</v>
      </c>
      <c r="G1299" t="s">
        <v>145</v>
      </c>
    </row>
    <row r="1300" spans="1:7" hidden="1" x14ac:dyDescent="0.25">
      <c r="A1300">
        <v>99</v>
      </c>
      <c r="B1300">
        <v>7260</v>
      </c>
      <c r="C1300">
        <v>0</v>
      </c>
      <c r="D1300">
        <v>3</v>
      </c>
      <c r="E1300">
        <v>21</v>
      </c>
      <c r="F1300" t="s">
        <v>266</v>
      </c>
      <c r="G1300" t="s">
        <v>145</v>
      </c>
    </row>
    <row r="1301" spans="1:7" hidden="1" x14ac:dyDescent="0.25">
      <c r="A1301">
        <v>99</v>
      </c>
      <c r="B1301">
        <v>8804</v>
      </c>
      <c r="C1301">
        <v>0</v>
      </c>
      <c r="D1301">
        <v>3</v>
      </c>
      <c r="E1301">
        <v>21</v>
      </c>
      <c r="F1301" t="s">
        <v>266</v>
      </c>
      <c r="G1301" t="s">
        <v>145</v>
      </c>
    </row>
    <row r="1302" spans="1:7" hidden="1" x14ac:dyDescent="0.25">
      <c r="A1302">
        <v>99</v>
      </c>
      <c r="B1302">
        <v>9176</v>
      </c>
      <c r="C1302">
        <v>0</v>
      </c>
      <c r="D1302">
        <v>3</v>
      </c>
      <c r="E1302">
        <v>21</v>
      </c>
      <c r="F1302" t="s">
        <v>266</v>
      </c>
      <c r="G1302" t="s">
        <v>145</v>
      </c>
    </row>
    <row r="1303" spans="1:7" hidden="1" x14ac:dyDescent="0.25">
      <c r="A1303">
        <v>99</v>
      </c>
      <c r="B1303">
        <v>9256</v>
      </c>
      <c r="C1303">
        <v>0</v>
      </c>
      <c r="D1303">
        <v>3</v>
      </c>
      <c r="E1303">
        <v>21</v>
      </c>
      <c r="F1303" t="s">
        <v>266</v>
      </c>
      <c r="G1303" t="s">
        <v>145</v>
      </c>
    </row>
    <row r="1304" spans="1:7" hidden="1" x14ac:dyDescent="0.25">
      <c r="A1304">
        <v>99</v>
      </c>
      <c r="B1304">
        <v>9752</v>
      </c>
      <c r="C1304">
        <v>0</v>
      </c>
      <c r="D1304">
        <v>3</v>
      </c>
      <c r="E1304">
        <v>21</v>
      </c>
      <c r="F1304" t="s">
        <v>266</v>
      </c>
      <c r="G1304" t="s">
        <v>145</v>
      </c>
    </row>
    <row r="1305" spans="1:7" hidden="1" x14ac:dyDescent="0.25">
      <c r="A1305">
        <v>99</v>
      </c>
      <c r="B1305">
        <v>10364</v>
      </c>
      <c r="C1305">
        <v>0</v>
      </c>
      <c r="D1305">
        <v>3</v>
      </c>
      <c r="E1305">
        <v>21</v>
      </c>
      <c r="F1305" t="s">
        <v>266</v>
      </c>
      <c r="G1305" t="s">
        <v>145</v>
      </c>
    </row>
    <row r="1306" spans="1:7" hidden="1" x14ac:dyDescent="0.25">
      <c r="A1306">
        <v>50</v>
      </c>
      <c r="B1306">
        <v>476</v>
      </c>
      <c r="C1306">
        <v>0</v>
      </c>
      <c r="D1306">
        <v>3</v>
      </c>
      <c r="E1306">
        <v>20</v>
      </c>
      <c r="F1306" t="s">
        <v>265</v>
      </c>
      <c r="G1306" t="s">
        <v>143</v>
      </c>
    </row>
    <row r="1307" spans="1:7" hidden="1" x14ac:dyDescent="0.25">
      <c r="A1307">
        <v>50</v>
      </c>
      <c r="B1307">
        <v>1264</v>
      </c>
      <c r="C1307">
        <v>0</v>
      </c>
      <c r="D1307">
        <v>3</v>
      </c>
      <c r="E1307">
        <v>20</v>
      </c>
      <c r="F1307" t="s">
        <v>265</v>
      </c>
      <c r="G1307" t="s">
        <v>143</v>
      </c>
    </row>
    <row r="1308" spans="1:7" hidden="1" x14ac:dyDescent="0.25">
      <c r="A1308">
        <v>50</v>
      </c>
      <c r="B1308">
        <v>4228</v>
      </c>
      <c r="C1308">
        <v>0</v>
      </c>
      <c r="D1308">
        <v>3</v>
      </c>
      <c r="E1308">
        <v>20</v>
      </c>
      <c r="F1308" t="s">
        <v>265</v>
      </c>
      <c r="G1308" t="s">
        <v>143</v>
      </c>
    </row>
    <row r="1309" spans="1:7" hidden="1" x14ac:dyDescent="0.25">
      <c r="A1309">
        <v>50</v>
      </c>
      <c r="B1309">
        <v>5004</v>
      </c>
      <c r="C1309">
        <v>0</v>
      </c>
      <c r="D1309">
        <v>3</v>
      </c>
      <c r="E1309">
        <v>20</v>
      </c>
      <c r="F1309" t="s">
        <v>265</v>
      </c>
      <c r="G1309" t="s">
        <v>143</v>
      </c>
    </row>
    <row r="1310" spans="1:7" hidden="1" x14ac:dyDescent="0.25">
      <c r="A1310">
        <v>50</v>
      </c>
      <c r="B1310">
        <v>7283</v>
      </c>
      <c r="C1310">
        <v>0</v>
      </c>
      <c r="D1310">
        <v>3</v>
      </c>
      <c r="E1310">
        <v>20</v>
      </c>
      <c r="F1310" t="s">
        <v>265</v>
      </c>
      <c r="G1310" t="s">
        <v>143</v>
      </c>
    </row>
    <row r="1311" spans="1:7" hidden="1" x14ac:dyDescent="0.25">
      <c r="A1311">
        <v>50</v>
      </c>
      <c r="B1311">
        <v>7284</v>
      </c>
      <c r="C1311">
        <v>0</v>
      </c>
      <c r="D1311">
        <v>3</v>
      </c>
      <c r="E1311">
        <v>20</v>
      </c>
      <c r="F1311" t="s">
        <v>265</v>
      </c>
      <c r="G1311" t="s">
        <v>143</v>
      </c>
    </row>
    <row r="1312" spans="1:7" hidden="1" x14ac:dyDescent="0.25">
      <c r="A1312">
        <v>50</v>
      </c>
      <c r="B1312">
        <v>9356</v>
      </c>
      <c r="C1312">
        <v>0</v>
      </c>
      <c r="D1312">
        <v>3</v>
      </c>
      <c r="E1312">
        <v>20</v>
      </c>
      <c r="F1312" t="s">
        <v>265</v>
      </c>
      <c r="G1312" t="s">
        <v>143</v>
      </c>
    </row>
    <row r="1313" spans="1:7" hidden="1" x14ac:dyDescent="0.25">
      <c r="A1313">
        <v>50</v>
      </c>
      <c r="B1313">
        <v>10592</v>
      </c>
      <c r="C1313">
        <v>0</v>
      </c>
      <c r="D1313">
        <v>3</v>
      </c>
      <c r="E1313">
        <v>20</v>
      </c>
      <c r="F1313" t="s">
        <v>265</v>
      </c>
      <c r="G1313" t="s">
        <v>143</v>
      </c>
    </row>
    <row r="1314" spans="1:7" hidden="1" x14ac:dyDescent="0.25">
      <c r="A1314">
        <v>99</v>
      </c>
      <c r="B1314">
        <v>2168</v>
      </c>
      <c r="C1314">
        <v>0</v>
      </c>
      <c r="D1314">
        <v>3</v>
      </c>
      <c r="E1314">
        <v>20</v>
      </c>
      <c r="F1314" t="s">
        <v>265</v>
      </c>
      <c r="G1314" t="s">
        <v>143</v>
      </c>
    </row>
    <row r="1315" spans="1:7" hidden="1" x14ac:dyDescent="0.25">
      <c r="A1315">
        <v>99</v>
      </c>
      <c r="B1315">
        <v>2472</v>
      </c>
      <c r="C1315">
        <v>0</v>
      </c>
      <c r="D1315">
        <v>3</v>
      </c>
      <c r="E1315">
        <v>20</v>
      </c>
      <c r="F1315" t="s">
        <v>265</v>
      </c>
      <c r="G1315" t="s">
        <v>143</v>
      </c>
    </row>
    <row r="1316" spans="1:7" hidden="1" x14ac:dyDescent="0.25">
      <c r="A1316">
        <v>99</v>
      </c>
      <c r="B1316">
        <v>3056</v>
      </c>
      <c r="C1316">
        <v>0</v>
      </c>
      <c r="D1316">
        <v>3</v>
      </c>
      <c r="E1316">
        <v>20</v>
      </c>
      <c r="F1316" t="s">
        <v>265</v>
      </c>
      <c r="G1316" t="s">
        <v>143</v>
      </c>
    </row>
    <row r="1317" spans="1:7" hidden="1" x14ac:dyDescent="0.25">
      <c r="A1317">
        <v>99</v>
      </c>
      <c r="B1317">
        <v>3100</v>
      </c>
      <c r="C1317">
        <v>0</v>
      </c>
      <c r="D1317">
        <v>3</v>
      </c>
      <c r="E1317">
        <v>20</v>
      </c>
      <c r="F1317" t="s">
        <v>265</v>
      </c>
      <c r="G1317" t="s">
        <v>143</v>
      </c>
    </row>
    <row r="1318" spans="1:7" x14ac:dyDescent="0.25">
      <c r="A1318">
        <v>99</v>
      </c>
      <c r="B1318">
        <v>4124</v>
      </c>
      <c r="C1318">
        <v>0</v>
      </c>
      <c r="D1318">
        <v>3</v>
      </c>
      <c r="E1318">
        <v>20</v>
      </c>
      <c r="F1318" t="s">
        <v>265</v>
      </c>
      <c r="G1318" t="s">
        <v>143</v>
      </c>
    </row>
    <row r="1319" spans="1:7" hidden="1" x14ac:dyDescent="0.25">
      <c r="A1319">
        <v>99</v>
      </c>
      <c r="B1319">
        <v>5932</v>
      </c>
      <c r="C1319">
        <v>0</v>
      </c>
      <c r="D1319">
        <v>3</v>
      </c>
      <c r="E1319">
        <v>20</v>
      </c>
      <c r="F1319" t="s">
        <v>265</v>
      </c>
      <c r="G1319" t="s">
        <v>143</v>
      </c>
    </row>
    <row r="1320" spans="1:7" hidden="1" x14ac:dyDescent="0.25">
      <c r="A1320">
        <v>99</v>
      </c>
      <c r="B1320">
        <v>5992</v>
      </c>
      <c r="C1320">
        <v>0</v>
      </c>
      <c r="D1320">
        <v>3</v>
      </c>
      <c r="E1320">
        <v>20</v>
      </c>
      <c r="F1320" t="s">
        <v>265</v>
      </c>
      <c r="G1320" t="s">
        <v>143</v>
      </c>
    </row>
    <row r="1321" spans="1:7" hidden="1" x14ac:dyDescent="0.25">
      <c r="A1321">
        <v>99</v>
      </c>
      <c r="B1321">
        <v>7260</v>
      </c>
      <c r="C1321">
        <v>0</v>
      </c>
      <c r="D1321">
        <v>3</v>
      </c>
      <c r="E1321">
        <v>20</v>
      </c>
      <c r="F1321" t="s">
        <v>265</v>
      </c>
      <c r="G1321" t="s">
        <v>143</v>
      </c>
    </row>
    <row r="1322" spans="1:7" hidden="1" x14ac:dyDescent="0.25">
      <c r="A1322">
        <v>99</v>
      </c>
      <c r="B1322">
        <v>8804</v>
      </c>
      <c r="C1322">
        <v>0</v>
      </c>
      <c r="D1322">
        <v>3</v>
      </c>
      <c r="E1322">
        <v>20</v>
      </c>
      <c r="F1322" t="s">
        <v>265</v>
      </c>
      <c r="G1322" t="s">
        <v>143</v>
      </c>
    </row>
    <row r="1323" spans="1:7" hidden="1" x14ac:dyDescent="0.25">
      <c r="A1323">
        <v>99</v>
      </c>
      <c r="B1323">
        <v>9176</v>
      </c>
      <c r="C1323">
        <v>0</v>
      </c>
      <c r="D1323">
        <v>3</v>
      </c>
      <c r="E1323">
        <v>20</v>
      </c>
      <c r="F1323" t="s">
        <v>265</v>
      </c>
      <c r="G1323" t="s">
        <v>143</v>
      </c>
    </row>
    <row r="1324" spans="1:7" hidden="1" x14ac:dyDescent="0.25">
      <c r="A1324">
        <v>99</v>
      </c>
      <c r="B1324">
        <v>9256</v>
      </c>
      <c r="C1324">
        <v>0</v>
      </c>
      <c r="D1324">
        <v>3</v>
      </c>
      <c r="E1324">
        <v>20</v>
      </c>
      <c r="F1324" t="s">
        <v>265</v>
      </c>
      <c r="G1324" t="s">
        <v>143</v>
      </c>
    </row>
    <row r="1325" spans="1:7" hidden="1" x14ac:dyDescent="0.25">
      <c r="A1325">
        <v>99</v>
      </c>
      <c r="B1325">
        <v>9752</v>
      </c>
      <c r="C1325">
        <v>0</v>
      </c>
      <c r="D1325">
        <v>3</v>
      </c>
      <c r="E1325">
        <v>20</v>
      </c>
      <c r="F1325" t="s">
        <v>265</v>
      </c>
      <c r="G1325" t="s">
        <v>143</v>
      </c>
    </row>
    <row r="1326" spans="1:7" hidden="1" x14ac:dyDescent="0.25">
      <c r="A1326">
        <v>99</v>
      </c>
      <c r="B1326">
        <v>10364</v>
      </c>
      <c r="C1326">
        <v>0</v>
      </c>
      <c r="D1326">
        <v>3</v>
      </c>
      <c r="E1326">
        <v>20</v>
      </c>
      <c r="F1326" t="s">
        <v>265</v>
      </c>
      <c r="G1326" t="s">
        <v>143</v>
      </c>
    </row>
    <row r="1327" spans="1:7" hidden="1" x14ac:dyDescent="0.25">
      <c r="A1327">
        <v>50</v>
      </c>
      <c r="B1327">
        <v>476</v>
      </c>
      <c r="C1327">
        <v>0</v>
      </c>
      <c r="D1327">
        <v>3</v>
      </c>
      <c r="E1327">
        <v>18</v>
      </c>
      <c r="F1327" t="s">
        <v>263</v>
      </c>
      <c r="G1327" t="s">
        <v>139</v>
      </c>
    </row>
    <row r="1328" spans="1:7" hidden="1" x14ac:dyDescent="0.25">
      <c r="A1328">
        <v>50</v>
      </c>
      <c r="B1328">
        <v>1264</v>
      </c>
      <c r="C1328">
        <v>0</v>
      </c>
      <c r="D1328">
        <v>3</v>
      </c>
      <c r="E1328">
        <v>18</v>
      </c>
      <c r="F1328" t="s">
        <v>263</v>
      </c>
      <c r="G1328" t="s">
        <v>139</v>
      </c>
    </row>
    <row r="1329" spans="1:7" hidden="1" x14ac:dyDescent="0.25">
      <c r="A1329">
        <v>50</v>
      </c>
      <c r="B1329">
        <v>4228</v>
      </c>
      <c r="C1329">
        <v>0</v>
      </c>
      <c r="D1329">
        <v>3</v>
      </c>
      <c r="E1329">
        <v>18</v>
      </c>
      <c r="F1329" t="s">
        <v>263</v>
      </c>
      <c r="G1329" t="s">
        <v>139</v>
      </c>
    </row>
    <row r="1330" spans="1:7" hidden="1" x14ac:dyDescent="0.25">
      <c r="A1330">
        <v>50</v>
      </c>
      <c r="B1330">
        <v>5004</v>
      </c>
      <c r="C1330">
        <v>0</v>
      </c>
      <c r="D1330">
        <v>3</v>
      </c>
      <c r="E1330">
        <v>18</v>
      </c>
      <c r="F1330" t="s">
        <v>263</v>
      </c>
      <c r="G1330" t="s">
        <v>139</v>
      </c>
    </row>
    <row r="1331" spans="1:7" hidden="1" x14ac:dyDescent="0.25">
      <c r="A1331">
        <v>50</v>
      </c>
      <c r="B1331">
        <v>7283</v>
      </c>
      <c r="C1331">
        <v>0</v>
      </c>
      <c r="D1331">
        <v>3</v>
      </c>
      <c r="E1331">
        <v>18</v>
      </c>
      <c r="F1331" t="s">
        <v>263</v>
      </c>
      <c r="G1331" t="s">
        <v>139</v>
      </c>
    </row>
    <row r="1332" spans="1:7" hidden="1" x14ac:dyDescent="0.25">
      <c r="A1332">
        <v>50</v>
      </c>
      <c r="B1332">
        <v>7284</v>
      </c>
      <c r="C1332">
        <v>0</v>
      </c>
      <c r="D1332">
        <v>3</v>
      </c>
      <c r="E1332">
        <v>18</v>
      </c>
      <c r="F1332" t="s">
        <v>263</v>
      </c>
      <c r="G1332" t="s">
        <v>139</v>
      </c>
    </row>
    <row r="1333" spans="1:7" hidden="1" x14ac:dyDescent="0.25">
      <c r="A1333">
        <v>50</v>
      </c>
      <c r="B1333">
        <v>9356</v>
      </c>
      <c r="C1333">
        <v>0</v>
      </c>
      <c r="D1333">
        <v>3</v>
      </c>
      <c r="E1333">
        <v>18</v>
      </c>
      <c r="F1333" t="s">
        <v>263</v>
      </c>
      <c r="G1333" t="s">
        <v>139</v>
      </c>
    </row>
    <row r="1334" spans="1:7" hidden="1" x14ac:dyDescent="0.25">
      <c r="A1334">
        <v>50</v>
      </c>
      <c r="B1334">
        <v>10592</v>
      </c>
      <c r="C1334">
        <v>0</v>
      </c>
      <c r="D1334">
        <v>3</v>
      </c>
      <c r="E1334">
        <v>18</v>
      </c>
      <c r="F1334" t="s">
        <v>263</v>
      </c>
      <c r="G1334" t="s">
        <v>139</v>
      </c>
    </row>
    <row r="1335" spans="1:7" hidden="1" x14ac:dyDescent="0.25">
      <c r="A1335">
        <v>99</v>
      </c>
      <c r="B1335">
        <v>2168</v>
      </c>
      <c r="C1335">
        <v>0</v>
      </c>
      <c r="D1335">
        <v>3</v>
      </c>
      <c r="E1335">
        <v>18</v>
      </c>
      <c r="F1335" t="s">
        <v>263</v>
      </c>
      <c r="G1335" t="s">
        <v>139</v>
      </c>
    </row>
    <row r="1336" spans="1:7" hidden="1" x14ac:dyDescent="0.25">
      <c r="A1336">
        <v>99</v>
      </c>
      <c r="B1336">
        <v>2472</v>
      </c>
      <c r="C1336">
        <v>0</v>
      </c>
      <c r="D1336">
        <v>3</v>
      </c>
      <c r="E1336">
        <v>18</v>
      </c>
      <c r="F1336" t="s">
        <v>263</v>
      </c>
      <c r="G1336" t="s">
        <v>139</v>
      </c>
    </row>
    <row r="1337" spans="1:7" hidden="1" x14ac:dyDescent="0.25">
      <c r="A1337">
        <v>99</v>
      </c>
      <c r="B1337">
        <v>3056</v>
      </c>
      <c r="C1337">
        <v>0</v>
      </c>
      <c r="D1337">
        <v>3</v>
      </c>
      <c r="E1337">
        <v>18</v>
      </c>
      <c r="F1337" t="s">
        <v>263</v>
      </c>
      <c r="G1337" t="s">
        <v>139</v>
      </c>
    </row>
    <row r="1338" spans="1:7" hidden="1" x14ac:dyDescent="0.25">
      <c r="A1338">
        <v>99</v>
      </c>
      <c r="B1338">
        <v>3100</v>
      </c>
      <c r="C1338">
        <v>0</v>
      </c>
      <c r="D1338">
        <v>3</v>
      </c>
      <c r="E1338">
        <v>18</v>
      </c>
      <c r="F1338" t="s">
        <v>263</v>
      </c>
      <c r="G1338" t="s">
        <v>139</v>
      </c>
    </row>
    <row r="1339" spans="1:7" x14ac:dyDescent="0.25">
      <c r="A1339">
        <v>99</v>
      </c>
      <c r="B1339">
        <v>4124</v>
      </c>
      <c r="C1339">
        <v>0</v>
      </c>
      <c r="D1339">
        <v>3</v>
      </c>
      <c r="E1339">
        <v>18</v>
      </c>
      <c r="F1339" t="s">
        <v>263</v>
      </c>
      <c r="G1339" t="s">
        <v>139</v>
      </c>
    </row>
    <row r="1340" spans="1:7" hidden="1" x14ac:dyDescent="0.25">
      <c r="A1340">
        <v>99</v>
      </c>
      <c r="B1340">
        <v>5932</v>
      </c>
      <c r="C1340">
        <v>0</v>
      </c>
      <c r="D1340">
        <v>3</v>
      </c>
      <c r="E1340">
        <v>18</v>
      </c>
      <c r="F1340" t="s">
        <v>263</v>
      </c>
      <c r="G1340" t="s">
        <v>139</v>
      </c>
    </row>
    <row r="1341" spans="1:7" hidden="1" x14ac:dyDescent="0.25">
      <c r="A1341">
        <v>99</v>
      </c>
      <c r="B1341">
        <v>5992</v>
      </c>
      <c r="C1341">
        <v>0</v>
      </c>
      <c r="D1341">
        <v>3</v>
      </c>
      <c r="E1341">
        <v>18</v>
      </c>
      <c r="F1341" t="s">
        <v>263</v>
      </c>
      <c r="G1341" t="s">
        <v>139</v>
      </c>
    </row>
    <row r="1342" spans="1:7" hidden="1" x14ac:dyDescent="0.25">
      <c r="A1342">
        <v>99</v>
      </c>
      <c r="B1342">
        <v>7260</v>
      </c>
      <c r="C1342">
        <v>0</v>
      </c>
      <c r="D1342">
        <v>3</v>
      </c>
      <c r="E1342">
        <v>18</v>
      </c>
      <c r="F1342" t="s">
        <v>263</v>
      </c>
      <c r="G1342" t="s">
        <v>139</v>
      </c>
    </row>
    <row r="1343" spans="1:7" hidden="1" x14ac:dyDescent="0.25">
      <c r="A1343">
        <v>99</v>
      </c>
      <c r="B1343">
        <v>8804</v>
      </c>
      <c r="C1343">
        <v>0</v>
      </c>
      <c r="D1343">
        <v>3</v>
      </c>
      <c r="E1343">
        <v>18</v>
      </c>
      <c r="F1343" t="s">
        <v>263</v>
      </c>
      <c r="G1343" t="s">
        <v>139</v>
      </c>
    </row>
    <row r="1344" spans="1:7" hidden="1" x14ac:dyDescent="0.25">
      <c r="A1344">
        <v>99</v>
      </c>
      <c r="B1344">
        <v>9176</v>
      </c>
      <c r="C1344">
        <v>0</v>
      </c>
      <c r="D1344">
        <v>3</v>
      </c>
      <c r="E1344">
        <v>18</v>
      </c>
      <c r="F1344" t="s">
        <v>263</v>
      </c>
      <c r="G1344" t="s">
        <v>139</v>
      </c>
    </row>
    <row r="1345" spans="1:7" hidden="1" x14ac:dyDescent="0.25">
      <c r="A1345">
        <v>99</v>
      </c>
      <c r="B1345">
        <v>9256</v>
      </c>
      <c r="C1345">
        <v>0</v>
      </c>
      <c r="D1345">
        <v>3</v>
      </c>
      <c r="E1345">
        <v>18</v>
      </c>
      <c r="F1345" t="s">
        <v>263</v>
      </c>
      <c r="G1345" t="s">
        <v>139</v>
      </c>
    </row>
    <row r="1346" spans="1:7" hidden="1" x14ac:dyDescent="0.25">
      <c r="A1346">
        <v>99</v>
      </c>
      <c r="B1346">
        <v>9752</v>
      </c>
      <c r="C1346">
        <v>0</v>
      </c>
      <c r="D1346">
        <v>3</v>
      </c>
      <c r="E1346">
        <v>18</v>
      </c>
      <c r="F1346" t="s">
        <v>263</v>
      </c>
      <c r="G1346" t="s">
        <v>139</v>
      </c>
    </row>
    <row r="1347" spans="1:7" hidden="1" x14ac:dyDescent="0.25">
      <c r="A1347">
        <v>99</v>
      </c>
      <c r="B1347">
        <v>10364</v>
      </c>
      <c r="C1347">
        <v>0</v>
      </c>
      <c r="D1347">
        <v>3</v>
      </c>
      <c r="E1347">
        <v>18</v>
      </c>
      <c r="F1347" t="s">
        <v>263</v>
      </c>
      <c r="G1347" t="s">
        <v>139</v>
      </c>
    </row>
    <row r="1348" spans="1:7" hidden="1" x14ac:dyDescent="0.25">
      <c r="A1348">
        <v>50</v>
      </c>
      <c r="B1348">
        <v>476</v>
      </c>
      <c r="C1348">
        <v>0</v>
      </c>
      <c r="D1348">
        <v>3</v>
      </c>
      <c r="E1348">
        <v>19</v>
      </c>
      <c r="F1348" t="s">
        <v>264</v>
      </c>
      <c r="G1348" t="s">
        <v>141</v>
      </c>
    </row>
    <row r="1349" spans="1:7" hidden="1" x14ac:dyDescent="0.25">
      <c r="A1349">
        <v>50</v>
      </c>
      <c r="B1349">
        <v>1264</v>
      </c>
      <c r="C1349">
        <v>0</v>
      </c>
      <c r="D1349">
        <v>3</v>
      </c>
      <c r="E1349">
        <v>19</v>
      </c>
      <c r="F1349" t="s">
        <v>264</v>
      </c>
      <c r="G1349" t="s">
        <v>141</v>
      </c>
    </row>
    <row r="1350" spans="1:7" hidden="1" x14ac:dyDescent="0.25">
      <c r="A1350">
        <v>50</v>
      </c>
      <c r="B1350">
        <v>4228</v>
      </c>
      <c r="C1350">
        <v>0</v>
      </c>
      <c r="D1350">
        <v>3</v>
      </c>
      <c r="E1350">
        <v>19</v>
      </c>
      <c r="F1350" t="s">
        <v>264</v>
      </c>
      <c r="G1350" t="s">
        <v>141</v>
      </c>
    </row>
    <row r="1351" spans="1:7" hidden="1" x14ac:dyDescent="0.25">
      <c r="A1351">
        <v>50</v>
      </c>
      <c r="B1351">
        <v>5004</v>
      </c>
      <c r="C1351">
        <v>0</v>
      </c>
      <c r="D1351">
        <v>3</v>
      </c>
      <c r="E1351">
        <v>19</v>
      </c>
      <c r="F1351" t="s">
        <v>264</v>
      </c>
      <c r="G1351" t="s">
        <v>141</v>
      </c>
    </row>
    <row r="1352" spans="1:7" hidden="1" x14ac:dyDescent="0.25">
      <c r="A1352">
        <v>50</v>
      </c>
      <c r="B1352">
        <v>7283</v>
      </c>
      <c r="C1352">
        <v>0</v>
      </c>
      <c r="D1352">
        <v>3</v>
      </c>
      <c r="E1352">
        <v>19</v>
      </c>
      <c r="F1352" t="s">
        <v>264</v>
      </c>
      <c r="G1352" t="s">
        <v>141</v>
      </c>
    </row>
    <row r="1353" spans="1:7" hidden="1" x14ac:dyDescent="0.25">
      <c r="A1353">
        <v>50</v>
      </c>
      <c r="B1353">
        <v>7284</v>
      </c>
      <c r="C1353">
        <v>0</v>
      </c>
      <c r="D1353">
        <v>3</v>
      </c>
      <c r="E1353">
        <v>19</v>
      </c>
      <c r="F1353" t="s">
        <v>264</v>
      </c>
      <c r="G1353" t="s">
        <v>141</v>
      </c>
    </row>
    <row r="1354" spans="1:7" hidden="1" x14ac:dyDescent="0.25">
      <c r="A1354">
        <v>50</v>
      </c>
      <c r="B1354">
        <v>9356</v>
      </c>
      <c r="C1354">
        <v>0</v>
      </c>
      <c r="D1354">
        <v>3</v>
      </c>
      <c r="E1354">
        <v>19</v>
      </c>
      <c r="F1354" t="s">
        <v>264</v>
      </c>
      <c r="G1354" t="s">
        <v>141</v>
      </c>
    </row>
    <row r="1355" spans="1:7" hidden="1" x14ac:dyDescent="0.25">
      <c r="A1355">
        <v>50</v>
      </c>
      <c r="B1355">
        <v>10592</v>
      </c>
      <c r="C1355">
        <v>0</v>
      </c>
      <c r="D1355">
        <v>3</v>
      </c>
      <c r="E1355">
        <v>19</v>
      </c>
      <c r="F1355" t="s">
        <v>264</v>
      </c>
      <c r="G1355" t="s">
        <v>141</v>
      </c>
    </row>
    <row r="1356" spans="1:7" hidden="1" x14ac:dyDescent="0.25">
      <c r="A1356">
        <v>99</v>
      </c>
      <c r="B1356">
        <v>2168</v>
      </c>
      <c r="C1356">
        <v>0</v>
      </c>
      <c r="D1356">
        <v>3</v>
      </c>
      <c r="E1356">
        <v>19</v>
      </c>
      <c r="F1356" t="s">
        <v>264</v>
      </c>
      <c r="G1356" t="s">
        <v>141</v>
      </c>
    </row>
    <row r="1357" spans="1:7" hidden="1" x14ac:dyDescent="0.25">
      <c r="A1357">
        <v>99</v>
      </c>
      <c r="B1357">
        <v>2472</v>
      </c>
      <c r="C1357">
        <v>0</v>
      </c>
      <c r="D1357">
        <v>3</v>
      </c>
      <c r="E1357">
        <v>19</v>
      </c>
      <c r="F1357" t="s">
        <v>264</v>
      </c>
      <c r="G1357" t="s">
        <v>141</v>
      </c>
    </row>
    <row r="1358" spans="1:7" hidden="1" x14ac:dyDescent="0.25">
      <c r="A1358">
        <v>99</v>
      </c>
      <c r="B1358">
        <v>3056</v>
      </c>
      <c r="C1358">
        <v>0</v>
      </c>
      <c r="D1358">
        <v>3</v>
      </c>
      <c r="E1358">
        <v>19</v>
      </c>
      <c r="F1358" t="s">
        <v>264</v>
      </c>
      <c r="G1358" t="s">
        <v>141</v>
      </c>
    </row>
    <row r="1359" spans="1:7" hidden="1" x14ac:dyDescent="0.25">
      <c r="A1359">
        <v>99</v>
      </c>
      <c r="B1359">
        <v>3100</v>
      </c>
      <c r="C1359">
        <v>0</v>
      </c>
      <c r="D1359">
        <v>3</v>
      </c>
      <c r="E1359">
        <v>19</v>
      </c>
      <c r="F1359" t="s">
        <v>264</v>
      </c>
      <c r="G1359" t="s">
        <v>141</v>
      </c>
    </row>
    <row r="1360" spans="1:7" x14ac:dyDescent="0.25">
      <c r="A1360">
        <v>99</v>
      </c>
      <c r="B1360">
        <v>4124</v>
      </c>
      <c r="C1360">
        <v>0</v>
      </c>
      <c r="D1360">
        <v>3</v>
      </c>
      <c r="E1360">
        <v>19</v>
      </c>
      <c r="F1360" t="s">
        <v>264</v>
      </c>
      <c r="G1360" t="s">
        <v>141</v>
      </c>
    </row>
    <row r="1361" spans="1:7" hidden="1" x14ac:dyDescent="0.25">
      <c r="A1361">
        <v>99</v>
      </c>
      <c r="B1361">
        <v>5932</v>
      </c>
      <c r="C1361">
        <v>0</v>
      </c>
      <c r="D1361">
        <v>3</v>
      </c>
      <c r="E1361">
        <v>19</v>
      </c>
      <c r="F1361" t="s">
        <v>264</v>
      </c>
      <c r="G1361" t="s">
        <v>141</v>
      </c>
    </row>
    <row r="1362" spans="1:7" hidden="1" x14ac:dyDescent="0.25">
      <c r="A1362">
        <v>99</v>
      </c>
      <c r="B1362">
        <v>5992</v>
      </c>
      <c r="C1362">
        <v>0</v>
      </c>
      <c r="D1362">
        <v>3</v>
      </c>
      <c r="E1362">
        <v>19</v>
      </c>
      <c r="F1362" t="s">
        <v>264</v>
      </c>
      <c r="G1362" t="s">
        <v>141</v>
      </c>
    </row>
    <row r="1363" spans="1:7" hidden="1" x14ac:dyDescent="0.25">
      <c r="A1363">
        <v>99</v>
      </c>
      <c r="B1363">
        <v>7260</v>
      </c>
      <c r="C1363">
        <v>0</v>
      </c>
      <c r="D1363">
        <v>3</v>
      </c>
      <c r="E1363">
        <v>19</v>
      </c>
      <c r="F1363" t="s">
        <v>264</v>
      </c>
      <c r="G1363" t="s">
        <v>141</v>
      </c>
    </row>
    <row r="1364" spans="1:7" hidden="1" x14ac:dyDescent="0.25">
      <c r="A1364">
        <v>99</v>
      </c>
      <c r="B1364">
        <v>8804</v>
      </c>
      <c r="C1364">
        <v>0</v>
      </c>
      <c r="D1364">
        <v>3</v>
      </c>
      <c r="E1364">
        <v>19</v>
      </c>
      <c r="F1364" t="s">
        <v>264</v>
      </c>
      <c r="G1364" t="s">
        <v>141</v>
      </c>
    </row>
    <row r="1365" spans="1:7" hidden="1" x14ac:dyDescent="0.25">
      <c r="A1365">
        <v>99</v>
      </c>
      <c r="B1365">
        <v>9176</v>
      </c>
      <c r="C1365">
        <v>0</v>
      </c>
      <c r="D1365">
        <v>3</v>
      </c>
      <c r="E1365">
        <v>19</v>
      </c>
      <c r="F1365" t="s">
        <v>264</v>
      </c>
      <c r="G1365" t="s">
        <v>141</v>
      </c>
    </row>
    <row r="1366" spans="1:7" hidden="1" x14ac:dyDescent="0.25">
      <c r="A1366">
        <v>99</v>
      </c>
      <c r="B1366">
        <v>9256</v>
      </c>
      <c r="C1366">
        <v>0</v>
      </c>
      <c r="D1366">
        <v>3</v>
      </c>
      <c r="E1366">
        <v>19</v>
      </c>
      <c r="F1366" t="s">
        <v>264</v>
      </c>
      <c r="G1366" t="s">
        <v>141</v>
      </c>
    </row>
    <row r="1367" spans="1:7" hidden="1" x14ac:dyDescent="0.25">
      <c r="A1367">
        <v>99</v>
      </c>
      <c r="B1367">
        <v>9752</v>
      </c>
      <c r="C1367">
        <v>0</v>
      </c>
      <c r="D1367">
        <v>3</v>
      </c>
      <c r="E1367">
        <v>19</v>
      </c>
      <c r="F1367" t="s">
        <v>264</v>
      </c>
      <c r="G1367" t="s">
        <v>141</v>
      </c>
    </row>
    <row r="1368" spans="1:7" hidden="1" x14ac:dyDescent="0.25">
      <c r="A1368">
        <v>99</v>
      </c>
      <c r="B1368">
        <v>10364</v>
      </c>
      <c r="C1368">
        <v>0</v>
      </c>
      <c r="D1368">
        <v>3</v>
      </c>
      <c r="E1368">
        <v>19</v>
      </c>
      <c r="F1368" t="s">
        <v>264</v>
      </c>
      <c r="G1368" t="s">
        <v>141</v>
      </c>
    </row>
    <row r="1369" spans="1:7" hidden="1" x14ac:dyDescent="0.25">
      <c r="A1369">
        <v>50</v>
      </c>
      <c r="B1369">
        <v>476</v>
      </c>
      <c r="C1369">
        <v>0</v>
      </c>
      <c r="D1369">
        <v>3</v>
      </c>
      <c r="E1369">
        <v>16</v>
      </c>
      <c r="F1369" t="s">
        <v>261</v>
      </c>
      <c r="G1369" t="s">
        <v>118</v>
      </c>
    </row>
    <row r="1370" spans="1:7" hidden="1" x14ac:dyDescent="0.25">
      <c r="A1370">
        <v>50</v>
      </c>
      <c r="B1370">
        <v>1264</v>
      </c>
      <c r="C1370">
        <v>0</v>
      </c>
      <c r="D1370">
        <v>3</v>
      </c>
      <c r="E1370">
        <v>16</v>
      </c>
      <c r="F1370" t="s">
        <v>261</v>
      </c>
      <c r="G1370" t="s">
        <v>118</v>
      </c>
    </row>
    <row r="1371" spans="1:7" hidden="1" x14ac:dyDescent="0.25">
      <c r="A1371">
        <v>50</v>
      </c>
      <c r="B1371">
        <v>4228</v>
      </c>
      <c r="C1371">
        <v>0</v>
      </c>
      <c r="D1371">
        <v>3</v>
      </c>
      <c r="E1371">
        <v>16</v>
      </c>
      <c r="F1371" t="s">
        <v>261</v>
      </c>
      <c r="G1371" t="s">
        <v>118</v>
      </c>
    </row>
    <row r="1372" spans="1:7" hidden="1" x14ac:dyDescent="0.25">
      <c r="A1372">
        <v>50</v>
      </c>
      <c r="B1372">
        <v>5004</v>
      </c>
      <c r="C1372">
        <v>0</v>
      </c>
      <c r="D1372">
        <v>3</v>
      </c>
      <c r="E1372">
        <v>16</v>
      </c>
      <c r="F1372" t="s">
        <v>261</v>
      </c>
      <c r="G1372" t="s">
        <v>118</v>
      </c>
    </row>
    <row r="1373" spans="1:7" hidden="1" x14ac:dyDescent="0.25">
      <c r="A1373">
        <v>50</v>
      </c>
      <c r="B1373">
        <v>7283</v>
      </c>
      <c r="C1373">
        <v>0</v>
      </c>
      <c r="D1373">
        <v>3</v>
      </c>
      <c r="E1373">
        <v>16</v>
      </c>
      <c r="F1373" t="s">
        <v>261</v>
      </c>
      <c r="G1373" t="s">
        <v>118</v>
      </c>
    </row>
    <row r="1374" spans="1:7" hidden="1" x14ac:dyDescent="0.25">
      <c r="A1374">
        <v>50</v>
      </c>
      <c r="B1374">
        <v>7284</v>
      </c>
      <c r="C1374">
        <v>0</v>
      </c>
      <c r="D1374">
        <v>3</v>
      </c>
      <c r="E1374">
        <v>16</v>
      </c>
      <c r="F1374" t="s">
        <v>261</v>
      </c>
      <c r="G1374" t="s">
        <v>118</v>
      </c>
    </row>
    <row r="1375" spans="1:7" hidden="1" x14ac:dyDescent="0.25">
      <c r="A1375">
        <v>50</v>
      </c>
      <c r="B1375">
        <v>9356</v>
      </c>
      <c r="C1375">
        <v>0</v>
      </c>
      <c r="D1375">
        <v>3</v>
      </c>
      <c r="E1375">
        <v>16</v>
      </c>
      <c r="F1375" t="s">
        <v>261</v>
      </c>
      <c r="G1375" t="s">
        <v>118</v>
      </c>
    </row>
    <row r="1376" spans="1:7" hidden="1" x14ac:dyDescent="0.25">
      <c r="A1376">
        <v>50</v>
      </c>
      <c r="B1376">
        <v>10592</v>
      </c>
      <c r="C1376">
        <v>0</v>
      </c>
      <c r="D1376">
        <v>3</v>
      </c>
      <c r="E1376">
        <v>16</v>
      </c>
      <c r="F1376" t="s">
        <v>261</v>
      </c>
      <c r="G1376" t="s">
        <v>118</v>
      </c>
    </row>
    <row r="1377" spans="1:7" hidden="1" x14ac:dyDescent="0.25">
      <c r="A1377">
        <v>99</v>
      </c>
      <c r="B1377">
        <v>2168</v>
      </c>
      <c r="C1377">
        <v>0</v>
      </c>
      <c r="D1377">
        <v>3</v>
      </c>
      <c r="E1377">
        <v>16</v>
      </c>
      <c r="F1377" t="s">
        <v>261</v>
      </c>
      <c r="G1377" t="s">
        <v>118</v>
      </c>
    </row>
    <row r="1378" spans="1:7" hidden="1" x14ac:dyDescent="0.25">
      <c r="A1378">
        <v>99</v>
      </c>
      <c r="B1378">
        <v>2472</v>
      </c>
      <c r="C1378">
        <v>0</v>
      </c>
      <c r="D1378">
        <v>3</v>
      </c>
      <c r="E1378">
        <v>16</v>
      </c>
      <c r="F1378" t="s">
        <v>261</v>
      </c>
      <c r="G1378" t="s">
        <v>118</v>
      </c>
    </row>
    <row r="1379" spans="1:7" hidden="1" x14ac:dyDescent="0.25">
      <c r="A1379">
        <v>99</v>
      </c>
      <c r="B1379">
        <v>3056</v>
      </c>
      <c r="C1379">
        <v>0</v>
      </c>
      <c r="D1379">
        <v>3</v>
      </c>
      <c r="E1379">
        <v>16</v>
      </c>
      <c r="F1379" t="s">
        <v>261</v>
      </c>
      <c r="G1379" t="s">
        <v>118</v>
      </c>
    </row>
    <row r="1380" spans="1:7" hidden="1" x14ac:dyDescent="0.25">
      <c r="A1380">
        <v>99</v>
      </c>
      <c r="B1380">
        <v>3100</v>
      </c>
      <c r="C1380">
        <v>0</v>
      </c>
      <c r="D1380">
        <v>3</v>
      </c>
      <c r="E1380">
        <v>16</v>
      </c>
      <c r="F1380" t="s">
        <v>261</v>
      </c>
      <c r="G1380" t="s">
        <v>118</v>
      </c>
    </row>
    <row r="1381" spans="1:7" x14ac:dyDescent="0.25">
      <c r="A1381">
        <v>99</v>
      </c>
      <c r="B1381">
        <v>4124</v>
      </c>
      <c r="C1381">
        <v>0</v>
      </c>
      <c r="D1381">
        <v>3</v>
      </c>
      <c r="E1381">
        <v>16</v>
      </c>
      <c r="F1381" t="s">
        <v>261</v>
      </c>
      <c r="G1381" t="s">
        <v>118</v>
      </c>
    </row>
    <row r="1382" spans="1:7" hidden="1" x14ac:dyDescent="0.25">
      <c r="A1382">
        <v>99</v>
      </c>
      <c r="B1382">
        <v>5932</v>
      </c>
      <c r="C1382">
        <v>0</v>
      </c>
      <c r="D1382">
        <v>3</v>
      </c>
      <c r="E1382">
        <v>16</v>
      </c>
      <c r="F1382" t="s">
        <v>261</v>
      </c>
      <c r="G1382" t="s">
        <v>118</v>
      </c>
    </row>
    <row r="1383" spans="1:7" hidden="1" x14ac:dyDescent="0.25">
      <c r="A1383">
        <v>99</v>
      </c>
      <c r="B1383">
        <v>5992</v>
      </c>
      <c r="C1383">
        <v>0</v>
      </c>
      <c r="D1383">
        <v>3</v>
      </c>
      <c r="E1383">
        <v>16</v>
      </c>
      <c r="F1383" t="s">
        <v>261</v>
      </c>
      <c r="G1383" t="s">
        <v>118</v>
      </c>
    </row>
    <row r="1384" spans="1:7" hidden="1" x14ac:dyDescent="0.25">
      <c r="A1384">
        <v>99</v>
      </c>
      <c r="B1384">
        <v>7260</v>
      </c>
      <c r="C1384">
        <v>0</v>
      </c>
      <c r="D1384">
        <v>3</v>
      </c>
      <c r="E1384">
        <v>16</v>
      </c>
      <c r="F1384" t="s">
        <v>261</v>
      </c>
      <c r="G1384" t="s">
        <v>118</v>
      </c>
    </row>
    <row r="1385" spans="1:7" hidden="1" x14ac:dyDescent="0.25">
      <c r="A1385">
        <v>99</v>
      </c>
      <c r="B1385">
        <v>8804</v>
      </c>
      <c r="C1385">
        <v>0</v>
      </c>
      <c r="D1385">
        <v>3</v>
      </c>
      <c r="E1385">
        <v>16</v>
      </c>
      <c r="F1385" t="s">
        <v>261</v>
      </c>
      <c r="G1385" t="s">
        <v>118</v>
      </c>
    </row>
    <row r="1386" spans="1:7" hidden="1" x14ac:dyDescent="0.25">
      <c r="A1386">
        <v>99</v>
      </c>
      <c r="B1386">
        <v>9176</v>
      </c>
      <c r="C1386">
        <v>0</v>
      </c>
      <c r="D1386">
        <v>3</v>
      </c>
      <c r="E1386">
        <v>16</v>
      </c>
      <c r="F1386" t="s">
        <v>261</v>
      </c>
      <c r="G1386" t="s">
        <v>118</v>
      </c>
    </row>
    <row r="1387" spans="1:7" hidden="1" x14ac:dyDescent="0.25">
      <c r="A1387">
        <v>99</v>
      </c>
      <c r="B1387">
        <v>9256</v>
      </c>
      <c r="C1387">
        <v>0</v>
      </c>
      <c r="D1387">
        <v>3</v>
      </c>
      <c r="E1387">
        <v>16</v>
      </c>
      <c r="F1387" t="s">
        <v>261</v>
      </c>
      <c r="G1387" t="s">
        <v>118</v>
      </c>
    </row>
    <row r="1388" spans="1:7" hidden="1" x14ac:dyDescent="0.25">
      <c r="A1388">
        <v>99</v>
      </c>
      <c r="B1388">
        <v>9752</v>
      </c>
      <c r="C1388">
        <v>0</v>
      </c>
      <c r="D1388">
        <v>3</v>
      </c>
      <c r="E1388">
        <v>16</v>
      </c>
      <c r="F1388" t="s">
        <v>261</v>
      </c>
      <c r="G1388" t="s">
        <v>118</v>
      </c>
    </row>
    <row r="1389" spans="1:7" hidden="1" x14ac:dyDescent="0.25">
      <c r="A1389">
        <v>99</v>
      </c>
      <c r="B1389">
        <v>10364</v>
      </c>
      <c r="C1389">
        <v>0</v>
      </c>
      <c r="D1389">
        <v>3</v>
      </c>
      <c r="E1389">
        <v>16</v>
      </c>
      <c r="F1389" t="s">
        <v>261</v>
      </c>
      <c r="G1389" t="s">
        <v>118</v>
      </c>
    </row>
    <row r="1390" spans="1:7" hidden="1" x14ac:dyDescent="0.25">
      <c r="A1390">
        <v>50</v>
      </c>
      <c r="B1390">
        <v>476</v>
      </c>
      <c r="C1390">
        <v>0</v>
      </c>
      <c r="D1390">
        <v>3</v>
      </c>
      <c r="E1390">
        <v>15</v>
      </c>
      <c r="F1390" t="s">
        <v>260</v>
      </c>
      <c r="G1390" t="s">
        <v>116</v>
      </c>
    </row>
    <row r="1391" spans="1:7" hidden="1" x14ac:dyDescent="0.25">
      <c r="A1391">
        <v>50</v>
      </c>
      <c r="B1391">
        <v>1264</v>
      </c>
      <c r="C1391">
        <v>0</v>
      </c>
      <c r="D1391">
        <v>3</v>
      </c>
      <c r="E1391">
        <v>15</v>
      </c>
      <c r="F1391" t="s">
        <v>260</v>
      </c>
      <c r="G1391" t="s">
        <v>116</v>
      </c>
    </row>
    <row r="1392" spans="1:7" hidden="1" x14ac:dyDescent="0.25">
      <c r="A1392">
        <v>50</v>
      </c>
      <c r="B1392">
        <v>4228</v>
      </c>
      <c r="C1392">
        <v>0</v>
      </c>
      <c r="D1392">
        <v>3</v>
      </c>
      <c r="E1392">
        <v>15</v>
      </c>
      <c r="F1392" t="s">
        <v>260</v>
      </c>
      <c r="G1392" t="s">
        <v>116</v>
      </c>
    </row>
    <row r="1393" spans="1:7" hidden="1" x14ac:dyDescent="0.25">
      <c r="A1393">
        <v>50</v>
      </c>
      <c r="B1393">
        <v>5004</v>
      </c>
      <c r="C1393">
        <v>0</v>
      </c>
      <c r="D1393">
        <v>3</v>
      </c>
      <c r="E1393">
        <v>15</v>
      </c>
      <c r="F1393" t="s">
        <v>260</v>
      </c>
      <c r="G1393" t="s">
        <v>116</v>
      </c>
    </row>
    <row r="1394" spans="1:7" hidden="1" x14ac:dyDescent="0.25">
      <c r="A1394">
        <v>50</v>
      </c>
      <c r="B1394">
        <v>7283</v>
      </c>
      <c r="C1394">
        <v>0</v>
      </c>
      <c r="D1394">
        <v>3</v>
      </c>
      <c r="E1394">
        <v>15</v>
      </c>
      <c r="F1394" t="s">
        <v>260</v>
      </c>
      <c r="G1394" t="s">
        <v>116</v>
      </c>
    </row>
    <row r="1395" spans="1:7" hidden="1" x14ac:dyDescent="0.25">
      <c r="A1395">
        <v>50</v>
      </c>
      <c r="B1395">
        <v>7284</v>
      </c>
      <c r="C1395">
        <v>0</v>
      </c>
      <c r="D1395">
        <v>3</v>
      </c>
      <c r="E1395">
        <v>15</v>
      </c>
      <c r="F1395" t="s">
        <v>260</v>
      </c>
      <c r="G1395" t="s">
        <v>116</v>
      </c>
    </row>
    <row r="1396" spans="1:7" hidden="1" x14ac:dyDescent="0.25">
      <c r="A1396">
        <v>50</v>
      </c>
      <c r="B1396">
        <v>9356</v>
      </c>
      <c r="C1396">
        <v>0</v>
      </c>
      <c r="D1396">
        <v>3</v>
      </c>
      <c r="E1396">
        <v>15</v>
      </c>
      <c r="F1396" t="s">
        <v>260</v>
      </c>
      <c r="G1396" t="s">
        <v>116</v>
      </c>
    </row>
    <row r="1397" spans="1:7" hidden="1" x14ac:dyDescent="0.25">
      <c r="A1397">
        <v>50</v>
      </c>
      <c r="B1397">
        <v>10592</v>
      </c>
      <c r="C1397">
        <v>0</v>
      </c>
      <c r="D1397">
        <v>3</v>
      </c>
      <c r="E1397">
        <v>15</v>
      </c>
      <c r="F1397" t="s">
        <v>260</v>
      </c>
      <c r="G1397" t="s">
        <v>116</v>
      </c>
    </row>
    <row r="1398" spans="1:7" hidden="1" x14ac:dyDescent="0.25">
      <c r="A1398">
        <v>99</v>
      </c>
      <c r="B1398">
        <v>2168</v>
      </c>
      <c r="C1398">
        <v>0</v>
      </c>
      <c r="D1398">
        <v>3</v>
      </c>
      <c r="E1398">
        <v>15</v>
      </c>
      <c r="F1398" t="s">
        <v>260</v>
      </c>
      <c r="G1398" t="s">
        <v>116</v>
      </c>
    </row>
    <row r="1399" spans="1:7" hidden="1" x14ac:dyDescent="0.25">
      <c r="A1399">
        <v>99</v>
      </c>
      <c r="B1399">
        <v>2472</v>
      </c>
      <c r="C1399">
        <v>0</v>
      </c>
      <c r="D1399">
        <v>3</v>
      </c>
      <c r="E1399">
        <v>15</v>
      </c>
      <c r="F1399" t="s">
        <v>260</v>
      </c>
      <c r="G1399" t="s">
        <v>116</v>
      </c>
    </row>
    <row r="1400" spans="1:7" hidden="1" x14ac:dyDescent="0.25">
      <c r="A1400">
        <v>99</v>
      </c>
      <c r="B1400">
        <v>3056</v>
      </c>
      <c r="C1400">
        <v>0</v>
      </c>
      <c r="D1400">
        <v>3</v>
      </c>
      <c r="E1400">
        <v>15</v>
      </c>
      <c r="F1400" t="s">
        <v>260</v>
      </c>
      <c r="G1400" t="s">
        <v>116</v>
      </c>
    </row>
    <row r="1401" spans="1:7" hidden="1" x14ac:dyDescent="0.25">
      <c r="A1401">
        <v>99</v>
      </c>
      <c r="B1401">
        <v>3100</v>
      </c>
      <c r="C1401">
        <v>0</v>
      </c>
      <c r="D1401">
        <v>3</v>
      </c>
      <c r="E1401">
        <v>15</v>
      </c>
      <c r="F1401" t="s">
        <v>260</v>
      </c>
      <c r="G1401" t="s">
        <v>116</v>
      </c>
    </row>
    <row r="1402" spans="1:7" x14ac:dyDescent="0.25">
      <c r="A1402">
        <v>99</v>
      </c>
      <c r="B1402">
        <v>4124</v>
      </c>
      <c r="C1402">
        <v>0</v>
      </c>
      <c r="D1402">
        <v>3</v>
      </c>
      <c r="E1402">
        <v>15</v>
      </c>
      <c r="F1402" t="s">
        <v>260</v>
      </c>
      <c r="G1402" t="s">
        <v>116</v>
      </c>
    </row>
    <row r="1403" spans="1:7" hidden="1" x14ac:dyDescent="0.25">
      <c r="A1403">
        <v>99</v>
      </c>
      <c r="B1403">
        <v>5932</v>
      </c>
      <c r="C1403">
        <v>0</v>
      </c>
      <c r="D1403">
        <v>3</v>
      </c>
      <c r="E1403">
        <v>15</v>
      </c>
      <c r="F1403" t="s">
        <v>260</v>
      </c>
      <c r="G1403" t="s">
        <v>116</v>
      </c>
    </row>
    <row r="1404" spans="1:7" hidden="1" x14ac:dyDescent="0.25">
      <c r="A1404">
        <v>99</v>
      </c>
      <c r="B1404">
        <v>5992</v>
      </c>
      <c r="C1404">
        <v>0</v>
      </c>
      <c r="D1404">
        <v>3</v>
      </c>
      <c r="E1404">
        <v>15</v>
      </c>
      <c r="F1404" t="s">
        <v>260</v>
      </c>
      <c r="G1404" t="s">
        <v>116</v>
      </c>
    </row>
    <row r="1405" spans="1:7" hidden="1" x14ac:dyDescent="0.25">
      <c r="A1405">
        <v>99</v>
      </c>
      <c r="B1405">
        <v>7260</v>
      </c>
      <c r="C1405">
        <v>0</v>
      </c>
      <c r="D1405">
        <v>3</v>
      </c>
      <c r="E1405">
        <v>15</v>
      </c>
      <c r="F1405" t="s">
        <v>260</v>
      </c>
      <c r="G1405" t="s">
        <v>116</v>
      </c>
    </row>
    <row r="1406" spans="1:7" hidden="1" x14ac:dyDescent="0.25">
      <c r="A1406">
        <v>99</v>
      </c>
      <c r="B1406">
        <v>8804</v>
      </c>
      <c r="C1406">
        <v>0</v>
      </c>
      <c r="D1406">
        <v>3</v>
      </c>
      <c r="E1406">
        <v>15</v>
      </c>
      <c r="F1406" t="s">
        <v>260</v>
      </c>
      <c r="G1406" t="s">
        <v>116</v>
      </c>
    </row>
    <row r="1407" spans="1:7" hidden="1" x14ac:dyDescent="0.25">
      <c r="A1407">
        <v>99</v>
      </c>
      <c r="B1407">
        <v>9176</v>
      </c>
      <c r="C1407">
        <v>0</v>
      </c>
      <c r="D1407">
        <v>3</v>
      </c>
      <c r="E1407">
        <v>15</v>
      </c>
      <c r="F1407" t="s">
        <v>260</v>
      </c>
      <c r="G1407" t="s">
        <v>116</v>
      </c>
    </row>
    <row r="1408" spans="1:7" hidden="1" x14ac:dyDescent="0.25">
      <c r="A1408">
        <v>99</v>
      </c>
      <c r="B1408">
        <v>9256</v>
      </c>
      <c r="C1408">
        <v>0</v>
      </c>
      <c r="D1408">
        <v>3</v>
      </c>
      <c r="E1408">
        <v>15</v>
      </c>
      <c r="F1408" t="s">
        <v>260</v>
      </c>
      <c r="G1408" t="s">
        <v>116</v>
      </c>
    </row>
    <row r="1409" spans="1:7" hidden="1" x14ac:dyDescent="0.25">
      <c r="A1409">
        <v>99</v>
      </c>
      <c r="B1409">
        <v>9752</v>
      </c>
      <c r="C1409">
        <v>0</v>
      </c>
      <c r="D1409">
        <v>3</v>
      </c>
      <c r="E1409">
        <v>15</v>
      </c>
      <c r="F1409" t="s">
        <v>260</v>
      </c>
      <c r="G1409" t="s">
        <v>116</v>
      </c>
    </row>
    <row r="1410" spans="1:7" hidden="1" x14ac:dyDescent="0.25">
      <c r="A1410">
        <v>99</v>
      </c>
      <c r="B1410">
        <v>10364</v>
      </c>
      <c r="C1410">
        <v>0</v>
      </c>
      <c r="D1410">
        <v>3</v>
      </c>
      <c r="E1410">
        <v>15</v>
      </c>
      <c r="F1410" t="s">
        <v>260</v>
      </c>
      <c r="G1410" t="s">
        <v>116</v>
      </c>
    </row>
    <row r="1411" spans="1:7" hidden="1" x14ac:dyDescent="0.25">
      <c r="A1411">
        <v>50</v>
      </c>
      <c r="B1411">
        <v>476</v>
      </c>
      <c r="C1411">
        <v>0</v>
      </c>
      <c r="D1411">
        <v>3</v>
      </c>
      <c r="E1411">
        <v>14</v>
      </c>
      <c r="F1411" t="s">
        <v>259</v>
      </c>
      <c r="G1411" t="s">
        <v>114</v>
      </c>
    </row>
    <row r="1412" spans="1:7" hidden="1" x14ac:dyDescent="0.25">
      <c r="A1412">
        <v>50</v>
      </c>
      <c r="B1412">
        <v>1264</v>
      </c>
      <c r="C1412">
        <v>0</v>
      </c>
      <c r="D1412">
        <v>3</v>
      </c>
      <c r="E1412">
        <v>14</v>
      </c>
      <c r="F1412" t="s">
        <v>259</v>
      </c>
      <c r="G1412" t="s">
        <v>114</v>
      </c>
    </row>
    <row r="1413" spans="1:7" hidden="1" x14ac:dyDescent="0.25">
      <c r="A1413">
        <v>50</v>
      </c>
      <c r="B1413">
        <v>4228</v>
      </c>
      <c r="C1413">
        <v>0</v>
      </c>
      <c r="D1413">
        <v>3</v>
      </c>
      <c r="E1413">
        <v>14</v>
      </c>
      <c r="F1413" t="s">
        <v>259</v>
      </c>
      <c r="G1413" t="s">
        <v>114</v>
      </c>
    </row>
    <row r="1414" spans="1:7" hidden="1" x14ac:dyDescent="0.25">
      <c r="A1414">
        <v>50</v>
      </c>
      <c r="B1414">
        <v>5004</v>
      </c>
      <c r="C1414">
        <v>0</v>
      </c>
      <c r="D1414">
        <v>3</v>
      </c>
      <c r="E1414">
        <v>14</v>
      </c>
      <c r="F1414" t="s">
        <v>259</v>
      </c>
      <c r="G1414" t="s">
        <v>114</v>
      </c>
    </row>
    <row r="1415" spans="1:7" hidden="1" x14ac:dyDescent="0.25">
      <c r="A1415">
        <v>50</v>
      </c>
      <c r="B1415">
        <v>7283</v>
      </c>
      <c r="C1415">
        <v>0</v>
      </c>
      <c r="D1415">
        <v>3</v>
      </c>
      <c r="E1415">
        <v>14</v>
      </c>
      <c r="F1415" t="s">
        <v>259</v>
      </c>
      <c r="G1415" t="s">
        <v>114</v>
      </c>
    </row>
    <row r="1416" spans="1:7" hidden="1" x14ac:dyDescent="0.25">
      <c r="A1416">
        <v>50</v>
      </c>
      <c r="B1416">
        <v>7284</v>
      </c>
      <c r="C1416">
        <v>0</v>
      </c>
      <c r="D1416">
        <v>3</v>
      </c>
      <c r="E1416">
        <v>14</v>
      </c>
      <c r="F1416" t="s">
        <v>259</v>
      </c>
      <c r="G1416" t="s">
        <v>114</v>
      </c>
    </row>
    <row r="1417" spans="1:7" hidden="1" x14ac:dyDescent="0.25">
      <c r="A1417">
        <v>50</v>
      </c>
      <c r="B1417">
        <v>9356</v>
      </c>
      <c r="C1417">
        <v>0</v>
      </c>
      <c r="D1417">
        <v>3</v>
      </c>
      <c r="E1417">
        <v>14</v>
      </c>
      <c r="F1417" t="s">
        <v>259</v>
      </c>
      <c r="G1417" t="s">
        <v>114</v>
      </c>
    </row>
    <row r="1418" spans="1:7" hidden="1" x14ac:dyDescent="0.25">
      <c r="A1418">
        <v>50</v>
      </c>
      <c r="B1418">
        <v>10592</v>
      </c>
      <c r="C1418">
        <v>0</v>
      </c>
      <c r="D1418">
        <v>3</v>
      </c>
      <c r="E1418">
        <v>14</v>
      </c>
      <c r="F1418" t="s">
        <v>259</v>
      </c>
      <c r="G1418" t="s">
        <v>114</v>
      </c>
    </row>
    <row r="1419" spans="1:7" hidden="1" x14ac:dyDescent="0.25">
      <c r="A1419">
        <v>99</v>
      </c>
      <c r="B1419">
        <v>2168</v>
      </c>
      <c r="C1419">
        <v>0</v>
      </c>
      <c r="D1419">
        <v>3</v>
      </c>
      <c r="E1419">
        <v>14</v>
      </c>
      <c r="F1419" t="s">
        <v>259</v>
      </c>
      <c r="G1419" t="s">
        <v>114</v>
      </c>
    </row>
    <row r="1420" spans="1:7" hidden="1" x14ac:dyDescent="0.25">
      <c r="A1420">
        <v>99</v>
      </c>
      <c r="B1420">
        <v>2472</v>
      </c>
      <c r="C1420">
        <v>0</v>
      </c>
      <c r="D1420">
        <v>3</v>
      </c>
      <c r="E1420">
        <v>14</v>
      </c>
      <c r="F1420" t="s">
        <v>259</v>
      </c>
      <c r="G1420" t="s">
        <v>114</v>
      </c>
    </row>
    <row r="1421" spans="1:7" hidden="1" x14ac:dyDescent="0.25">
      <c r="A1421">
        <v>99</v>
      </c>
      <c r="B1421">
        <v>3056</v>
      </c>
      <c r="C1421">
        <v>0</v>
      </c>
      <c r="D1421">
        <v>3</v>
      </c>
      <c r="E1421">
        <v>14</v>
      </c>
      <c r="F1421" t="s">
        <v>259</v>
      </c>
      <c r="G1421" t="s">
        <v>114</v>
      </c>
    </row>
    <row r="1422" spans="1:7" hidden="1" x14ac:dyDescent="0.25">
      <c r="A1422">
        <v>99</v>
      </c>
      <c r="B1422">
        <v>3100</v>
      </c>
      <c r="C1422">
        <v>0</v>
      </c>
      <c r="D1422">
        <v>3</v>
      </c>
      <c r="E1422">
        <v>14</v>
      </c>
      <c r="F1422" t="s">
        <v>259</v>
      </c>
      <c r="G1422" t="s">
        <v>114</v>
      </c>
    </row>
    <row r="1423" spans="1:7" x14ac:dyDescent="0.25">
      <c r="A1423">
        <v>99</v>
      </c>
      <c r="B1423">
        <v>4124</v>
      </c>
      <c r="C1423">
        <v>0</v>
      </c>
      <c r="D1423">
        <v>3</v>
      </c>
      <c r="E1423">
        <v>14</v>
      </c>
      <c r="F1423" t="s">
        <v>259</v>
      </c>
      <c r="G1423" t="s">
        <v>114</v>
      </c>
    </row>
    <row r="1424" spans="1:7" hidden="1" x14ac:dyDescent="0.25">
      <c r="A1424">
        <v>99</v>
      </c>
      <c r="B1424">
        <v>5932</v>
      </c>
      <c r="C1424">
        <v>0</v>
      </c>
      <c r="D1424">
        <v>3</v>
      </c>
      <c r="E1424">
        <v>14</v>
      </c>
      <c r="F1424" t="s">
        <v>259</v>
      </c>
      <c r="G1424" t="s">
        <v>114</v>
      </c>
    </row>
    <row r="1425" spans="1:7" hidden="1" x14ac:dyDescent="0.25">
      <c r="A1425">
        <v>99</v>
      </c>
      <c r="B1425">
        <v>5992</v>
      </c>
      <c r="C1425">
        <v>0</v>
      </c>
      <c r="D1425">
        <v>3</v>
      </c>
      <c r="E1425">
        <v>14</v>
      </c>
      <c r="F1425" t="s">
        <v>259</v>
      </c>
      <c r="G1425" t="s">
        <v>114</v>
      </c>
    </row>
    <row r="1426" spans="1:7" hidden="1" x14ac:dyDescent="0.25">
      <c r="A1426">
        <v>99</v>
      </c>
      <c r="B1426">
        <v>7260</v>
      </c>
      <c r="C1426">
        <v>0</v>
      </c>
      <c r="D1426">
        <v>3</v>
      </c>
      <c r="E1426">
        <v>14</v>
      </c>
      <c r="F1426" t="s">
        <v>259</v>
      </c>
      <c r="G1426" t="s">
        <v>114</v>
      </c>
    </row>
    <row r="1427" spans="1:7" hidden="1" x14ac:dyDescent="0.25">
      <c r="A1427">
        <v>99</v>
      </c>
      <c r="B1427">
        <v>8804</v>
      </c>
      <c r="C1427">
        <v>0</v>
      </c>
      <c r="D1427">
        <v>3</v>
      </c>
      <c r="E1427">
        <v>14</v>
      </c>
      <c r="F1427" t="s">
        <v>259</v>
      </c>
      <c r="G1427" t="s">
        <v>114</v>
      </c>
    </row>
    <row r="1428" spans="1:7" hidden="1" x14ac:dyDescent="0.25">
      <c r="A1428">
        <v>99</v>
      </c>
      <c r="B1428">
        <v>9176</v>
      </c>
      <c r="C1428">
        <v>0</v>
      </c>
      <c r="D1428">
        <v>3</v>
      </c>
      <c r="E1428">
        <v>14</v>
      </c>
      <c r="F1428" t="s">
        <v>259</v>
      </c>
      <c r="G1428" t="s">
        <v>114</v>
      </c>
    </row>
    <row r="1429" spans="1:7" hidden="1" x14ac:dyDescent="0.25">
      <c r="A1429">
        <v>99</v>
      </c>
      <c r="B1429">
        <v>9256</v>
      </c>
      <c r="C1429">
        <v>0</v>
      </c>
      <c r="D1429">
        <v>3</v>
      </c>
      <c r="E1429">
        <v>14</v>
      </c>
      <c r="F1429" t="s">
        <v>259</v>
      </c>
      <c r="G1429" t="s">
        <v>114</v>
      </c>
    </row>
    <row r="1430" spans="1:7" hidden="1" x14ac:dyDescent="0.25">
      <c r="A1430">
        <v>99</v>
      </c>
      <c r="B1430">
        <v>9752</v>
      </c>
      <c r="C1430">
        <v>0</v>
      </c>
      <c r="D1430">
        <v>3</v>
      </c>
      <c r="E1430">
        <v>14</v>
      </c>
      <c r="F1430" t="s">
        <v>259</v>
      </c>
      <c r="G1430" t="s">
        <v>114</v>
      </c>
    </row>
    <row r="1431" spans="1:7" hidden="1" x14ac:dyDescent="0.25">
      <c r="A1431">
        <v>99</v>
      </c>
      <c r="B1431">
        <v>10364</v>
      </c>
      <c r="C1431">
        <v>0</v>
      </c>
      <c r="D1431">
        <v>3</v>
      </c>
      <c r="E1431">
        <v>14</v>
      </c>
      <c r="F1431" t="s">
        <v>259</v>
      </c>
      <c r="G1431" t="s">
        <v>114</v>
      </c>
    </row>
    <row r="1432" spans="1:7" hidden="1" x14ac:dyDescent="0.25">
      <c r="A1432">
        <v>50</v>
      </c>
      <c r="B1432">
        <v>476</v>
      </c>
      <c r="C1432">
        <v>0</v>
      </c>
      <c r="D1432">
        <v>3</v>
      </c>
      <c r="E1432">
        <v>26</v>
      </c>
      <c r="F1432" t="s">
        <v>271</v>
      </c>
      <c r="G1432" t="s">
        <v>120</v>
      </c>
    </row>
    <row r="1433" spans="1:7" hidden="1" x14ac:dyDescent="0.25">
      <c r="A1433">
        <v>50</v>
      </c>
      <c r="B1433">
        <v>1264</v>
      </c>
      <c r="C1433">
        <v>0</v>
      </c>
      <c r="D1433">
        <v>3</v>
      </c>
      <c r="E1433">
        <v>26</v>
      </c>
      <c r="F1433" t="s">
        <v>271</v>
      </c>
      <c r="G1433" t="s">
        <v>120</v>
      </c>
    </row>
    <row r="1434" spans="1:7" hidden="1" x14ac:dyDescent="0.25">
      <c r="A1434">
        <v>50</v>
      </c>
      <c r="B1434">
        <v>4228</v>
      </c>
      <c r="C1434">
        <v>0</v>
      </c>
      <c r="D1434">
        <v>3</v>
      </c>
      <c r="E1434">
        <v>26</v>
      </c>
      <c r="F1434" t="s">
        <v>271</v>
      </c>
      <c r="G1434" t="s">
        <v>120</v>
      </c>
    </row>
    <row r="1435" spans="1:7" hidden="1" x14ac:dyDescent="0.25">
      <c r="A1435">
        <v>50</v>
      </c>
      <c r="B1435">
        <v>5004</v>
      </c>
      <c r="C1435">
        <v>0</v>
      </c>
      <c r="D1435">
        <v>3</v>
      </c>
      <c r="E1435">
        <v>26</v>
      </c>
      <c r="F1435" t="s">
        <v>271</v>
      </c>
      <c r="G1435" t="s">
        <v>120</v>
      </c>
    </row>
    <row r="1436" spans="1:7" hidden="1" x14ac:dyDescent="0.25">
      <c r="A1436">
        <v>50</v>
      </c>
      <c r="B1436">
        <v>7283</v>
      </c>
      <c r="C1436">
        <v>0</v>
      </c>
      <c r="D1436">
        <v>3</v>
      </c>
      <c r="E1436">
        <v>26</v>
      </c>
      <c r="F1436" t="s">
        <v>271</v>
      </c>
      <c r="G1436" t="s">
        <v>120</v>
      </c>
    </row>
    <row r="1437" spans="1:7" hidden="1" x14ac:dyDescent="0.25">
      <c r="A1437">
        <v>50</v>
      </c>
      <c r="B1437">
        <v>7284</v>
      </c>
      <c r="C1437">
        <v>0</v>
      </c>
      <c r="D1437">
        <v>3</v>
      </c>
      <c r="E1437">
        <v>26</v>
      </c>
      <c r="F1437" t="s">
        <v>271</v>
      </c>
      <c r="G1437" t="s">
        <v>120</v>
      </c>
    </row>
    <row r="1438" spans="1:7" hidden="1" x14ac:dyDescent="0.25">
      <c r="A1438">
        <v>50</v>
      </c>
      <c r="B1438">
        <v>9356</v>
      </c>
      <c r="C1438">
        <v>0</v>
      </c>
      <c r="D1438">
        <v>3</v>
      </c>
      <c r="E1438">
        <v>26</v>
      </c>
      <c r="F1438" t="s">
        <v>271</v>
      </c>
      <c r="G1438" t="s">
        <v>120</v>
      </c>
    </row>
    <row r="1439" spans="1:7" hidden="1" x14ac:dyDescent="0.25">
      <c r="A1439">
        <v>50</v>
      </c>
      <c r="B1439">
        <v>10592</v>
      </c>
      <c r="C1439">
        <v>0</v>
      </c>
      <c r="D1439">
        <v>3</v>
      </c>
      <c r="E1439">
        <v>26</v>
      </c>
      <c r="F1439" t="s">
        <v>271</v>
      </c>
      <c r="G1439" t="s">
        <v>120</v>
      </c>
    </row>
    <row r="1440" spans="1:7" hidden="1" x14ac:dyDescent="0.25">
      <c r="A1440">
        <v>99</v>
      </c>
      <c r="B1440">
        <v>2168</v>
      </c>
      <c r="C1440">
        <v>0</v>
      </c>
      <c r="D1440">
        <v>3</v>
      </c>
      <c r="E1440">
        <v>26</v>
      </c>
      <c r="F1440" t="s">
        <v>271</v>
      </c>
      <c r="G1440" t="s">
        <v>120</v>
      </c>
    </row>
    <row r="1441" spans="1:7" hidden="1" x14ac:dyDescent="0.25">
      <c r="A1441">
        <v>99</v>
      </c>
      <c r="B1441">
        <v>2472</v>
      </c>
      <c r="C1441">
        <v>0</v>
      </c>
      <c r="D1441">
        <v>3</v>
      </c>
      <c r="E1441">
        <v>26</v>
      </c>
      <c r="F1441" t="s">
        <v>271</v>
      </c>
      <c r="G1441" t="s">
        <v>120</v>
      </c>
    </row>
    <row r="1442" spans="1:7" hidden="1" x14ac:dyDescent="0.25">
      <c r="A1442">
        <v>99</v>
      </c>
      <c r="B1442">
        <v>3056</v>
      </c>
      <c r="C1442">
        <v>0</v>
      </c>
      <c r="D1442">
        <v>3</v>
      </c>
      <c r="E1442">
        <v>26</v>
      </c>
      <c r="F1442" t="s">
        <v>271</v>
      </c>
      <c r="G1442" t="s">
        <v>120</v>
      </c>
    </row>
    <row r="1443" spans="1:7" hidden="1" x14ac:dyDescent="0.25">
      <c r="A1443">
        <v>99</v>
      </c>
      <c r="B1443">
        <v>3100</v>
      </c>
      <c r="C1443">
        <v>0</v>
      </c>
      <c r="D1443">
        <v>3</v>
      </c>
      <c r="E1443">
        <v>26</v>
      </c>
      <c r="F1443" t="s">
        <v>271</v>
      </c>
      <c r="G1443" t="s">
        <v>120</v>
      </c>
    </row>
    <row r="1444" spans="1:7" x14ac:dyDescent="0.25">
      <c r="A1444">
        <v>99</v>
      </c>
      <c r="B1444">
        <v>4124</v>
      </c>
      <c r="C1444">
        <v>0</v>
      </c>
      <c r="D1444">
        <v>3</v>
      </c>
      <c r="E1444">
        <v>26</v>
      </c>
      <c r="F1444" t="s">
        <v>271</v>
      </c>
      <c r="G1444" t="s">
        <v>120</v>
      </c>
    </row>
    <row r="1445" spans="1:7" hidden="1" x14ac:dyDescent="0.25">
      <c r="A1445">
        <v>99</v>
      </c>
      <c r="B1445">
        <v>5932</v>
      </c>
      <c r="C1445">
        <v>0</v>
      </c>
      <c r="D1445">
        <v>3</v>
      </c>
      <c r="E1445">
        <v>26</v>
      </c>
      <c r="F1445" t="s">
        <v>271</v>
      </c>
      <c r="G1445" t="s">
        <v>120</v>
      </c>
    </row>
    <row r="1446" spans="1:7" hidden="1" x14ac:dyDescent="0.25">
      <c r="A1446">
        <v>99</v>
      </c>
      <c r="B1446">
        <v>5992</v>
      </c>
      <c r="C1446">
        <v>0</v>
      </c>
      <c r="D1446">
        <v>3</v>
      </c>
      <c r="E1446">
        <v>26</v>
      </c>
      <c r="F1446" t="s">
        <v>271</v>
      </c>
      <c r="G1446" t="s">
        <v>120</v>
      </c>
    </row>
    <row r="1447" spans="1:7" hidden="1" x14ac:dyDescent="0.25">
      <c r="A1447">
        <v>99</v>
      </c>
      <c r="B1447">
        <v>7260</v>
      </c>
      <c r="C1447">
        <v>0</v>
      </c>
      <c r="D1447">
        <v>3</v>
      </c>
      <c r="E1447">
        <v>26</v>
      </c>
      <c r="F1447" t="s">
        <v>271</v>
      </c>
      <c r="G1447" t="s">
        <v>120</v>
      </c>
    </row>
    <row r="1448" spans="1:7" hidden="1" x14ac:dyDescent="0.25">
      <c r="A1448">
        <v>99</v>
      </c>
      <c r="B1448">
        <v>8804</v>
      </c>
      <c r="C1448">
        <v>0</v>
      </c>
      <c r="D1448">
        <v>3</v>
      </c>
      <c r="E1448">
        <v>26</v>
      </c>
      <c r="F1448" t="s">
        <v>271</v>
      </c>
      <c r="G1448" t="s">
        <v>120</v>
      </c>
    </row>
    <row r="1449" spans="1:7" hidden="1" x14ac:dyDescent="0.25">
      <c r="A1449">
        <v>99</v>
      </c>
      <c r="B1449">
        <v>9176</v>
      </c>
      <c r="C1449">
        <v>0</v>
      </c>
      <c r="D1449">
        <v>3</v>
      </c>
      <c r="E1449">
        <v>26</v>
      </c>
      <c r="F1449" t="s">
        <v>271</v>
      </c>
      <c r="G1449" t="s">
        <v>120</v>
      </c>
    </row>
    <row r="1450" spans="1:7" hidden="1" x14ac:dyDescent="0.25">
      <c r="A1450">
        <v>99</v>
      </c>
      <c r="B1450">
        <v>9256</v>
      </c>
      <c r="C1450">
        <v>0</v>
      </c>
      <c r="D1450">
        <v>3</v>
      </c>
      <c r="E1450">
        <v>26</v>
      </c>
      <c r="F1450" t="s">
        <v>271</v>
      </c>
      <c r="G1450" t="s">
        <v>120</v>
      </c>
    </row>
    <row r="1451" spans="1:7" hidden="1" x14ac:dyDescent="0.25">
      <c r="A1451">
        <v>99</v>
      </c>
      <c r="B1451">
        <v>9752</v>
      </c>
      <c r="C1451">
        <v>0</v>
      </c>
      <c r="D1451">
        <v>3</v>
      </c>
      <c r="E1451">
        <v>26</v>
      </c>
      <c r="F1451" t="s">
        <v>271</v>
      </c>
      <c r="G1451" t="s">
        <v>120</v>
      </c>
    </row>
    <row r="1452" spans="1:7" hidden="1" x14ac:dyDescent="0.25">
      <c r="A1452">
        <v>99</v>
      </c>
      <c r="B1452">
        <v>10364</v>
      </c>
      <c r="C1452">
        <v>0</v>
      </c>
      <c r="D1452">
        <v>3</v>
      </c>
      <c r="E1452">
        <v>26</v>
      </c>
      <c r="F1452" t="s">
        <v>271</v>
      </c>
      <c r="G1452" t="s">
        <v>120</v>
      </c>
    </row>
    <row r="1453" spans="1:7" hidden="1" x14ac:dyDescent="0.25">
      <c r="A1453">
        <v>50</v>
      </c>
      <c r="B1453">
        <v>476</v>
      </c>
      <c r="C1453">
        <v>0</v>
      </c>
      <c r="D1453">
        <v>3</v>
      </c>
      <c r="E1453">
        <v>25</v>
      </c>
      <c r="F1453" t="s">
        <v>270</v>
      </c>
      <c r="G1453" t="s">
        <v>122</v>
      </c>
    </row>
    <row r="1454" spans="1:7" hidden="1" x14ac:dyDescent="0.25">
      <c r="A1454">
        <v>50</v>
      </c>
      <c r="B1454">
        <v>1264</v>
      </c>
      <c r="C1454">
        <v>0</v>
      </c>
      <c r="D1454">
        <v>3</v>
      </c>
      <c r="E1454">
        <v>25</v>
      </c>
      <c r="F1454" t="s">
        <v>270</v>
      </c>
      <c r="G1454" t="s">
        <v>122</v>
      </c>
    </row>
    <row r="1455" spans="1:7" hidden="1" x14ac:dyDescent="0.25">
      <c r="A1455">
        <v>50</v>
      </c>
      <c r="B1455">
        <v>4228</v>
      </c>
      <c r="C1455">
        <v>0</v>
      </c>
      <c r="D1455">
        <v>3</v>
      </c>
      <c r="E1455">
        <v>25</v>
      </c>
      <c r="F1455" t="s">
        <v>270</v>
      </c>
      <c r="G1455" t="s">
        <v>122</v>
      </c>
    </row>
    <row r="1456" spans="1:7" hidden="1" x14ac:dyDescent="0.25">
      <c r="A1456">
        <v>50</v>
      </c>
      <c r="B1456">
        <v>5004</v>
      </c>
      <c r="C1456">
        <v>0</v>
      </c>
      <c r="D1456">
        <v>3</v>
      </c>
      <c r="E1456">
        <v>25</v>
      </c>
      <c r="F1456" t="s">
        <v>270</v>
      </c>
      <c r="G1456" t="s">
        <v>122</v>
      </c>
    </row>
    <row r="1457" spans="1:7" hidden="1" x14ac:dyDescent="0.25">
      <c r="A1457">
        <v>50</v>
      </c>
      <c r="B1457">
        <v>7283</v>
      </c>
      <c r="C1457">
        <v>0</v>
      </c>
      <c r="D1457">
        <v>3</v>
      </c>
      <c r="E1457">
        <v>25</v>
      </c>
      <c r="F1457" t="s">
        <v>270</v>
      </c>
      <c r="G1457" t="s">
        <v>122</v>
      </c>
    </row>
    <row r="1458" spans="1:7" hidden="1" x14ac:dyDescent="0.25">
      <c r="A1458">
        <v>50</v>
      </c>
      <c r="B1458">
        <v>7284</v>
      </c>
      <c r="C1458">
        <v>0</v>
      </c>
      <c r="D1458">
        <v>3</v>
      </c>
      <c r="E1458">
        <v>25</v>
      </c>
      <c r="F1458" t="s">
        <v>270</v>
      </c>
      <c r="G1458" t="s">
        <v>122</v>
      </c>
    </row>
    <row r="1459" spans="1:7" hidden="1" x14ac:dyDescent="0.25">
      <c r="A1459">
        <v>50</v>
      </c>
      <c r="B1459">
        <v>9356</v>
      </c>
      <c r="C1459">
        <v>0</v>
      </c>
      <c r="D1459">
        <v>3</v>
      </c>
      <c r="E1459">
        <v>25</v>
      </c>
      <c r="F1459" t="s">
        <v>270</v>
      </c>
      <c r="G1459" t="s">
        <v>122</v>
      </c>
    </row>
    <row r="1460" spans="1:7" hidden="1" x14ac:dyDescent="0.25">
      <c r="A1460">
        <v>50</v>
      </c>
      <c r="B1460">
        <v>10592</v>
      </c>
      <c r="C1460">
        <v>0</v>
      </c>
      <c r="D1460">
        <v>3</v>
      </c>
      <c r="E1460">
        <v>25</v>
      </c>
      <c r="F1460" t="s">
        <v>270</v>
      </c>
      <c r="G1460" t="s">
        <v>122</v>
      </c>
    </row>
    <row r="1461" spans="1:7" hidden="1" x14ac:dyDescent="0.25">
      <c r="A1461">
        <v>99</v>
      </c>
      <c r="B1461">
        <v>2168</v>
      </c>
      <c r="C1461">
        <v>0</v>
      </c>
      <c r="D1461">
        <v>3</v>
      </c>
      <c r="E1461">
        <v>25</v>
      </c>
      <c r="F1461" t="s">
        <v>270</v>
      </c>
      <c r="G1461" t="s">
        <v>122</v>
      </c>
    </row>
    <row r="1462" spans="1:7" hidden="1" x14ac:dyDescent="0.25">
      <c r="A1462">
        <v>99</v>
      </c>
      <c r="B1462">
        <v>2472</v>
      </c>
      <c r="C1462">
        <v>0</v>
      </c>
      <c r="D1462">
        <v>3</v>
      </c>
      <c r="E1462">
        <v>25</v>
      </c>
      <c r="F1462" t="s">
        <v>270</v>
      </c>
      <c r="G1462" t="s">
        <v>122</v>
      </c>
    </row>
    <row r="1463" spans="1:7" hidden="1" x14ac:dyDescent="0.25">
      <c r="A1463">
        <v>99</v>
      </c>
      <c r="B1463">
        <v>3056</v>
      </c>
      <c r="C1463">
        <v>0</v>
      </c>
      <c r="D1463">
        <v>3</v>
      </c>
      <c r="E1463">
        <v>25</v>
      </c>
      <c r="F1463" t="s">
        <v>270</v>
      </c>
      <c r="G1463" t="s">
        <v>122</v>
      </c>
    </row>
    <row r="1464" spans="1:7" hidden="1" x14ac:dyDescent="0.25">
      <c r="A1464">
        <v>99</v>
      </c>
      <c r="B1464">
        <v>3100</v>
      </c>
      <c r="C1464">
        <v>0</v>
      </c>
      <c r="D1464">
        <v>3</v>
      </c>
      <c r="E1464">
        <v>25</v>
      </c>
      <c r="F1464" t="s">
        <v>270</v>
      </c>
      <c r="G1464" t="s">
        <v>122</v>
      </c>
    </row>
    <row r="1465" spans="1:7" x14ac:dyDescent="0.25">
      <c r="A1465">
        <v>99</v>
      </c>
      <c r="B1465">
        <v>4124</v>
      </c>
      <c r="C1465">
        <v>0</v>
      </c>
      <c r="D1465">
        <v>3</v>
      </c>
      <c r="E1465">
        <v>25</v>
      </c>
      <c r="F1465" t="s">
        <v>270</v>
      </c>
      <c r="G1465" t="s">
        <v>122</v>
      </c>
    </row>
    <row r="1466" spans="1:7" hidden="1" x14ac:dyDescent="0.25">
      <c r="A1466">
        <v>99</v>
      </c>
      <c r="B1466">
        <v>5932</v>
      </c>
      <c r="C1466">
        <v>0</v>
      </c>
      <c r="D1466">
        <v>3</v>
      </c>
      <c r="E1466">
        <v>25</v>
      </c>
      <c r="F1466" t="s">
        <v>270</v>
      </c>
      <c r="G1466" t="s">
        <v>122</v>
      </c>
    </row>
    <row r="1467" spans="1:7" hidden="1" x14ac:dyDescent="0.25">
      <c r="A1467">
        <v>99</v>
      </c>
      <c r="B1467">
        <v>5992</v>
      </c>
      <c r="C1467">
        <v>0</v>
      </c>
      <c r="D1467">
        <v>3</v>
      </c>
      <c r="E1467">
        <v>25</v>
      </c>
      <c r="F1467" t="s">
        <v>270</v>
      </c>
      <c r="G1467" t="s">
        <v>122</v>
      </c>
    </row>
    <row r="1468" spans="1:7" hidden="1" x14ac:dyDescent="0.25">
      <c r="A1468">
        <v>99</v>
      </c>
      <c r="B1468">
        <v>7260</v>
      </c>
      <c r="C1468">
        <v>0</v>
      </c>
      <c r="D1468">
        <v>3</v>
      </c>
      <c r="E1468">
        <v>25</v>
      </c>
      <c r="F1468" t="s">
        <v>270</v>
      </c>
      <c r="G1468" t="s">
        <v>122</v>
      </c>
    </row>
    <row r="1469" spans="1:7" hidden="1" x14ac:dyDescent="0.25">
      <c r="A1469">
        <v>99</v>
      </c>
      <c r="B1469">
        <v>8804</v>
      </c>
      <c r="C1469">
        <v>0</v>
      </c>
      <c r="D1469">
        <v>3</v>
      </c>
      <c r="E1469">
        <v>25</v>
      </c>
      <c r="F1469" t="s">
        <v>270</v>
      </c>
      <c r="G1469" t="s">
        <v>122</v>
      </c>
    </row>
    <row r="1470" spans="1:7" hidden="1" x14ac:dyDescent="0.25">
      <c r="A1470">
        <v>99</v>
      </c>
      <c r="B1470">
        <v>9176</v>
      </c>
      <c r="C1470">
        <v>0</v>
      </c>
      <c r="D1470">
        <v>3</v>
      </c>
      <c r="E1470">
        <v>25</v>
      </c>
      <c r="F1470" t="s">
        <v>270</v>
      </c>
      <c r="G1470" t="s">
        <v>122</v>
      </c>
    </row>
    <row r="1471" spans="1:7" hidden="1" x14ac:dyDescent="0.25">
      <c r="A1471">
        <v>99</v>
      </c>
      <c r="B1471">
        <v>9256</v>
      </c>
      <c r="C1471">
        <v>0</v>
      </c>
      <c r="D1471">
        <v>3</v>
      </c>
      <c r="E1471">
        <v>25</v>
      </c>
      <c r="F1471" t="s">
        <v>270</v>
      </c>
      <c r="G1471" t="s">
        <v>122</v>
      </c>
    </row>
    <row r="1472" spans="1:7" hidden="1" x14ac:dyDescent="0.25">
      <c r="A1472">
        <v>99</v>
      </c>
      <c r="B1472">
        <v>9752</v>
      </c>
      <c r="C1472">
        <v>0</v>
      </c>
      <c r="D1472">
        <v>3</v>
      </c>
      <c r="E1472">
        <v>25</v>
      </c>
      <c r="F1472" t="s">
        <v>270</v>
      </c>
      <c r="G1472" t="s">
        <v>122</v>
      </c>
    </row>
    <row r="1473" spans="1:7" hidden="1" x14ac:dyDescent="0.25">
      <c r="A1473">
        <v>99</v>
      </c>
      <c r="B1473">
        <v>10364</v>
      </c>
      <c r="C1473">
        <v>0</v>
      </c>
      <c r="D1473">
        <v>3</v>
      </c>
      <c r="E1473">
        <v>25</v>
      </c>
      <c r="F1473" t="s">
        <v>270</v>
      </c>
      <c r="G1473" t="s">
        <v>122</v>
      </c>
    </row>
    <row r="1474" spans="1:7" hidden="1" x14ac:dyDescent="0.25">
      <c r="A1474">
        <v>50</v>
      </c>
      <c r="B1474">
        <v>476</v>
      </c>
      <c r="C1474">
        <v>0</v>
      </c>
      <c r="D1474">
        <v>3</v>
      </c>
      <c r="E1474">
        <v>24</v>
      </c>
      <c r="F1474" t="s">
        <v>269</v>
      </c>
      <c r="G1474" t="s">
        <v>124</v>
      </c>
    </row>
    <row r="1475" spans="1:7" hidden="1" x14ac:dyDescent="0.25">
      <c r="A1475">
        <v>50</v>
      </c>
      <c r="B1475">
        <v>1264</v>
      </c>
      <c r="C1475">
        <v>0</v>
      </c>
      <c r="D1475">
        <v>3</v>
      </c>
      <c r="E1475">
        <v>24</v>
      </c>
      <c r="F1475" t="s">
        <v>269</v>
      </c>
      <c r="G1475" t="s">
        <v>124</v>
      </c>
    </row>
    <row r="1476" spans="1:7" hidden="1" x14ac:dyDescent="0.25">
      <c r="A1476">
        <v>50</v>
      </c>
      <c r="B1476">
        <v>4228</v>
      </c>
      <c r="C1476">
        <v>0</v>
      </c>
      <c r="D1476">
        <v>3</v>
      </c>
      <c r="E1476">
        <v>24</v>
      </c>
      <c r="F1476" t="s">
        <v>269</v>
      </c>
      <c r="G1476" t="s">
        <v>124</v>
      </c>
    </row>
    <row r="1477" spans="1:7" hidden="1" x14ac:dyDescent="0.25">
      <c r="A1477">
        <v>50</v>
      </c>
      <c r="B1477">
        <v>5004</v>
      </c>
      <c r="C1477">
        <v>0</v>
      </c>
      <c r="D1477">
        <v>3</v>
      </c>
      <c r="E1477">
        <v>24</v>
      </c>
      <c r="F1477" t="s">
        <v>269</v>
      </c>
      <c r="G1477" t="s">
        <v>124</v>
      </c>
    </row>
    <row r="1478" spans="1:7" hidden="1" x14ac:dyDescent="0.25">
      <c r="A1478">
        <v>50</v>
      </c>
      <c r="B1478">
        <v>7283</v>
      </c>
      <c r="C1478">
        <v>0</v>
      </c>
      <c r="D1478">
        <v>3</v>
      </c>
      <c r="E1478">
        <v>24</v>
      </c>
      <c r="F1478" t="s">
        <v>269</v>
      </c>
      <c r="G1478" t="s">
        <v>124</v>
      </c>
    </row>
    <row r="1479" spans="1:7" hidden="1" x14ac:dyDescent="0.25">
      <c r="A1479">
        <v>50</v>
      </c>
      <c r="B1479">
        <v>7284</v>
      </c>
      <c r="C1479">
        <v>0</v>
      </c>
      <c r="D1479">
        <v>3</v>
      </c>
      <c r="E1479">
        <v>24</v>
      </c>
      <c r="F1479" t="s">
        <v>269</v>
      </c>
      <c r="G1479" t="s">
        <v>124</v>
      </c>
    </row>
    <row r="1480" spans="1:7" hidden="1" x14ac:dyDescent="0.25">
      <c r="A1480">
        <v>50</v>
      </c>
      <c r="B1480">
        <v>9356</v>
      </c>
      <c r="C1480">
        <v>0</v>
      </c>
      <c r="D1480">
        <v>3</v>
      </c>
      <c r="E1480">
        <v>24</v>
      </c>
      <c r="F1480" t="s">
        <v>269</v>
      </c>
      <c r="G1480" t="s">
        <v>124</v>
      </c>
    </row>
    <row r="1481" spans="1:7" hidden="1" x14ac:dyDescent="0.25">
      <c r="A1481">
        <v>50</v>
      </c>
      <c r="B1481">
        <v>10592</v>
      </c>
      <c r="C1481">
        <v>0</v>
      </c>
      <c r="D1481">
        <v>3</v>
      </c>
      <c r="E1481">
        <v>24</v>
      </c>
      <c r="F1481" t="s">
        <v>269</v>
      </c>
      <c r="G1481" t="s">
        <v>124</v>
      </c>
    </row>
    <row r="1482" spans="1:7" hidden="1" x14ac:dyDescent="0.25">
      <c r="A1482">
        <v>99</v>
      </c>
      <c r="B1482">
        <v>2168</v>
      </c>
      <c r="C1482">
        <v>0</v>
      </c>
      <c r="D1482">
        <v>3</v>
      </c>
      <c r="E1482">
        <v>24</v>
      </c>
      <c r="F1482" t="s">
        <v>269</v>
      </c>
      <c r="G1482" t="s">
        <v>124</v>
      </c>
    </row>
    <row r="1483" spans="1:7" hidden="1" x14ac:dyDescent="0.25">
      <c r="A1483">
        <v>99</v>
      </c>
      <c r="B1483">
        <v>2472</v>
      </c>
      <c r="C1483">
        <v>0</v>
      </c>
      <c r="D1483">
        <v>3</v>
      </c>
      <c r="E1483">
        <v>24</v>
      </c>
      <c r="F1483" t="s">
        <v>269</v>
      </c>
      <c r="G1483" t="s">
        <v>124</v>
      </c>
    </row>
    <row r="1484" spans="1:7" hidden="1" x14ac:dyDescent="0.25">
      <c r="A1484">
        <v>99</v>
      </c>
      <c r="B1484">
        <v>3056</v>
      </c>
      <c r="C1484">
        <v>0</v>
      </c>
      <c r="D1484">
        <v>3</v>
      </c>
      <c r="E1484">
        <v>24</v>
      </c>
      <c r="F1484" t="s">
        <v>269</v>
      </c>
      <c r="G1484" t="s">
        <v>124</v>
      </c>
    </row>
    <row r="1485" spans="1:7" hidden="1" x14ac:dyDescent="0.25">
      <c r="A1485">
        <v>99</v>
      </c>
      <c r="B1485">
        <v>3100</v>
      </c>
      <c r="C1485">
        <v>0</v>
      </c>
      <c r="D1485">
        <v>3</v>
      </c>
      <c r="E1485">
        <v>24</v>
      </c>
      <c r="F1485" t="s">
        <v>269</v>
      </c>
      <c r="G1485" t="s">
        <v>124</v>
      </c>
    </row>
    <row r="1486" spans="1:7" x14ac:dyDescent="0.25">
      <c r="A1486">
        <v>99</v>
      </c>
      <c r="B1486">
        <v>4124</v>
      </c>
      <c r="C1486">
        <v>0</v>
      </c>
      <c r="D1486">
        <v>3</v>
      </c>
      <c r="E1486">
        <v>24</v>
      </c>
      <c r="F1486" t="s">
        <v>269</v>
      </c>
      <c r="G1486" t="s">
        <v>124</v>
      </c>
    </row>
    <row r="1487" spans="1:7" hidden="1" x14ac:dyDescent="0.25">
      <c r="A1487">
        <v>99</v>
      </c>
      <c r="B1487">
        <v>5932</v>
      </c>
      <c r="C1487">
        <v>0</v>
      </c>
      <c r="D1487">
        <v>3</v>
      </c>
      <c r="E1487">
        <v>24</v>
      </c>
      <c r="F1487" t="s">
        <v>269</v>
      </c>
      <c r="G1487" t="s">
        <v>124</v>
      </c>
    </row>
    <row r="1488" spans="1:7" hidden="1" x14ac:dyDescent="0.25">
      <c r="A1488">
        <v>99</v>
      </c>
      <c r="B1488">
        <v>5992</v>
      </c>
      <c r="C1488">
        <v>0</v>
      </c>
      <c r="D1488">
        <v>3</v>
      </c>
      <c r="E1488">
        <v>24</v>
      </c>
      <c r="F1488" t="s">
        <v>269</v>
      </c>
      <c r="G1488" t="s">
        <v>124</v>
      </c>
    </row>
    <row r="1489" spans="1:7" hidden="1" x14ac:dyDescent="0.25">
      <c r="A1489">
        <v>99</v>
      </c>
      <c r="B1489">
        <v>7260</v>
      </c>
      <c r="C1489">
        <v>0</v>
      </c>
      <c r="D1489">
        <v>3</v>
      </c>
      <c r="E1489">
        <v>24</v>
      </c>
      <c r="F1489" t="s">
        <v>269</v>
      </c>
      <c r="G1489" t="s">
        <v>124</v>
      </c>
    </row>
    <row r="1490" spans="1:7" hidden="1" x14ac:dyDescent="0.25">
      <c r="A1490">
        <v>99</v>
      </c>
      <c r="B1490">
        <v>8804</v>
      </c>
      <c r="C1490">
        <v>0</v>
      </c>
      <c r="D1490">
        <v>3</v>
      </c>
      <c r="E1490">
        <v>24</v>
      </c>
      <c r="F1490" t="s">
        <v>269</v>
      </c>
      <c r="G1490" t="s">
        <v>124</v>
      </c>
    </row>
    <row r="1491" spans="1:7" hidden="1" x14ac:dyDescent="0.25">
      <c r="A1491">
        <v>99</v>
      </c>
      <c r="B1491">
        <v>9176</v>
      </c>
      <c r="C1491">
        <v>0</v>
      </c>
      <c r="D1491">
        <v>3</v>
      </c>
      <c r="E1491">
        <v>24</v>
      </c>
      <c r="F1491" t="s">
        <v>269</v>
      </c>
      <c r="G1491" t="s">
        <v>124</v>
      </c>
    </row>
    <row r="1492" spans="1:7" hidden="1" x14ac:dyDescent="0.25">
      <c r="A1492">
        <v>99</v>
      </c>
      <c r="B1492">
        <v>9256</v>
      </c>
      <c r="C1492">
        <v>0</v>
      </c>
      <c r="D1492">
        <v>3</v>
      </c>
      <c r="E1492">
        <v>24</v>
      </c>
      <c r="F1492" t="s">
        <v>269</v>
      </c>
      <c r="G1492" t="s">
        <v>124</v>
      </c>
    </row>
    <row r="1493" spans="1:7" hidden="1" x14ac:dyDescent="0.25">
      <c r="A1493">
        <v>99</v>
      </c>
      <c r="B1493">
        <v>9752</v>
      </c>
      <c r="C1493">
        <v>0</v>
      </c>
      <c r="D1493">
        <v>3</v>
      </c>
      <c r="E1493">
        <v>24</v>
      </c>
      <c r="F1493" t="s">
        <v>269</v>
      </c>
      <c r="G1493" t="s">
        <v>124</v>
      </c>
    </row>
    <row r="1494" spans="1:7" hidden="1" x14ac:dyDescent="0.25">
      <c r="A1494">
        <v>99</v>
      </c>
      <c r="B1494">
        <v>10364</v>
      </c>
      <c r="C1494">
        <v>0</v>
      </c>
      <c r="D1494">
        <v>3</v>
      </c>
      <c r="E1494">
        <v>24</v>
      </c>
      <c r="F1494" t="s">
        <v>269</v>
      </c>
      <c r="G1494" t="s">
        <v>124</v>
      </c>
    </row>
    <row r="1495" spans="1:7" hidden="1" x14ac:dyDescent="0.25">
      <c r="A1495">
        <v>50</v>
      </c>
      <c r="B1495">
        <v>476</v>
      </c>
      <c r="C1495">
        <v>0</v>
      </c>
      <c r="D1495">
        <v>3</v>
      </c>
      <c r="E1495">
        <v>22</v>
      </c>
      <c r="F1495" t="s">
        <v>267</v>
      </c>
      <c r="G1495" t="s">
        <v>122</v>
      </c>
    </row>
    <row r="1496" spans="1:7" hidden="1" x14ac:dyDescent="0.25">
      <c r="A1496">
        <v>50</v>
      </c>
      <c r="B1496">
        <v>1264</v>
      </c>
      <c r="C1496">
        <v>0</v>
      </c>
      <c r="D1496">
        <v>3</v>
      </c>
      <c r="E1496">
        <v>22</v>
      </c>
      <c r="F1496" t="s">
        <v>267</v>
      </c>
      <c r="G1496" t="s">
        <v>122</v>
      </c>
    </row>
    <row r="1497" spans="1:7" hidden="1" x14ac:dyDescent="0.25">
      <c r="A1497">
        <v>50</v>
      </c>
      <c r="B1497">
        <v>4228</v>
      </c>
      <c r="C1497">
        <v>0</v>
      </c>
      <c r="D1497">
        <v>3</v>
      </c>
      <c r="E1497">
        <v>22</v>
      </c>
      <c r="F1497" t="s">
        <v>267</v>
      </c>
      <c r="G1497" t="s">
        <v>122</v>
      </c>
    </row>
    <row r="1498" spans="1:7" hidden="1" x14ac:dyDescent="0.25">
      <c r="A1498">
        <v>50</v>
      </c>
      <c r="B1498">
        <v>5004</v>
      </c>
      <c r="C1498">
        <v>0</v>
      </c>
      <c r="D1498">
        <v>3</v>
      </c>
      <c r="E1498">
        <v>22</v>
      </c>
      <c r="F1498" t="s">
        <v>267</v>
      </c>
      <c r="G1498" t="s">
        <v>122</v>
      </c>
    </row>
    <row r="1499" spans="1:7" hidden="1" x14ac:dyDescent="0.25">
      <c r="A1499">
        <v>50</v>
      </c>
      <c r="B1499">
        <v>7283</v>
      </c>
      <c r="C1499">
        <v>0</v>
      </c>
      <c r="D1499">
        <v>3</v>
      </c>
      <c r="E1499">
        <v>22</v>
      </c>
      <c r="F1499" t="s">
        <v>267</v>
      </c>
      <c r="G1499" t="s">
        <v>122</v>
      </c>
    </row>
    <row r="1500" spans="1:7" hidden="1" x14ac:dyDescent="0.25">
      <c r="A1500">
        <v>50</v>
      </c>
      <c r="B1500">
        <v>7284</v>
      </c>
      <c r="C1500">
        <v>0</v>
      </c>
      <c r="D1500">
        <v>3</v>
      </c>
      <c r="E1500">
        <v>22</v>
      </c>
      <c r="F1500" t="s">
        <v>267</v>
      </c>
      <c r="G1500" t="s">
        <v>122</v>
      </c>
    </row>
    <row r="1501" spans="1:7" hidden="1" x14ac:dyDescent="0.25">
      <c r="A1501">
        <v>50</v>
      </c>
      <c r="B1501">
        <v>9356</v>
      </c>
      <c r="C1501">
        <v>0</v>
      </c>
      <c r="D1501">
        <v>3</v>
      </c>
      <c r="E1501">
        <v>22</v>
      </c>
      <c r="F1501" t="s">
        <v>267</v>
      </c>
      <c r="G1501" t="s">
        <v>122</v>
      </c>
    </row>
    <row r="1502" spans="1:7" hidden="1" x14ac:dyDescent="0.25">
      <c r="A1502">
        <v>50</v>
      </c>
      <c r="B1502">
        <v>10592</v>
      </c>
      <c r="C1502">
        <v>0</v>
      </c>
      <c r="D1502">
        <v>3</v>
      </c>
      <c r="E1502">
        <v>22</v>
      </c>
      <c r="F1502" t="s">
        <v>267</v>
      </c>
      <c r="G1502" t="s">
        <v>122</v>
      </c>
    </row>
    <row r="1503" spans="1:7" hidden="1" x14ac:dyDescent="0.25">
      <c r="A1503">
        <v>99</v>
      </c>
      <c r="B1503">
        <v>2168</v>
      </c>
      <c r="C1503">
        <v>0</v>
      </c>
      <c r="D1503">
        <v>3</v>
      </c>
      <c r="E1503">
        <v>22</v>
      </c>
      <c r="F1503" t="s">
        <v>267</v>
      </c>
      <c r="G1503" t="s">
        <v>122</v>
      </c>
    </row>
    <row r="1504" spans="1:7" hidden="1" x14ac:dyDescent="0.25">
      <c r="A1504">
        <v>99</v>
      </c>
      <c r="B1504">
        <v>2472</v>
      </c>
      <c r="C1504">
        <v>0</v>
      </c>
      <c r="D1504">
        <v>3</v>
      </c>
      <c r="E1504">
        <v>22</v>
      </c>
      <c r="F1504" t="s">
        <v>267</v>
      </c>
      <c r="G1504" t="s">
        <v>122</v>
      </c>
    </row>
    <row r="1505" spans="1:7" hidden="1" x14ac:dyDescent="0.25">
      <c r="A1505">
        <v>99</v>
      </c>
      <c r="B1505">
        <v>3056</v>
      </c>
      <c r="C1505">
        <v>0</v>
      </c>
      <c r="D1505">
        <v>3</v>
      </c>
      <c r="E1505">
        <v>22</v>
      </c>
      <c r="F1505" t="s">
        <v>267</v>
      </c>
      <c r="G1505" t="s">
        <v>122</v>
      </c>
    </row>
    <row r="1506" spans="1:7" hidden="1" x14ac:dyDescent="0.25">
      <c r="A1506">
        <v>99</v>
      </c>
      <c r="B1506">
        <v>3100</v>
      </c>
      <c r="C1506">
        <v>0</v>
      </c>
      <c r="D1506">
        <v>3</v>
      </c>
      <c r="E1506">
        <v>22</v>
      </c>
      <c r="F1506" t="s">
        <v>267</v>
      </c>
      <c r="G1506" t="s">
        <v>122</v>
      </c>
    </row>
    <row r="1507" spans="1:7" x14ac:dyDescent="0.25">
      <c r="A1507">
        <v>99</v>
      </c>
      <c r="B1507">
        <v>4124</v>
      </c>
      <c r="C1507">
        <v>0</v>
      </c>
      <c r="D1507">
        <v>3</v>
      </c>
      <c r="E1507">
        <v>22</v>
      </c>
      <c r="F1507" t="s">
        <v>267</v>
      </c>
      <c r="G1507" t="s">
        <v>122</v>
      </c>
    </row>
    <row r="1508" spans="1:7" hidden="1" x14ac:dyDescent="0.25">
      <c r="A1508">
        <v>99</v>
      </c>
      <c r="B1508">
        <v>5932</v>
      </c>
      <c r="C1508">
        <v>0</v>
      </c>
      <c r="D1508">
        <v>3</v>
      </c>
      <c r="E1508">
        <v>22</v>
      </c>
      <c r="F1508" t="s">
        <v>267</v>
      </c>
      <c r="G1508" t="s">
        <v>122</v>
      </c>
    </row>
    <row r="1509" spans="1:7" hidden="1" x14ac:dyDescent="0.25">
      <c r="A1509">
        <v>99</v>
      </c>
      <c r="B1509">
        <v>5992</v>
      </c>
      <c r="C1509">
        <v>0</v>
      </c>
      <c r="D1509">
        <v>3</v>
      </c>
      <c r="E1509">
        <v>22</v>
      </c>
      <c r="F1509" t="s">
        <v>267</v>
      </c>
      <c r="G1509" t="s">
        <v>122</v>
      </c>
    </row>
    <row r="1510" spans="1:7" hidden="1" x14ac:dyDescent="0.25">
      <c r="A1510">
        <v>99</v>
      </c>
      <c r="B1510">
        <v>7260</v>
      </c>
      <c r="C1510">
        <v>0</v>
      </c>
      <c r="D1510">
        <v>3</v>
      </c>
      <c r="E1510">
        <v>22</v>
      </c>
      <c r="F1510" t="s">
        <v>267</v>
      </c>
      <c r="G1510" t="s">
        <v>122</v>
      </c>
    </row>
    <row r="1511" spans="1:7" hidden="1" x14ac:dyDescent="0.25">
      <c r="A1511">
        <v>99</v>
      </c>
      <c r="B1511">
        <v>8804</v>
      </c>
      <c r="C1511">
        <v>0</v>
      </c>
      <c r="D1511">
        <v>3</v>
      </c>
      <c r="E1511">
        <v>22</v>
      </c>
      <c r="F1511" t="s">
        <v>267</v>
      </c>
      <c r="G1511" t="s">
        <v>122</v>
      </c>
    </row>
    <row r="1512" spans="1:7" hidden="1" x14ac:dyDescent="0.25">
      <c r="A1512">
        <v>99</v>
      </c>
      <c r="B1512">
        <v>9176</v>
      </c>
      <c r="C1512">
        <v>0</v>
      </c>
      <c r="D1512">
        <v>3</v>
      </c>
      <c r="E1512">
        <v>22</v>
      </c>
      <c r="F1512" t="s">
        <v>267</v>
      </c>
      <c r="G1512" t="s">
        <v>122</v>
      </c>
    </row>
    <row r="1513" spans="1:7" hidden="1" x14ac:dyDescent="0.25">
      <c r="A1513">
        <v>99</v>
      </c>
      <c r="B1513">
        <v>9256</v>
      </c>
      <c r="C1513">
        <v>0</v>
      </c>
      <c r="D1513">
        <v>3</v>
      </c>
      <c r="E1513">
        <v>22</v>
      </c>
      <c r="F1513" t="s">
        <v>267</v>
      </c>
      <c r="G1513" t="s">
        <v>122</v>
      </c>
    </row>
    <row r="1514" spans="1:7" hidden="1" x14ac:dyDescent="0.25">
      <c r="A1514">
        <v>99</v>
      </c>
      <c r="B1514">
        <v>9752</v>
      </c>
      <c r="C1514">
        <v>0</v>
      </c>
      <c r="D1514">
        <v>3</v>
      </c>
      <c r="E1514">
        <v>22</v>
      </c>
      <c r="F1514" t="s">
        <v>267</v>
      </c>
      <c r="G1514" t="s">
        <v>122</v>
      </c>
    </row>
    <row r="1515" spans="1:7" hidden="1" x14ac:dyDescent="0.25">
      <c r="A1515">
        <v>99</v>
      </c>
      <c r="B1515">
        <v>10364</v>
      </c>
      <c r="C1515">
        <v>0</v>
      </c>
      <c r="D1515">
        <v>3</v>
      </c>
      <c r="E1515">
        <v>22</v>
      </c>
      <c r="F1515" t="s">
        <v>267</v>
      </c>
      <c r="G1515" t="s">
        <v>122</v>
      </c>
    </row>
    <row r="1516" spans="1:7" hidden="1" x14ac:dyDescent="0.25">
      <c r="A1516">
        <v>50</v>
      </c>
      <c r="B1516">
        <v>476</v>
      </c>
      <c r="C1516">
        <v>0</v>
      </c>
      <c r="D1516">
        <v>3</v>
      </c>
      <c r="E1516">
        <v>23</v>
      </c>
      <c r="F1516" t="s">
        <v>268</v>
      </c>
      <c r="G1516" t="s">
        <v>122</v>
      </c>
    </row>
    <row r="1517" spans="1:7" hidden="1" x14ac:dyDescent="0.25">
      <c r="A1517">
        <v>50</v>
      </c>
      <c r="B1517">
        <v>1264</v>
      </c>
      <c r="C1517">
        <v>0</v>
      </c>
      <c r="D1517">
        <v>3</v>
      </c>
      <c r="E1517">
        <v>23</v>
      </c>
      <c r="F1517" t="s">
        <v>268</v>
      </c>
      <c r="G1517" t="s">
        <v>122</v>
      </c>
    </row>
    <row r="1518" spans="1:7" hidden="1" x14ac:dyDescent="0.25">
      <c r="A1518">
        <v>50</v>
      </c>
      <c r="B1518">
        <v>4228</v>
      </c>
      <c r="C1518">
        <v>0</v>
      </c>
      <c r="D1518">
        <v>3</v>
      </c>
      <c r="E1518">
        <v>23</v>
      </c>
      <c r="F1518" t="s">
        <v>268</v>
      </c>
      <c r="G1518" t="s">
        <v>122</v>
      </c>
    </row>
    <row r="1519" spans="1:7" hidden="1" x14ac:dyDescent="0.25">
      <c r="A1519">
        <v>50</v>
      </c>
      <c r="B1519">
        <v>5004</v>
      </c>
      <c r="C1519">
        <v>0</v>
      </c>
      <c r="D1519">
        <v>3</v>
      </c>
      <c r="E1519">
        <v>23</v>
      </c>
      <c r="F1519" t="s">
        <v>268</v>
      </c>
      <c r="G1519" t="s">
        <v>122</v>
      </c>
    </row>
    <row r="1520" spans="1:7" hidden="1" x14ac:dyDescent="0.25">
      <c r="A1520">
        <v>50</v>
      </c>
      <c r="B1520">
        <v>7283</v>
      </c>
      <c r="C1520">
        <v>0</v>
      </c>
      <c r="D1520">
        <v>3</v>
      </c>
      <c r="E1520">
        <v>23</v>
      </c>
      <c r="F1520" t="s">
        <v>268</v>
      </c>
      <c r="G1520" t="s">
        <v>122</v>
      </c>
    </row>
    <row r="1521" spans="1:7" hidden="1" x14ac:dyDescent="0.25">
      <c r="A1521">
        <v>50</v>
      </c>
      <c r="B1521">
        <v>7284</v>
      </c>
      <c r="C1521">
        <v>0</v>
      </c>
      <c r="D1521">
        <v>3</v>
      </c>
      <c r="E1521">
        <v>23</v>
      </c>
      <c r="F1521" t="s">
        <v>268</v>
      </c>
      <c r="G1521" t="s">
        <v>122</v>
      </c>
    </row>
    <row r="1522" spans="1:7" hidden="1" x14ac:dyDescent="0.25">
      <c r="A1522">
        <v>50</v>
      </c>
      <c r="B1522">
        <v>9356</v>
      </c>
      <c r="C1522">
        <v>0</v>
      </c>
      <c r="D1522">
        <v>3</v>
      </c>
      <c r="E1522">
        <v>23</v>
      </c>
      <c r="F1522" t="s">
        <v>268</v>
      </c>
      <c r="G1522" t="s">
        <v>122</v>
      </c>
    </row>
    <row r="1523" spans="1:7" hidden="1" x14ac:dyDescent="0.25">
      <c r="A1523">
        <v>50</v>
      </c>
      <c r="B1523">
        <v>10592</v>
      </c>
      <c r="C1523">
        <v>0</v>
      </c>
      <c r="D1523">
        <v>3</v>
      </c>
      <c r="E1523">
        <v>23</v>
      </c>
      <c r="F1523" t="s">
        <v>268</v>
      </c>
      <c r="G1523" t="s">
        <v>122</v>
      </c>
    </row>
    <row r="1524" spans="1:7" hidden="1" x14ac:dyDescent="0.25">
      <c r="A1524">
        <v>99</v>
      </c>
      <c r="B1524">
        <v>2168</v>
      </c>
      <c r="C1524">
        <v>0</v>
      </c>
      <c r="D1524">
        <v>3</v>
      </c>
      <c r="E1524">
        <v>23</v>
      </c>
      <c r="F1524" t="s">
        <v>268</v>
      </c>
      <c r="G1524" t="s">
        <v>122</v>
      </c>
    </row>
    <row r="1525" spans="1:7" hidden="1" x14ac:dyDescent="0.25">
      <c r="A1525">
        <v>99</v>
      </c>
      <c r="B1525">
        <v>2472</v>
      </c>
      <c r="C1525">
        <v>0</v>
      </c>
      <c r="D1525">
        <v>3</v>
      </c>
      <c r="E1525">
        <v>23</v>
      </c>
      <c r="F1525" t="s">
        <v>268</v>
      </c>
      <c r="G1525" t="s">
        <v>122</v>
      </c>
    </row>
    <row r="1526" spans="1:7" hidden="1" x14ac:dyDescent="0.25">
      <c r="A1526">
        <v>99</v>
      </c>
      <c r="B1526">
        <v>3056</v>
      </c>
      <c r="C1526">
        <v>0</v>
      </c>
      <c r="D1526">
        <v>3</v>
      </c>
      <c r="E1526">
        <v>23</v>
      </c>
      <c r="F1526" t="s">
        <v>268</v>
      </c>
      <c r="G1526" t="s">
        <v>122</v>
      </c>
    </row>
    <row r="1527" spans="1:7" hidden="1" x14ac:dyDescent="0.25">
      <c r="A1527">
        <v>99</v>
      </c>
      <c r="B1527">
        <v>3100</v>
      </c>
      <c r="C1527">
        <v>0</v>
      </c>
      <c r="D1527">
        <v>3</v>
      </c>
      <c r="E1527">
        <v>23</v>
      </c>
      <c r="F1527" t="s">
        <v>268</v>
      </c>
      <c r="G1527" t="s">
        <v>122</v>
      </c>
    </row>
    <row r="1528" spans="1:7" x14ac:dyDescent="0.25">
      <c r="A1528">
        <v>99</v>
      </c>
      <c r="B1528">
        <v>4124</v>
      </c>
      <c r="C1528">
        <v>0</v>
      </c>
      <c r="D1528">
        <v>3</v>
      </c>
      <c r="E1528">
        <v>23</v>
      </c>
      <c r="F1528" t="s">
        <v>268</v>
      </c>
      <c r="G1528" t="s">
        <v>122</v>
      </c>
    </row>
    <row r="1529" spans="1:7" hidden="1" x14ac:dyDescent="0.25">
      <c r="A1529">
        <v>99</v>
      </c>
      <c r="B1529">
        <v>5932</v>
      </c>
      <c r="C1529">
        <v>0</v>
      </c>
      <c r="D1529">
        <v>3</v>
      </c>
      <c r="E1529">
        <v>23</v>
      </c>
      <c r="F1529" t="s">
        <v>268</v>
      </c>
      <c r="G1529" t="s">
        <v>122</v>
      </c>
    </row>
    <row r="1530" spans="1:7" hidden="1" x14ac:dyDescent="0.25">
      <c r="A1530">
        <v>99</v>
      </c>
      <c r="B1530">
        <v>5992</v>
      </c>
      <c r="C1530">
        <v>0</v>
      </c>
      <c r="D1530">
        <v>3</v>
      </c>
      <c r="E1530">
        <v>23</v>
      </c>
      <c r="F1530" t="s">
        <v>268</v>
      </c>
      <c r="G1530" t="s">
        <v>122</v>
      </c>
    </row>
    <row r="1531" spans="1:7" hidden="1" x14ac:dyDescent="0.25">
      <c r="A1531">
        <v>99</v>
      </c>
      <c r="B1531">
        <v>7260</v>
      </c>
      <c r="C1531">
        <v>0</v>
      </c>
      <c r="D1531">
        <v>3</v>
      </c>
      <c r="E1531">
        <v>23</v>
      </c>
      <c r="F1531" t="s">
        <v>268</v>
      </c>
      <c r="G1531" t="s">
        <v>122</v>
      </c>
    </row>
    <row r="1532" spans="1:7" hidden="1" x14ac:dyDescent="0.25">
      <c r="A1532">
        <v>99</v>
      </c>
      <c r="B1532">
        <v>8804</v>
      </c>
      <c r="C1532">
        <v>0</v>
      </c>
      <c r="D1532">
        <v>3</v>
      </c>
      <c r="E1532">
        <v>23</v>
      </c>
      <c r="F1532" t="s">
        <v>268</v>
      </c>
      <c r="G1532" t="s">
        <v>122</v>
      </c>
    </row>
    <row r="1533" spans="1:7" hidden="1" x14ac:dyDescent="0.25">
      <c r="A1533">
        <v>99</v>
      </c>
      <c r="B1533">
        <v>9176</v>
      </c>
      <c r="C1533">
        <v>0</v>
      </c>
      <c r="D1533">
        <v>3</v>
      </c>
      <c r="E1533">
        <v>23</v>
      </c>
      <c r="F1533" t="s">
        <v>268</v>
      </c>
      <c r="G1533" t="s">
        <v>122</v>
      </c>
    </row>
    <row r="1534" spans="1:7" hidden="1" x14ac:dyDescent="0.25">
      <c r="A1534">
        <v>99</v>
      </c>
      <c r="B1534">
        <v>9256</v>
      </c>
      <c r="C1534">
        <v>0</v>
      </c>
      <c r="D1534">
        <v>3</v>
      </c>
      <c r="E1534">
        <v>23</v>
      </c>
      <c r="F1534" t="s">
        <v>268</v>
      </c>
      <c r="G1534" t="s">
        <v>122</v>
      </c>
    </row>
    <row r="1535" spans="1:7" hidden="1" x14ac:dyDescent="0.25">
      <c r="A1535">
        <v>99</v>
      </c>
      <c r="B1535">
        <v>9752</v>
      </c>
      <c r="C1535">
        <v>0</v>
      </c>
      <c r="D1535">
        <v>3</v>
      </c>
      <c r="E1535">
        <v>23</v>
      </c>
      <c r="F1535" t="s">
        <v>268</v>
      </c>
      <c r="G1535" t="s">
        <v>122</v>
      </c>
    </row>
    <row r="1536" spans="1:7" hidden="1" x14ac:dyDescent="0.25">
      <c r="A1536">
        <v>99</v>
      </c>
      <c r="B1536">
        <v>10364</v>
      </c>
      <c r="C1536">
        <v>0</v>
      </c>
      <c r="D1536">
        <v>3</v>
      </c>
      <c r="E1536">
        <v>23</v>
      </c>
      <c r="F1536" t="s">
        <v>268</v>
      </c>
      <c r="G1536" t="s">
        <v>122</v>
      </c>
    </row>
    <row r="1537" spans="1:7" hidden="1" x14ac:dyDescent="0.25">
      <c r="A1537">
        <v>50</v>
      </c>
      <c r="B1537">
        <v>476</v>
      </c>
      <c r="C1537">
        <v>0</v>
      </c>
      <c r="D1537">
        <v>3</v>
      </c>
      <c r="E1537">
        <v>27</v>
      </c>
      <c r="F1537" t="s">
        <v>272</v>
      </c>
      <c r="G1537" t="s">
        <v>122</v>
      </c>
    </row>
    <row r="1538" spans="1:7" hidden="1" x14ac:dyDescent="0.25">
      <c r="A1538">
        <v>50</v>
      </c>
      <c r="B1538">
        <v>1264</v>
      </c>
      <c r="C1538">
        <v>0</v>
      </c>
      <c r="D1538">
        <v>3</v>
      </c>
      <c r="E1538">
        <v>27</v>
      </c>
      <c r="F1538" t="s">
        <v>272</v>
      </c>
      <c r="G1538" t="s">
        <v>122</v>
      </c>
    </row>
    <row r="1539" spans="1:7" hidden="1" x14ac:dyDescent="0.25">
      <c r="A1539">
        <v>50</v>
      </c>
      <c r="B1539">
        <v>4228</v>
      </c>
      <c r="C1539">
        <v>0</v>
      </c>
      <c r="D1539">
        <v>3</v>
      </c>
      <c r="E1539">
        <v>27</v>
      </c>
      <c r="F1539" t="s">
        <v>272</v>
      </c>
      <c r="G1539" t="s">
        <v>122</v>
      </c>
    </row>
    <row r="1540" spans="1:7" hidden="1" x14ac:dyDescent="0.25">
      <c r="A1540">
        <v>50</v>
      </c>
      <c r="B1540">
        <v>5004</v>
      </c>
      <c r="C1540">
        <v>0</v>
      </c>
      <c r="D1540">
        <v>3</v>
      </c>
      <c r="E1540">
        <v>27</v>
      </c>
      <c r="F1540" t="s">
        <v>272</v>
      </c>
      <c r="G1540" t="s">
        <v>122</v>
      </c>
    </row>
    <row r="1541" spans="1:7" hidden="1" x14ac:dyDescent="0.25">
      <c r="A1541">
        <v>50</v>
      </c>
      <c r="B1541">
        <v>7283</v>
      </c>
      <c r="C1541">
        <v>0</v>
      </c>
      <c r="D1541">
        <v>3</v>
      </c>
      <c r="E1541">
        <v>27</v>
      </c>
      <c r="F1541" t="s">
        <v>272</v>
      </c>
      <c r="G1541" t="s">
        <v>122</v>
      </c>
    </row>
    <row r="1542" spans="1:7" hidden="1" x14ac:dyDescent="0.25">
      <c r="A1542">
        <v>50</v>
      </c>
      <c r="B1542">
        <v>7284</v>
      </c>
      <c r="C1542">
        <v>0</v>
      </c>
      <c r="D1542">
        <v>3</v>
      </c>
      <c r="E1542">
        <v>27</v>
      </c>
      <c r="F1542" t="s">
        <v>272</v>
      </c>
      <c r="G1542" t="s">
        <v>122</v>
      </c>
    </row>
    <row r="1543" spans="1:7" hidden="1" x14ac:dyDescent="0.25">
      <c r="A1543">
        <v>50</v>
      </c>
      <c r="B1543">
        <v>9356</v>
      </c>
      <c r="C1543">
        <v>0</v>
      </c>
      <c r="D1543">
        <v>3</v>
      </c>
      <c r="E1543">
        <v>27</v>
      </c>
      <c r="F1543" t="s">
        <v>272</v>
      </c>
      <c r="G1543" t="s">
        <v>122</v>
      </c>
    </row>
    <row r="1544" spans="1:7" hidden="1" x14ac:dyDescent="0.25">
      <c r="A1544">
        <v>50</v>
      </c>
      <c r="B1544">
        <v>10592</v>
      </c>
      <c r="C1544">
        <v>0</v>
      </c>
      <c r="D1544">
        <v>3</v>
      </c>
      <c r="E1544">
        <v>27</v>
      </c>
      <c r="F1544" t="s">
        <v>272</v>
      </c>
      <c r="G1544" t="s">
        <v>122</v>
      </c>
    </row>
    <row r="1545" spans="1:7" hidden="1" x14ac:dyDescent="0.25">
      <c r="A1545">
        <v>99</v>
      </c>
      <c r="B1545">
        <v>2168</v>
      </c>
      <c r="C1545">
        <v>0</v>
      </c>
      <c r="D1545">
        <v>3</v>
      </c>
      <c r="E1545">
        <v>27</v>
      </c>
      <c r="F1545" t="s">
        <v>272</v>
      </c>
      <c r="G1545" t="s">
        <v>122</v>
      </c>
    </row>
    <row r="1546" spans="1:7" hidden="1" x14ac:dyDescent="0.25">
      <c r="A1546">
        <v>99</v>
      </c>
      <c r="B1546">
        <v>2472</v>
      </c>
      <c r="C1546">
        <v>0</v>
      </c>
      <c r="D1546">
        <v>3</v>
      </c>
      <c r="E1546">
        <v>27</v>
      </c>
      <c r="F1546" t="s">
        <v>272</v>
      </c>
      <c r="G1546" t="s">
        <v>122</v>
      </c>
    </row>
    <row r="1547" spans="1:7" hidden="1" x14ac:dyDescent="0.25">
      <c r="A1547">
        <v>99</v>
      </c>
      <c r="B1547">
        <v>3056</v>
      </c>
      <c r="C1547">
        <v>0</v>
      </c>
      <c r="D1547">
        <v>3</v>
      </c>
      <c r="E1547">
        <v>27</v>
      </c>
      <c r="F1547" t="s">
        <v>272</v>
      </c>
      <c r="G1547" t="s">
        <v>122</v>
      </c>
    </row>
    <row r="1548" spans="1:7" hidden="1" x14ac:dyDescent="0.25">
      <c r="A1548">
        <v>99</v>
      </c>
      <c r="B1548">
        <v>3100</v>
      </c>
      <c r="C1548">
        <v>0</v>
      </c>
      <c r="D1548">
        <v>3</v>
      </c>
      <c r="E1548">
        <v>27</v>
      </c>
      <c r="F1548" t="s">
        <v>272</v>
      </c>
      <c r="G1548" t="s">
        <v>122</v>
      </c>
    </row>
    <row r="1549" spans="1:7" x14ac:dyDescent="0.25">
      <c r="A1549">
        <v>99</v>
      </c>
      <c r="B1549">
        <v>4124</v>
      </c>
      <c r="C1549">
        <v>0</v>
      </c>
      <c r="D1549">
        <v>3</v>
      </c>
      <c r="E1549">
        <v>27</v>
      </c>
      <c r="F1549" t="s">
        <v>272</v>
      </c>
      <c r="G1549" t="s">
        <v>122</v>
      </c>
    </row>
    <row r="1550" spans="1:7" hidden="1" x14ac:dyDescent="0.25">
      <c r="A1550">
        <v>99</v>
      </c>
      <c r="B1550">
        <v>5932</v>
      </c>
      <c r="C1550">
        <v>0</v>
      </c>
      <c r="D1550">
        <v>3</v>
      </c>
      <c r="E1550">
        <v>27</v>
      </c>
      <c r="F1550" t="s">
        <v>272</v>
      </c>
      <c r="G1550" t="s">
        <v>122</v>
      </c>
    </row>
    <row r="1551" spans="1:7" hidden="1" x14ac:dyDescent="0.25">
      <c r="A1551">
        <v>99</v>
      </c>
      <c r="B1551">
        <v>5992</v>
      </c>
      <c r="C1551">
        <v>0</v>
      </c>
      <c r="D1551">
        <v>3</v>
      </c>
      <c r="E1551">
        <v>27</v>
      </c>
      <c r="F1551" t="s">
        <v>272</v>
      </c>
      <c r="G1551" t="s">
        <v>122</v>
      </c>
    </row>
    <row r="1552" spans="1:7" hidden="1" x14ac:dyDescent="0.25">
      <c r="A1552">
        <v>99</v>
      </c>
      <c r="B1552">
        <v>7260</v>
      </c>
      <c r="C1552">
        <v>0</v>
      </c>
      <c r="D1552">
        <v>3</v>
      </c>
      <c r="E1552">
        <v>27</v>
      </c>
      <c r="F1552" t="s">
        <v>272</v>
      </c>
      <c r="G1552" t="s">
        <v>122</v>
      </c>
    </row>
    <row r="1553" spans="1:7" hidden="1" x14ac:dyDescent="0.25">
      <c r="A1553">
        <v>99</v>
      </c>
      <c r="B1553">
        <v>8804</v>
      </c>
      <c r="C1553">
        <v>0</v>
      </c>
      <c r="D1553">
        <v>3</v>
      </c>
      <c r="E1553">
        <v>27</v>
      </c>
      <c r="F1553" t="s">
        <v>272</v>
      </c>
      <c r="G1553" t="s">
        <v>122</v>
      </c>
    </row>
    <row r="1554" spans="1:7" hidden="1" x14ac:dyDescent="0.25">
      <c r="A1554">
        <v>99</v>
      </c>
      <c r="B1554">
        <v>9176</v>
      </c>
      <c r="C1554">
        <v>0</v>
      </c>
      <c r="D1554">
        <v>3</v>
      </c>
      <c r="E1554">
        <v>27</v>
      </c>
      <c r="F1554" t="s">
        <v>272</v>
      </c>
      <c r="G1554" t="s">
        <v>122</v>
      </c>
    </row>
    <row r="1555" spans="1:7" hidden="1" x14ac:dyDescent="0.25">
      <c r="A1555">
        <v>99</v>
      </c>
      <c r="B1555">
        <v>9256</v>
      </c>
      <c r="C1555">
        <v>0</v>
      </c>
      <c r="D1555">
        <v>3</v>
      </c>
      <c r="E1555">
        <v>27</v>
      </c>
      <c r="F1555" t="s">
        <v>272</v>
      </c>
      <c r="G1555" t="s">
        <v>122</v>
      </c>
    </row>
    <row r="1556" spans="1:7" hidden="1" x14ac:dyDescent="0.25">
      <c r="A1556">
        <v>99</v>
      </c>
      <c r="B1556">
        <v>9752</v>
      </c>
      <c r="C1556">
        <v>0</v>
      </c>
      <c r="D1556">
        <v>3</v>
      </c>
      <c r="E1556">
        <v>27</v>
      </c>
      <c r="F1556" t="s">
        <v>272</v>
      </c>
      <c r="G1556" t="s">
        <v>122</v>
      </c>
    </row>
    <row r="1557" spans="1:7" hidden="1" x14ac:dyDescent="0.25">
      <c r="A1557">
        <v>99</v>
      </c>
      <c r="B1557">
        <v>10364</v>
      </c>
      <c r="C1557">
        <v>0</v>
      </c>
      <c r="D1557">
        <v>3</v>
      </c>
      <c r="E1557">
        <v>27</v>
      </c>
      <c r="F1557" t="s">
        <v>272</v>
      </c>
      <c r="G1557" t="s">
        <v>122</v>
      </c>
    </row>
    <row r="1558" spans="1:7" hidden="1" x14ac:dyDescent="0.25">
      <c r="A1558">
        <v>50</v>
      </c>
      <c r="B1558">
        <v>476</v>
      </c>
      <c r="C1558">
        <v>0</v>
      </c>
      <c r="D1558">
        <v>3</v>
      </c>
      <c r="E1558">
        <v>28</v>
      </c>
      <c r="F1558" t="s">
        <v>273</v>
      </c>
      <c r="G1558" t="s">
        <v>124</v>
      </c>
    </row>
    <row r="1559" spans="1:7" hidden="1" x14ac:dyDescent="0.25">
      <c r="A1559">
        <v>50</v>
      </c>
      <c r="B1559">
        <v>1264</v>
      </c>
      <c r="C1559">
        <v>0</v>
      </c>
      <c r="D1559">
        <v>3</v>
      </c>
      <c r="E1559">
        <v>28</v>
      </c>
      <c r="F1559" t="s">
        <v>273</v>
      </c>
      <c r="G1559" t="s">
        <v>124</v>
      </c>
    </row>
    <row r="1560" spans="1:7" hidden="1" x14ac:dyDescent="0.25">
      <c r="A1560">
        <v>50</v>
      </c>
      <c r="B1560">
        <v>4228</v>
      </c>
      <c r="C1560">
        <v>0</v>
      </c>
      <c r="D1560">
        <v>3</v>
      </c>
      <c r="E1560">
        <v>28</v>
      </c>
      <c r="F1560" t="s">
        <v>273</v>
      </c>
      <c r="G1560" t="s">
        <v>124</v>
      </c>
    </row>
    <row r="1561" spans="1:7" hidden="1" x14ac:dyDescent="0.25">
      <c r="A1561">
        <v>50</v>
      </c>
      <c r="B1561">
        <v>5004</v>
      </c>
      <c r="C1561">
        <v>0</v>
      </c>
      <c r="D1561">
        <v>3</v>
      </c>
      <c r="E1561">
        <v>28</v>
      </c>
      <c r="F1561" t="s">
        <v>273</v>
      </c>
      <c r="G1561" t="s">
        <v>124</v>
      </c>
    </row>
    <row r="1562" spans="1:7" hidden="1" x14ac:dyDescent="0.25">
      <c r="A1562">
        <v>50</v>
      </c>
      <c r="B1562">
        <v>7283</v>
      </c>
      <c r="C1562">
        <v>0</v>
      </c>
      <c r="D1562">
        <v>3</v>
      </c>
      <c r="E1562">
        <v>28</v>
      </c>
      <c r="F1562" t="s">
        <v>273</v>
      </c>
      <c r="G1562" t="s">
        <v>124</v>
      </c>
    </row>
    <row r="1563" spans="1:7" hidden="1" x14ac:dyDescent="0.25">
      <c r="A1563">
        <v>50</v>
      </c>
      <c r="B1563">
        <v>7284</v>
      </c>
      <c r="C1563">
        <v>0</v>
      </c>
      <c r="D1563">
        <v>3</v>
      </c>
      <c r="E1563">
        <v>28</v>
      </c>
      <c r="F1563" t="s">
        <v>273</v>
      </c>
      <c r="G1563" t="s">
        <v>124</v>
      </c>
    </row>
    <row r="1564" spans="1:7" hidden="1" x14ac:dyDescent="0.25">
      <c r="A1564">
        <v>50</v>
      </c>
      <c r="B1564">
        <v>9356</v>
      </c>
      <c r="C1564">
        <v>0</v>
      </c>
      <c r="D1564">
        <v>3</v>
      </c>
      <c r="E1564">
        <v>28</v>
      </c>
      <c r="F1564" t="s">
        <v>273</v>
      </c>
      <c r="G1564" t="s">
        <v>124</v>
      </c>
    </row>
    <row r="1565" spans="1:7" hidden="1" x14ac:dyDescent="0.25">
      <c r="A1565">
        <v>50</v>
      </c>
      <c r="B1565">
        <v>10592</v>
      </c>
      <c r="C1565">
        <v>0</v>
      </c>
      <c r="D1565">
        <v>3</v>
      </c>
      <c r="E1565">
        <v>28</v>
      </c>
      <c r="F1565" t="s">
        <v>273</v>
      </c>
      <c r="G1565" t="s">
        <v>124</v>
      </c>
    </row>
    <row r="1566" spans="1:7" hidden="1" x14ac:dyDescent="0.25">
      <c r="A1566">
        <v>99</v>
      </c>
      <c r="B1566">
        <v>2168</v>
      </c>
      <c r="C1566">
        <v>0</v>
      </c>
      <c r="D1566">
        <v>3</v>
      </c>
      <c r="E1566">
        <v>28</v>
      </c>
      <c r="F1566" t="s">
        <v>273</v>
      </c>
      <c r="G1566" t="s">
        <v>124</v>
      </c>
    </row>
    <row r="1567" spans="1:7" hidden="1" x14ac:dyDescent="0.25">
      <c r="A1567">
        <v>99</v>
      </c>
      <c r="B1567">
        <v>2472</v>
      </c>
      <c r="C1567">
        <v>0</v>
      </c>
      <c r="D1567">
        <v>3</v>
      </c>
      <c r="E1567">
        <v>28</v>
      </c>
      <c r="F1567" t="s">
        <v>273</v>
      </c>
      <c r="G1567" t="s">
        <v>124</v>
      </c>
    </row>
    <row r="1568" spans="1:7" hidden="1" x14ac:dyDescent="0.25">
      <c r="A1568">
        <v>99</v>
      </c>
      <c r="B1568">
        <v>3056</v>
      </c>
      <c r="C1568">
        <v>0</v>
      </c>
      <c r="D1568">
        <v>3</v>
      </c>
      <c r="E1568">
        <v>28</v>
      </c>
      <c r="F1568" t="s">
        <v>273</v>
      </c>
      <c r="G1568" t="s">
        <v>124</v>
      </c>
    </row>
    <row r="1569" spans="1:7" hidden="1" x14ac:dyDescent="0.25">
      <c r="A1569">
        <v>99</v>
      </c>
      <c r="B1569">
        <v>3100</v>
      </c>
      <c r="C1569">
        <v>0</v>
      </c>
      <c r="D1569">
        <v>3</v>
      </c>
      <c r="E1569">
        <v>28</v>
      </c>
      <c r="F1569" t="s">
        <v>273</v>
      </c>
      <c r="G1569" t="s">
        <v>124</v>
      </c>
    </row>
    <row r="1570" spans="1:7" x14ac:dyDescent="0.25">
      <c r="A1570">
        <v>99</v>
      </c>
      <c r="B1570">
        <v>4124</v>
      </c>
      <c r="C1570">
        <v>0</v>
      </c>
      <c r="D1570">
        <v>3</v>
      </c>
      <c r="E1570">
        <v>28</v>
      </c>
      <c r="F1570" t="s">
        <v>273</v>
      </c>
      <c r="G1570" t="s">
        <v>124</v>
      </c>
    </row>
    <row r="1571" spans="1:7" hidden="1" x14ac:dyDescent="0.25">
      <c r="A1571">
        <v>99</v>
      </c>
      <c r="B1571">
        <v>5932</v>
      </c>
      <c r="C1571">
        <v>0</v>
      </c>
      <c r="D1571">
        <v>3</v>
      </c>
      <c r="E1571">
        <v>28</v>
      </c>
      <c r="F1571" t="s">
        <v>273</v>
      </c>
      <c r="G1571" t="s">
        <v>124</v>
      </c>
    </row>
    <row r="1572" spans="1:7" hidden="1" x14ac:dyDescent="0.25">
      <c r="A1572">
        <v>99</v>
      </c>
      <c r="B1572">
        <v>5992</v>
      </c>
      <c r="C1572">
        <v>0</v>
      </c>
      <c r="D1572">
        <v>3</v>
      </c>
      <c r="E1572">
        <v>28</v>
      </c>
      <c r="F1572" t="s">
        <v>273</v>
      </c>
      <c r="G1572" t="s">
        <v>124</v>
      </c>
    </row>
    <row r="1573" spans="1:7" hidden="1" x14ac:dyDescent="0.25">
      <c r="A1573">
        <v>99</v>
      </c>
      <c r="B1573">
        <v>7260</v>
      </c>
      <c r="C1573">
        <v>0</v>
      </c>
      <c r="D1573">
        <v>3</v>
      </c>
      <c r="E1573">
        <v>28</v>
      </c>
      <c r="F1573" t="s">
        <v>273</v>
      </c>
      <c r="G1573" t="s">
        <v>124</v>
      </c>
    </row>
    <row r="1574" spans="1:7" hidden="1" x14ac:dyDescent="0.25">
      <c r="A1574">
        <v>99</v>
      </c>
      <c r="B1574">
        <v>8804</v>
      </c>
      <c r="C1574">
        <v>0</v>
      </c>
      <c r="D1574">
        <v>3</v>
      </c>
      <c r="E1574">
        <v>28</v>
      </c>
      <c r="F1574" t="s">
        <v>273</v>
      </c>
      <c r="G1574" t="s">
        <v>124</v>
      </c>
    </row>
    <row r="1575" spans="1:7" hidden="1" x14ac:dyDescent="0.25">
      <c r="A1575">
        <v>99</v>
      </c>
      <c r="B1575">
        <v>9176</v>
      </c>
      <c r="C1575">
        <v>0</v>
      </c>
      <c r="D1575">
        <v>3</v>
      </c>
      <c r="E1575">
        <v>28</v>
      </c>
      <c r="F1575" t="s">
        <v>273</v>
      </c>
      <c r="G1575" t="s">
        <v>124</v>
      </c>
    </row>
    <row r="1576" spans="1:7" hidden="1" x14ac:dyDescent="0.25">
      <c r="A1576">
        <v>99</v>
      </c>
      <c r="B1576">
        <v>9256</v>
      </c>
      <c r="C1576">
        <v>0</v>
      </c>
      <c r="D1576">
        <v>3</v>
      </c>
      <c r="E1576">
        <v>28</v>
      </c>
      <c r="F1576" t="s">
        <v>273</v>
      </c>
      <c r="G1576" t="s">
        <v>124</v>
      </c>
    </row>
    <row r="1577" spans="1:7" hidden="1" x14ac:dyDescent="0.25">
      <c r="A1577">
        <v>99</v>
      </c>
      <c r="B1577">
        <v>9752</v>
      </c>
      <c r="C1577">
        <v>0</v>
      </c>
      <c r="D1577">
        <v>3</v>
      </c>
      <c r="E1577">
        <v>28</v>
      </c>
      <c r="F1577" t="s">
        <v>273</v>
      </c>
      <c r="G1577" t="s">
        <v>124</v>
      </c>
    </row>
    <row r="1578" spans="1:7" hidden="1" x14ac:dyDescent="0.25">
      <c r="A1578">
        <v>99</v>
      </c>
      <c r="B1578">
        <v>10364</v>
      </c>
      <c r="C1578">
        <v>0</v>
      </c>
      <c r="D1578">
        <v>3</v>
      </c>
      <c r="E1578">
        <v>28</v>
      </c>
      <c r="F1578" t="s">
        <v>273</v>
      </c>
      <c r="G1578" t="s">
        <v>124</v>
      </c>
    </row>
    <row r="1579" spans="1:7" hidden="1" x14ac:dyDescent="0.25">
      <c r="A1579">
        <v>50</v>
      </c>
      <c r="B1579">
        <v>476</v>
      </c>
      <c r="C1579">
        <v>0</v>
      </c>
      <c r="D1579">
        <v>3</v>
      </c>
      <c r="E1579">
        <v>35</v>
      </c>
      <c r="F1579" t="s">
        <v>274</v>
      </c>
      <c r="G1579" t="s">
        <v>159</v>
      </c>
    </row>
    <row r="1580" spans="1:7" hidden="1" x14ac:dyDescent="0.25">
      <c r="A1580">
        <v>50</v>
      </c>
      <c r="B1580">
        <v>1264</v>
      </c>
      <c r="C1580">
        <v>0</v>
      </c>
      <c r="D1580">
        <v>3</v>
      </c>
      <c r="E1580">
        <v>35</v>
      </c>
      <c r="F1580" t="s">
        <v>274</v>
      </c>
      <c r="G1580" t="s">
        <v>159</v>
      </c>
    </row>
    <row r="1581" spans="1:7" hidden="1" x14ac:dyDescent="0.25">
      <c r="A1581">
        <v>50</v>
      </c>
      <c r="B1581">
        <v>4228</v>
      </c>
      <c r="C1581">
        <v>0</v>
      </c>
      <c r="D1581">
        <v>3</v>
      </c>
      <c r="E1581">
        <v>35</v>
      </c>
      <c r="F1581" t="s">
        <v>274</v>
      </c>
      <c r="G1581" t="s">
        <v>159</v>
      </c>
    </row>
    <row r="1582" spans="1:7" hidden="1" x14ac:dyDescent="0.25">
      <c r="A1582">
        <v>50</v>
      </c>
      <c r="B1582">
        <v>5004</v>
      </c>
      <c r="C1582">
        <v>0</v>
      </c>
      <c r="D1582">
        <v>3</v>
      </c>
      <c r="E1582">
        <v>35</v>
      </c>
      <c r="F1582" t="s">
        <v>274</v>
      </c>
      <c r="G1582" t="s">
        <v>159</v>
      </c>
    </row>
    <row r="1583" spans="1:7" hidden="1" x14ac:dyDescent="0.25">
      <c r="A1583">
        <v>50</v>
      </c>
      <c r="B1583">
        <v>7283</v>
      </c>
      <c r="C1583">
        <v>0</v>
      </c>
      <c r="D1583">
        <v>3</v>
      </c>
      <c r="E1583">
        <v>35</v>
      </c>
      <c r="F1583" t="s">
        <v>274</v>
      </c>
      <c r="G1583" t="s">
        <v>159</v>
      </c>
    </row>
    <row r="1584" spans="1:7" hidden="1" x14ac:dyDescent="0.25">
      <c r="A1584">
        <v>50</v>
      </c>
      <c r="B1584">
        <v>7284</v>
      </c>
      <c r="C1584">
        <v>0</v>
      </c>
      <c r="D1584">
        <v>3</v>
      </c>
      <c r="E1584">
        <v>35</v>
      </c>
      <c r="F1584" t="s">
        <v>274</v>
      </c>
      <c r="G1584" t="s">
        <v>159</v>
      </c>
    </row>
    <row r="1585" spans="1:7" hidden="1" x14ac:dyDescent="0.25">
      <c r="A1585">
        <v>50</v>
      </c>
      <c r="B1585">
        <v>9356</v>
      </c>
      <c r="C1585">
        <v>0</v>
      </c>
      <c r="D1585">
        <v>3</v>
      </c>
      <c r="E1585">
        <v>35</v>
      </c>
      <c r="F1585" t="s">
        <v>274</v>
      </c>
      <c r="G1585" t="s">
        <v>159</v>
      </c>
    </row>
    <row r="1586" spans="1:7" hidden="1" x14ac:dyDescent="0.25">
      <c r="A1586">
        <v>50</v>
      </c>
      <c r="B1586">
        <v>10592</v>
      </c>
      <c r="C1586">
        <v>0</v>
      </c>
      <c r="D1586">
        <v>3</v>
      </c>
      <c r="E1586">
        <v>35</v>
      </c>
      <c r="F1586" t="s">
        <v>274</v>
      </c>
      <c r="G1586" t="s">
        <v>159</v>
      </c>
    </row>
    <row r="1587" spans="1:7" hidden="1" x14ac:dyDescent="0.25">
      <c r="A1587">
        <v>99</v>
      </c>
      <c r="B1587">
        <v>2168</v>
      </c>
      <c r="C1587">
        <v>0</v>
      </c>
      <c r="D1587">
        <v>3</v>
      </c>
      <c r="E1587">
        <v>35</v>
      </c>
      <c r="F1587" t="s">
        <v>274</v>
      </c>
      <c r="G1587" t="s">
        <v>159</v>
      </c>
    </row>
    <row r="1588" spans="1:7" hidden="1" x14ac:dyDescent="0.25">
      <c r="A1588">
        <v>99</v>
      </c>
      <c r="B1588">
        <v>2472</v>
      </c>
      <c r="C1588">
        <v>0</v>
      </c>
      <c r="D1588">
        <v>3</v>
      </c>
      <c r="E1588">
        <v>35</v>
      </c>
      <c r="F1588" t="s">
        <v>274</v>
      </c>
      <c r="G1588" t="s">
        <v>159</v>
      </c>
    </row>
    <row r="1589" spans="1:7" hidden="1" x14ac:dyDescent="0.25">
      <c r="A1589">
        <v>99</v>
      </c>
      <c r="B1589">
        <v>3056</v>
      </c>
      <c r="C1589">
        <v>0</v>
      </c>
      <c r="D1589">
        <v>3</v>
      </c>
      <c r="E1589">
        <v>35</v>
      </c>
      <c r="F1589" t="s">
        <v>274</v>
      </c>
      <c r="G1589" t="s">
        <v>159</v>
      </c>
    </row>
    <row r="1590" spans="1:7" hidden="1" x14ac:dyDescent="0.25">
      <c r="A1590">
        <v>99</v>
      </c>
      <c r="B1590">
        <v>3100</v>
      </c>
      <c r="C1590">
        <v>0</v>
      </c>
      <c r="D1590">
        <v>3</v>
      </c>
      <c r="E1590">
        <v>35</v>
      </c>
      <c r="F1590" t="s">
        <v>274</v>
      </c>
      <c r="G1590" t="s">
        <v>159</v>
      </c>
    </row>
    <row r="1591" spans="1:7" x14ac:dyDescent="0.25">
      <c r="A1591">
        <v>99</v>
      </c>
      <c r="B1591">
        <v>4124</v>
      </c>
      <c r="C1591">
        <v>0</v>
      </c>
      <c r="D1591">
        <v>3</v>
      </c>
      <c r="E1591">
        <v>35</v>
      </c>
      <c r="F1591" t="s">
        <v>274</v>
      </c>
      <c r="G1591" t="s">
        <v>159</v>
      </c>
    </row>
    <row r="1592" spans="1:7" hidden="1" x14ac:dyDescent="0.25">
      <c r="A1592">
        <v>99</v>
      </c>
      <c r="B1592">
        <v>5932</v>
      </c>
      <c r="C1592">
        <v>0</v>
      </c>
      <c r="D1592">
        <v>3</v>
      </c>
      <c r="E1592">
        <v>35</v>
      </c>
      <c r="F1592" t="s">
        <v>274</v>
      </c>
      <c r="G1592" t="s">
        <v>159</v>
      </c>
    </row>
    <row r="1593" spans="1:7" hidden="1" x14ac:dyDescent="0.25">
      <c r="A1593">
        <v>99</v>
      </c>
      <c r="B1593">
        <v>5992</v>
      </c>
      <c r="C1593">
        <v>0</v>
      </c>
      <c r="D1593">
        <v>3</v>
      </c>
      <c r="E1593">
        <v>35</v>
      </c>
      <c r="F1593" t="s">
        <v>274</v>
      </c>
      <c r="G1593" t="s">
        <v>159</v>
      </c>
    </row>
    <row r="1594" spans="1:7" hidden="1" x14ac:dyDescent="0.25">
      <c r="A1594">
        <v>99</v>
      </c>
      <c r="B1594">
        <v>7260</v>
      </c>
      <c r="C1594">
        <v>0</v>
      </c>
      <c r="D1594">
        <v>3</v>
      </c>
      <c r="E1594">
        <v>35</v>
      </c>
      <c r="F1594" t="s">
        <v>274</v>
      </c>
      <c r="G1594" t="s">
        <v>159</v>
      </c>
    </row>
    <row r="1595" spans="1:7" hidden="1" x14ac:dyDescent="0.25">
      <c r="A1595">
        <v>99</v>
      </c>
      <c r="B1595">
        <v>8804</v>
      </c>
      <c r="C1595">
        <v>0</v>
      </c>
      <c r="D1595">
        <v>3</v>
      </c>
      <c r="E1595">
        <v>35</v>
      </c>
      <c r="F1595" t="s">
        <v>274</v>
      </c>
      <c r="G1595" t="s">
        <v>159</v>
      </c>
    </row>
    <row r="1596" spans="1:7" hidden="1" x14ac:dyDescent="0.25">
      <c r="A1596">
        <v>99</v>
      </c>
      <c r="B1596">
        <v>9176</v>
      </c>
      <c r="C1596">
        <v>0</v>
      </c>
      <c r="D1596">
        <v>3</v>
      </c>
      <c r="E1596">
        <v>35</v>
      </c>
      <c r="F1596" t="s">
        <v>274</v>
      </c>
      <c r="G1596" t="s">
        <v>159</v>
      </c>
    </row>
    <row r="1597" spans="1:7" hidden="1" x14ac:dyDescent="0.25">
      <c r="A1597">
        <v>99</v>
      </c>
      <c r="B1597">
        <v>9256</v>
      </c>
      <c r="C1597">
        <v>0</v>
      </c>
      <c r="D1597">
        <v>3</v>
      </c>
      <c r="E1597">
        <v>35</v>
      </c>
      <c r="F1597" t="s">
        <v>274</v>
      </c>
      <c r="G1597" t="s">
        <v>159</v>
      </c>
    </row>
    <row r="1598" spans="1:7" hidden="1" x14ac:dyDescent="0.25">
      <c r="A1598">
        <v>99</v>
      </c>
      <c r="B1598">
        <v>9752</v>
      </c>
      <c r="C1598">
        <v>0</v>
      </c>
      <c r="D1598">
        <v>3</v>
      </c>
      <c r="E1598">
        <v>35</v>
      </c>
      <c r="F1598" t="s">
        <v>274</v>
      </c>
      <c r="G1598" t="s">
        <v>159</v>
      </c>
    </row>
    <row r="1599" spans="1:7" hidden="1" x14ac:dyDescent="0.25">
      <c r="A1599">
        <v>99</v>
      </c>
      <c r="B1599">
        <v>10364</v>
      </c>
      <c r="C1599">
        <v>0</v>
      </c>
      <c r="D1599">
        <v>3</v>
      </c>
      <c r="E1599">
        <v>35</v>
      </c>
      <c r="F1599" t="s">
        <v>274</v>
      </c>
      <c r="G1599" t="s">
        <v>159</v>
      </c>
    </row>
    <row r="1600" spans="1:7" hidden="1" x14ac:dyDescent="0.25">
      <c r="A1600">
        <v>50</v>
      </c>
      <c r="B1600">
        <v>476</v>
      </c>
      <c r="C1600">
        <v>0</v>
      </c>
      <c r="D1600">
        <v>3</v>
      </c>
      <c r="E1600">
        <v>31</v>
      </c>
      <c r="F1600" t="s">
        <v>188</v>
      </c>
      <c r="G1600" t="s">
        <v>118</v>
      </c>
    </row>
    <row r="1601" spans="1:7" hidden="1" x14ac:dyDescent="0.25">
      <c r="A1601">
        <v>50</v>
      </c>
      <c r="B1601">
        <v>1264</v>
      </c>
      <c r="C1601">
        <v>0</v>
      </c>
      <c r="D1601">
        <v>3</v>
      </c>
      <c r="E1601">
        <v>31</v>
      </c>
      <c r="F1601" t="s">
        <v>188</v>
      </c>
      <c r="G1601" t="s">
        <v>118</v>
      </c>
    </row>
    <row r="1602" spans="1:7" hidden="1" x14ac:dyDescent="0.25">
      <c r="A1602">
        <v>50</v>
      </c>
      <c r="B1602">
        <v>4228</v>
      </c>
      <c r="C1602">
        <v>0</v>
      </c>
      <c r="D1602">
        <v>3</v>
      </c>
      <c r="E1602">
        <v>31</v>
      </c>
      <c r="F1602" t="s">
        <v>188</v>
      </c>
      <c r="G1602" t="s">
        <v>118</v>
      </c>
    </row>
    <row r="1603" spans="1:7" hidden="1" x14ac:dyDescent="0.25">
      <c r="A1603">
        <v>50</v>
      </c>
      <c r="B1603">
        <v>5004</v>
      </c>
      <c r="C1603">
        <v>0</v>
      </c>
      <c r="D1603">
        <v>3</v>
      </c>
      <c r="E1603">
        <v>31</v>
      </c>
      <c r="F1603" t="s">
        <v>188</v>
      </c>
      <c r="G1603" t="s">
        <v>118</v>
      </c>
    </row>
    <row r="1604" spans="1:7" hidden="1" x14ac:dyDescent="0.25">
      <c r="A1604">
        <v>50</v>
      </c>
      <c r="B1604">
        <v>7283</v>
      </c>
      <c r="C1604">
        <v>0</v>
      </c>
      <c r="D1604">
        <v>3</v>
      </c>
      <c r="E1604">
        <v>31</v>
      </c>
      <c r="F1604" t="s">
        <v>188</v>
      </c>
      <c r="G1604" t="s">
        <v>118</v>
      </c>
    </row>
    <row r="1605" spans="1:7" hidden="1" x14ac:dyDescent="0.25">
      <c r="A1605">
        <v>50</v>
      </c>
      <c r="B1605">
        <v>7284</v>
      </c>
      <c r="C1605">
        <v>0</v>
      </c>
      <c r="D1605">
        <v>3</v>
      </c>
      <c r="E1605">
        <v>31</v>
      </c>
      <c r="F1605" t="s">
        <v>188</v>
      </c>
      <c r="G1605" t="s">
        <v>118</v>
      </c>
    </row>
    <row r="1606" spans="1:7" hidden="1" x14ac:dyDescent="0.25">
      <c r="A1606">
        <v>50</v>
      </c>
      <c r="B1606">
        <v>9356</v>
      </c>
      <c r="C1606">
        <v>0</v>
      </c>
      <c r="D1606">
        <v>3</v>
      </c>
      <c r="E1606">
        <v>31</v>
      </c>
      <c r="F1606" t="s">
        <v>188</v>
      </c>
      <c r="G1606" t="s">
        <v>118</v>
      </c>
    </row>
    <row r="1607" spans="1:7" hidden="1" x14ac:dyDescent="0.25">
      <c r="A1607">
        <v>50</v>
      </c>
      <c r="B1607">
        <v>10592</v>
      </c>
      <c r="C1607">
        <v>0</v>
      </c>
      <c r="D1607">
        <v>3</v>
      </c>
      <c r="E1607">
        <v>31</v>
      </c>
      <c r="F1607" t="s">
        <v>188</v>
      </c>
      <c r="G1607" t="s">
        <v>118</v>
      </c>
    </row>
    <row r="1608" spans="1:7" hidden="1" x14ac:dyDescent="0.25">
      <c r="A1608">
        <v>99</v>
      </c>
      <c r="B1608">
        <v>2168</v>
      </c>
      <c r="C1608">
        <v>0</v>
      </c>
      <c r="D1608">
        <v>3</v>
      </c>
      <c r="E1608">
        <v>31</v>
      </c>
      <c r="F1608" t="s">
        <v>188</v>
      </c>
      <c r="G1608" t="s">
        <v>118</v>
      </c>
    </row>
    <row r="1609" spans="1:7" hidden="1" x14ac:dyDescent="0.25">
      <c r="A1609">
        <v>99</v>
      </c>
      <c r="B1609">
        <v>2472</v>
      </c>
      <c r="C1609">
        <v>0</v>
      </c>
      <c r="D1609">
        <v>3</v>
      </c>
      <c r="E1609">
        <v>31</v>
      </c>
      <c r="F1609" t="s">
        <v>188</v>
      </c>
      <c r="G1609" t="s">
        <v>118</v>
      </c>
    </row>
    <row r="1610" spans="1:7" hidden="1" x14ac:dyDescent="0.25">
      <c r="A1610">
        <v>99</v>
      </c>
      <c r="B1610">
        <v>3056</v>
      </c>
      <c r="C1610">
        <v>0</v>
      </c>
      <c r="D1610">
        <v>3</v>
      </c>
      <c r="E1610">
        <v>31</v>
      </c>
      <c r="F1610" t="s">
        <v>188</v>
      </c>
      <c r="G1610" t="s">
        <v>118</v>
      </c>
    </row>
    <row r="1611" spans="1:7" hidden="1" x14ac:dyDescent="0.25">
      <c r="A1611">
        <v>99</v>
      </c>
      <c r="B1611">
        <v>3100</v>
      </c>
      <c r="C1611">
        <v>0</v>
      </c>
      <c r="D1611">
        <v>3</v>
      </c>
      <c r="E1611">
        <v>31</v>
      </c>
      <c r="F1611" t="s">
        <v>188</v>
      </c>
      <c r="G1611" t="s">
        <v>118</v>
      </c>
    </row>
    <row r="1612" spans="1:7" x14ac:dyDescent="0.25">
      <c r="A1612">
        <v>99</v>
      </c>
      <c r="B1612">
        <v>4124</v>
      </c>
      <c r="C1612">
        <v>0</v>
      </c>
      <c r="D1612">
        <v>3</v>
      </c>
      <c r="E1612">
        <v>31</v>
      </c>
      <c r="F1612" t="s">
        <v>188</v>
      </c>
      <c r="G1612" t="s">
        <v>118</v>
      </c>
    </row>
    <row r="1613" spans="1:7" hidden="1" x14ac:dyDescent="0.25">
      <c r="A1613">
        <v>99</v>
      </c>
      <c r="B1613">
        <v>5932</v>
      </c>
      <c r="C1613">
        <v>0</v>
      </c>
      <c r="D1613">
        <v>3</v>
      </c>
      <c r="E1613">
        <v>31</v>
      </c>
      <c r="F1613" t="s">
        <v>188</v>
      </c>
      <c r="G1613" t="s">
        <v>118</v>
      </c>
    </row>
    <row r="1614" spans="1:7" hidden="1" x14ac:dyDescent="0.25">
      <c r="A1614">
        <v>99</v>
      </c>
      <c r="B1614">
        <v>5992</v>
      </c>
      <c r="C1614">
        <v>0</v>
      </c>
      <c r="D1614">
        <v>3</v>
      </c>
      <c r="E1614">
        <v>31</v>
      </c>
      <c r="F1614" t="s">
        <v>188</v>
      </c>
      <c r="G1614" t="s">
        <v>118</v>
      </c>
    </row>
    <row r="1615" spans="1:7" hidden="1" x14ac:dyDescent="0.25">
      <c r="A1615">
        <v>99</v>
      </c>
      <c r="B1615">
        <v>7260</v>
      </c>
      <c r="C1615">
        <v>0</v>
      </c>
      <c r="D1615">
        <v>3</v>
      </c>
      <c r="E1615">
        <v>31</v>
      </c>
      <c r="F1615" t="s">
        <v>188</v>
      </c>
      <c r="G1615" t="s">
        <v>118</v>
      </c>
    </row>
    <row r="1616" spans="1:7" hidden="1" x14ac:dyDescent="0.25">
      <c r="A1616">
        <v>99</v>
      </c>
      <c r="B1616">
        <v>8804</v>
      </c>
      <c r="C1616">
        <v>0</v>
      </c>
      <c r="D1616">
        <v>3</v>
      </c>
      <c r="E1616">
        <v>31</v>
      </c>
      <c r="F1616" t="s">
        <v>188</v>
      </c>
      <c r="G1616" t="s">
        <v>118</v>
      </c>
    </row>
    <row r="1617" spans="1:7" hidden="1" x14ac:dyDescent="0.25">
      <c r="A1617">
        <v>99</v>
      </c>
      <c r="B1617">
        <v>9176</v>
      </c>
      <c r="C1617">
        <v>0</v>
      </c>
      <c r="D1617">
        <v>3</v>
      </c>
      <c r="E1617">
        <v>31</v>
      </c>
      <c r="F1617" t="s">
        <v>188</v>
      </c>
      <c r="G1617" t="s">
        <v>118</v>
      </c>
    </row>
    <row r="1618" spans="1:7" hidden="1" x14ac:dyDescent="0.25">
      <c r="A1618">
        <v>99</v>
      </c>
      <c r="B1618">
        <v>9256</v>
      </c>
      <c r="C1618">
        <v>0</v>
      </c>
      <c r="D1618">
        <v>3</v>
      </c>
      <c r="E1618">
        <v>31</v>
      </c>
      <c r="F1618" t="s">
        <v>188</v>
      </c>
      <c r="G1618" t="s">
        <v>118</v>
      </c>
    </row>
    <row r="1619" spans="1:7" hidden="1" x14ac:dyDescent="0.25">
      <c r="A1619">
        <v>99</v>
      </c>
      <c r="B1619">
        <v>9752</v>
      </c>
      <c r="C1619">
        <v>0</v>
      </c>
      <c r="D1619">
        <v>3</v>
      </c>
      <c r="E1619">
        <v>31</v>
      </c>
      <c r="F1619" t="s">
        <v>188</v>
      </c>
      <c r="G1619" t="s">
        <v>118</v>
      </c>
    </row>
    <row r="1620" spans="1:7" hidden="1" x14ac:dyDescent="0.25">
      <c r="A1620">
        <v>99</v>
      </c>
      <c r="B1620">
        <v>10364</v>
      </c>
      <c r="C1620">
        <v>0</v>
      </c>
      <c r="D1620">
        <v>3</v>
      </c>
      <c r="E1620">
        <v>31</v>
      </c>
      <c r="F1620" t="s">
        <v>188</v>
      </c>
      <c r="G1620" t="s">
        <v>118</v>
      </c>
    </row>
    <row r="1621" spans="1:7" hidden="1" x14ac:dyDescent="0.25">
      <c r="A1621">
        <v>50</v>
      </c>
      <c r="B1621">
        <v>476</v>
      </c>
      <c r="C1621">
        <v>0</v>
      </c>
      <c r="D1621">
        <v>3</v>
      </c>
      <c r="E1621">
        <v>30</v>
      </c>
      <c r="F1621" t="s">
        <v>187</v>
      </c>
      <c r="G1621" t="s">
        <v>116</v>
      </c>
    </row>
    <row r="1622" spans="1:7" hidden="1" x14ac:dyDescent="0.25">
      <c r="A1622">
        <v>50</v>
      </c>
      <c r="B1622">
        <v>1264</v>
      </c>
      <c r="C1622">
        <v>0</v>
      </c>
      <c r="D1622">
        <v>3</v>
      </c>
      <c r="E1622">
        <v>30</v>
      </c>
      <c r="F1622" t="s">
        <v>187</v>
      </c>
      <c r="G1622" t="s">
        <v>116</v>
      </c>
    </row>
    <row r="1623" spans="1:7" hidden="1" x14ac:dyDescent="0.25">
      <c r="A1623">
        <v>50</v>
      </c>
      <c r="B1623">
        <v>4228</v>
      </c>
      <c r="C1623">
        <v>0</v>
      </c>
      <c r="D1623">
        <v>3</v>
      </c>
      <c r="E1623">
        <v>30</v>
      </c>
      <c r="F1623" t="s">
        <v>187</v>
      </c>
      <c r="G1623" t="s">
        <v>116</v>
      </c>
    </row>
    <row r="1624" spans="1:7" hidden="1" x14ac:dyDescent="0.25">
      <c r="A1624">
        <v>50</v>
      </c>
      <c r="B1624">
        <v>5004</v>
      </c>
      <c r="C1624">
        <v>0</v>
      </c>
      <c r="D1624">
        <v>3</v>
      </c>
      <c r="E1624">
        <v>30</v>
      </c>
      <c r="F1624" t="s">
        <v>187</v>
      </c>
      <c r="G1624" t="s">
        <v>116</v>
      </c>
    </row>
    <row r="1625" spans="1:7" hidden="1" x14ac:dyDescent="0.25">
      <c r="A1625">
        <v>50</v>
      </c>
      <c r="B1625">
        <v>7283</v>
      </c>
      <c r="C1625">
        <v>0</v>
      </c>
      <c r="D1625">
        <v>3</v>
      </c>
      <c r="E1625">
        <v>30</v>
      </c>
      <c r="F1625" t="s">
        <v>187</v>
      </c>
      <c r="G1625" t="s">
        <v>116</v>
      </c>
    </row>
    <row r="1626" spans="1:7" hidden="1" x14ac:dyDescent="0.25">
      <c r="A1626">
        <v>50</v>
      </c>
      <c r="B1626">
        <v>7284</v>
      </c>
      <c r="C1626">
        <v>0</v>
      </c>
      <c r="D1626">
        <v>3</v>
      </c>
      <c r="E1626">
        <v>30</v>
      </c>
      <c r="F1626" t="s">
        <v>187</v>
      </c>
      <c r="G1626" t="s">
        <v>116</v>
      </c>
    </row>
    <row r="1627" spans="1:7" hidden="1" x14ac:dyDescent="0.25">
      <c r="A1627">
        <v>50</v>
      </c>
      <c r="B1627">
        <v>9356</v>
      </c>
      <c r="C1627">
        <v>0</v>
      </c>
      <c r="D1627">
        <v>3</v>
      </c>
      <c r="E1627">
        <v>30</v>
      </c>
      <c r="F1627" t="s">
        <v>187</v>
      </c>
      <c r="G1627" t="s">
        <v>116</v>
      </c>
    </row>
    <row r="1628" spans="1:7" hidden="1" x14ac:dyDescent="0.25">
      <c r="A1628">
        <v>50</v>
      </c>
      <c r="B1628">
        <v>10592</v>
      </c>
      <c r="C1628">
        <v>0</v>
      </c>
      <c r="D1628">
        <v>3</v>
      </c>
      <c r="E1628">
        <v>30</v>
      </c>
      <c r="F1628" t="s">
        <v>187</v>
      </c>
      <c r="G1628" t="s">
        <v>116</v>
      </c>
    </row>
    <row r="1629" spans="1:7" hidden="1" x14ac:dyDescent="0.25">
      <c r="A1629">
        <v>99</v>
      </c>
      <c r="B1629">
        <v>2168</v>
      </c>
      <c r="C1629">
        <v>0</v>
      </c>
      <c r="D1629">
        <v>3</v>
      </c>
      <c r="E1629">
        <v>30</v>
      </c>
      <c r="F1629" t="s">
        <v>187</v>
      </c>
      <c r="G1629" t="s">
        <v>116</v>
      </c>
    </row>
    <row r="1630" spans="1:7" hidden="1" x14ac:dyDescent="0.25">
      <c r="A1630">
        <v>99</v>
      </c>
      <c r="B1630">
        <v>2472</v>
      </c>
      <c r="C1630">
        <v>0</v>
      </c>
      <c r="D1630">
        <v>3</v>
      </c>
      <c r="E1630">
        <v>30</v>
      </c>
      <c r="F1630" t="s">
        <v>187</v>
      </c>
      <c r="G1630" t="s">
        <v>116</v>
      </c>
    </row>
    <row r="1631" spans="1:7" hidden="1" x14ac:dyDescent="0.25">
      <c r="A1631">
        <v>99</v>
      </c>
      <c r="B1631">
        <v>3056</v>
      </c>
      <c r="C1631">
        <v>0</v>
      </c>
      <c r="D1631">
        <v>3</v>
      </c>
      <c r="E1631">
        <v>30</v>
      </c>
      <c r="F1631" t="s">
        <v>187</v>
      </c>
      <c r="G1631" t="s">
        <v>116</v>
      </c>
    </row>
    <row r="1632" spans="1:7" hidden="1" x14ac:dyDescent="0.25">
      <c r="A1632">
        <v>99</v>
      </c>
      <c r="B1632">
        <v>3100</v>
      </c>
      <c r="C1632">
        <v>0</v>
      </c>
      <c r="D1632">
        <v>3</v>
      </c>
      <c r="E1632">
        <v>30</v>
      </c>
      <c r="F1632" t="s">
        <v>187</v>
      </c>
      <c r="G1632" t="s">
        <v>116</v>
      </c>
    </row>
    <row r="1633" spans="1:7" x14ac:dyDescent="0.25">
      <c r="A1633">
        <v>99</v>
      </c>
      <c r="B1633">
        <v>4124</v>
      </c>
      <c r="C1633">
        <v>0</v>
      </c>
      <c r="D1633">
        <v>3</v>
      </c>
      <c r="E1633">
        <v>30</v>
      </c>
      <c r="F1633" t="s">
        <v>187</v>
      </c>
      <c r="G1633" t="s">
        <v>116</v>
      </c>
    </row>
    <row r="1634" spans="1:7" hidden="1" x14ac:dyDescent="0.25">
      <c r="A1634">
        <v>99</v>
      </c>
      <c r="B1634">
        <v>5932</v>
      </c>
      <c r="C1634">
        <v>0</v>
      </c>
      <c r="D1634">
        <v>3</v>
      </c>
      <c r="E1634">
        <v>30</v>
      </c>
      <c r="F1634" t="s">
        <v>187</v>
      </c>
      <c r="G1634" t="s">
        <v>116</v>
      </c>
    </row>
    <row r="1635" spans="1:7" hidden="1" x14ac:dyDescent="0.25">
      <c r="A1635">
        <v>99</v>
      </c>
      <c r="B1635">
        <v>5992</v>
      </c>
      <c r="C1635">
        <v>0</v>
      </c>
      <c r="D1635">
        <v>3</v>
      </c>
      <c r="E1635">
        <v>30</v>
      </c>
      <c r="F1635" t="s">
        <v>187</v>
      </c>
      <c r="G1635" t="s">
        <v>116</v>
      </c>
    </row>
    <row r="1636" spans="1:7" hidden="1" x14ac:dyDescent="0.25">
      <c r="A1636">
        <v>99</v>
      </c>
      <c r="B1636">
        <v>7260</v>
      </c>
      <c r="C1636">
        <v>0</v>
      </c>
      <c r="D1636">
        <v>3</v>
      </c>
      <c r="E1636">
        <v>30</v>
      </c>
      <c r="F1636" t="s">
        <v>187</v>
      </c>
      <c r="G1636" t="s">
        <v>116</v>
      </c>
    </row>
    <row r="1637" spans="1:7" hidden="1" x14ac:dyDescent="0.25">
      <c r="A1637">
        <v>99</v>
      </c>
      <c r="B1637">
        <v>8804</v>
      </c>
      <c r="C1637">
        <v>0</v>
      </c>
      <c r="D1637">
        <v>3</v>
      </c>
      <c r="E1637">
        <v>30</v>
      </c>
      <c r="F1637" t="s">
        <v>187</v>
      </c>
      <c r="G1637" t="s">
        <v>116</v>
      </c>
    </row>
    <row r="1638" spans="1:7" hidden="1" x14ac:dyDescent="0.25">
      <c r="A1638">
        <v>99</v>
      </c>
      <c r="B1638">
        <v>9176</v>
      </c>
      <c r="C1638">
        <v>0</v>
      </c>
      <c r="D1638">
        <v>3</v>
      </c>
      <c r="E1638">
        <v>30</v>
      </c>
      <c r="F1638" t="s">
        <v>187</v>
      </c>
      <c r="G1638" t="s">
        <v>116</v>
      </c>
    </row>
    <row r="1639" spans="1:7" hidden="1" x14ac:dyDescent="0.25">
      <c r="A1639">
        <v>99</v>
      </c>
      <c r="B1639">
        <v>9256</v>
      </c>
      <c r="C1639">
        <v>0</v>
      </c>
      <c r="D1639">
        <v>3</v>
      </c>
      <c r="E1639">
        <v>30</v>
      </c>
      <c r="F1639" t="s">
        <v>187</v>
      </c>
      <c r="G1639" t="s">
        <v>116</v>
      </c>
    </row>
    <row r="1640" spans="1:7" hidden="1" x14ac:dyDescent="0.25">
      <c r="A1640">
        <v>99</v>
      </c>
      <c r="B1640">
        <v>9752</v>
      </c>
      <c r="C1640">
        <v>0</v>
      </c>
      <c r="D1640">
        <v>3</v>
      </c>
      <c r="E1640">
        <v>30</v>
      </c>
      <c r="F1640" t="s">
        <v>187</v>
      </c>
      <c r="G1640" t="s">
        <v>116</v>
      </c>
    </row>
    <row r="1641" spans="1:7" hidden="1" x14ac:dyDescent="0.25">
      <c r="A1641">
        <v>99</v>
      </c>
      <c r="B1641">
        <v>10364</v>
      </c>
      <c r="C1641">
        <v>0</v>
      </c>
      <c r="D1641">
        <v>3</v>
      </c>
      <c r="E1641">
        <v>30</v>
      </c>
      <c r="F1641" t="s">
        <v>187</v>
      </c>
      <c r="G1641" t="s">
        <v>116</v>
      </c>
    </row>
    <row r="1642" spans="1:7" hidden="1" x14ac:dyDescent="0.25">
      <c r="A1642">
        <v>50</v>
      </c>
      <c r="B1642">
        <v>476</v>
      </c>
      <c r="C1642">
        <v>0</v>
      </c>
      <c r="D1642">
        <v>3</v>
      </c>
      <c r="E1642">
        <v>29</v>
      </c>
      <c r="F1642" t="s">
        <v>186</v>
      </c>
      <c r="G1642" t="s">
        <v>114</v>
      </c>
    </row>
    <row r="1643" spans="1:7" hidden="1" x14ac:dyDescent="0.25">
      <c r="A1643">
        <v>50</v>
      </c>
      <c r="B1643">
        <v>1264</v>
      </c>
      <c r="C1643">
        <v>0</v>
      </c>
      <c r="D1643">
        <v>3</v>
      </c>
      <c r="E1643">
        <v>29</v>
      </c>
      <c r="F1643" t="s">
        <v>186</v>
      </c>
      <c r="G1643" t="s">
        <v>114</v>
      </c>
    </row>
    <row r="1644" spans="1:7" hidden="1" x14ac:dyDescent="0.25">
      <c r="A1644">
        <v>50</v>
      </c>
      <c r="B1644">
        <v>4228</v>
      </c>
      <c r="C1644">
        <v>0</v>
      </c>
      <c r="D1644">
        <v>3</v>
      </c>
      <c r="E1644">
        <v>29</v>
      </c>
      <c r="F1644" t="s">
        <v>186</v>
      </c>
      <c r="G1644" t="s">
        <v>114</v>
      </c>
    </row>
    <row r="1645" spans="1:7" hidden="1" x14ac:dyDescent="0.25">
      <c r="A1645">
        <v>50</v>
      </c>
      <c r="B1645">
        <v>5004</v>
      </c>
      <c r="C1645">
        <v>0</v>
      </c>
      <c r="D1645">
        <v>3</v>
      </c>
      <c r="E1645">
        <v>29</v>
      </c>
      <c r="F1645" t="s">
        <v>186</v>
      </c>
      <c r="G1645" t="s">
        <v>114</v>
      </c>
    </row>
    <row r="1646" spans="1:7" hidden="1" x14ac:dyDescent="0.25">
      <c r="A1646">
        <v>50</v>
      </c>
      <c r="B1646">
        <v>7283</v>
      </c>
      <c r="C1646">
        <v>0</v>
      </c>
      <c r="D1646">
        <v>3</v>
      </c>
      <c r="E1646">
        <v>29</v>
      </c>
      <c r="F1646" t="s">
        <v>186</v>
      </c>
      <c r="G1646" t="s">
        <v>114</v>
      </c>
    </row>
    <row r="1647" spans="1:7" hidden="1" x14ac:dyDescent="0.25">
      <c r="A1647">
        <v>50</v>
      </c>
      <c r="B1647">
        <v>7284</v>
      </c>
      <c r="C1647">
        <v>0</v>
      </c>
      <c r="D1647">
        <v>3</v>
      </c>
      <c r="E1647">
        <v>29</v>
      </c>
      <c r="F1647" t="s">
        <v>186</v>
      </c>
      <c r="G1647" t="s">
        <v>114</v>
      </c>
    </row>
    <row r="1648" spans="1:7" hidden="1" x14ac:dyDescent="0.25">
      <c r="A1648">
        <v>50</v>
      </c>
      <c r="B1648">
        <v>9356</v>
      </c>
      <c r="C1648">
        <v>0</v>
      </c>
      <c r="D1648">
        <v>3</v>
      </c>
      <c r="E1648">
        <v>29</v>
      </c>
      <c r="F1648" t="s">
        <v>186</v>
      </c>
      <c r="G1648" t="s">
        <v>114</v>
      </c>
    </row>
    <row r="1649" spans="1:7" hidden="1" x14ac:dyDescent="0.25">
      <c r="A1649">
        <v>50</v>
      </c>
      <c r="B1649">
        <v>10592</v>
      </c>
      <c r="C1649">
        <v>0</v>
      </c>
      <c r="D1649">
        <v>3</v>
      </c>
      <c r="E1649">
        <v>29</v>
      </c>
      <c r="F1649" t="s">
        <v>186</v>
      </c>
      <c r="G1649" t="s">
        <v>114</v>
      </c>
    </row>
    <row r="1650" spans="1:7" hidden="1" x14ac:dyDescent="0.25">
      <c r="A1650">
        <v>99</v>
      </c>
      <c r="B1650">
        <v>2168</v>
      </c>
      <c r="C1650">
        <v>0</v>
      </c>
      <c r="D1650">
        <v>3</v>
      </c>
      <c r="E1650">
        <v>29</v>
      </c>
      <c r="F1650" t="s">
        <v>186</v>
      </c>
      <c r="G1650" t="s">
        <v>114</v>
      </c>
    </row>
    <row r="1651" spans="1:7" hidden="1" x14ac:dyDescent="0.25">
      <c r="A1651">
        <v>99</v>
      </c>
      <c r="B1651">
        <v>2472</v>
      </c>
      <c r="C1651">
        <v>0</v>
      </c>
      <c r="D1651">
        <v>3</v>
      </c>
      <c r="E1651">
        <v>29</v>
      </c>
      <c r="F1651" t="s">
        <v>186</v>
      </c>
      <c r="G1651" t="s">
        <v>114</v>
      </c>
    </row>
    <row r="1652" spans="1:7" hidden="1" x14ac:dyDescent="0.25">
      <c r="A1652">
        <v>99</v>
      </c>
      <c r="B1652">
        <v>3056</v>
      </c>
      <c r="C1652">
        <v>0</v>
      </c>
      <c r="D1652">
        <v>3</v>
      </c>
      <c r="E1652">
        <v>29</v>
      </c>
      <c r="F1652" t="s">
        <v>186</v>
      </c>
      <c r="G1652" t="s">
        <v>114</v>
      </c>
    </row>
    <row r="1653" spans="1:7" hidden="1" x14ac:dyDescent="0.25">
      <c r="A1653">
        <v>99</v>
      </c>
      <c r="B1653">
        <v>3100</v>
      </c>
      <c r="C1653">
        <v>0</v>
      </c>
      <c r="D1653">
        <v>3</v>
      </c>
      <c r="E1653">
        <v>29</v>
      </c>
      <c r="F1653" t="s">
        <v>186</v>
      </c>
      <c r="G1653" t="s">
        <v>114</v>
      </c>
    </row>
    <row r="1654" spans="1:7" x14ac:dyDescent="0.25">
      <c r="A1654">
        <v>99</v>
      </c>
      <c r="B1654">
        <v>4124</v>
      </c>
      <c r="C1654">
        <v>0</v>
      </c>
      <c r="D1654">
        <v>3</v>
      </c>
      <c r="E1654">
        <v>29</v>
      </c>
      <c r="F1654" t="s">
        <v>186</v>
      </c>
      <c r="G1654" t="s">
        <v>114</v>
      </c>
    </row>
    <row r="1655" spans="1:7" hidden="1" x14ac:dyDescent="0.25">
      <c r="A1655">
        <v>99</v>
      </c>
      <c r="B1655">
        <v>5932</v>
      </c>
      <c r="C1655">
        <v>0</v>
      </c>
      <c r="D1655">
        <v>3</v>
      </c>
      <c r="E1655">
        <v>29</v>
      </c>
      <c r="F1655" t="s">
        <v>186</v>
      </c>
      <c r="G1655" t="s">
        <v>114</v>
      </c>
    </row>
    <row r="1656" spans="1:7" hidden="1" x14ac:dyDescent="0.25">
      <c r="A1656">
        <v>99</v>
      </c>
      <c r="B1656">
        <v>5992</v>
      </c>
      <c r="C1656">
        <v>0</v>
      </c>
      <c r="D1656">
        <v>3</v>
      </c>
      <c r="E1656">
        <v>29</v>
      </c>
      <c r="F1656" t="s">
        <v>186</v>
      </c>
      <c r="G1656" t="s">
        <v>114</v>
      </c>
    </row>
    <row r="1657" spans="1:7" hidden="1" x14ac:dyDescent="0.25">
      <c r="A1657">
        <v>99</v>
      </c>
      <c r="B1657">
        <v>7260</v>
      </c>
      <c r="C1657">
        <v>0</v>
      </c>
      <c r="D1657">
        <v>3</v>
      </c>
      <c r="E1657">
        <v>29</v>
      </c>
      <c r="F1657" t="s">
        <v>186</v>
      </c>
      <c r="G1657" t="s">
        <v>114</v>
      </c>
    </row>
    <row r="1658" spans="1:7" hidden="1" x14ac:dyDescent="0.25">
      <c r="A1658">
        <v>99</v>
      </c>
      <c r="B1658">
        <v>8804</v>
      </c>
      <c r="C1658">
        <v>0</v>
      </c>
      <c r="D1658">
        <v>3</v>
      </c>
      <c r="E1658">
        <v>29</v>
      </c>
      <c r="F1658" t="s">
        <v>186</v>
      </c>
      <c r="G1658" t="s">
        <v>114</v>
      </c>
    </row>
    <row r="1659" spans="1:7" hidden="1" x14ac:dyDescent="0.25">
      <c r="A1659">
        <v>99</v>
      </c>
      <c r="B1659">
        <v>9176</v>
      </c>
      <c r="C1659">
        <v>0</v>
      </c>
      <c r="D1659">
        <v>3</v>
      </c>
      <c r="E1659">
        <v>29</v>
      </c>
      <c r="F1659" t="s">
        <v>186</v>
      </c>
      <c r="G1659" t="s">
        <v>114</v>
      </c>
    </row>
    <row r="1660" spans="1:7" hidden="1" x14ac:dyDescent="0.25">
      <c r="A1660">
        <v>99</v>
      </c>
      <c r="B1660">
        <v>9256</v>
      </c>
      <c r="C1660">
        <v>0</v>
      </c>
      <c r="D1660">
        <v>3</v>
      </c>
      <c r="E1660">
        <v>29</v>
      </c>
      <c r="F1660" t="s">
        <v>186</v>
      </c>
      <c r="G1660" t="s">
        <v>114</v>
      </c>
    </row>
    <row r="1661" spans="1:7" hidden="1" x14ac:dyDescent="0.25">
      <c r="A1661">
        <v>99</v>
      </c>
      <c r="B1661">
        <v>9752</v>
      </c>
      <c r="C1661">
        <v>0</v>
      </c>
      <c r="D1661">
        <v>3</v>
      </c>
      <c r="E1661">
        <v>29</v>
      </c>
      <c r="F1661" t="s">
        <v>186</v>
      </c>
      <c r="G1661" t="s">
        <v>114</v>
      </c>
    </row>
    <row r="1662" spans="1:7" hidden="1" x14ac:dyDescent="0.25">
      <c r="A1662">
        <v>99</v>
      </c>
      <c r="B1662">
        <v>10364</v>
      </c>
      <c r="C1662">
        <v>0</v>
      </c>
      <c r="D1662">
        <v>3</v>
      </c>
      <c r="E1662">
        <v>29</v>
      </c>
      <c r="F1662" t="s">
        <v>186</v>
      </c>
      <c r="G1662" t="s">
        <v>114</v>
      </c>
    </row>
    <row r="1663" spans="1:7" hidden="1" x14ac:dyDescent="0.25">
      <c r="A1663">
        <v>50</v>
      </c>
      <c r="B1663">
        <v>476</v>
      </c>
      <c r="C1663">
        <v>0</v>
      </c>
      <c r="D1663">
        <v>3</v>
      </c>
      <c r="E1663">
        <v>32</v>
      </c>
      <c r="F1663" t="s">
        <v>189</v>
      </c>
      <c r="G1663" t="s">
        <v>120</v>
      </c>
    </row>
    <row r="1664" spans="1:7" hidden="1" x14ac:dyDescent="0.25">
      <c r="A1664">
        <v>50</v>
      </c>
      <c r="B1664">
        <v>1264</v>
      </c>
      <c r="C1664">
        <v>0</v>
      </c>
      <c r="D1664">
        <v>3</v>
      </c>
      <c r="E1664">
        <v>32</v>
      </c>
      <c r="F1664" t="s">
        <v>189</v>
      </c>
      <c r="G1664" t="s">
        <v>120</v>
      </c>
    </row>
    <row r="1665" spans="1:7" hidden="1" x14ac:dyDescent="0.25">
      <c r="A1665">
        <v>50</v>
      </c>
      <c r="B1665">
        <v>4228</v>
      </c>
      <c r="C1665">
        <v>0</v>
      </c>
      <c r="D1665">
        <v>3</v>
      </c>
      <c r="E1665">
        <v>32</v>
      </c>
      <c r="F1665" t="s">
        <v>189</v>
      </c>
      <c r="G1665" t="s">
        <v>120</v>
      </c>
    </row>
    <row r="1666" spans="1:7" hidden="1" x14ac:dyDescent="0.25">
      <c r="A1666">
        <v>50</v>
      </c>
      <c r="B1666">
        <v>5004</v>
      </c>
      <c r="C1666">
        <v>0</v>
      </c>
      <c r="D1666">
        <v>3</v>
      </c>
      <c r="E1666">
        <v>32</v>
      </c>
      <c r="F1666" t="s">
        <v>189</v>
      </c>
      <c r="G1666" t="s">
        <v>120</v>
      </c>
    </row>
    <row r="1667" spans="1:7" hidden="1" x14ac:dyDescent="0.25">
      <c r="A1667">
        <v>50</v>
      </c>
      <c r="B1667">
        <v>7283</v>
      </c>
      <c r="C1667">
        <v>0</v>
      </c>
      <c r="D1667">
        <v>3</v>
      </c>
      <c r="E1667">
        <v>32</v>
      </c>
      <c r="F1667" t="s">
        <v>189</v>
      </c>
      <c r="G1667" t="s">
        <v>120</v>
      </c>
    </row>
    <row r="1668" spans="1:7" hidden="1" x14ac:dyDescent="0.25">
      <c r="A1668">
        <v>50</v>
      </c>
      <c r="B1668">
        <v>7284</v>
      </c>
      <c r="C1668">
        <v>0</v>
      </c>
      <c r="D1668">
        <v>3</v>
      </c>
      <c r="E1668">
        <v>32</v>
      </c>
      <c r="F1668" t="s">
        <v>189</v>
      </c>
      <c r="G1668" t="s">
        <v>120</v>
      </c>
    </row>
    <row r="1669" spans="1:7" hidden="1" x14ac:dyDescent="0.25">
      <c r="A1669">
        <v>50</v>
      </c>
      <c r="B1669">
        <v>9356</v>
      </c>
      <c r="C1669">
        <v>0</v>
      </c>
      <c r="D1669">
        <v>3</v>
      </c>
      <c r="E1669">
        <v>32</v>
      </c>
      <c r="F1669" t="s">
        <v>189</v>
      </c>
      <c r="G1669" t="s">
        <v>120</v>
      </c>
    </row>
    <row r="1670" spans="1:7" hidden="1" x14ac:dyDescent="0.25">
      <c r="A1670">
        <v>50</v>
      </c>
      <c r="B1670">
        <v>10592</v>
      </c>
      <c r="C1670">
        <v>0</v>
      </c>
      <c r="D1670">
        <v>3</v>
      </c>
      <c r="E1670">
        <v>32</v>
      </c>
      <c r="F1670" t="s">
        <v>189</v>
      </c>
      <c r="G1670" t="s">
        <v>120</v>
      </c>
    </row>
    <row r="1671" spans="1:7" hidden="1" x14ac:dyDescent="0.25">
      <c r="A1671">
        <v>99</v>
      </c>
      <c r="B1671">
        <v>2168</v>
      </c>
      <c r="C1671">
        <v>0</v>
      </c>
      <c r="D1671">
        <v>3</v>
      </c>
      <c r="E1671">
        <v>32</v>
      </c>
      <c r="F1671" t="s">
        <v>189</v>
      </c>
      <c r="G1671" t="s">
        <v>120</v>
      </c>
    </row>
    <row r="1672" spans="1:7" hidden="1" x14ac:dyDescent="0.25">
      <c r="A1672">
        <v>99</v>
      </c>
      <c r="B1672">
        <v>2472</v>
      </c>
      <c r="C1672">
        <v>0</v>
      </c>
      <c r="D1672">
        <v>3</v>
      </c>
      <c r="E1672">
        <v>32</v>
      </c>
      <c r="F1672" t="s">
        <v>189</v>
      </c>
      <c r="G1672" t="s">
        <v>120</v>
      </c>
    </row>
    <row r="1673" spans="1:7" hidden="1" x14ac:dyDescent="0.25">
      <c r="A1673">
        <v>99</v>
      </c>
      <c r="B1673">
        <v>3056</v>
      </c>
      <c r="C1673">
        <v>0</v>
      </c>
      <c r="D1673">
        <v>3</v>
      </c>
      <c r="E1673">
        <v>32</v>
      </c>
      <c r="F1673" t="s">
        <v>189</v>
      </c>
      <c r="G1673" t="s">
        <v>120</v>
      </c>
    </row>
    <row r="1674" spans="1:7" hidden="1" x14ac:dyDescent="0.25">
      <c r="A1674">
        <v>99</v>
      </c>
      <c r="B1674">
        <v>3100</v>
      </c>
      <c r="C1674">
        <v>0</v>
      </c>
      <c r="D1674">
        <v>3</v>
      </c>
      <c r="E1674">
        <v>32</v>
      </c>
      <c r="F1674" t="s">
        <v>189</v>
      </c>
      <c r="G1674" t="s">
        <v>120</v>
      </c>
    </row>
    <row r="1675" spans="1:7" x14ac:dyDescent="0.25">
      <c r="A1675">
        <v>99</v>
      </c>
      <c r="B1675">
        <v>4124</v>
      </c>
      <c r="C1675">
        <v>0</v>
      </c>
      <c r="D1675">
        <v>3</v>
      </c>
      <c r="E1675">
        <v>32</v>
      </c>
      <c r="F1675" t="s">
        <v>189</v>
      </c>
      <c r="G1675" t="s">
        <v>120</v>
      </c>
    </row>
    <row r="1676" spans="1:7" hidden="1" x14ac:dyDescent="0.25">
      <c r="A1676">
        <v>99</v>
      </c>
      <c r="B1676">
        <v>5932</v>
      </c>
      <c r="C1676">
        <v>0</v>
      </c>
      <c r="D1676">
        <v>3</v>
      </c>
      <c r="E1676">
        <v>32</v>
      </c>
      <c r="F1676" t="s">
        <v>189</v>
      </c>
      <c r="G1676" t="s">
        <v>120</v>
      </c>
    </row>
    <row r="1677" spans="1:7" hidden="1" x14ac:dyDescent="0.25">
      <c r="A1677">
        <v>99</v>
      </c>
      <c r="B1677">
        <v>5992</v>
      </c>
      <c r="C1677">
        <v>0</v>
      </c>
      <c r="D1677">
        <v>3</v>
      </c>
      <c r="E1677">
        <v>32</v>
      </c>
      <c r="F1677" t="s">
        <v>189</v>
      </c>
      <c r="G1677" t="s">
        <v>120</v>
      </c>
    </row>
    <row r="1678" spans="1:7" hidden="1" x14ac:dyDescent="0.25">
      <c r="A1678">
        <v>99</v>
      </c>
      <c r="B1678">
        <v>7260</v>
      </c>
      <c r="C1678">
        <v>0</v>
      </c>
      <c r="D1678">
        <v>3</v>
      </c>
      <c r="E1678">
        <v>32</v>
      </c>
      <c r="F1678" t="s">
        <v>189</v>
      </c>
      <c r="G1678" t="s">
        <v>120</v>
      </c>
    </row>
    <row r="1679" spans="1:7" hidden="1" x14ac:dyDescent="0.25">
      <c r="A1679">
        <v>99</v>
      </c>
      <c r="B1679">
        <v>8804</v>
      </c>
      <c r="C1679">
        <v>0</v>
      </c>
      <c r="D1679">
        <v>3</v>
      </c>
      <c r="E1679">
        <v>32</v>
      </c>
      <c r="F1679" t="s">
        <v>189</v>
      </c>
      <c r="G1679" t="s">
        <v>120</v>
      </c>
    </row>
    <row r="1680" spans="1:7" hidden="1" x14ac:dyDescent="0.25">
      <c r="A1680">
        <v>99</v>
      </c>
      <c r="B1680">
        <v>9176</v>
      </c>
      <c r="C1680">
        <v>0</v>
      </c>
      <c r="D1680">
        <v>3</v>
      </c>
      <c r="E1680">
        <v>32</v>
      </c>
      <c r="F1680" t="s">
        <v>189</v>
      </c>
      <c r="G1680" t="s">
        <v>120</v>
      </c>
    </row>
    <row r="1681" spans="1:7" hidden="1" x14ac:dyDescent="0.25">
      <c r="A1681">
        <v>99</v>
      </c>
      <c r="B1681">
        <v>9256</v>
      </c>
      <c r="C1681">
        <v>0</v>
      </c>
      <c r="D1681">
        <v>3</v>
      </c>
      <c r="E1681">
        <v>32</v>
      </c>
      <c r="F1681" t="s">
        <v>189</v>
      </c>
      <c r="G1681" t="s">
        <v>120</v>
      </c>
    </row>
    <row r="1682" spans="1:7" hidden="1" x14ac:dyDescent="0.25">
      <c r="A1682">
        <v>99</v>
      </c>
      <c r="B1682">
        <v>9752</v>
      </c>
      <c r="C1682">
        <v>0</v>
      </c>
      <c r="D1682">
        <v>3</v>
      </c>
      <c r="E1682">
        <v>32</v>
      </c>
      <c r="F1682" t="s">
        <v>189</v>
      </c>
      <c r="G1682" t="s">
        <v>120</v>
      </c>
    </row>
    <row r="1683" spans="1:7" hidden="1" x14ac:dyDescent="0.25">
      <c r="A1683">
        <v>99</v>
      </c>
      <c r="B1683">
        <v>10364</v>
      </c>
      <c r="C1683">
        <v>0</v>
      </c>
      <c r="D1683">
        <v>3</v>
      </c>
      <c r="E1683">
        <v>32</v>
      </c>
      <c r="F1683" t="s">
        <v>189</v>
      </c>
      <c r="G1683" t="s">
        <v>120</v>
      </c>
    </row>
    <row r="1684" spans="1:7" hidden="1" x14ac:dyDescent="0.25">
      <c r="A1684">
        <v>50</v>
      </c>
      <c r="B1684">
        <v>476</v>
      </c>
      <c r="C1684">
        <v>0</v>
      </c>
      <c r="D1684">
        <v>3</v>
      </c>
      <c r="E1684">
        <v>33</v>
      </c>
      <c r="F1684" t="s">
        <v>190</v>
      </c>
      <c r="G1684" t="s">
        <v>122</v>
      </c>
    </row>
    <row r="1685" spans="1:7" hidden="1" x14ac:dyDescent="0.25">
      <c r="A1685">
        <v>50</v>
      </c>
      <c r="B1685">
        <v>1264</v>
      </c>
      <c r="C1685">
        <v>0</v>
      </c>
      <c r="D1685">
        <v>3</v>
      </c>
      <c r="E1685">
        <v>33</v>
      </c>
      <c r="F1685" t="s">
        <v>190</v>
      </c>
      <c r="G1685" t="s">
        <v>122</v>
      </c>
    </row>
    <row r="1686" spans="1:7" hidden="1" x14ac:dyDescent="0.25">
      <c r="A1686">
        <v>50</v>
      </c>
      <c r="B1686">
        <v>4228</v>
      </c>
      <c r="C1686">
        <v>0</v>
      </c>
      <c r="D1686">
        <v>3</v>
      </c>
      <c r="E1686">
        <v>33</v>
      </c>
      <c r="F1686" t="s">
        <v>190</v>
      </c>
      <c r="G1686" t="s">
        <v>122</v>
      </c>
    </row>
    <row r="1687" spans="1:7" hidden="1" x14ac:dyDescent="0.25">
      <c r="A1687">
        <v>50</v>
      </c>
      <c r="B1687">
        <v>5004</v>
      </c>
      <c r="C1687">
        <v>0</v>
      </c>
      <c r="D1687">
        <v>3</v>
      </c>
      <c r="E1687">
        <v>33</v>
      </c>
      <c r="F1687" t="s">
        <v>190</v>
      </c>
      <c r="G1687" t="s">
        <v>122</v>
      </c>
    </row>
    <row r="1688" spans="1:7" hidden="1" x14ac:dyDescent="0.25">
      <c r="A1688">
        <v>50</v>
      </c>
      <c r="B1688">
        <v>7283</v>
      </c>
      <c r="C1688">
        <v>0</v>
      </c>
      <c r="D1688">
        <v>3</v>
      </c>
      <c r="E1688">
        <v>33</v>
      </c>
      <c r="F1688" t="s">
        <v>190</v>
      </c>
      <c r="G1688" t="s">
        <v>122</v>
      </c>
    </row>
    <row r="1689" spans="1:7" hidden="1" x14ac:dyDescent="0.25">
      <c r="A1689">
        <v>50</v>
      </c>
      <c r="B1689">
        <v>7284</v>
      </c>
      <c r="C1689">
        <v>0</v>
      </c>
      <c r="D1689">
        <v>3</v>
      </c>
      <c r="E1689">
        <v>33</v>
      </c>
      <c r="F1689" t="s">
        <v>190</v>
      </c>
      <c r="G1689" t="s">
        <v>122</v>
      </c>
    </row>
    <row r="1690" spans="1:7" hidden="1" x14ac:dyDescent="0.25">
      <c r="A1690">
        <v>50</v>
      </c>
      <c r="B1690">
        <v>9356</v>
      </c>
      <c r="C1690">
        <v>0</v>
      </c>
      <c r="D1690">
        <v>3</v>
      </c>
      <c r="E1690">
        <v>33</v>
      </c>
      <c r="F1690" t="s">
        <v>190</v>
      </c>
      <c r="G1690" t="s">
        <v>122</v>
      </c>
    </row>
    <row r="1691" spans="1:7" hidden="1" x14ac:dyDescent="0.25">
      <c r="A1691">
        <v>50</v>
      </c>
      <c r="B1691">
        <v>10592</v>
      </c>
      <c r="C1691">
        <v>0</v>
      </c>
      <c r="D1691">
        <v>3</v>
      </c>
      <c r="E1691">
        <v>33</v>
      </c>
      <c r="F1691" t="s">
        <v>190</v>
      </c>
      <c r="G1691" t="s">
        <v>122</v>
      </c>
    </row>
    <row r="1692" spans="1:7" hidden="1" x14ac:dyDescent="0.25">
      <c r="A1692">
        <v>99</v>
      </c>
      <c r="B1692">
        <v>2168</v>
      </c>
      <c r="C1692">
        <v>0</v>
      </c>
      <c r="D1692">
        <v>3</v>
      </c>
      <c r="E1692">
        <v>33</v>
      </c>
      <c r="F1692" t="s">
        <v>190</v>
      </c>
      <c r="G1692" t="s">
        <v>122</v>
      </c>
    </row>
    <row r="1693" spans="1:7" hidden="1" x14ac:dyDescent="0.25">
      <c r="A1693">
        <v>99</v>
      </c>
      <c r="B1693">
        <v>2472</v>
      </c>
      <c r="C1693">
        <v>0</v>
      </c>
      <c r="D1693">
        <v>3</v>
      </c>
      <c r="E1693">
        <v>33</v>
      </c>
      <c r="F1693" t="s">
        <v>190</v>
      </c>
      <c r="G1693" t="s">
        <v>122</v>
      </c>
    </row>
    <row r="1694" spans="1:7" hidden="1" x14ac:dyDescent="0.25">
      <c r="A1694">
        <v>99</v>
      </c>
      <c r="B1694">
        <v>3056</v>
      </c>
      <c r="C1694">
        <v>0</v>
      </c>
      <c r="D1694">
        <v>3</v>
      </c>
      <c r="E1694">
        <v>33</v>
      </c>
      <c r="F1694" t="s">
        <v>190</v>
      </c>
      <c r="G1694" t="s">
        <v>122</v>
      </c>
    </row>
    <row r="1695" spans="1:7" hidden="1" x14ac:dyDescent="0.25">
      <c r="A1695">
        <v>99</v>
      </c>
      <c r="B1695">
        <v>3100</v>
      </c>
      <c r="C1695">
        <v>0</v>
      </c>
      <c r="D1695">
        <v>3</v>
      </c>
      <c r="E1695">
        <v>33</v>
      </c>
      <c r="F1695" t="s">
        <v>190</v>
      </c>
      <c r="G1695" t="s">
        <v>122</v>
      </c>
    </row>
    <row r="1696" spans="1:7" x14ac:dyDescent="0.25">
      <c r="A1696">
        <v>99</v>
      </c>
      <c r="B1696">
        <v>4124</v>
      </c>
      <c r="C1696">
        <v>0</v>
      </c>
      <c r="D1696">
        <v>3</v>
      </c>
      <c r="E1696">
        <v>33</v>
      </c>
      <c r="F1696" t="s">
        <v>190</v>
      </c>
      <c r="G1696" t="s">
        <v>122</v>
      </c>
    </row>
    <row r="1697" spans="1:7" hidden="1" x14ac:dyDescent="0.25">
      <c r="A1697">
        <v>99</v>
      </c>
      <c r="B1697">
        <v>5932</v>
      </c>
      <c r="C1697">
        <v>0</v>
      </c>
      <c r="D1697">
        <v>3</v>
      </c>
      <c r="E1697">
        <v>33</v>
      </c>
      <c r="F1697" t="s">
        <v>190</v>
      </c>
      <c r="G1697" t="s">
        <v>122</v>
      </c>
    </row>
    <row r="1698" spans="1:7" hidden="1" x14ac:dyDescent="0.25">
      <c r="A1698">
        <v>99</v>
      </c>
      <c r="B1698">
        <v>5992</v>
      </c>
      <c r="C1698">
        <v>0</v>
      </c>
      <c r="D1698">
        <v>3</v>
      </c>
      <c r="E1698">
        <v>33</v>
      </c>
      <c r="F1698" t="s">
        <v>190</v>
      </c>
      <c r="G1698" t="s">
        <v>122</v>
      </c>
    </row>
    <row r="1699" spans="1:7" hidden="1" x14ac:dyDescent="0.25">
      <c r="A1699">
        <v>99</v>
      </c>
      <c r="B1699">
        <v>7260</v>
      </c>
      <c r="C1699">
        <v>0</v>
      </c>
      <c r="D1699">
        <v>3</v>
      </c>
      <c r="E1699">
        <v>33</v>
      </c>
      <c r="F1699" t="s">
        <v>190</v>
      </c>
      <c r="G1699" t="s">
        <v>122</v>
      </c>
    </row>
    <row r="1700" spans="1:7" hidden="1" x14ac:dyDescent="0.25">
      <c r="A1700">
        <v>99</v>
      </c>
      <c r="B1700">
        <v>8804</v>
      </c>
      <c r="C1700">
        <v>0</v>
      </c>
      <c r="D1700">
        <v>3</v>
      </c>
      <c r="E1700">
        <v>33</v>
      </c>
      <c r="F1700" t="s">
        <v>190</v>
      </c>
      <c r="G1700" t="s">
        <v>122</v>
      </c>
    </row>
    <row r="1701" spans="1:7" hidden="1" x14ac:dyDescent="0.25">
      <c r="A1701">
        <v>99</v>
      </c>
      <c r="B1701">
        <v>9176</v>
      </c>
      <c r="C1701">
        <v>0</v>
      </c>
      <c r="D1701">
        <v>3</v>
      </c>
      <c r="E1701">
        <v>33</v>
      </c>
      <c r="F1701" t="s">
        <v>190</v>
      </c>
      <c r="G1701" t="s">
        <v>122</v>
      </c>
    </row>
    <row r="1702" spans="1:7" hidden="1" x14ac:dyDescent="0.25">
      <c r="A1702">
        <v>99</v>
      </c>
      <c r="B1702">
        <v>9256</v>
      </c>
      <c r="C1702">
        <v>0</v>
      </c>
      <c r="D1702">
        <v>3</v>
      </c>
      <c r="E1702">
        <v>33</v>
      </c>
      <c r="F1702" t="s">
        <v>190</v>
      </c>
      <c r="G1702" t="s">
        <v>122</v>
      </c>
    </row>
    <row r="1703" spans="1:7" hidden="1" x14ac:dyDescent="0.25">
      <c r="A1703">
        <v>99</v>
      </c>
      <c r="B1703">
        <v>9752</v>
      </c>
      <c r="C1703">
        <v>0</v>
      </c>
      <c r="D1703">
        <v>3</v>
      </c>
      <c r="E1703">
        <v>33</v>
      </c>
      <c r="F1703" t="s">
        <v>190</v>
      </c>
      <c r="G1703" t="s">
        <v>122</v>
      </c>
    </row>
    <row r="1704" spans="1:7" hidden="1" x14ac:dyDescent="0.25">
      <c r="A1704">
        <v>99</v>
      </c>
      <c r="B1704">
        <v>10364</v>
      </c>
      <c r="C1704">
        <v>0</v>
      </c>
      <c r="D1704">
        <v>3</v>
      </c>
      <c r="E1704">
        <v>33</v>
      </c>
      <c r="F1704" t="s">
        <v>190</v>
      </c>
      <c r="G1704" t="s">
        <v>122</v>
      </c>
    </row>
    <row r="1705" spans="1:7" hidden="1" x14ac:dyDescent="0.25">
      <c r="A1705">
        <v>50</v>
      </c>
      <c r="B1705">
        <v>476</v>
      </c>
      <c r="C1705">
        <v>0</v>
      </c>
      <c r="D1705">
        <v>3</v>
      </c>
      <c r="E1705">
        <v>34</v>
      </c>
      <c r="F1705" t="s">
        <v>191</v>
      </c>
      <c r="G1705" t="s">
        <v>124</v>
      </c>
    </row>
    <row r="1706" spans="1:7" hidden="1" x14ac:dyDescent="0.25">
      <c r="A1706">
        <v>50</v>
      </c>
      <c r="B1706">
        <v>1264</v>
      </c>
      <c r="C1706">
        <v>0</v>
      </c>
      <c r="D1706">
        <v>3</v>
      </c>
      <c r="E1706">
        <v>34</v>
      </c>
      <c r="F1706" t="s">
        <v>191</v>
      </c>
      <c r="G1706" t="s">
        <v>124</v>
      </c>
    </row>
    <row r="1707" spans="1:7" hidden="1" x14ac:dyDescent="0.25">
      <c r="A1707">
        <v>50</v>
      </c>
      <c r="B1707">
        <v>4228</v>
      </c>
      <c r="C1707">
        <v>0</v>
      </c>
      <c r="D1707">
        <v>3</v>
      </c>
      <c r="E1707">
        <v>34</v>
      </c>
      <c r="F1707" t="s">
        <v>191</v>
      </c>
      <c r="G1707" t="s">
        <v>124</v>
      </c>
    </row>
    <row r="1708" spans="1:7" hidden="1" x14ac:dyDescent="0.25">
      <c r="A1708">
        <v>50</v>
      </c>
      <c r="B1708">
        <v>5004</v>
      </c>
      <c r="C1708">
        <v>0</v>
      </c>
      <c r="D1708">
        <v>3</v>
      </c>
      <c r="E1708">
        <v>34</v>
      </c>
      <c r="F1708" t="s">
        <v>191</v>
      </c>
      <c r="G1708" t="s">
        <v>124</v>
      </c>
    </row>
    <row r="1709" spans="1:7" hidden="1" x14ac:dyDescent="0.25">
      <c r="A1709">
        <v>50</v>
      </c>
      <c r="B1709">
        <v>7283</v>
      </c>
      <c r="C1709">
        <v>0</v>
      </c>
      <c r="D1709">
        <v>3</v>
      </c>
      <c r="E1709">
        <v>34</v>
      </c>
      <c r="F1709" t="s">
        <v>191</v>
      </c>
      <c r="G1709" t="s">
        <v>124</v>
      </c>
    </row>
    <row r="1710" spans="1:7" hidden="1" x14ac:dyDescent="0.25">
      <c r="A1710">
        <v>50</v>
      </c>
      <c r="B1710">
        <v>7284</v>
      </c>
      <c r="C1710">
        <v>0</v>
      </c>
      <c r="D1710">
        <v>3</v>
      </c>
      <c r="E1710">
        <v>34</v>
      </c>
      <c r="F1710" t="s">
        <v>191</v>
      </c>
      <c r="G1710" t="s">
        <v>124</v>
      </c>
    </row>
    <row r="1711" spans="1:7" hidden="1" x14ac:dyDescent="0.25">
      <c r="A1711">
        <v>50</v>
      </c>
      <c r="B1711">
        <v>9356</v>
      </c>
      <c r="C1711">
        <v>0</v>
      </c>
      <c r="D1711">
        <v>3</v>
      </c>
      <c r="E1711">
        <v>34</v>
      </c>
      <c r="F1711" t="s">
        <v>191</v>
      </c>
      <c r="G1711" t="s">
        <v>124</v>
      </c>
    </row>
    <row r="1712" spans="1:7" hidden="1" x14ac:dyDescent="0.25">
      <c r="A1712">
        <v>50</v>
      </c>
      <c r="B1712">
        <v>10592</v>
      </c>
      <c r="C1712">
        <v>0</v>
      </c>
      <c r="D1712">
        <v>3</v>
      </c>
      <c r="E1712">
        <v>34</v>
      </c>
      <c r="F1712" t="s">
        <v>191</v>
      </c>
      <c r="G1712" t="s">
        <v>124</v>
      </c>
    </row>
    <row r="1713" spans="1:7" hidden="1" x14ac:dyDescent="0.25">
      <c r="A1713">
        <v>99</v>
      </c>
      <c r="B1713">
        <v>2168</v>
      </c>
      <c r="C1713">
        <v>0</v>
      </c>
      <c r="D1713">
        <v>3</v>
      </c>
      <c r="E1713">
        <v>34</v>
      </c>
      <c r="F1713" t="s">
        <v>191</v>
      </c>
      <c r="G1713" t="s">
        <v>124</v>
      </c>
    </row>
    <row r="1714" spans="1:7" hidden="1" x14ac:dyDescent="0.25">
      <c r="A1714">
        <v>99</v>
      </c>
      <c r="B1714">
        <v>2472</v>
      </c>
      <c r="C1714">
        <v>0</v>
      </c>
      <c r="D1714">
        <v>3</v>
      </c>
      <c r="E1714">
        <v>34</v>
      </c>
      <c r="F1714" t="s">
        <v>191</v>
      </c>
      <c r="G1714" t="s">
        <v>124</v>
      </c>
    </row>
    <row r="1715" spans="1:7" hidden="1" x14ac:dyDescent="0.25">
      <c r="A1715">
        <v>99</v>
      </c>
      <c r="B1715">
        <v>3056</v>
      </c>
      <c r="C1715">
        <v>0</v>
      </c>
      <c r="D1715">
        <v>3</v>
      </c>
      <c r="E1715">
        <v>34</v>
      </c>
      <c r="F1715" t="s">
        <v>191</v>
      </c>
      <c r="G1715" t="s">
        <v>124</v>
      </c>
    </row>
    <row r="1716" spans="1:7" hidden="1" x14ac:dyDescent="0.25">
      <c r="A1716">
        <v>99</v>
      </c>
      <c r="B1716">
        <v>3100</v>
      </c>
      <c r="C1716">
        <v>0</v>
      </c>
      <c r="D1716">
        <v>3</v>
      </c>
      <c r="E1716">
        <v>34</v>
      </c>
      <c r="F1716" t="s">
        <v>191</v>
      </c>
      <c r="G1716" t="s">
        <v>124</v>
      </c>
    </row>
    <row r="1717" spans="1:7" x14ac:dyDescent="0.25">
      <c r="A1717">
        <v>99</v>
      </c>
      <c r="B1717">
        <v>4124</v>
      </c>
      <c r="C1717">
        <v>0</v>
      </c>
      <c r="D1717">
        <v>3</v>
      </c>
      <c r="E1717">
        <v>34</v>
      </c>
      <c r="F1717" t="s">
        <v>191</v>
      </c>
      <c r="G1717" t="s">
        <v>124</v>
      </c>
    </row>
    <row r="1718" spans="1:7" hidden="1" x14ac:dyDescent="0.25">
      <c r="A1718">
        <v>99</v>
      </c>
      <c r="B1718">
        <v>5932</v>
      </c>
      <c r="C1718">
        <v>0</v>
      </c>
      <c r="D1718">
        <v>3</v>
      </c>
      <c r="E1718">
        <v>34</v>
      </c>
      <c r="F1718" t="s">
        <v>191</v>
      </c>
      <c r="G1718" t="s">
        <v>124</v>
      </c>
    </row>
    <row r="1719" spans="1:7" hidden="1" x14ac:dyDescent="0.25">
      <c r="A1719">
        <v>99</v>
      </c>
      <c r="B1719">
        <v>5992</v>
      </c>
      <c r="C1719">
        <v>0</v>
      </c>
      <c r="D1719">
        <v>3</v>
      </c>
      <c r="E1719">
        <v>34</v>
      </c>
      <c r="F1719" t="s">
        <v>191</v>
      </c>
      <c r="G1719" t="s">
        <v>124</v>
      </c>
    </row>
    <row r="1720" spans="1:7" hidden="1" x14ac:dyDescent="0.25">
      <c r="A1720">
        <v>99</v>
      </c>
      <c r="B1720">
        <v>7260</v>
      </c>
      <c r="C1720">
        <v>0</v>
      </c>
      <c r="D1720">
        <v>3</v>
      </c>
      <c r="E1720">
        <v>34</v>
      </c>
      <c r="F1720" t="s">
        <v>191</v>
      </c>
      <c r="G1720" t="s">
        <v>124</v>
      </c>
    </row>
    <row r="1721" spans="1:7" hidden="1" x14ac:dyDescent="0.25">
      <c r="A1721">
        <v>99</v>
      </c>
      <c r="B1721">
        <v>8804</v>
      </c>
      <c r="C1721">
        <v>0</v>
      </c>
      <c r="D1721">
        <v>3</v>
      </c>
      <c r="E1721">
        <v>34</v>
      </c>
      <c r="F1721" t="s">
        <v>191</v>
      </c>
      <c r="G1721" t="s">
        <v>124</v>
      </c>
    </row>
    <row r="1722" spans="1:7" hidden="1" x14ac:dyDescent="0.25">
      <c r="A1722">
        <v>99</v>
      </c>
      <c r="B1722">
        <v>9176</v>
      </c>
      <c r="C1722">
        <v>0</v>
      </c>
      <c r="D1722">
        <v>3</v>
      </c>
      <c r="E1722">
        <v>34</v>
      </c>
      <c r="F1722" t="s">
        <v>191</v>
      </c>
      <c r="G1722" t="s">
        <v>124</v>
      </c>
    </row>
    <row r="1723" spans="1:7" hidden="1" x14ac:dyDescent="0.25">
      <c r="A1723">
        <v>99</v>
      </c>
      <c r="B1723">
        <v>9256</v>
      </c>
      <c r="C1723">
        <v>0</v>
      </c>
      <c r="D1723">
        <v>3</v>
      </c>
      <c r="E1723">
        <v>34</v>
      </c>
      <c r="F1723" t="s">
        <v>191</v>
      </c>
      <c r="G1723" t="s">
        <v>124</v>
      </c>
    </row>
    <row r="1724" spans="1:7" hidden="1" x14ac:dyDescent="0.25">
      <c r="A1724">
        <v>99</v>
      </c>
      <c r="B1724">
        <v>9752</v>
      </c>
      <c r="C1724">
        <v>0</v>
      </c>
      <c r="D1724">
        <v>3</v>
      </c>
      <c r="E1724">
        <v>34</v>
      </c>
      <c r="F1724" t="s">
        <v>191</v>
      </c>
      <c r="G1724" t="s">
        <v>124</v>
      </c>
    </row>
    <row r="1725" spans="1:7" hidden="1" x14ac:dyDescent="0.25">
      <c r="A1725">
        <v>99</v>
      </c>
      <c r="B1725">
        <v>10364</v>
      </c>
      <c r="C1725">
        <v>0</v>
      </c>
      <c r="D1725">
        <v>3</v>
      </c>
      <c r="E1725">
        <v>34</v>
      </c>
      <c r="F1725" t="s">
        <v>191</v>
      </c>
      <c r="G1725" t="s">
        <v>124</v>
      </c>
    </row>
    <row r="1726" spans="1:7" hidden="1" x14ac:dyDescent="0.25">
      <c r="A1726">
        <v>50</v>
      </c>
      <c r="B1726">
        <v>1172</v>
      </c>
      <c r="C1726">
        <v>0</v>
      </c>
      <c r="D1726">
        <v>2</v>
      </c>
      <c r="E1726">
        <v>31</v>
      </c>
      <c r="F1726" t="s">
        <v>153</v>
      </c>
      <c r="G1726" t="s">
        <v>159</v>
      </c>
    </row>
    <row r="1727" spans="1:7" hidden="1" x14ac:dyDescent="0.25">
      <c r="A1727">
        <v>50</v>
      </c>
      <c r="B1727">
        <v>1476</v>
      </c>
      <c r="C1727">
        <v>0</v>
      </c>
      <c r="D1727">
        <v>2</v>
      </c>
      <c r="E1727">
        <v>31</v>
      </c>
      <c r="F1727" t="s">
        <v>153</v>
      </c>
      <c r="G1727" t="s">
        <v>159</v>
      </c>
    </row>
    <row r="1728" spans="1:7" hidden="1" x14ac:dyDescent="0.25">
      <c r="A1728">
        <v>50</v>
      </c>
      <c r="B1728">
        <v>2548</v>
      </c>
      <c r="C1728">
        <v>0</v>
      </c>
      <c r="D1728">
        <v>2</v>
      </c>
      <c r="E1728">
        <v>31</v>
      </c>
      <c r="F1728" t="s">
        <v>153</v>
      </c>
      <c r="G1728" t="s">
        <v>159</v>
      </c>
    </row>
    <row r="1729" spans="1:7" hidden="1" x14ac:dyDescent="0.25">
      <c r="A1729">
        <v>50</v>
      </c>
      <c r="B1729">
        <v>4144</v>
      </c>
      <c r="C1729">
        <v>0</v>
      </c>
      <c r="D1729">
        <v>2</v>
      </c>
      <c r="E1729">
        <v>31</v>
      </c>
      <c r="F1729" t="s">
        <v>153</v>
      </c>
      <c r="G1729" t="s">
        <v>159</v>
      </c>
    </row>
    <row r="1730" spans="1:7" hidden="1" x14ac:dyDescent="0.25">
      <c r="A1730">
        <v>50</v>
      </c>
      <c r="B1730">
        <v>4336</v>
      </c>
      <c r="C1730">
        <v>0</v>
      </c>
      <c r="D1730">
        <v>2</v>
      </c>
      <c r="E1730">
        <v>31</v>
      </c>
      <c r="F1730" t="s">
        <v>153</v>
      </c>
      <c r="G1730" t="s">
        <v>159</v>
      </c>
    </row>
    <row r="1731" spans="1:7" hidden="1" x14ac:dyDescent="0.25">
      <c r="A1731">
        <v>50</v>
      </c>
      <c r="B1731">
        <v>4600</v>
      </c>
      <c r="C1731">
        <v>0</v>
      </c>
      <c r="D1731">
        <v>2</v>
      </c>
      <c r="E1731">
        <v>31</v>
      </c>
      <c r="F1731" t="s">
        <v>153</v>
      </c>
      <c r="G1731" t="s">
        <v>159</v>
      </c>
    </row>
    <row r="1732" spans="1:7" hidden="1" x14ac:dyDescent="0.25">
      <c r="A1732">
        <v>50</v>
      </c>
      <c r="B1732">
        <v>5892</v>
      </c>
      <c r="C1732">
        <v>0</v>
      </c>
      <c r="D1732">
        <v>2</v>
      </c>
      <c r="E1732">
        <v>31</v>
      </c>
      <c r="F1732" t="s">
        <v>153</v>
      </c>
      <c r="G1732" t="s">
        <v>159</v>
      </c>
    </row>
    <row r="1733" spans="1:7" hidden="1" x14ac:dyDescent="0.25">
      <c r="A1733">
        <v>50</v>
      </c>
      <c r="B1733">
        <v>5904</v>
      </c>
      <c r="C1733">
        <v>0</v>
      </c>
      <c r="D1733">
        <v>2</v>
      </c>
      <c r="E1733">
        <v>31</v>
      </c>
      <c r="F1733" t="s">
        <v>153</v>
      </c>
      <c r="G1733" t="s">
        <v>159</v>
      </c>
    </row>
    <row r="1734" spans="1:7" hidden="1" x14ac:dyDescent="0.25">
      <c r="A1734">
        <v>50</v>
      </c>
      <c r="B1734">
        <v>6280</v>
      </c>
      <c r="C1734">
        <v>0</v>
      </c>
      <c r="D1734">
        <v>2</v>
      </c>
      <c r="E1734">
        <v>31</v>
      </c>
      <c r="F1734" t="s">
        <v>153</v>
      </c>
      <c r="G1734" t="s">
        <v>159</v>
      </c>
    </row>
    <row r="1735" spans="1:7" hidden="1" x14ac:dyDescent="0.25">
      <c r="A1735">
        <v>50</v>
      </c>
      <c r="B1735">
        <v>6312</v>
      </c>
      <c r="C1735">
        <v>0</v>
      </c>
      <c r="D1735">
        <v>2</v>
      </c>
      <c r="E1735">
        <v>31</v>
      </c>
      <c r="F1735" t="s">
        <v>153</v>
      </c>
      <c r="G1735" t="s">
        <v>159</v>
      </c>
    </row>
    <row r="1736" spans="1:7" hidden="1" x14ac:dyDescent="0.25">
      <c r="A1736">
        <v>50</v>
      </c>
      <c r="B1736">
        <v>7528</v>
      </c>
      <c r="C1736">
        <v>0</v>
      </c>
      <c r="D1736">
        <v>2</v>
      </c>
      <c r="E1736">
        <v>31</v>
      </c>
      <c r="F1736" t="s">
        <v>153</v>
      </c>
      <c r="G1736" t="s">
        <v>159</v>
      </c>
    </row>
    <row r="1737" spans="1:7" hidden="1" x14ac:dyDescent="0.25">
      <c r="A1737">
        <v>50</v>
      </c>
      <c r="B1737">
        <v>7756</v>
      </c>
      <c r="C1737">
        <v>0</v>
      </c>
      <c r="D1737">
        <v>2</v>
      </c>
      <c r="E1737">
        <v>31</v>
      </c>
      <c r="F1737" t="s">
        <v>153</v>
      </c>
      <c r="G1737" t="s">
        <v>159</v>
      </c>
    </row>
    <row r="1738" spans="1:7" hidden="1" x14ac:dyDescent="0.25">
      <c r="A1738">
        <v>50</v>
      </c>
      <c r="B1738">
        <v>8256</v>
      </c>
      <c r="C1738">
        <v>0</v>
      </c>
      <c r="D1738">
        <v>2</v>
      </c>
      <c r="E1738">
        <v>31</v>
      </c>
      <c r="F1738" t="s">
        <v>153</v>
      </c>
      <c r="G1738" t="s">
        <v>159</v>
      </c>
    </row>
    <row r="1739" spans="1:7" hidden="1" x14ac:dyDescent="0.25">
      <c r="A1739">
        <v>50</v>
      </c>
      <c r="B1739">
        <v>10012</v>
      </c>
      <c r="C1739">
        <v>0</v>
      </c>
      <c r="D1739">
        <v>2</v>
      </c>
      <c r="E1739">
        <v>31</v>
      </c>
      <c r="F1739" t="s">
        <v>153</v>
      </c>
      <c r="G1739" t="s">
        <v>159</v>
      </c>
    </row>
    <row r="1740" spans="1:7" hidden="1" x14ac:dyDescent="0.25">
      <c r="A1740">
        <v>50</v>
      </c>
      <c r="B1740">
        <v>10064</v>
      </c>
      <c r="C1740">
        <v>0</v>
      </c>
      <c r="D1740">
        <v>2</v>
      </c>
      <c r="E1740">
        <v>31</v>
      </c>
      <c r="F1740" t="s">
        <v>153</v>
      </c>
      <c r="G1740" t="s">
        <v>159</v>
      </c>
    </row>
    <row r="1741" spans="1:7" hidden="1" x14ac:dyDescent="0.25">
      <c r="A1741">
        <v>50</v>
      </c>
      <c r="B1741">
        <v>10100</v>
      </c>
      <c r="C1741">
        <v>0</v>
      </c>
      <c r="D1741">
        <v>2</v>
      </c>
      <c r="E1741">
        <v>31</v>
      </c>
      <c r="F1741" t="s">
        <v>153</v>
      </c>
      <c r="G1741" t="s">
        <v>347</v>
      </c>
    </row>
    <row r="1742" spans="1:7" hidden="1" x14ac:dyDescent="0.25">
      <c r="A1742">
        <v>99</v>
      </c>
      <c r="B1742">
        <v>2068</v>
      </c>
      <c r="C1742">
        <v>0</v>
      </c>
      <c r="D1742">
        <v>2</v>
      </c>
      <c r="E1742">
        <v>43</v>
      </c>
      <c r="F1742" t="s">
        <v>153</v>
      </c>
      <c r="G1742" t="s">
        <v>159</v>
      </c>
    </row>
    <row r="1743" spans="1:7" hidden="1" x14ac:dyDescent="0.25">
      <c r="A1743">
        <v>99</v>
      </c>
      <c r="B1743">
        <v>3284</v>
      </c>
      <c r="C1743">
        <v>0</v>
      </c>
      <c r="D1743">
        <v>2</v>
      </c>
      <c r="E1743">
        <v>55</v>
      </c>
      <c r="F1743" t="s">
        <v>153</v>
      </c>
      <c r="G1743" t="s">
        <v>154</v>
      </c>
    </row>
    <row r="1744" spans="1:7" hidden="1" x14ac:dyDescent="0.25">
      <c r="A1744">
        <v>99</v>
      </c>
      <c r="B1744">
        <v>7188</v>
      </c>
      <c r="C1744">
        <v>0</v>
      </c>
      <c r="D1744">
        <v>2</v>
      </c>
      <c r="E1744">
        <v>43</v>
      </c>
      <c r="F1744" t="s">
        <v>153</v>
      </c>
      <c r="G1744" t="s">
        <v>159</v>
      </c>
    </row>
    <row r="1745" spans="1:7" hidden="1" x14ac:dyDescent="0.25">
      <c r="A1745">
        <v>99</v>
      </c>
      <c r="B1745">
        <v>7300</v>
      </c>
      <c r="C1745">
        <v>0</v>
      </c>
      <c r="D1745">
        <v>2</v>
      </c>
      <c r="E1745">
        <v>55</v>
      </c>
      <c r="F1745" t="s">
        <v>153</v>
      </c>
      <c r="G1745" t="s">
        <v>154</v>
      </c>
    </row>
    <row r="1746" spans="1:7" hidden="1" x14ac:dyDescent="0.25">
      <c r="A1746">
        <v>99</v>
      </c>
      <c r="B1746">
        <v>7552</v>
      </c>
      <c r="C1746">
        <v>0</v>
      </c>
      <c r="D1746">
        <v>2</v>
      </c>
      <c r="E1746">
        <v>55</v>
      </c>
      <c r="F1746" t="s">
        <v>153</v>
      </c>
      <c r="G1746" t="s">
        <v>154</v>
      </c>
    </row>
    <row r="1747" spans="1:7" hidden="1" x14ac:dyDescent="0.25">
      <c r="A1747">
        <v>99</v>
      </c>
      <c r="B1747">
        <v>8004</v>
      </c>
      <c r="C1747">
        <v>0</v>
      </c>
      <c r="D1747">
        <v>2</v>
      </c>
      <c r="E1747">
        <v>55</v>
      </c>
      <c r="F1747" t="s">
        <v>153</v>
      </c>
      <c r="G1747" t="s">
        <v>154</v>
      </c>
    </row>
    <row r="1748" spans="1:7" hidden="1" x14ac:dyDescent="0.25">
      <c r="A1748">
        <v>99</v>
      </c>
      <c r="B1748">
        <v>8144</v>
      </c>
      <c r="C1748">
        <v>0</v>
      </c>
      <c r="D1748">
        <v>2</v>
      </c>
      <c r="E1748">
        <v>55</v>
      </c>
      <c r="F1748" t="s">
        <v>153</v>
      </c>
      <c r="G1748" t="s">
        <v>154</v>
      </c>
    </row>
    <row r="1749" spans="1:7" hidden="1" x14ac:dyDescent="0.25">
      <c r="A1749">
        <v>99</v>
      </c>
      <c r="B1749">
        <v>8668</v>
      </c>
      <c r="C1749">
        <v>0</v>
      </c>
      <c r="D1749">
        <v>2</v>
      </c>
      <c r="E1749">
        <v>31</v>
      </c>
      <c r="F1749" t="s">
        <v>153</v>
      </c>
      <c r="G1749" t="s">
        <v>159</v>
      </c>
    </row>
    <row r="1750" spans="1:7" hidden="1" x14ac:dyDescent="0.25">
      <c r="A1750">
        <v>99</v>
      </c>
      <c r="B1750">
        <v>9032</v>
      </c>
      <c r="C1750">
        <v>0</v>
      </c>
      <c r="D1750">
        <v>2</v>
      </c>
      <c r="E1750">
        <v>55</v>
      </c>
      <c r="F1750" t="s">
        <v>153</v>
      </c>
      <c r="G1750" t="s">
        <v>154</v>
      </c>
    </row>
    <row r="1751" spans="1:7" hidden="1" x14ac:dyDescent="0.25">
      <c r="A1751">
        <v>99</v>
      </c>
      <c r="B1751">
        <v>9072</v>
      </c>
      <c r="C1751">
        <v>0</v>
      </c>
      <c r="D1751">
        <v>2</v>
      </c>
      <c r="E1751">
        <v>55</v>
      </c>
      <c r="F1751" t="s">
        <v>153</v>
      </c>
      <c r="G1751" t="s">
        <v>154</v>
      </c>
    </row>
    <row r="1752" spans="1:7" hidden="1" x14ac:dyDescent="0.25">
      <c r="A1752">
        <v>99</v>
      </c>
      <c r="B1752">
        <v>9272</v>
      </c>
      <c r="C1752">
        <v>0</v>
      </c>
      <c r="D1752">
        <v>2</v>
      </c>
      <c r="E1752">
        <v>55</v>
      </c>
      <c r="F1752" t="s">
        <v>153</v>
      </c>
      <c r="G1752" t="s">
        <v>154</v>
      </c>
    </row>
    <row r="1753" spans="1:7" hidden="1" x14ac:dyDescent="0.25">
      <c r="A1753">
        <v>99</v>
      </c>
      <c r="B1753">
        <v>10420</v>
      </c>
      <c r="C1753">
        <v>0</v>
      </c>
      <c r="D1753">
        <v>2</v>
      </c>
      <c r="E1753">
        <v>43</v>
      </c>
      <c r="F1753" t="s">
        <v>153</v>
      </c>
      <c r="G1753" t="s">
        <v>159</v>
      </c>
    </row>
    <row r="1754" spans="1:7" hidden="1" x14ac:dyDescent="0.25">
      <c r="A1754">
        <v>50</v>
      </c>
      <c r="B1754">
        <v>1172</v>
      </c>
      <c r="C1754">
        <v>0</v>
      </c>
      <c r="D1754">
        <v>2</v>
      </c>
      <c r="E1754">
        <v>32</v>
      </c>
      <c r="F1754" t="s">
        <v>156</v>
      </c>
      <c r="G1754" t="s">
        <v>122</v>
      </c>
    </row>
    <row r="1755" spans="1:7" hidden="1" x14ac:dyDescent="0.25">
      <c r="A1755">
        <v>50</v>
      </c>
      <c r="B1755">
        <v>1476</v>
      </c>
      <c r="C1755">
        <v>0</v>
      </c>
      <c r="D1755">
        <v>2</v>
      </c>
      <c r="E1755">
        <v>32</v>
      </c>
      <c r="F1755" t="s">
        <v>156</v>
      </c>
      <c r="G1755" t="s">
        <v>122</v>
      </c>
    </row>
    <row r="1756" spans="1:7" hidden="1" x14ac:dyDescent="0.25">
      <c r="A1756">
        <v>50</v>
      </c>
      <c r="B1756">
        <v>2548</v>
      </c>
      <c r="C1756">
        <v>0</v>
      </c>
      <c r="D1756">
        <v>2</v>
      </c>
      <c r="E1756">
        <v>32</v>
      </c>
      <c r="F1756" t="s">
        <v>156</v>
      </c>
      <c r="G1756" t="s">
        <v>122</v>
      </c>
    </row>
    <row r="1757" spans="1:7" hidden="1" x14ac:dyDescent="0.25">
      <c r="A1757">
        <v>50</v>
      </c>
      <c r="B1757">
        <v>4144</v>
      </c>
      <c r="C1757">
        <v>0</v>
      </c>
      <c r="D1757">
        <v>2</v>
      </c>
      <c r="E1757">
        <v>32</v>
      </c>
      <c r="F1757" t="s">
        <v>156</v>
      </c>
      <c r="G1757" t="s">
        <v>122</v>
      </c>
    </row>
    <row r="1758" spans="1:7" hidden="1" x14ac:dyDescent="0.25">
      <c r="A1758">
        <v>50</v>
      </c>
      <c r="B1758">
        <v>4336</v>
      </c>
      <c r="C1758">
        <v>0</v>
      </c>
      <c r="D1758">
        <v>2</v>
      </c>
      <c r="E1758">
        <v>32</v>
      </c>
      <c r="F1758" t="s">
        <v>156</v>
      </c>
      <c r="G1758" t="s">
        <v>122</v>
      </c>
    </row>
    <row r="1759" spans="1:7" hidden="1" x14ac:dyDescent="0.25">
      <c r="A1759">
        <v>50</v>
      </c>
      <c r="B1759">
        <v>4600</v>
      </c>
      <c r="C1759">
        <v>0</v>
      </c>
      <c r="D1759">
        <v>2</v>
      </c>
      <c r="E1759">
        <v>32</v>
      </c>
      <c r="F1759" t="s">
        <v>156</v>
      </c>
      <c r="G1759" t="s">
        <v>122</v>
      </c>
    </row>
    <row r="1760" spans="1:7" hidden="1" x14ac:dyDescent="0.25">
      <c r="A1760">
        <v>50</v>
      </c>
      <c r="B1760">
        <v>5892</v>
      </c>
      <c r="C1760">
        <v>0</v>
      </c>
      <c r="D1760">
        <v>2</v>
      </c>
      <c r="E1760">
        <v>32</v>
      </c>
      <c r="F1760" t="s">
        <v>156</v>
      </c>
      <c r="G1760" t="s">
        <v>122</v>
      </c>
    </row>
    <row r="1761" spans="1:7" hidden="1" x14ac:dyDescent="0.25">
      <c r="A1761">
        <v>50</v>
      </c>
      <c r="B1761">
        <v>5904</v>
      </c>
      <c r="C1761">
        <v>0</v>
      </c>
      <c r="D1761">
        <v>2</v>
      </c>
      <c r="E1761">
        <v>32</v>
      </c>
      <c r="F1761" t="s">
        <v>156</v>
      </c>
      <c r="G1761" t="s">
        <v>122</v>
      </c>
    </row>
    <row r="1762" spans="1:7" hidden="1" x14ac:dyDescent="0.25">
      <c r="A1762">
        <v>50</v>
      </c>
      <c r="B1762">
        <v>6280</v>
      </c>
      <c r="C1762">
        <v>0</v>
      </c>
      <c r="D1762">
        <v>2</v>
      </c>
      <c r="E1762">
        <v>32</v>
      </c>
      <c r="F1762" t="s">
        <v>156</v>
      </c>
      <c r="G1762" t="s">
        <v>122</v>
      </c>
    </row>
    <row r="1763" spans="1:7" hidden="1" x14ac:dyDescent="0.25">
      <c r="A1763">
        <v>50</v>
      </c>
      <c r="B1763">
        <v>6312</v>
      </c>
      <c r="C1763">
        <v>0</v>
      </c>
      <c r="D1763">
        <v>2</v>
      </c>
      <c r="E1763">
        <v>32</v>
      </c>
      <c r="F1763" t="s">
        <v>156</v>
      </c>
      <c r="G1763" t="s">
        <v>122</v>
      </c>
    </row>
    <row r="1764" spans="1:7" hidden="1" x14ac:dyDescent="0.25">
      <c r="A1764">
        <v>50</v>
      </c>
      <c r="B1764">
        <v>7528</v>
      </c>
      <c r="C1764">
        <v>0</v>
      </c>
      <c r="D1764">
        <v>2</v>
      </c>
      <c r="E1764">
        <v>32</v>
      </c>
      <c r="F1764" t="s">
        <v>156</v>
      </c>
      <c r="G1764" t="s">
        <v>122</v>
      </c>
    </row>
    <row r="1765" spans="1:7" hidden="1" x14ac:dyDescent="0.25">
      <c r="A1765">
        <v>50</v>
      </c>
      <c r="B1765">
        <v>7756</v>
      </c>
      <c r="C1765">
        <v>0</v>
      </c>
      <c r="D1765">
        <v>2</v>
      </c>
      <c r="E1765">
        <v>32</v>
      </c>
      <c r="F1765" t="s">
        <v>156</v>
      </c>
      <c r="G1765" t="s">
        <v>122</v>
      </c>
    </row>
    <row r="1766" spans="1:7" hidden="1" x14ac:dyDescent="0.25">
      <c r="A1766">
        <v>50</v>
      </c>
      <c r="B1766">
        <v>8256</v>
      </c>
      <c r="C1766">
        <v>0</v>
      </c>
      <c r="D1766">
        <v>2</v>
      </c>
      <c r="E1766">
        <v>32</v>
      </c>
      <c r="F1766" t="s">
        <v>156</v>
      </c>
      <c r="G1766" t="s">
        <v>122</v>
      </c>
    </row>
    <row r="1767" spans="1:7" hidden="1" x14ac:dyDescent="0.25">
      <c r="A1767">
        <v>50</v>
      </c>
      <c r="B1767">
        <v>10012</v>
      </c>
      <c r="C1767">
        <v>0</v>
      </c>
      <c r="D1767">
        <v>2</v>
      </c>
      <c r="E1767">
        <v>32</v>
      </c>
      <c r="F1767" t="s">
        <v>156</v>
      </c>
      <c r="G1767" t="s">
        <v>122</v>
      </c>
    </row>
    <row r="1768" spans="1:7" hidden="1" x14ac:dyDescent="0.25">
      <c r="A1768">
        <v>50</v>
      </c>
      <c r="B1768">
        <v>10064</v>
      </c>
      <c r="C1768">
        <v>0</v>
      </c>
      <c r="D1768">
        <v>2</v>
      </c>
      <c r="E1768">
        <v>32</v>
      </c>
      <c r="F1768" t="s">
        <v>156</v>
      </c>
      <c r="G1768" t="s">
        <v>122</v>
      </c>
    </row>
    <row r="1769" spans="1:7" hidden="1" x14ac:dyDescent="0.25">
      <c r="A1769">
        <v>50</v>
      </c>
      <c r="B1769">
        <v>10100</v>
      </c>
      <c r="C1769">
        <v>0</v>
      </c>
      <c r="D1769">
        <v>2</v>
      </c>
      <c r="E1769">
        <v>32</v>
      </c>
      <c r="F1769" t="s">
        <v>156</v>
      </c>
      <c r="G1769" t="s">
        <v>122</v>
      </c>
    </row>
    <row r="1770" spans="1:7" hidden="1" x14ac:dyDescent="0.25">
      <c r="A1770">
        <v>99</v>
      </c>
      <c r="B1770">
        <v>2068</v>
      </c>
      <c r="C1770">
        <v>0</v>
      </c>
      <c r="D1770">
        <v>2</v>
      </c>
      <c r="E1770">
        <v>44</v>
      </c>
      <c r="F1770" t="s">
        <v>156</v>
      </c>
      <c r="G1770" t="s">
        <v>124</v>
      </c>
    </row>
    <row r="1771" spans="1:7" hidden="1" x14ac:dyDescent="0.25">
      <c r="A1771">
        <v>99</v>
      </c>
      <c r="B1771">
        <v>3284</v>
      </c>
      <c r="C1771">
        <v>0</v>
      </c>
      <c r="D1771">
        <v>2</v>
      </c>
      <c r="E1771">
        <v>56</v>
      </c>
      <c r="F1771" t="s">
        <v>156</v>
      </c>
      <c r="G1771" t="s">
        <v>124</v>
      </c>
    </row>
    <row r="1772" spans="1:7" hidden="1" x14ac:dyDescent="0.25">
      <c r="A1772">
        <v>99</v>
      </c>
      <c r="B1772">
        <v>7188</v>
      </c>
      <c r="C1772">
        <v>0</v>
      </c>
      <c r="D1772">
        <v>2</v>
      </c>
      <c r="E1772">
        <v>44</v>
      </c>
      <c r="F1772" t="s">
        <v>156</v>
      </c>
      <c r="G1772" t="s">
        <v>124</v>
      </c>
    </row>
    <row r="1773" spans="1:7" hidden="1" x14ac:dyDescent="0.25">
      <c r="A1773">
        <v>99</v>
      </c>
      <c r="B1773">
        <v>7300</v>
      </c>
      <c r="C1773">
        <v>0</v>
      </c>
      <c r="D1773">
        <v>2</v>
      </c>
      <c r="E1773">
        <v>56</v>
      </c>
      <c r="F1773" t="s">
        <v>156</v>
      </c>
      <c r="G1773" t="s">
        <v>124</v>
      </c>
    </row>
    <row r="1774" spans="1:7" hidden="1" x14ac:dyDescent="0.25">
      <c r="A1774">
        <v>99</v>
      </c>
      <c r="B1774">
        <v>7552</v>
      </c>
      <c r="C1774">
        <v>0</v>
      </c>
      <c r="D1774">
        <v>2</v>
      </c>
      <c r="E1774">
        <v>56</v>
      </c>
      <c r="F1774" t="s">
        <v>156</v>
      </c>
      <c r="G1774" t="s">
        <v>124</v>
      </c>
    </row>
    <row r="1775" spans="1:7" hidden="1" x14ac:dyDescent="0.25">
      <c r="A1775">
        <v>99</v>
      </c>
      <c r="B1775">
        <v>8004</v>
      </c>
      <c r="C1775">
        <v>0</v>
      </c>
      <c r="D1775">
        <v>2</v>
      </c>
      <c r="E1775">
        <v>56</v>
      </c>
      <c r="F1775" t="s">
        <v>156</v>
      </c>
      <c r="G1775" t="s">
        <v>124</v>
      </c>
    </row>
    <row r="1776" spans="1:7" hidden="1" x14ac:dyDescent="0.25">
      <c r="A1776">
        <v>99</v>
      </c>
      <c r="B1776">
        <v>8144</v>
      </c>
      <c r="C1776">
        <v>0</v>
      </c>
      <c r="D1776">
        <v>2</v>
      </c>
      <c r="E1776">
        <v>56</v>
      </c>
      <c r="F1776" t="s">
        <v>156</v>
      </c>
      <c r="G1776" t="s">
        <v>124</v>
      </c>
    </row>
    <row r="1777" spans="1:7" hidden="1" x14ac:dyDescent="0.25">
      <c r="A1777">
        <v>99</v>
      </c>
      <c r="B1777">
        <v>8668</v>
      </c>
      <c r="C1777">
        <v>0</v>
      </c>
      <c r="D1777">
        <v>2</v>
      </c>
      <c r="E1777">
        <v>32</v>
      </c>
      <c r="F1777" t="s">
        <v>156</v>
      </c>
      <c r="G1777" t="s">
        <v>124</v>
      </c>
    </row>
    <row r="1778" spans="1:7" hidden="1" x14ac:dyDescent="0.25">
      <c r="A1778">
        <v>99</v>
      </c>
      <c r="B1778">
        <v>9032</v>
      </c>
      <c r="C1778">
        <v>0</v>
      </c>
      <c r="D1778">
        <v>2</v>
      </c>
      <c r="E1778">
        <v>56</v>
      </c>
      <c r="F1778" t="s">
        <v>156</v>
      </c>
      <c r="G1778" t="s">
        <v>124</v>
      </c>
    </row>
    <row r="1779" spans="1:7" hidden="1" x14ac:dyDescent="0.25">
      <c r="A1779">
        <v>99</v>
      </c>
      <c r="B1779">
        <v>9072</v>
      </c>
      <c r="C1779">
        <v>0</v>
      </c>
      <c r="D1779">
        <v>2</v>
      </c>
      <c r="E1779">
        <v>56</v>
      </c>
      <c r="F1779" t="s">
        <v>156</v>
      </c>
      <c r="G1779" t="s">
        <v>124</v>
      </c>
    </row>
    <row r="1780" spans="1:7" hidden="1" x14ac:dyDescent="0.25">
      <c r="A1780">
        <v>99</v>
      </c>
      <c r="B1780">
        <v>9272</v>
      </c>
      <c r="C1780">
        <v>0</v>
      </c>
      <c r="D1780">
        <v>2</v>
      </c>
      <c r="E1780">
        <v>56</v>
      </c>
      <c r="F1780" t="s">
        <v>156</v>
      </c>
      <c r="G1780" t="s">
        <v>124</v>
      </c>
    </row>
    <row r="1781" spans="1:7" hidden="1" x14ac:dyDescent="0.25">
      <c r="A1781">
        <v>99</v>
      </c>
      <c r="B1781">
        <v>10420</v>
      </c>
      <c r="C1781">
        <v>0</v>
      </c>
      <c r="D1781">
        <v>2</v>
      </c>
      <c r="E1781">
        <v>44</v>
      </c>
      <c r="F1781" t="s">
        <v>156</v>
      </c>
      <c r="G1781" t="s">
        <v>124</v>
      </c>
    </row>
    <row r="1782" spans="1:7" hidden="1" x14ac:dyDescent="0.25">
      <c r="A1782">
        <v>50</v>
      </c>
      <c r="B1782">
        <v>1172</v>
      </c>
      <c r="C1782">
        <v>0</v>
      </c>
      <c r="D1782">
        <v>2</v>
      </c>
      <c r="E1782">
        <v>33</v>
      </c>
      <c r="F1782" t="s">
        <v>157</v>
      </c>
      <c r="G1782" t="s">
        <v>131</v>
      </c>
    </row>
    <row r="1783" spans="1:7" hidden="1" x14ac:dyDescent="0.25">
      <c r="A1783">
        <v>50</v>
      </c>
      <c r="B1783">
        <v>1476</v>
      </c>
      <c r="C1783">
        <v>0</v>
      </c>
      <c r="D1783">
        <v>2</v>
      </c>
      <c r="E1783">
        <v>33</v>
      </c>
      <c r="F1783" t="s">
        <v>157</v>
      </c>
      <c r="G1783" t="s">
        <v>131</v>
      </c>
    </row>
    <row r="1784" spans="1:7" hidden="1" x14ac:dyDescent="0.25">
      <c r="A1784">
        <v>50</v>
      </c>
      <c r="B1784">
        <v>2548</v>
      </c>
      <c r="C1784">
        <v>0</v>
      </c>
      <c r="D1784">
        <v>2</v>
      </c>
      <c r="E1784">
        <v>33</v>
      </c>
      <c r="F1784" t="s">
        <v>157</v>
      </c>
      <c r="G1784" t="s">
        <v>131</v>
      </c>
    </row>
    <row r="1785" spans="1:7" hidden="1" x14ac:dyDescent="0.25">
      <c r="A1785">
        <v>50</v>
      </c>
      <c r="B1785">
        <v>4144</v>
      </c>
      <c r="C1785">
        <v>0</v>
      </c>
      <c r="D1785">
        <v>2</v>
      </c>
      <c r="E1785">
        <v>33</v>
      </c>
      <c r="F1785" t="s">
        <v>157</v>
      </c>
      <c r="G1785" t="s">
        <v>131</v>
      </c>
    </row>
    <row r="1786" spans="1:7" hidden="1" x14ac:dyDescent="0.25">
      <c r="A1786">
        <v>50</v>
      </c>
      <c r="B1786">
        <v>4336</v>
      </c>
      <c r="C1786">
        <v>0</v>
      </c>
      <c r="D1786">
        <v>2</v>
      </c>
      <c r="E1786">
        <v>33</v>
      </c>
      <c r="F1786" t="s">
        <v>157</v>
      </c>
      <c r="G1786" t="s">
        <v>131</v>
      </c>
    </row>
    <row r="1787" spans="1:7" hidden="1" x14ac:dyDescent="0.25">
      <c r="A1787">
        <v>50</v>
      </c>
      <c r="B1787">
        <v>4600</v>
      </c>
      <c r="C1787">
        <v>0</v>
      </c>
      <c r="D1787">
        <v>2</v>
      </c>
      <c r="E1787">
        <v>33</v>
      </c>
      <c r="F1787" t="s">
        <v>157</v>
      </c>
      <c r="G1787" t="s">
        <v>131</v>
      </c>
    </row>
    <row r="1788" spans="1:7" hidden="1" x14ac:dyDescent="0.25">
      <c r="A1788">
        <v>50</v>
      </c>
      <c r="B1788">
        <v>5892</v>
      </c>
      <c r="C1788">
        <v>0</v>
      </c>
      <c r="D1788">
        <v>2</v>
      </c>
      <c r="E1788">
        <v>33</v>
      </c>
      <c r="F1788" t="s">
        <v>157</v>
      </c>
      <c r="G1788" t="s">
        <v>131</v>
      </c>
    </row>
    <row r="1789" spans="1:7" hidden="1" x14ac:dyDescent="0.25">
      <c r="A1789">
        <v>50</v>
      </c>
      <c r="B1789">
        <v>5904</v>
      </c>
      <c r="C1789">
        <v>0</v>
      </c>
      <c r="D1789">
        <v>2</v>
      </c>
      <c r="E1789">
        <v>33</v>
      </c>
      <c r="F1789" t="s">
        <v>157</v>
      </c>
      <c r="G1789" t="s">
        <v>131</v>
      </c>
    </row>
    <row r="1790" spans="1:7" hidden="1" x14ac:dyDescent="0.25">
      <c r="A1790">
        <v>50</v>
      </c>
      <c r="B1790">
        <v>6280</v>
      </c>
      <c r="C1790">
        <v>0</v>
      </c>
      <c r="D1790">
        <v>2</v>
      </c>
      <c r="E1790">
        <v>33</v>
      </c>
      <c r="F1790" t="s">
        <v>157</v>
      </c>
      <c r="G1790" t="s">
        <v>131</v>
      </c>
    </row>
    <row r="1791" spans="1:7" hidden="1" x14ac:dyDescent="0.25">
      <c r="A1791">
        <v>50</v>
      </c>
      <c r="B1791">
        <v>6312</v>
      </c>
      <c r="C1791">
        <v>0</v>
      </c>
      <c r="D1791">
        <v>2</v>
      </c>
      <c r="E1791">
        <v>33</v>
      </c>
      <c r="F1791" t="s">
        <v>157</v>
      </c>
      <c r="G1791" t="s">
        <v>131</v>
      </c>
    </row>
    <row r="1792" spans="1:7" hidden="1" x14ac:dyDescent="0.25">
      <c r="A1792">
        <v>50</v>
      </c>
      <c r="B1792">
        <v>7528</v>
      </c>
      <c r="C1792">
        <v>0</v>
      </c>
      <c r="D1792">
        <v>2</v>
      </c>
      <c r="E1792">
        <v>33</v>
      </c>
      <c r="F1792" t="s">
        <v>157</v>
      </c>
      <c r="G1792" t="s">
        <v>131</v>
      </c>
    </row>
    <row r="1793" spans="1:7" hidden="1" x14ac:dyDescent="0.25">
      <c r="A1793">
        <v>50</v>
      </c>
      <c r="B1793">
        <v>7756</v>
      </c>
      <c r="C1793">
        <v>0</v>
      </c>
      <c r="D1793">
        <v>2</v>
      </c>
      <c r="E1793">
        <v>33</v>
      </c>
      <c r="F1793" t="s">
        <v>157</v>
      </c>
      <c r="G1793" t="s">
        <v>131</v>
      </c>
    </row>
    <row r="1794" spans="1:7" hidden="1" x14ac:dyDescent="0.25">
      <c r="A1794">
        <v>50</v>
      </c>
      <c r="B1794">
        <v>8256</v>
      </c>
      <c r="C1794">
        <v>0</v>
      </c>
      <c r="D1794">
        <v>2</v>
      </c>
      <c r="E1794">
        <v>33</v>
      </c>
      <c r="F1794" t="s">
        <v>157</v>
      </c>
      <c r="G1794" t="s">
        <v>131</v>
      </c>
    </row>
    <row r="1795" spans="1:7" hidden="1" x14ac:dyDescent="0.25">
      <c r="A1795">
        <v>50</v>
      </c>
      <c r="B1795">
        <v>10012</v>
      </c>
      <c r="C1795">
        <v>0</v>
      </c>
      <c r="D1795">
        <v>2</v>
      </c>
      <c r="E1795">
        <v>33</v>
      </c>
      <c r="F1795" t="s">
        <v>157</v>
      </c>
      <c r="G1795" t="s">
        <v>131</v>
      </c>
    </row>
    <row r="1796" spans="1:7" hidden="1" x14ac:dyDescent="0.25">
      <c r="A1796">
        <v>50</v>
      </c>
      <c r="B1796">
        <v>10064</v>
      </c>
      <c r="C1796">
        <v>0</v>
      </c>
      <c r="D1796">
        <v>2</v>
      </c>
      <c r="E1796">
        <v>33</v>
      </c>
      <c r="F1796" t="s">
        <v>157</v>
      </c>
      <c r="G1796" t="s">
        <v>131</v>
      </c>
    </row>
    <row r="1797" spans="1:7" hidden="1" x14ac:dyDescent="0.25">
      <c r="A1797">
        <v>50</v>
      </c>
      <c r="B1797">
        <v>10100</v>
      </c>
      <c r="C1797">
        <v>0</v>
      </c>
      <c r="D1797">
        <v>2</v>
      </c>
      <c r="E1797">
        <v>33</v>
      </c>
      <c r="F1797" t="s">
        <v>157</v>
      </c>
      <c r="G1797" t="s">
        <v>131</v>
      </c>
    </row>
    <row r="1798" spans="1:7" hidden="1" x14ac:dyDescent="0.25">
      <c r="A1798">
        <v>99</v>
      </c>
      <c r="B1798">
        <v>2068</v>
      </c>
      <c r="C1798">
        <v>0</v>
      </c>
      <c r="D1798">
        <v>2</v>
      </c>
      <c r="E1798">
        <v>45</v>
      </c>
      <c r="F1798" t="s">
        <v>157</v>
      </c>
      <c r="G1798" t="s">
        <v>131</v>
      </c>
    </row>
    <row r="1799" spans="1:7" hidden="1" x14ac:dyDescent="0.25">
      <c r="A1799">
        <v>99</v>
      </c>
      <c r="B1799">
        <v>3284</v>
      </c>
      <c r="C1799">
        <v>0</v>
      </c>
      <c r="D1799">
        <v>2</v>
      </c>
      <c r="E1799">
        <v>57</v>
      </c>
      <c r="F1799" t="s">
        <v>157</v>
      </c>
      <c r="G1799" t="s">
        <v>131</v>
      </c>
    </row>
    <row r="1800" spans="1:7" hidden="1" x14ac:dyDescent="0.25">
      <c r="A1800">
        <v>99</v>
      </c>
      <c r="B1800">
        <v>7188</v>
      </c>
      <c r="C1800">
        <v>0</v>
      </c>
      <c r="D1800">
        <v>2</v>
      </c>
      <c r="E1800">
        <v>45</v>
      </c>
      <c r="F1800" t="s">
        <v>157</v>
      </c>
      <c r="G1800" t="s">
        <v>131</v>
      </c>
    </row>
    <row r="1801" spans="1:7" hidden="1" x14ac:dyDescent="0.25">
      <c r="A1801">
        <v>99</v>
      </c>
      <c r="B1801">
        <v>7300</v>
      </c>
      <c r="C1801">
        <v>0</v>
      </c>
      <c r="D1801">
        <v>2</v>
      </c>
      <c r="E1801">
        <v>57</v>
      </c>
      <c r="F1801" t="s">
        <v>157</v>
      </c>
      <c r="G1801" t="s">
        <v>131</v>
      </c>
    </row>
    <row r="1802" spans="1:7" hidden="1" x14ac:dyDescent="0.25">
      <c r="A1802">
        <v>99</v>
      </c>
      <c r="B1802">
        <v>7552</v>
      </c>
      <c r="C1802">
        <v>0</v>
      </c>
      <c r="D1802">
        <v>2</v>
      </c>
      <c r="E1802">
        <v>57</v>
      </c>
      <c r="F1802" t="s">
        <v>157</v>
      </c>
      <c r="G1802" t="s">
        <v>131</v>
      </c>
    </row>
    <row r="1803" spans="1:7" hidden="1" x14ac:dyDescent="0.25">
      <c r="A1803">
        <v>99</v>
      </c>
      <c r="B1803">
        <v>8004</v>
      </c>
      <c r="C1803">
        <v>0</v>
      </c>
      <c r="D1803">
        <v>2</v>
      </c>
      <c r="E1803">
        <v>57</v>
      </c>
      <c r="F1803" t="s">
        <v>157</v>
      </c>
      <c r="G1803" t="s">
        <v>131</v>
      </c>
    </row>
    <row r="1804" spans="1:7" hidden="1" x14ac:dyDescent="0.25">
      <c r="A1804">
        <v>99</v>
      </c>
      <c r="B1804">
        <v>8144</v>
      </c>
      <c r="C1804">
        <v>0</v>
      </c>
      <c r="D1804">
        <v>2</v>
      </c>
      <c r="E1804">
        <v>57</v>
      </c>
      <c r="F1804" t="s">
        <v>157</v>
      </c>
      <c r="G1804" t="s">
        <v>131</v>
      </c>
    </row>
    <row r="1805" spans="1:7" hidden="1" x14ac:dyDescent="0.25">
      <c r="A1805">
        <v>99</v>
      </c>
      <c r="B1805">
        <v>8668</v>
      </c>
      <c r="C1805">
        <v>0</v>
      </c>
      <c r="D1805">
        <v>2</v>
      </c>
      <c r="E1805">
        <v>33</v>
      </c>
      <c r="F1805" t="s">
        <v>157</v>
      </c>
      <c r="G1805" t="s">
        <v>131</v>
      </c>
    </row>
    <row r="1806" spans="1:7" hidden="1" x14ac:dyDescent="0.25">
      <c r="A1806">
        <v>99</v>
      </c>
      <c r="B1806">
        <v>9032</v>
      </c>
      <c r="C1806">
        <v>0</v>
      </c>
      <c r="D1806">
        <v>2</v>
      </c>
      <c r="E1806">
        <v>57</v>
      </c>
      <c r="F1806" t="s">
        <v>157</v>
      </c>
      <c r="G1806" t="s">
        <v>131</v>
      </c>
    </row>
    <row r="1807" spans="1:7" hidden="1" x14ac:dyDescent="0.25">
      <c r="A1807">
        <v>99</v>
      </c>
      <c r="B1807">
        <v>9072</v>
      </c>
      <c r="C1807">
        <v>0</v>
      </c>
      <c r="D1807">
        <v>2</v>
      </c>
      <c r="E1807">
        <v>57</v>
      </c>
      <c r="F1807" t="s">
        <v>157</v>
      </c>
      <c r="G1807" t="s">
        <v>131</v>
      </c>
    </row>
    <row r="1808" spans="1:7" hidden="1" x14ac:dyDescent="0.25">
      <c r="A1808">
        <v>99</v>
      </c>
      <c r="B1808">
        <v>9272</v>
      </c>
      <c r="C1808">
        <v>0</v>
      </c>
      <c r="D1808">
        <v>2</v>
      </c>
      <c r="E1808">
        <v>57</v>
      </c>
      <c r="F1808" t="s">
        <v>157</v>
      </c>
      <c r="G1808" t="s">
        <v>131</v>
      </c>
    </row>
    <row r="1809" spans="1:7" hidden="1" x14ac:dyDescent="0.25">
      <c r="A1809">
        <v>99</v>
      </c>
      <c r="B1809">
        <v>10420</v>
      </c>
      <c r="C1809">
        <v>0</v>
      </c>
      <c r="D1809">
        <v>2</v>
      </c>
      <c r="E1809">
        <v>45</v>
      </c>
      <c r="F1809" t="s">
        <v>157</v>
      </c>
      <c r="G1809" t="s">
        <v>131</v>
      </c>
    </row>
    <row r="1810" spans="1:7" hidden="1" x14ac:dyDescent="0.25">
      <c r="A1810">
        <v>50</v>
      </c>
      <c r="B1810">
        <v>1172</v>
      </c>
      <c r="C1810">
        <v>0</v>
      </c>
      <c r="D1810">
        <v>2</v>
      </c>
      <c r="E1810">
        <v>12</v>
      </c>
      <c r="F1810" t="s">
        <v>132</v>
      </c>
      <c r="G1810" t="s">
        <v>192</v>
      </c>
    </row>
    <row r="1811" spans="1:7" hidden="1" x14ac:dyDescent="0.25">
      <c r="A1811">
        <v>50</v>
      </c>
      <c r="B1811">
        <v>1476</v>
      </c>
      <c r="C1811">
        <v>0</v>
      </c>
      <c r="D1811">
        <v>2</v>
      </c>
      <c r="E1811">
        <v>12</v>
      </c>
      <c r="F1811" t="s">
        <v>132</v>
      </c>
      <c r="G1811" t="s">
        <v>192</v>
      </c>
    </row>
    <row r="1812" spans="1:7" hidden="1" x14ac:dyDescent="0.25">
      <c r="A1812">
        <v>50</v>
      </c>
      <c r="B1812">
        <v>2548</v>
      </c>
      <c r="C1812">
        <v>0</v>
      </c>
      <c r="D1812">
        <v>2</v>
      </c>
      <c r="E1812">
        <v>12</v>
      </c>
      <c r="F1812" t="s">
        <v>132</v>
      </c>
      <c r="G1812" t="s">
        <v>192</v>
      </c>
    </row>
    <row r="1813" spans="1:7" hidden="1" x14ac:dyDescent="0.25">
      <c r="A1813">
        <v>50</v>
      </c>
      <c r="B1813">
        <v>4144</v>
      </c>
      <c r="C1813">
        <v>0</v>
      </c>
      <c r="D1813">
        <v>2</v>
      </c>
      <c r="E1813">
        <v>12</v>
      </c>
      <c r="F1813" t="s">
        <v>132</v>
      </c>
      <c r="G1813" t="s">
        <v>192</v>
      </c>
    </row>
    <row r="1814" spans="1:7" hidden="1" x14ac:dyDescent="0.25">
      <c r="A1814">
        <v>50</v>
      </c>
      <c r="B1814">
        <v>4336</v>
      </c>
      <c r="C1814">
        <v>0</v>
      </c>
      <c r="D1814">
        <v>2</v>
      </c>
      <c r="E1814">
        <v>12</v>
      </c>
      <c r="F1814" t="s">
        <v>132</v>
      </c>
      <c r="G1814" t="s">
        <v>192</v>
      </c>
    </row>
    <row r="1815" spans="1:7" hidden="1" x14ac:dyDescent="0.25">
      <c r="A1815">
        <v>50</v>
      </c>
      <c r="B1815">
        <v>4600</v>
      </c>
      <c r="C1815">
        <v>0</v>
      </c>
      <c r="D1815">
        <v>2</v>
      </c>
      <c r="E1815">
        <v>12</v>
      </c>
      <c r="F1815" t="s">
        <v>132</v>
      </c>
      <c r="G1815" t="s">
        <v>192</v>
      </c>
    </row>
    <row r="1816" spans="1:7" hidden="1" x14ac:dyDescent="0.25">
      <c r="A1816">
        <v>50</v>
      </c>
      <c r="B1816">
        <v>5892</v>
      </c>
      <c r="C1816">
        <v>0</v>
      </c>
      <c r="D1816">
        <v>2</v>
      </c>
      <c r="E1816">
        <v>12</v>
      </c>
      <c r="F1816" t="s">
        <v>132</v>
      </c>
      <c r="G1816" t="s">
        <v>192</v>
      </c>
    </row>
    <row r="1817" spans="1:7" hidden="1" x14ac:dyDescent="0.25">
      <c r="A1817">
        <v>50</v>
      </c>
      <c r="B1817">
        <v>5904</v>
      </c>
      <c r="C1817">
        <v>0</v>
      </c>
      <c r="D1817">
        <v>2</v>
      </c>
      <c r="E1817">
        <v>12</v>
      </c>
      <c r="F1817" t="s">
        <v>132</v>
      </c>
      <c r="G1817" t="s">
        <v>192</v>
      </c>
    </row>
    <row r="1818" spans="1:7" hidden="1" x14ac:dyDescent="0.25">
      <c r="A1818">
        <v>50</v>
      </c>
      <c r="B1818">
        <v>6280</v>
      </c>
      <c r="C1818">
        <v>0</v>
      </c>
      <c r="D1818">
        <v>2</v>
      </c>
      <c r="E1818">
        <v>12</v>
      </c>
      <c r="F1818" t="s">
        <v>132</v>
      </c>
      <c r="G1818" t="s">
        <v>192</v>
      </c>
    </row>
    <row r="1819" spans="1:7" hidden="1" x14ac:dyDescent="0.25">
      <c r="A1819">
        <v>50</v>
      </c>
      <c r="B1819">
        <v>6312</v>
      </c>
      <c r="C1819">
        <v>0</v>
      </c>
      <c r="D1819">
        <v>2</v>
      </c>
      <c r="E1819">
        <v>12</v>
      </c>
      <c r="F1819" t="s">
        <v>132</v>
      </c>
      <c r="G1819" t="s">
        <v>192</v>
      </c>
    </row>
    <row r="1820" spans="1:7" hidden="1" x14ac:dyDescent="0.25">
      <c r="A1820">
        <v>50</v>
      </c>
      <c r="B1820">
        <v>7528</v>
      </c>
      <c r="C1820">
        <v>0</v>
      </c>
      <c r="D1820">
        <v>2</v>
      </c>
      <c r="E1820">
        <v>12</v>
      </c>
      <c r="F1820" t="s">
        <v>132</v>
      </c>
      <c r="G1820" t="s">
        <v>192</v>
      </c>
    </row>
    <row r="1821" spans="1:7" hidden="1" x14ac:dyDescent="0.25">
      <c r="A1821">
        <v>50</v>
      </c>
      <c r="B1821">
        <v>7756</v>
      </c>
      <c r="C1821">
        <v>0</v>
      </c>
      <c r="D1821">
        <v>2</v>
      </c>
      <c r="E1821">
        <v>12</v>
      </c>
      <c r="F1821" t="s">
        <v>132</v>
      </c>
      <c r="G1821" t="s">
        <v>192</v>
      </c>
    </row>
    <row r="1822" spans="1:7" hidden="1" x14ac:dyDescent="0.25">
      <c r="A1822">
        <v>50</v>
      </c>
      <c r="B1822">
        <v>8256</v>
      </c>
      <c r="C1822">
        <v>0</v>
      </c>
      <c r="D1822">
        <v>2</v>
      </c>
      <c r="E1822">
        <v>12</v>
      </c>
      <c r="F1822" t="s">
        <v>132</v>
      </c>
      <c r="G1822" t="s">
        <v>192</v>
      </c>
    </row>
    <row r="1823" spans="1:7" hidden="1" x14ac:dyDescent="0.25">
      <c r="A1823">
        <v>50</v>
      </c>
      <c r="B1823">
        <v>10012</v>
      </c>
      <c r="C1823">
        <v>0</v>
      </c>
      <c r="D1823">
        <v>2</v>
      </c>
      <c r="E1823">
        <v>12</v>
      </c>
      <c r="F1823" t="s">
        <v>132</v>
      </c>
      <c r="G1823" t="s">
        <v>192</v>
      </c>
    </row>
    <row r="1824" spans="1:7" hidden="1" x14ac:dyDescent="0.25">
      <c r="A1824">
        <v>50</v>
      </c>
      <c r="B1824">
        <v>10064</v>
      </c>
      <c r="C1824">
        <v>0</v>
      </c>
      <c r="D1824">
        <v>2</v>
      </c>
      <c r="E1824">
        <v>12</v>
      </c>
      <c r="F1824" t="s">
        <v>132</v>
      </c>
      <c r="G1824" t="s">
        <v>192</v>
      </c>
    </row>
    <row r="1825" spans="1:7" hidden="1" x14ac:dyDescent="0.25">
      <c r="A1825">
        <v>50</v>
      </c>
      <c r="B1825">
        <v>10100</v>
      </c>
      <c r="C1825">
        <v>0</v>
      </c>
      <c r="D1825">
        <v>2</v>
      </c>
      <c r="E1825">
        <v>12</v>
      </c>
      <c r="F1825" t="s">
        <v>132</v>
      </c>
      <c r="G1825" t="s">
        <v>192</v>
      </c>
    </row>
    <row r="1826" spans="1:7" hidden="1" x14ac:dyDescent="0.25">
      <c r="A1826">
        <v>99</v>
      </c>
      <c r="B1826">
        <v>2068</v>
      </c>
      <c r="C1826">
        <v>0</v>
      </c>
      <c r="D1826">
        <v>2</v>
      </c>
      <c r="E1826">
        <v>24</v>
      </c>
      <c r="F1826" t="s">
        <v>132</v>
      </c>
      <c r="G1826" t="s">
        <v>192</v>
      </c>
    </row>
    <row r="1827" spans="1:7" hidden="1" x14ac:dyDescent="0.25">
      <c r="A1827">
        <v>99</v>
      </c>
      <c r="B1827">
        <v>3284</v>
      </c>
      <c r="C1827">
        <v>0</v>
      </c>
      <c r="D1827">
        <v>2</v>
      </c>
      <c r="E1827">
        <v>36</v>
      </c>
      <c r="F1827" t="s">
        <v>132</v>
      </c>
      <c r="G1827" t="s">
        <v>192</v>
      </c>
    </row>
    <row r="1828" spans="1:7" hidden="1" x14ac:dyDescent="0.25">
      <c r="A1828">
        <v>99</v>
      </c>
      <c r="B1828">
        <v>7188</v>
      </c>
      <c r="C1828">
        <v>0</v>
      </c>
      <c r="D1828">
        <v>2</v>
      </c>
      <c r="E1828">
        <v>24</v>
      </c>
      <c r="F1828" t="s">
        <v>132</v>
      </c>
      <c r="G1828" t="s">
        <v>192</v>
      </c>
    </row>
    <row r="1829" spans="1:7" hidden="1" x14ac:dyDescent="0.25">
      <c r="A1829">
        <v>99</v>
      </c>
      <c r="B1829">
        <v>7300</v>
      </c>
      <c r="C1829">
        <v>0</v>
      </c>
      <c r="D1829">
        <v>2</v>
      </c>
      <c r="E1829">
        <v>36</v>
      </c>
      <c r="F1829" t="s">
        <v>132</v>
      </c>
      <c r="G1829" t="s">
        <v>192</v>
      </c>
    </row>
    <row r="1830" spans="1:7" hidden="1" x14ac:dyDescent="0.25">
      <c r="A1830">
        <v>99</v>
      </c>
      <c r="B1830">
        <v>7552</v>
      </c>
      <c r="C1830">
        <v>0</v>
      </c>
      <c r="D1830">
        <v>2</v>
      </c>
      <c r="E1830">
        <v>36</v>
      </c>
      <c r="F1830" t="s">
        <v>132</v>
      </c>
      <c r="G1830" t="s">
        <v>192</v>
      </c>
    </row>
    <row r="1831" spans="1:7" hidden="1" x14ac:dyDescent="0.25">
      <c r="A1831">
        <v>99</v>
      </c>
      <c r="B1831">
        <v>8004</v>
      </c>
      <c r="C1831">
        <v>0</v>
      </c>
      <c r="D1831">
        <v>2</v>
      </c>
      <c r="E1831">
        <v>36</v>
      </c>
      <c r="F1831" t="s">
        <v>132</v>
      </c>
      <c r="G1831" t="s">
        <v>192</v>
      </c>
    </row>
    <row r="1832" spans="1:7" hidden="1" x14ac:dyDescent="0.25">
      <c r="A1832">
        <v>99</v>
      </c>
      <c r="B1832">
        <v>8144</v>
      </c>
      <c r="C1832">
        <v>0</v>
      </c>
      <c r="D1832">
        <v>2</v>
      </c>
      <c r="E1832">
        <v>36</v>
      </c>
      <c r="F1832" t="s">
        <v>132</v>
      </c>
      <c r="G1832" t="s">
        <v>192</v>
      </c>
    </row>
    <row r="1833" spans="1:7" hidden="1" x14ac:dyDescent="0.25">
      <c r="A1833">
        <v>99</v>
      </c>
      <c r="B1833">
        <v>8668</v>
      </c>
      <c r="C1833">
        <v>0</v>
      </c>
      <c r="D1833">
        <v>2</v>
      </c>
      <c r="E1833">
        <v>12</v>
      </c>
      <c r="F1833" t="s">
        <v>132</v>
      </c>
      <c r="G1833" t="s">
        <v>192</v>
      </c>
    </row>
    <row r="1834" spans="1:7" hidden="1" x14ac:dyDescent="0.25">
      <c r="A1834">
        <v>99</v>
      </c>
      <c r="B1834">
        <v>9032</v>
      </c>
      <c r="C1834">
        <v>0</v>
      </c>
      <c r="D1834">
        <v>2</v>
      </c>
      <c r="E1834">
        <v>36</v>
      </c>
      <c r="F1834" t="s">
        <v>132</v>
      </c>
      <c r="G1834" t="s">
        <v>192</v>
      </c>
    </row>
    <row r="1835" spans="1:7" hidden="1" x14ac:dyDescent="0.25">
      <c r="A1835">
        <v>99</v>
      </c>
      <c r="B1835">
        <v>9072</v>
      </c>
      <c r="C1835">
        <v>0</v>
      </c>
      <c r="D1835">
        <v>2</v>
      </c>
      <c r="E1835">
        <v>36</v>
      </c>
      <c r="F1835" t="s">
        <v>132</v>
      </c>
      <c r="G1835" t="s">
        <v>192</v>
      </c>
    </row>
    <row r="1836" spans="1:7" hidden="1" x14ac:dyDescent="0.25">
      <c r="A1836">
        <v>99</v>
      </c>
      <c r="B1836">
        <v>9272</v>
      </c>
      <c r="C1836">
        <v>0</v>
      </c>
      <c r="D1836">
        <v>2</v>
      </c>
      <c r="E1836">
        <v>36</v>
      </c>
      <c r="F1836" t="s">
        <v>132</v>
      </c>
      <c r="G1836" t="s">
        <v>192</v>
      </c>
    </row>
    <row r="1837" spans="1:7" hidden="1" x14ac:dyDescent="0.25">
      <c r="A1837">
        <v>99</v>
      </c>
      <c r="B1837">
        <v>10420</v>
      </c>
      <c r="C1837">
        <v>0</v>
      </c>
      <c r="D1837">
        <v>2</v>
      </c>
      <c r="E1837">
        <v>24</v>
      </c>
      <c r="F1837" t="s">
        <v>132</v>
      </c>
      <c r="G1837" t="s">
        <v>192</v>
      </c>
    </row>
    <row r="1838" spans="1:7" hidden="1" x14ac:dyDescent="0.25">
      <c r="A1838">
        <v>50</v>
      </c>
      <c r="B1838">
        <v>1172</v>
      </c>
      <c r="C1838">
        <v>0</v>
      </c>
      <c r="D1838">
        <v>2</v>
      </c>
      <c r="E1838">
        <v>16</v>
      </c>
      <c r="F1838" t="s">
        <v>136</v>
      </c>
      <c r="G1838" t="s">
        <v>137</v>
      </c>
    </row>
    <row r="1839" spans="1:7" hidden="1" x14ac:dyDescent="0.25">
      <c r="A1839">
        <v>50</v>
      </c>
      <c r="B1839">
        <v>1476</v>
      </c>
      <c r="C1839">
        <v>0</v>
      </c>
      <c r="D1839">
        <v>2</v>
      </c>
      <c r="E1839">
        <v>16</v>
      </c>
      <c r="F1839" t="s">
        <v>136</v>
      </c>
      <c r="G1839" t="s">
        <v>137</v>
      </c>
    </row>
    <row r="1840" spans="1:7" hidden="1" x14ac:dyDescent="0.25">
      <c r="A1840">
        <v>50</v>
      </c>
      <c r="B1840">
        <v>2548</v>
      </c>
      <c r="C1840">
        <v>0</v>
      </c>
      <c r="D1840">
        <v>2</v>
      </c>
      <c r="E1840">
        <v>16</v>
      </c>
      <c r="F1840" t="s">
        <v>136</v>
      </c>
      <c r="G1840" t="s">
        <v>137</v>
      </c>
    </row>
    <row r="1841" spans="1:7" hidden="1" x14ac:dyDescent="0.25">
      <c r="A1841">
        <v>50</v>
      </c>
      <c r="B1841">
        <v>4144</v>
      </c>
      <c r="C1841">
        <v>0</v>
      </c>
      <c r="D1841">
        <v>2</v>
      </c>
      <c r="E1841">
        <v>16</v>
      </c>
      <c r="F1841" t="s">
        <v>136</v>
      </c>
      <c r="G1841" t="s">
        <v>137</v>
      </c>
    </row>
    <row r="1842" spans="1:7" hidden="1" x14ac:dyDescent="0.25">
      <c r="A1842">
        <v>50</v>
      </c>
      <c r="B1842">
        <v>4336</v>
      </c>
      <c r="C1842">
        <v>0</v>
      </c>
      <c r="D1842">
        <v>2</v>
      </c>
      <c r="E1842">
        <v>16</v>
      </c>
      <c r="F1842" t="s">
        <v>136</v>
      </c>
      <c r="G1842" t="s">
        <v>137</v>
      </c>
    </row>
    <row r="1843" spans="1:7" hidden="1" x14ac:dyDescent="0.25">
      <c r="A1843">
        <v>50</v>
      </c>
      <c r="B1843">
        <v>4600</v>
      </c>
      <c r="C1843">
        <v>0</v>
      </c>
      <c r="D1843">
        <v>2</v>
      </c>
      <c r="E1843">
        <v>16</v>
      </c>
      <c r="F1843" t="s">
        <v>136</v>
      </c>
      <c r="G1843" t="s">
        <v>137</v>
      </c>
    </row>
    <row r="1844" spans="1:7" hidden="1" x14ac:dyDescent="0.25">
      <c r="A1844">
        <v>50</v>
      </c>
      <c r="B1844">
        <v>5892</v>
      </c>
      <c r="C1844">
        <v>0</v>
      </c>
      <c r="D1844">
        <v>2</v>
      </c>
      <c r="E1844">
        <v>16</v>
      </c>
      <c r="F1844" t="s">
        <v>136</v>
      </c>
      <c r="G1844" t="s">
        <v>137</v>
      </c>
    </row>
    <row r="1845" spans="1:7" hidden="1" x14ac:dyDescent="0.25">
      <c r="A1845">
        <v>50</v>
      </c>
      <c r="B1845">
        <v>5904</v>
      </c>
      <c r="C1845">
        <v>0</v>
      </c>
      <c r="D1845">
        <v>2</v>
      </c>
      <c r="E1845">
        <v>16</v>
      </c>
      <c r="F1845" t="s">
        <v>136</v>
      </c>
      <c r="G1845" t="s">
        <v>137</v>
      </c>
    </row>
    <row r="1846" spans="1:7" hidden="1" x14ac:dyDescent="0.25">
      <c r="A1846">
        <v>50</v>
      </c>
      <c r="B1846">
        <v>6280</v>
      </c>
      <c r="C1846">
        <v>0</v>
      </c>
      <c r="D1846">
        <v>2</v>
      </c>
      <c r="E1846">
        <v>16</v>
      </c>
      <c r="F1846" t="s">
        <v>136</v>
      </c>
      <c r="G1846" t="s">
        <v>137</v>
      </c>
    </row>
    <row r="1847" spans="1:7" hidden="1" x14ac:dyDescent="0.25">
      <c r="A1847">
        <v>50</v>
      </c>
      <c r="B1847">
        <v>6312</v>
      </c>
      <c r="C1847">
        <v>0</v>
      </c>
      <c r="D1847">
        <v>2</v>
      </c>
      <c r="E1847">
        <v>16</v>
      </c>
      <c r="F1847" t="s">
        <v>136</v>
      </c>
      <c r="G1847" t="s">
        <v>137</v>
      </c>
    </row>
    <row r="1848" spans="1:7" hidden="1" x14ac:dyDescent="0.25">
      <c r="A1848">
        <v>50</v>
      </c>
      <c r="B1848">
        <v>7528</v>
      </c>
      <c r="C1848">
        <v>0</v>
      </c>
      <c r="D1848">
        <v>2</v>
      </c>
      <c r="E1848">
        <v>16</v>
      </c>
      <c r="F1848" t="s">
        <v>136</v>
      </c>
      <c r="G1848" t="s">
        <v>137</v>
      </c>
    </row>
    <row r="1849" spans="1:7" hidden="1" x14ac:dyDescent="0.25">
      <c r="A1849">
        <v>50</v>
      </c>
      <c r="B1849">
        <v>7756</v>
      </c>
      <c r="C1849">
        <v>0</v>
      </c>
      <c r="D1849">
        <v>2</v>
      </c>
      <c r="E1849">
        <v>16</v>
      </c>
      <c r="F1849" t="s">
        <v>136</v>
      </c>
      <c r="G1849" t="s">
        <v>137</v>
      </c>
    </row>
    <row r="1850" spans="1:7" hidden="1" x14ac:dyDescent="0.25">
      <c r="A1850">
        <v>50</v>
      </c>
      <c r="B1850">
        <v>8256</v>
      </c>
      <c r="C1850">
        <v>0</v>
      </c>
      <c r="D1850">
        <v>2</v>
      </c>
      <c r="E1850">
        <v>16</v>
      </c>
      <c r="F1850" t="s">
        <v>136</v>
      </c>
      <c r="G1850" t="s">
        <v>137</v>
      </c>
    </row>
    <row r="1851" spans="1:7" hidden="1" x14ac:dyDescent="0.25">
      <c r="A1851">
        <v>50</v>
      </c>
      <c r="B1851">
        <v>10012</v>
      </c>
      <c r="C1851">
        <v>0</v>
      </c>
      <c r="D1851">
        <v>2</v>
      </c>
      <c r="E1851">
        <v>16</v>
      </c>
      <c r="F1851" t="s">
        <v>136</v>
      </c>
      <c r="G1851" t="s">
        <v>137</v>
      </c>
    </row>
    <row r="1852" spans="1:7" hidden="1" x14ac:dyDescent="0.25">
      <c r="A1852">
        <v>50</v>
      </c>
      <c r="B1852">
        <v>10064</v>
      </c>
      <c r="C1852">
        <v>0</v>
      </c>
      <c r="D1852">
        <v>2</v>
      </c>
      <c r="E1852">
        <v>16</v>
      </c>
      <c r="F1852" t="s">
        <v>136</v>
      </c>
      <c r="G1852" t="s">
        <v>137</v>
      </c>
    </row>
    <row r="1853" spans="1:7" hidden="1" x14ac:dyDescent="0.25">
      <c r="A1853">
        <v>50</v>
      </c>
      <c r="B1853">
        <v>10100</v>
      </c>
      <c r="C1853">
        <v>0</v>
      </c>
      <c r="D1853">
        <v>2</v>
      </c>
      <c r="E1853">
        <v>16</v>
      </c>
      <c r="F1853" t="s">
        <v>136</v>
      </c>
      <c r="G1853" t="s">
        <v>137</v>
      </c>
    </row>
    <row r="1854" spans="1:7" hidden="1" x14ac:dyDescent="0.25">
      <c r="A1854">
        <v>99</v>
      </c>
      <c r="B1854">
        <v>2068</v>
      </c>
      <c r="C1854">
        <v>0</v>
      </c>
      <c r="D1854">
        <v>2</v>
      </c>
      <c r="E1854">
        <v>28</v>
      </c>
      <c r="F1854" t="s">
        <v>136</v>
      </c>
      <c r="G1854" t="s">
        <v>137</v>
      </c>
    </row>
    <row r="1855" spans="1:7" hidden="1" x14ac:dyDescent="0.25">
      <c r="A1855">
        <v>99</v>
      </c>
      <c r="B1855">
        <v>3284</v>
      </c>
      <c r="C1855">
        <v>0</v>
      </c>
      <c r="D1855">
        <v>2</v>
      </c>
      <c r="E1855">
        <v>40</v>
      </c>
      <c r="F1855" t="s">
        <v>136</v>
      </c>
      <c r="G1855" t="s">
        <v>137</v>
      </c>
    </row>
    <row r="1856" spans="1:7" hidden="1" x14ac:dyDescent="0.25">
      <c r="A1856">
        <v>99</v>
      </c>
      <c r="B1856">
        <v>7188</v>
      </c>
      <c r="C1856">
        <v>0</v>
      </c>
      <c r="D1856">
        <v>2</v>
      </c>
      <c r="E1856">
        <v>28</v>
      </c>
      <c r="F1856" t="s">
        <v>136</v>
      </c>
      <c r="G1856" t="s">
        <v>137</v>
      </c>
    </row>
    <row r="1857" spans="1:7" hidden="1" x14ac:dyDescent="0.25">
      <c r="A1857">
        <v>99</v>
      </c>
      <c r="B1857">
        <v>7300</v>
      </c>
      <c r="C1857">
        <v>0</v>
      </c>
      <c r="D1857">
        <v>2</v>
      </c>
      <c r="E1857">
        <v>40</v>
      </c>
      <c r="F1857" t="s">
        <v>136</v>
      </c>
      <c r="G1857" t="s">
        <v>137</v>
      </c>
    </row>
    <row r="1858" spans="1:7" hidden="1" x14ac:dyDescent="0.25">
      <c r="A1858">
        <v>99</v>
      </c>
      <c r="B1858">
        <v>7552</v>
      </c>
      <c r="C1858">
        <v>0</v>
      </c>
      <c r="D1858">
        <v>2</v>
      </c>
      <c r="E1858">
        <v>40</v>
      </c>
      <c r="F1858" t="s">
        <v>136</v>
      </c>
      <c r="G1858" t="s">
        <v>137</v>
      </c>
    </row>
    <row r="1859" spans="1:7" hidden="1" x14ac:dyDescent="0.25">
      <c r="A1859">
        <v>99</v>
      </c>
      <c r="B1859">
        <v>8004</v>
      </c>
      <c r="C1859">
        <v>0</v>
      </c>
      <c r="D1859">
        <v>2</v>
      </c>
      <c r="E1859">
        <v>40</v>
      </c>
      <c r="F1859" t="s">
        <v>136</v>
      </c>
      <c r="G1859" t="s">
        <v>137</v>
      </c>
    </row>
    <row r="1860" spans="1:7" hidden="1" x14ac:dyDescent="0.25">
      <c r="A1860">
        <v>99</v>
      </c>
      <c r="B1860">
        <v>8144</v>
      </c>
      <c r="C1860">
        <v>0</v>
      </c>
      <c r="D1860">
        <v>2</v>
      </c>
      <c r="E1860">
        <v>40</v>
      </c>
      <c r="F1860" t="s">
        <v>136</v>
      </c>
      <c r="G1860" t="s">
        <v>137</v>
      </c>
    </row>
    <row r="1861" spans="1:7" hidden="1" x14ac:dyDescent="0.25">
      <c r="A1861">
        <v>99</v>
      </c>
      <c r="B1861">
        <v>8668</v>
      </c>
      <c r="C1861">
        <v>0</v>
      </c>
      <c r="D1861">
        <v>2</v>
      </c>
      <c r="E1861">
        <v>16</v>
      </c>
      <c r="F1861" t="s">
        <v>136</v>
      </c>
      <c r="G1861" t="s">
        <v>137</v>
      </c>
    </row>
    <row r="1862" spans="1:7" hidden="1" x14ac:dyDescent="0.25">
      <c r="A1862">
        <v>99</v>
      </c>
      <c r="B1862">
        <v>9032</v>
      </c>
      <c r="C1862">
        <v>0</v>
      </c>
      <c r="D1862">
        <v>2</v>
      </c>
      <c r="E1862">
        <v>40</v>
      </c>
      <c r="F1862" t="s">
        <v>136</v>
      </c>
      <c r="G1862" t="s">
        <v>137</v>
      </c>
    </row>
    <row r="1863" spans="1:7" hidden="1" x14ac:dyDescent="0.25">
      <c r="A1863">
        <v>99</v>
      </c>
      <c r="B1863">
        <v>9072</v>
      </c>
      <c r="C1863">
        <v>0</v>
      </c>
      <c r="D1863">
        <v>2</v>
      </c>
      <c r="E1863">
        <v>40</v>
      </c>
      <c r="F1863" t="s">
        <v>136</v>
      </c>
      <c r="G1863" t="s">
        <v>137</v>
      </c>
    </row>
    <row r="1864" spans="1:7" hidden="1" x14ac:dyDescent="0.25">
      <c r="A1864">
        <v>99</v>
      </c>
      <c r="B1864">
        <v>9272</v>
      </c>
      <c r="C1864">
        <v>0</v>
      </c>
      <c r="D1864">
        <v>2</v>
      </c>
      <c r="E1864">
        <v>40</v>
      </c>
      <c r="F1864" t="s">
        <v>136</v>
      </c>
      <c r="G1864" t="s">
        <v>137</v>
      </c>
    </row>
    <row r="1865" spans="1:7" hidden="1" x14ac:dyDescent="0.25">
      <c r="A1865">
        <v>99</v>
      </c>
      <c r="B1865">
        <v>10420</v>
      </c>
      <c r="C1865">
        <v>0</v>
      </c>
      <c r="D1865">
        <v>2</v>
      </c>
      <c r="E1865">
        <v>28</v>
      </c>
      <c r="F1865" t="s">
        <v>136</v>
      </c>
      <c r="G1865" t="s">
        <v>137</v>
      </c>
    </row>
    <row r="1866" spans="1:7" hidden="1" x14ac:dyDescent="0.25">
      <c r="A1866">
        <v>50</v>
      </c>
      <c r="B1866">
        <v>1172</v>
      </c>
      <c r="C1866">
        <v>0</v>
      </c>
      <c r="D1866">
        <v>2</v>
      </c>
      <c r="E1866">
        <v>20</v>
      </c>
      <c r="F1866" t="s">
        <v>144</v>
      </c>
      <c r="G1866" t="s">
        <v>145</v>
      </c>
    </row>
    <row r="1867" spans="1:7" hidden="1" x14ac:dyDescent="0.25">
      <c r="A1867">
        <v>50</v>
      </c>
      <c r="B1867">
        <v>1476</v>
      </c>
      <c r="C1867">
        <v>0</v>
      </c>
      <c r="D1867">
        <v>2</v>
      </c>
      <c r="E1867">
        <v>20</v>
      </c>
      <c r="F1867" t="s">
        <v>144</v>
      </c>
      <c r="G1867" t="s">
        <v>145</v>
      </c>
    </row>
    <row r="1868" spans="1:7" hidden="1" x14ac:dyDescent="0.25">
      <c r="A1868">
        <v>50</v>
      </c>
      <c r="B1868">
        <v>2548</v>
      </c>
      <c r="C1868">
        <v>0</v>
      </c>
      <c r="D1868">
        <v>2</v>
      </c>
      <c r="E1868">
        <v>20</v>
      </c>
      <c r="F1868" t="s">
        <v>144</v>
      </c>
      <c r="G1868" t="s">
        <v>145</v>
      </c>
    </row>
    <row r="1869" spans="1:7" hidden="1" x14ac:dyDescent="0.25">
      <c r="A1869">
        <v>50</v>
      </c>
      <c r="B1869">
        <v>4144</v>
      </c>
      <c r="C1869">
        <v>0</v>
      </c>
      <c r="D1869">
        <v>2</v>
      </c>
      <c r="E1869">
        <v>20</v>
      </c>
      <c r="F1869" t="s">
        <v>144</v>
      </c>
      <c r="G1869" t="s">
        <v>145</v>
      </c>
    </row>
    <row r="1870" spans="1:7" hidden="1" x14ac:dyDescent="0.25">
      <c r="A1870">
        <v>50</v>
      </c>
      <c r="B1870">
        <v>4336</v>
      </c>
      <c r="C1870">
        <v>0</v>
      </c>
      <c r="D1870">
        <v>2</v>
      </c>
      <c r="E1870">
        <v>20</v>
      </c>
      <c r="F1870" t="s">
        <v>144</v>
      </c>
      <c r="G1870" t="s">
        <v>145</v>
      </c>
    </row>
    <row r="1871" spans="1:7" hidden="1" x14ac:dyDescent="0.25">
      <c r="A1871">
        <v>50</v>
      </c>
      <c r="B1871">
        <v>4600</v>
      </c>
      <c r="C1871">
        <v>0</v>
      </c>
      <c r="D1871">
        <v>2</v>
      </c>
      <c r="E1871">
        <v>20</v>
      </c>
      <c r="F1871" t="s">
        <v>144</v>
      </c>
      <c r="G1871" t="s">
        <v>145</v>
      </c>
    </row>
    <row r="1872" spans="1:7" hidden="1" x14ac:dyDescent="0.25">
      <c r="A1872">
        <v>50</v>
      </c>
      <c r="B1872">
        <v>5892</v>
      </c>
      <c r="C1872">
        <v>0</v>
      </c>
      <c r="D1872">
        <v>2</v>
      </c>
      <c r="E1872">
        <v>20</v>
      </c>
      <c r="F1872" t="s">
        <v>144</v>
      </c>
      <c r="G1872" t="s">
        <v>145</v>
      </c>
    </row>
    <row r="1873" spans="1:7" hidden="1" x14ac:dyDescent="0.25">
      <c r="A1873">
        <v>50</v>
      </c>
      <c r="B1873">
        <v>5904</v>
      </c>
      <c r="C1873">
        <v>0</v>
      </c>
      <c r="D1873">
        <v>2</v>
      </c>
      <c r="E1873">
        <v>20</v>
      </c>
      <c r="F1873" t="s">
        <v>144</v>
      </c>
      <c r="G1873" t="s">
        <v>145</v>
      </c>
    </row>
    <row r="1874" spans="1:7" hidden="1" x14ac:dyDescent="0.25">
      <c r="A1874">
        <v>50</v>
      </c>
      <c r="B1874">
        <v>6280</v>
      </c>
      <c r="C1874">
        <v>0</v>
      </c>
      <c r="D1874">
        <v>2</v>
      </c>
      <c r="E1874">
        <v>20</v>
      </c>
      <c r="F1874" t="s">
        <v>144</v>
      </c>
      <c r="G1874" t="s">
        <v>145</v>
      </c>
    </row>
    <row r="1875" spans="1:7" hidden="1" x14ac:dyDescent="0.25">
      <c r="A1875">
        <v>50</v>
      </c>
      <c r="B1875">
        <v>6312</v>
      </c>
      <c r="C1875">
        <v>0</v>
      </c>
      <c r="D1875">
        <v>2</v>
      </c>
      <c r="E1875">
        <v>20</v>
      </c>
      <c r="F1875" t="s">
        <v>144</v>
      </c>
      <c r="G1875" t="s">
        <v>145</v>
      </c>
    </row>
    <row r="1876" spans="1:7" hidden="1" x14ac:dyDescent="0.25">
      <c r="A1876">
        <v>50</v>
      </c>
      <c r="B1876">
        <v>7528</v>
      </c>
      <c r="C1876">
        <v>0</v>
      </c>
      <c r="D1876">
        <v>2</v>
      </c>
      <c r="E1876">
        <v>20</v>
      </c>
      <c r="F1876" t="s">
        <v>144</v>
      </c>
      <c r="G1876" t="s">
        <v>145</v>
      </c>
    </row>
    <row r="1877" spans="1:7" hidden="1" x14ac:dyDescent="0.25">
      <c r="A1877">
        <v>50</v>
      </c>
      <c r="B1877">
        <v>7756</v>
      </c>
      <c r="C1877">
        <v>0</v>
      </c>
      <c r="D1877">
        <v>2</v>
      </c>
      <c r="E1877">
        <v>20</v>
      </c>
      <c r="F1877" t="s">
        <v>144</v>
      </c>
      <c r="G1877" t="s">
        <v>145</v>
      </c>
    </row>
    <row r="1878" spans="1:7" hidden="1" x14ac:dyDescent="0.25">
      <c r="A1878">
        <v>50</v>
      </c>
      <c r="B1878">
        <v>8256</v>
      </c>
      <c r="C1878">
        <v>0</v>
      </c>
      <c r="D1878">
        <v>2</v>
      </c>
      <c r="E1878">
        <v>20</v>
      </c>
      <c r="F1878" t="s">
        <v>144</v>
      </c>
      <c r="G1878" t="s">
        <v>145</v>
      </c>
    </row>
    <row r="1879" spans="1:7" hidden="1" x14ac:dyDescent="0.25">
      <c r="A1879">
        <v>50</v>
      </c>
      <c r="B1879">
        <v>10012</v>
      </c>
      <c r="C1879">
        <v>0</v>
      </c>
      <c r="D1879">
        <v>2</v>
      </c>
      <c r="E1879">
        <v>20</v>
      </c>
      <c r="F1879" t="s">
        <v>144</v>
      </c>
      <c r="G1879" t="s">
        <v>145</v>
      </c>
    </row>
    <row r="1880" spans="1:7" hidden="1" x14ac:dyDescent="0.25">
      <c r="A1880">
        <v>50</v>
      </c>
      <c r="B1880">
        <v>10064</v>
      </c>
      <c r="C1880">
        <v>0</v>
      </c>
      <c r="D1880">
        <v>2</v>
      </c>
      <c r="E1880">
        <v>20</v>
      </c>
      <c r="F1880" t="s">
        <v>144</v>
      </c>
      <c r="G1880" t="s">
        <v>145</v>
      </c>
    </row>
    <row r="1881" spans="1:7" hidden="1" x14ac:dyDescent="0.25">
      <c r="A1881">
        <v>50</v>
      </c>
      <c r="B1881">
        <v>10100</v>
      </c>
      <c r="C1881">
        <v>0</v>
      </c>
      <c r="D1881">
        <v>2</v>
      </c>
      <c r="E1881">
        <v>20</v>
      </c>
      <c r="F1881" t="s">
        <v>144</v>
      </c>
      <c r="G1881" t="s">
        <v>145</v>
      </c>
    </row>
    <row r="1882" spans="1:7" hidden="1" x14ac:dyDescent="0.25">
      <c r="A1882">
        <v>99</v>
      </c>
      <c r="B1882">
        <v>2068</v>
      </c>
      <c r="C1882">
        <v>0</v>
      </c>
      <c r="D1882">
        <v>2</v>
      </c>
      <c r="E1882">
        <v>32</v>
      </c>
      <c r="F1882" t="s">
        <v>144</v>
      </c>
      <c r="G1882" t="s">
        <v>145</v>
      </c>
    </row>
    <row r="1883" spans="1:7" hidden="1" x14ac:dyDescent="0.25">
      <c r="A1883">
        <v>99</v>
      </c>
      <c r="B1883">
        <v>3284</v>
      </c>
      <c r="C1883">
        <v>0</v>
      </c>
      <c r="D1883">
        <v>2</v>
      </c>
      <c r="E1883">
        <v>44</v>
      </c>
      <c r="F1883" t="s">
        <v>144</v>
      </c>
      <c r="G1883" t="s">
        <v>145</v>
      </c>
    </row>
    <row r="1884" spans="1:7" hidden="1" x14ac:dyDescent="0.25">
      <c r="A1884">
        <v>99</v>
      </c>
      <c r="B1884">
        <v>7188</v>
      </c>
      <c r="C1884">
        <v>0</v>
      </c>
      <c r="D1884">
        <v>2</v>
      </c>
      <c r="E1884">
        <v>32</v>
      </c>
      <c r="F1884" t="s">
        <v>144</v>
      </c>
      <c r="G1884" t="s">
        <v>145</v>
      </c>
    </row>
    <row r="1885" spans="1:7" hidden="1" x14ac:dyDescent="0.25">
      <c r="A1885">
        <v>99</v>
      </c>
      <c r="B1885">
        <v>7300</v>
      </c>
      <c r="C1885">
        <v>0</v>
      </c>
      <c r="D1885">
        <v>2</v>
      </c>
      <c r="E1885">
        <v>44</v>
      </c>
      <c r="F1885" t="s">
        <v>144</v>
      </c>
      <c r="G1885" t="s">
        <v>145</v>
      </c>
    </row>
    <row r="1886" spans="1:7" hidden="1" x14ac:dyDescent="0.25">
      <c r="A1886">
        <v>99</v>
      </c>
      <c r="B1886">
        <v>7552</v>
      </c>
      <c r="C1886">
        <v>0</v>
      </c>
      <c r="D1886">
        <v>2</v>
      </c>
      <c r="E1886">
        <v>44</v>
      </c>
      <c r="F1886" t="s">
        <v>144</v>
      </c>
      <c r="G1886" t="s">
        <v>145</v>
      </c>
    </row>
    <row r="1887" spans="1:7" hidden="1" x14ac:dyDescent="0.25">
      <c r="A1887">
        <v>99</v>
      </c>
      <c r="B1887">
        <v>8004</v>
      </c>
      <c r="C1887">
        <v>0</v>
      </c>
      <c r="D1887">
        <v>2</v>
      </c>
      <c r="E1887">
        <v>44</v>
      </c>
      <c r="F1887" t="s">
        <v>144</v>
      </c>
      <c r="G1887" t="s">
        <v>145</v>
      </c>
    </row>
    <row r="1888" spans="1:7" hidden="1" x14ac:dyDescent="0.25">
      <c r="A1888">
        <v>99</v>
      </c>
      <c r="B1888">
        <v>8144</v>
      </c>
      <c r="C1888">
        <v>0</v>
      </c>
      <c r="D1888">
        <v>2</v>
      </c>
      <c r="E1888">
        <v>44</v>
      </c>
      <c r="F1888" t="s">
        <v>144</v>
      </c>
      <c r="G1888" t="s">
        <v>145</v>
      </c>
    </row>
    <row r="1889" spans="1:7" hidden="1" x14ac:dyDescent="0.25">
      <c r="A1889">
        <v>99</v>
      </c>
      <c r="B1889">
        <v>8668</v>
      </c>
      <c r="C1889">
        <v>0</v>
      </c>
      <c r="D1889">
        <v>2</v>
      </c>
      <c r="E1889">
        <v>20</v>
      </c>
      <c r="F1889" t="s">
        <v>144</v>
      </c>
      <c r="G1889" t="s">
        <v>145</v>
      </c>
    </row>
    <row r="1890" spans="1:7" hidden="1" x14ac:dyDescent="0.25">
      <c r="A1890">
        <v>99</v>
      </c>
      <c r="B1890">
        <v>9032</v>
      </c>
      <c r="C1890">
        <v>0</v>
      </c>
      <c r="D1890">
        <v>2</v>
      </c>
      <c r="E1890">
        <v>44</v>
      </c>
      <c r="F1890" t="s">
        <v>144</v>
      </c>
      <c r="G1890" t="s">
        <v>145</v>
      </c>
    </row>
    <row r="1891" spans="1:7" hidden="1" x14ac:dyDescent="0.25">
      <c r="A1891">
        <v>99</v>
      </c>
      <c r="B1891">
        <v>9072</v>
      </c>
      <c r="C1891">
        <v>0</v>
      </c>
      <c r="D1891">
        <v>2</v>
      </c>
      <c r="E1891">
        <v>44</v>
      </c>
      <c r="F1891" t="s">
        <v>144</v>
      </c>
      <c r="G1891" t="s">
        <v>145</v>
      </c>
    </row>
    <row r="1892" spans="1:7" hidden="1" x14ac:dyDescent="0.25">
      <c r="A1892">
        <v>99</v>
      </c>
      <c r="B1892">
        <v>9272</v>
      </c>
      <c r="C1892">
        <v>0</v>
      </c>
      <c r="D1892">
        <v>2</v>
      </c>
      <c r="E1892">
        <v>44</v>
      </c>
      <c r="F1892" t="s">
        <v>144</v>
      </c>
      <c r="G1892" t="s">
        <v>145</v>
      </c>
    </row>
    <row r="1893" spans="1:7" hidden="1" x14ac:dyDescent="0.25">
      <c r="A1893">
        <v>99</v>
      </c>
      <c r="B1893">
        <v>10420</v>
      </c>
      <c r="C1893">
        <v>0</v>
      </c>
      <c r="D1893">
        <v>2</v>
      </c>
      <c r="E1893">
        <v>32</v>
      </c>
      <c r="F1893" t="s">
        <v>144</v>
      </c>
      <c r="G1893" t="s">
        <v>145</v>
      </c>
    </row>
    <row r="1894" spans="1:7" hidden="1" x14ac:dyDescent="0.25">
      <c r="A1894">
        <v>50</v>
      </c>
      <c r="B1894">
        <v>1172</v>
      </c>
      <c r="C1894">
        <v>0</v>
      </c>
      <c r="D1894">
        <v>2</v>
      </c>
      <c r="E1894">
        <v>19</v>
      </c>
      <c r="F1894" t="s">
        <v>142</v>
      </c>
      <c r="G1894" t="s">
        <v>143</v>
      </c>
    </row>
    <row r="1895" spans="1:7" hidden="1" x14ac:dyDescent="0.25">
      <c r="A1895">
        <v>50</v>
      </c>
      <c r="B1895">
        <v>1476</v>
      </c>
      <c r="C1895">
        <v>0</v>
      </c>
      <c r="D1895">
        <v>2</v>
      </c>
      <c r="E1895">
        <v>19</v>
      </c>
      <c r="F1895" t="s">
        <v>142</v>
      </c>
      <c r="G1895" t="s">
        <v>143</v>
      </c>
    </row>
    <row r="1896" spans="1:7" hidden="1" x14ac:dyDescent="0.25">
      <c r="A1896">
        <v>50</v>
      </c>
      <c r="B1896">
        <v>2548</v>
      </c>
      <c r="C1896">
        <v>0</v>
      </c>
      <c r="D1896">
        <v>2</v>
      </c>
      <c r="E1896">
        <v>19</v>
      </c>
      <c r="F1896" t="s">
        <v>142</v>
      </c>
      <c r="G1896" t="s">
        <v>143</v>
      </c>
    </row>
    <row r="1897" spans="1:7" hidden="1" x14ac:dyDescent="0.25">
      <c r="A1897">
        <v>50</v>
      </c>
      <c r="B1897">
        <v>4144</v>
      </c>
      <c r="C1897">
        <v>0</v>
      </c>
      <c r="D1897">
        <v>2</v>
      </c>
      <c r="E1897">
        <v>19</v>
      </c>
      <c r="F1897" t="s">
        <v>142</v>
      </c>
      <c r="G1897" t="s">
        <v>143</v>
      </c>
    </row>
    <row r="1898" spans="1:7" hidden="1" x14ac:dyDescent="0.25">
      <c r="A1898">
        <v>50</v>
      </c>
      <c r="B1898">
        <v>4336</v>
      </c>
      <c r="C1898">
        <v>0</v>
      </c>
      <c r="D1898">
        <v>2</v>
      </c>
      <c r="E1898">
        <v>19</v>
      </c>
      <c r="F1898" t="s">
        <v>142</v>
      </c>
      <c r="G1898" t="s">
        <v>143</v>
      </c>
    </row>
    <row r="1899" spans="1:7" hidden="1" x14ac:dyDescent="0.25">
      <c r="A1899">
        <v>50</v>
      </c>
      <c r="B1899">
        <v>4600</v>
      </c>
      <c r="C1899">
        <v>0</v>
      </c>
      <c r="D1899">
        <v>2</v>
      </c>
      <c r="E1899">
        <v>19</v>
      </c>
      <c r="F1899" t="s">
        <v>142</v>
      </c>
      <c r="G1899" t="s">
        <v>143</v>
      </c>
    </row>
    <row r="1900" spans="1:7" hidden="1" x14ac:dyDescent="0.25">
      <c r="A1900">
        <v>50</v>
      </c>
      <c r="B1900">
        <v>5892</v>
      </c>
      <c r="C1900">
        <v>0</v>
      </c>
      <c r="D1900">
        <v>2</v>
      </c>
      <c r="E1900">
        <v>19</v>
      </c>
      <c r="F1900" t="s">
        <v>142</v>
      </c>
      <c r="G1900" t="s">
        <v>143</v>
      </c>
    </row>
    <row r="1901" spans="1:7" hidden="1" x14ac:dyDescent="0.25">
      <c r="A1901">
        <v>50</v>
      </c>
      <c r="B1901">
        <v>5904</v>
      </c>
      <c r="C1901">
        <v>0</v>
      </c>
      <c r="D1901">
        <v>2</v>
      </c>
      <c r="E1901">
        <v>19</v>
      </c>
      <c r="F1901" t="s">
        <v>142</v>
      </c>
      <c r="G1901" t="s">
        <v>143</v>
      </c>
    </row>
    <row r="1902" spans="1:7" hidden="1" x14ac:dyDescent="0.25">
      <c r="A1902">
        <v>50</v>
      </c>
      <c r="B1902">
        <v>6280</v>
      </c>
      <c r="C1902">
        <v>0</v>
      </c>
      <c r="D1902">
        <v>2</v>
      </c>
      <c r="E1902">
        <v>19</v>
      </c>
      <c r="F1902" t="s">
        <v>142</v>
      </c>
      <c r="G1902" t="s">
        <v>143</v>
      </c>
    </row>
    <row r="1903" spans="1:7" hidden="1" x14ac:dyDescent="0.25">
      <c r="A1903">
        <v>50</v>
      </c>
      <c r="B1903">
        <v>6312</v>
      </c>
      <c r="C1903">
        <v>0</v>
      </c>
      <c r="D1903">
        <v>2</v>
      </c>
      <c r="E1903">
        <v>19</v>
      </c>
      <c r="F1903" t="s">
        <v>142</v>
      </c>
      <c r="G1903" t="s">
        <v>143</v>
      </c>
    </row>
    <row r="1904" spans="1:7" hidden="1" x14ac:dyDescent="0.25">
      <c r="A1904">
        <v>50</v>
      </c>
      <c r="B1904">
        <v>7528</v>
      </c>
      <c r="C1904">
        <v>0</v>
      </c>
      <c r="D1904">
        <v>2</v>
      </c>
      <c r="E1904">
        <v>19</v>
      </c>
      <c r="F1904" t="s">
        <v>142</v>
      </c>
      <c r="G1904" t="s">
        <v>143</v>
      </c>
    </row>
    <row r="1905" spans="1:7" hidden="1" x14ac:dyDescent="0.25">
      <c r="A1905">
        <v>50</v>
      </c>
      <c r="B1905">
        <v>7756</v>
      </c>
      <c r="C1905">
        <v>0</v>
      </c>
      <c r="D1905">
        <v>2</v>
      </c>
      <c r="E1905">
        <v>19</v>
      </c>
      <c r="F1905" t="s">
        <v>142</v>
      </c>
      <c r="G1905" t="s">
        <v>143</v>
      </c>
    </row>
    <row r="1906" spans="1:7" hidden="1" x14ac:dyDescent="0.25">
      <c r="A1906">
        <v>50</v>
      </c>
      <c r="B1906">
        <v>8256</v>
      </c>
      <c r="C1906">
        <v>0</v>
      </c>
      <c r="D1906">
        <v>2</v>
      </c>
      <c r="E1906">
        <v>19</v>
      </c>
      <c r="F1906" t="s">
        <v>142</v>
      </c>
      <c r="G1906" t="s">
        <v>143</v>
      </c>
    </row>
    <row r="1907" spans="1:7" hidden="1" x14ac:dyDescent="0.25">
      <c r="A1907">
        <v>50</v>
      </c>
      <c r="B1907">
        <v>10012</v>
      </c>
      <c r="C1907">
        <v>0</v>
      </c>
      <c r="D1907">
        <v>2</v>
      </c>
      <c r="E1907">
        <v>19</v>
      </c>
      <c r="F1907" t="s">
        <v>142</v>
      </c>
      <c r="G1907" t="s">
        <v>143</v>
      </c>
    </row>
    <row r="1908" spans="1:7" hidden="1" x14ac:dyDescent="0.25">
      <c r="A1908">
        <v>50</v>
      </c>
      <c r="B1908">
        <v>10064</v>
      </c>
      <c r="C1908">
        <v>0</v>
      </c>
      <c r="D1908">
        <v>2</v>
      </c>
      <c r="E1908">
        <v>19</v>
      </c>
      <c r="F1908" t="s">
        <v>142</v>
      </c>
      <c r="G1908" t="s">
        <v>143</v>
      </c>
    </row>
    <row r="1909" spans="1:7" hidden="1" x14ac:dyDescent="0.25">
      <c r="A1909">
        <v>50</v>
      </c>
      <c r="B1909">
        <v>10100</v>
      </c>
      <c r="C1909">
        <v>0</v>
      </c>
      <c r="D1909">
        <v>2</v>
      </c>
      <c r="E1909">
        <v>19</v>
      </c>
      <c r="F1909" t="s">
        <v>142</v>
      </c>
      <c r="G1909" t="s">
        <v>143</v>
      </c>
    </row>
    <row r="1910" spans="1:7" hidden="1" x14ac:dyDescent="0.25">
      <c r="A1910">
        <v>99</v>
      </c>
      <c r="B1910">
        <v>2068</v>
      </c>
      <c r="C1910">
        <v>0</v>
      </c>
      <c r="D1910">
        <v>2</v>
      </c>
      <c r="E1910">
        <v>31</v>
      </c>
      <c r="F1910" t="s">
        <v>142</v>
      </c>
      <c r="G1910" t="s">
        <v>143</v>
      </c>
    </row>
    <row r="1911" spans="1:7" hidden="1" x14ac:dyDescent="0.25">
      <c r="A1911">
        <v>99</v>
      </c>
      <c r="B1911">
        <v>3284</v>
      </c>
      <c r="C1911">
        <v>0</v>
      </c>
      <c r="D1911">
        <v>2</v>
      </c>
      <c r="E1911">
        <v>43</v>
      </c>
      <c r="F1911" t="s">
        <v>142</v>
      </c>
      <c r="G1911" t="s">
        <v>143</v>
      </c>
    </row>
    <row r="1912" spans="1:7" hidden="1" x14ac:dyDescent="0.25">
      <c r="A1912">
        <v>99</v>
      </c>
      <c r="B1912">
        <v>7188</v>
      </c>
      <c r="C1912">
        <v>0</v>
      </c>
      <c r="D1912">
        <v>2</v>
      </c>
      <c r="E1912">
        <v>31</v>
      </c>
      <c r="F1912" t="s">
        <v>142</v>
      </c>
      <c r="G1912" t="s">
        <v>143</v>
      </c>
    </row>
    <row r="1913" spans="1:7" hidden="1" x14ac:dyDescent="0.25">
      <c r="A1913">
        <v>99</v>
      </c>
      <c r="B1913">
        <v>7300</v>
      </c>
      <c r="C1913">
        <v>0</v>
      </c>
      <c r="D1913">
        <v>2</v>
      </c>
      <c r="E1913">
        <v>43</v>
      </c>
      <c r="F1913" t="s">
        <v>142</v>
      </c>
      <c r="G1913" t="s">
        <v>143</v>
      </c>
    </row>
    <row r="1914" spans="1:7" hidden="1" x14ac:dyDescent="0.25">
      <c r="A1914">
        <v>99</v>
      </c>
      <c r="B1914">
        <v>7552</v>
      </c>
      <c r="C1914">
        <v>0</v>
      </c>
      <c r="D1914">
        <v>2</v>
      </c>
      <c r="E1914">
        <v>43</v>
      </c>
      <c r="F1914" t="s">
        <v>142</v>
      </c>
      <c r="G1914" t="s">
        <v>143</v>
      </c>
    </row>
    <row r="1915" spans="1:7" hidden="1" x14ac:dyDescent="0.25">
      <c r="A1915">
        <v>99</v>
      </c>
      <c r="B1915">
        <v>8004</v>
      </c>
      <c r="C1915">
        <v>0</v>
      </c>
      <c r="D1915">
        <v>2</v>
      </c>
      <c r="E1915">
        <v>43</v>
      </c>
      <c r="F1915" t="s">
        <v>142</v>
      </c>
      <c r="G1915" t="s">
        <v>143</v>
      </c>
    </row>
    <row r="1916" spans="1:7" hidden="1" x14ac:dyDescent="0.25">
      <c r="A1916">
        <v>99</v>
      </c>
      <c r="B1916">
        <v>8144</v>
      </c>
      <c r="C1916">
        <v>0</v>
      </c>
      <c r="D1916">
        <v>2</v>
      </c>
      <c r="E1916">
        <v>43</v>
      </c>
      <c r="F1916" t="s">
        <v>142</v>
      </c>
      <c r="G1916" t="s">
        <v>143</v>
      </c>
    </row>
    <row r="1917" spans="1:7" hidden="1" x14ac:dyDescent="0.25">
      <c r="A1917">
        <v>99</v>
      </c>
      <c r="B1917">
        <v>8668</v>
      </c>
      <c r="C1917">
        <v>0</v>
      </c>
      <c r="D1917">
        <v>2</v>
      </c>
      <c r="E1917">
        <v>19</v>
      </c>
      <c r="F1917" t="s">
        <v>142</v>
      </c>
      <c r="G1917" t="s">
        <v>143</v>
      </c>
    </row>
    <row r="1918" spans="1:7" hidden="1" x14ac:dyDescent="0.25">
      <c r="A1918">
        <v>99</v>
      </c>
      <c r="B1918">
        <v>9032</v>
      </c>
      <c r="C1918">
        <v>0</v>
      </c>
      <c r="D1918">
        <v>2</v>
      </c>
      <c r="E1918">
        <v>43</v>
      </c>
      <c r="F1918" t="s">
        <v>142</v>
      </c>
      <c r="G1918" t="s">
        <v>143</v>
      </c>
    </row>
    <row r="1919" spans="1:7" hidden="1" x14ac:dyDescent="0.25">
      <c r="A1919">
        <v>99</v>
      </c>
      <c r="B1919">
        <v>9072</v>
      </c>
      <c r="C1919">
        <v>0</v>
      </c>
      <c r="D1919">
        <v>2</v>
      </c>
      <c r="E1919">
        <v>43</v>
      </c>
      <c r="F1919" t="s">
        <v>142</v>
      </c>
      <c r="G1919" t="s">
        <v>143</v>
      </c>
    </row>
    <row r="1920" spans="1:7" hidden="1" x14ac:dyDescent="0.25">
      <c r="A1920">
        <v>99</v>
      </c>
      <c r="B1920">
        <v>9272</v>
      </c>
      <c r="C1920">
        <v>0</v>
      </c>
      <c r="D1920">
        <v>2</v>
      </c>
      <c r="E1920">
        <v>43</v>
      </c>
      <c r="F1920" t="s">
        <v>142</v>
      </c>
      <c r="G1920" t="s">
        <v>143</v>
      </c>
    </row>
    <row r="1921" spans="1:7" hidden="1" x14ac:dyDescent="0.25">
      <c r="A1921">
        <v>99</v>
      </c>
      <c r="B1921">
        <v>10420</v>
      </c>
      <c r="C1921">
        <v>0</v>
      </c>
      <c r="D1921">
        <v>2</v>
      </c>
      <c r="E1921">
        <v>31</v>
      </c>
      <c r="F1921" t="s">
        <v>142</v>
      </c>
      <c r="G1921" t="s">
        <v>143</v>
      </c>
    </row>
    <row r="1922" spans="1:7" hidden="1" x14ac:dyDescent="0.25">
      <c r="A1922">
        <v>50</v>
      </c>
      <c r="B1922">
        <v>1172</v>
      </c>
      <c r="C1922">
        <v>0</v>
      </c>
      <c r="D1922">
        <v>2</v>
      </c>
      <c r="E1922">
        <v>17</v>
      </c>
      <c r="F1922" t="s">
        <v>138</v>
      </c>
      <c r="G1922" t="s">
        <v>139</v>
      </c>
    </row>
    <row r="1923" spans="1:7" hidden="1" x14ac:dyDescent="0.25">
      <c r="A1923">
        <v>50</v>
      </c>
      <c r="B1923">
        <v>1476</v>
      </c>
      <c r="C1923">
        <v>0</v>
      </c>
      <c r="D1923">
        <v>2</v>
      </c>
      <c r="E1923">
        <v>17</v>
      </c>
      <c r="F1923" t="s">
        <v>138</v>
      </c>
      <c r="G1923" t="s">
        <v>139</v>
      </c>
    </row>
    <row r="1924" spans="1:7" hidden="1" x14ac:dyDescent="0.25">
      <c r="A1924">
        <v>50</v>
      </c>
      <c r="B1924">
        <v>2548</v>
      </c>
      <c r="C1924">
        <v>0</v>
      </c>
      <c r="D1924">
        <v>2</v>
      </c>
      <c r="E1924">
        <v>17</v>
      </c>
      <c r="F1924" t="s">
        <v>138</v>
      </c>
      <c r="G1924" t="s">
        <v>139</v>
      </c>
    </row>
    <row r="1925" spans="1:7" hidden="1" x14ac:dyDescent="0.25">
      <c r="A1925">
        <v>50</v>
      </c>
      <c r="B1925">
        <v>4144</v>
      </c>
      <c r="C1925">
        <v>0</v>
      </c>
      <c r="D1925">
        <v>2</v>
      </c>
      <c r="E1925">
        <v>17</v>
      </c>
      <c r="F1925" t="s">
        <v>138</v>
      </c>
      <c r="G1925" t="s">
        <v>139</v>
      </c>
    </row>
    <row r="1926" spans="1:7" hidden="1" x14ac:dyDescent="0.25">
      <c r="A1926">
        <v>50</v>
      </c>
      <c r="B1926">
        <v>4336</v>
      </c>
      <c r="C1926">
        <v>0</v>
      </c>
      <c r="D1926">
        <v>2</v>
      </c>
      <c r="E1926">
        <v>17</v>
      </c>
      <c r="F1926" t="s">
        <v>138</v>
      </c>
      <c r="G1926" t="s">
        <v>139</v>
      </c>
    </row>
    <row r="1927" spans="1:7" hidden="1" x14ac:dyDescent="0.25">
      <c r="A1927">
        <v>50</v>
      </c>
      <c r="B1927">
        <v>4600</v>
      </c>
      <c r="C1927">
        <v>0</v>
      </c>
      <c r="D1927">
        <v>2</v>
      </c>
      <c r="E1927">
        <v>17</v>
      </c>
      <c r="F1927" t="s">
        <v>138</v>
      </c>
      <c r="G1927" t="s">
        <v>139</v>
      </c>
    </row>
    <row r="1928" spans="1:7" hidden="1" x14ac:dyDescent="0.25">
      <c r="A1928">
        <v>50</v>
      </c>
      <c r="B1928">
        <v>5892</v>
      </c>
      <c r="C1928">
        <v>0</v>
      </c>
      <c r="D1928">
        <v>2</v>
      </c>
      <c r="E1928">
        <v>17</v>
      </c>
      <c r="F1928" t="s">
        <v>138</v>
      </c>
      <c r="G1928" t="s">
        <v>139</v>
      </c>
    </row>
    <row r="1929" spans="1:7" hidden="1" x14ac:dyDescent="0.25">
      <c r="A1929">
        <v>50</v>
      </c>
      <c r="B1929">
        <v>5904</v>
      </c>
      <c r="C1929">
        <v>0</v>
      </c>
      <c r="D1929">
        <v>2</v>
      </c>
      <c r="E1929">
        <v>17</v>
      </c>
      <c r="F1929" t="s">
        <v>138</v>
      </c>
      <c r="G1929" t="s">
        <v>139</v>
      </c>
    </row>
    <row r="1930" spans="1:7" hidden="1" x14ac:dyDescent="0.25">
      <c r="A1930">
        <v>50</v>
      </c>
      <c r="B1930">
        <v>6280</v>
      </c>
      <c r="C1930">
        <v>0</v>
      </c>
      <c r="D1930">
        <v>2</v>
      </c>
      <c r="E1930">
        <v>17</v>
      </c>
      <c r="F1930" t="s">
        <v>138</v>
      </c>
      <c r="G1930" t="s">
        <v>139</v>
      </c>
    </row>
    <row r="1931" spans="1:7" hidden="1" x14ac:dyDescent="0.25">
      <c r="A1931">
        <v>50</v>
      </c>
      <c r="B1931">
        <v>6312</v>
      </c>
      <c r="C1931">
        <v>0</v>
      </c>
      <c r="D1931">
        <v>2</v>
      </c>
      <c r="E1931">
        <v>17</v>
      </c>
      <c r="F1931" t="s">
        <v>138</v>
      </c>
      <c r="G1931" t="s">
        <v>139</v>
      </c>
    </row>
    <row r="1932" spans="1:7" hidden="1" x14ac:dyDescent="0.25">
      <c r="A1932">
        <v>50</v>
      </c>
      <c r="B1932">
        <v>7528</v>
      </c>
      <c r="C1932">
        <v>0</v>
      </c>
      <c r="D1932">
        <v>2</v>
      </c>
      <c r="E1932">
        <v>17</v>
      </c>
      <c r="F1932" t="s">
        <v>138</v>
      </c>
      <c r="G1932" t="s">
        <v>139</v>
      </c>
    </row>
    <row r="1933" spans="1:7" hidden="1" x14ac:dyDescent="0.25">
      <c r="A1933">
        <v>50</v>
      </c>
      <c r="B1933">
        <v>7756</v>
      </c>
      <c r="C1933">
        <v>0</v>
      </c>
      <c r="D1933">
        <v>2</v>
      </c>
      <c r="E1933">
        <v>17</v>
      </c>
      <c r="F1933" t="s">
        <v>138</v>
      </c>
      <c r="G1933" t="s">
        <v>139</v>
      </c>
    </row>
    <row r="1934" spans="1:7" hidden="1" x14ac:dyDescent="0.25">
      <c r="A1934">
        <v>50</v>
      </c>
      <c r="B1934">
        <v>8256</v>
      </c>
      <c r="C1934">
        <v>0</v>
      </c>
      <c r="D1934">
        <v>2</v>
      </c>
      <c r="E1934">
        <v>17</v>
      </c>
      <c r="F1934" t="s">
        <v>138</v>
      </c>
      <c r="G1934" t="s">
        <v>139</v>
      </c>
    </row>
    <row r="1935" spans="1:7" hidden="1" x14ac:dyDescent="0.25">
      <c r="A1935">
        <v>50</v>
      </c>
      <c r="B1935">
        <v>10012</v>
      </c>
      <c r="C1935">
        <v>0</v>
      </c>
      <c r="D1935">
        <v>2</v>
      </c>
      <c r="E1935">
        <v>17</v>
      </c>
      <c r="F1935" t="s">
        <v>138</v>
      </c>
      <c r="G1935" t="s">
        <v>139</v>
      </c>
    </row>
    <row r="1936" spans="1:7" hidden="1" x14ac:dyDescent="0.25">
      <c r="A1936">
        <v>50</v>
      </c>
      <c r="B1936">
        <v>10064</v>
      </c>
      <c r="C1936">
        <v>0</v>
      </c>
      <c r="D1936">
        <v>2</v>
      </c>
      <c r="E1936">
        <v>17</v>
      </c>
      <c r="F1936" t="s">
        <v>138</v>
      </c>
      <c r="G1936" t="s">
        <v>139</v>
      </c>
    </row>
    <row r="1937" spans="1:7" hidden="1" x14ac:dyDescent="0.25">
      <c r="A1937">
        <v>50</v>
      </c>
      <c r="B1937">
        <v>10100</v>
      </c>
      <c r="C1937">
        <v>0</v>
      </c>
      <c r="D1937">
        <v>2</v>
      </c>
      <c r="E1937">
        <v>17</v>
      </c>
      <c r="F1937" t="s">
        <v>138</v>
      </c>
      <c r="G1937" t="s">
        <v>139</v>
      </c>
    </row>
    <row r="1938" spans="1:7" hidden="1" x14ac:dyDescent="0.25">
      <c r="A1938">
        <v>99</v>
      </c>
      <c r="B1938">
        <v>2068</v>
      </c>
      <c r="C1938">
        <v>0</v>
      </c>
      <c r="D1938">
        <v>2</v>
      </c>
      <c r="E1938">
        <v>29</v>
      </c>
      <c r="F1938" t="s">
        <v>138</v>
      </c>
      <c r="G1938" t="s">
        <v>139</v>
      </c>
    </row>
    <row r="1939" spans="1:7" hidden="1" x14ac:dyDescent="0.25">
      <c r="A1939">
        <v>99</v>
      </c>
      <c r="B1939">
        <v>3284</v>
      </c>
      <c r="C1939">
        <v>0</v>
      </c>
      <c r="D1939">
        <v>2</v>
      </c>
      <c r="E1939">
        <v>41</v>
      </c>
      <c r="F1939" t="s">
        <v>138</v>
      </c>
      <c r="G1939" t="s">
        <v>139</v>
      </c>
    </row>
    <row r="1940" spans="1:7" hidden="1" x14ac:dyDescent="0.25">
      <c r="A1940">
        <v>99</v>
      </c>
      <c r="B1940">
        <v>7188</v>
      </c>
      <c r="C1940">
        <v>0</v>
      </c>
      <c r="D1940">
        <v>2</v>
      </c>
      <c r="E1940">
        <v>29</v>
      </c>
      <c r="F1940" t="s">
        <v>138</v>
      </c>
      <c r="G1940" t="s">
        <v>139</v>
      </c>
    </row>
    <row r="1941" spans="1:7" hidden="1" x14ac:dyDescent="0.25">
      <c r="A1941">
        <v>99</v>
      </c>
      <c r="B1941">
        <v>7300</v>
      </c>
      <c r="C1941">
        <v>0</v>
      </c>
      <c r="D1941">
        <v>2</v>
      </c>
      <c r="E1941">
        <v>41</v>
      </c>
      <c r="F1941" t="s">
        <v>138</v>
      </c>
      <c r="G1941" t="s">
        <v>139</v>
      </c>
    </row>
    <row r="1942" spans="1:7" hidden="1" x14ac:dyDescent="0.25">
      <c r="A1942">
        <v>99</v>
      </c>
      <c r="B1942">
        <v>7552</v>
      </c>
      <c r="C1942">
        <v>0</v>
      </c>
      <c r="D1942">
        <v>2</v>
      </c>
      <c r="E1942">
        <v>41</v>
      </c>
      <c r="F1942" t="s">
        <v>138</v>
      </c>
      <c r="G1942" t="s">
        <v>139</v>
      </c>
    </row>
    <row r="1943" spans="1:7" hidden="1" x14ac:dyDescent="0.25">
      <c r="A1943">
        <v>99</v>
      </c>
      <c r="B1943">
        <v>8004</v>
      </c>
      <c r="C1943">
        <v>0</v>
      </c>
      <c r="D1943">
        <v>2</v>
      </c>
      <c r="E1943">
        <v>41</v>
      </c>
      <c r="F1943" t="s">
        <v>138</v>
      </c>
      <c r="G1943" t="s">
        <v>139</v>
      </c>
    </row>
    <row r="1944" spans="1:7" hidden="1" x14ac:dyDescent="0.25">
      <c r="A1944">
        <v>99</v>
      </c>
      <c r="B1944">
        <v>8144</v>
      </c>
      <c r="C1944">
        <v>0</v>
      </c>
      <c r="D1944">
        <v>2</v>
      </c>
      <c r="E1944">
        <v>41</v>
      </c>
      <c r="F1944" t="s">
        <v>138</v>
      </c>
      <c r="G1944" t="s">
        <v>139</v>
      </c>
    </row>
    <row r="1945" spans="1:7" hidden="1" x14ac:dyDescent="0.25">
      <c r="A1945">
        <v>99</v>
      </c>
      <c r="B1945">
        <v>8668</v>
      </c>
      <c r="C1945">
        <v>0</v>
      </c>
      <c r="D1945">
        <v>2</v>
      </c>
      <c r="E1945">
        <v>17</v>
      </c>
      <c r="F1945" t="s">
        <v>138</v>
      </c>
      <c r="G1945" t="s">
        <v>139</v>
      </c>
    </row>
    <row r="1946" spans="1:7" hidden="1" x14ac:dyDescent="0.25">
      <c r="A1946">
        <v>99</v>
      </c>
      <c r="B1946">
        <v>9032</v>
      </c>
      <c r="C1946">
        <v>0</v>
      </c>
      <c r="D1946">
        <v>2</v>
      </c>
      <c r="E1946">
        <v>41</v>
      </c>
      <c r="F1946" t="s">
        <v>138</v>
      </c>
      <c r="G1946" t="s">
        <v>139</v>
      </c>
    </row>
    <row r="1947" spans="1:7" hidden="1" x14ac:dyDescent="0.25">
      <c r="A1947">
        <v>99</v>
      </c>
      <c r="B1947">
        <v>9072</v>
      </c>
      <c r="C1947">
        <v>0</v>
      </c>
      <c r="D1947">
        <v>2</v>
      </c>
      <c r="E1947">
        <v>41</v>
      </c>
      <c r="F1947" t="s">
        <v>138</v>
      </c>
      <c r="G1947" t="s">
        <v>139</v>
      </c>
    </row>
    <row r="1948" spans="1:7" hidden="1" x14ac:dyDescent="0.25">
      <c r="A1948">
        <v>99</v>
      </c>
      <c r="B1948">
        <v>9272</v>
      </c>
      <c r="C1948">
        <v>0</v>
      </c>
      <c r="D1948">
        <v>2</v>
      </c>
      <c r="E1948">
        <v>41</v>
      </c>
      <c r="F1948" t="s">
        <v>138</v>
      </c>
      <c r="G1948" t="s">
        <v>139</v>
      </c>
    </row>
    <row r="1949" spans="1:7" hidden="1" x14ac:dyDescent="0.25">
      <c r="A1949">
        <v>99</v>
      </c>
      <c r="B1949">
        <v>10420</v>
      </c>
      <c r="C1949">
        <v>0</v>
      </c>
      <c r="D1949">
        <v>2</v>
      </c>
      <c r="E1949">
        <v>29</v>
      </c>
      <c r="F1949" t="s">
        <v>138</v>
      </c>
      <c r="G1949" t="s">
        <v>139</v>
      </c>
    </row>
    <row r="1950" spans="1:7" hidden="1" x14ac:dyDescent="0.25">
      <c r="A1950">
        <v>50</v>
      </c>
      <c r="B1950">
        <v>1172</v>
      </c>
      <c r="C1950">
        <v>0</v>
      </c>
      <c r="D1950">
        <v>2</v>
      </c>
      <c r="E1950">
        <v>18</v>
      </c>
      <c r="F1950" t="s">
        <v>140</v>
      </c>
      <c r="G1950" t="s">
        <v>141</v>
      </c>
    </row>
    <row r="1951" spans="1:7" hidden="1" x14ac:dyDescent="0.25">
      <c r="A1951">
        <v>50</v>
      </c>
      <c r="B1951">
        <v>1476</v>
      </c>
      <c r="C1951">
        <v>0</v>
      </c>
      <c r="D1951">
        <v>2</v>
      </c>
      <c r="E1951">
        <v>18</v>
      </c>
      <c r="F1951" t="s">
        <v>140</v>
      </c>
      <c r="G1951" t="s">
        <v>141</v>
      </c>
    </row>
    <row r="1952" spans="1:7" hidden="1" x14ac:dyDescent="0.25">
      <c r="A1952">
        <v>50</v>
      </c>
      <c r="B1952">
        <v>2548</v>
      </c>
      <c r="C1952">
        <v>0</v>
      </c>
      <c r="D1952">
        <v>2</v>
      </c>
      <c r="E1952">
        <v>18</v>
      </c>
      <c r="F1952" t="s">
        <v>140</v>
      </c>
      <c r="G1952" t="s">
        <v>141</v>
      </c>
    </row>
    <row r="1953" spans="1:7" hidden="1" x14ac:dyDescent="0.25">
      <c r="A1953">
        <v>50</v>
      </c>
      <c r="B1953">
        <v>4144</v>
      </c>
      <c r="C1953">
        <v>0</v>
      </c>
      <c r="D1953">
        <v>2</v>
      </c>
      <c r="E1953">
        <v>18</v>
      </c>
      <c r="F1953" t="s">
        <v>140</v>
      </c>
      <c r="G1953" t="s">
        <v>141</v>
      </c>
    </row>
    <row r="1954" spans="1:7" hidden="1" x14ac:dyDescent="0.25">
      <c r="A1954">
        <v>50</v>
      </c>
      <c r="B1954">
        <v>4336</v>
      </c>
      <c r="C1954">
        <v>0</v>
      </c>
      <c r="D1954">
        <v>2</v>
      </c>
      <c r="E1954">
        <v>18</v>
      </c>
      <c r="F1954" t="s">
        <v>140</v>
      </c>
      <c r="G1954" t="s">
        <v>141</v>
      </c>
    </row>
    <row r="1955" spans="1:7" hidden="1" x14ac:dyDescent="0.25">
      <c r="A1955">
        <v>50</v>
      </c>
      <c r="B1955">
        <v>4600</v>
      </c>
      <c r="C1955">
        <v>0</v>
      </c>
      <c r="D1955">
        <v>2</v>
      </c>
      <c r="E1955">
        <v>18</v>
      </c>
      <c r="F1955" t="s">
        <v>140</v>
      </c>
      <c r="G1955" t="s">
        <v>141</v>
      </c>
    </row>
    <row r="1956" spans="1:7" hidden="1" x14ac:dyDescent="0.25">
      <c r="A1956">
        <v>50</v>
      </c>
      <c r="B1956">
        <v>5892</v>
      </c>
      <c r="C1956">
        <v>0</v>
      </c>
      <c r="D1956">
        <v>2</v>
      </c>
      <c r="E1956">
        <v>18</v>
      </c>
      <c r="F1956" t="s">
        <v>140</v>
      </c>
      <c r="G1956" t="s">
        <v>141</v>
      </c>
    </row>
    <row r="1957" spans="1:7" hidden="1" x14ac:dyDescent="0.25">
      <c r="A1957">
        <v>50</v>
      </c>
      <c r="B1957">
        <v>5904</v>
      </c>
      <c r="C1957">
        <v>0</v>
      </c>
      <c r="D1957">
        <v>2</v>
      </c>
      <c r="E1957">
        <v>18</v>
      </c>
      <c r="F1957" t="s">
        <v>140</v>
      </c>
      <c r="G1957" t="s">
        <v>141</v>
      </c>
    </row>
    <row r="1958" spans="1:7" hidden="1" x14ac:dyDescent="0.25">
      <c r="A1958">
        <v>50</v>
      </c>
      <c r="B1958">
        <v>6280</v>
      </c>
      <c r="C1958">
        <v>0</v>
      </c>
      <c r="D1958">
        <v>2</v>
      </c>
      <c r="E1958">
        <v>18</v>
      </c>
      <c r="F1958" t="s">
        <v>140</v>
      </c>
      <c r="G1958" t="s">
        <v>141</v>
      </c>
    </row>
    <row r="1959" spans="1:7" hidden="1" x14ac:dyDescent="0.25">
      <c r="A1959">
        <v>50</v>
      </c>
      <c r="B1959">
        <v>6312</v>
      </c>
      <c r="C1959">
        <v>0</v>
      </c>
      <c r="D1959">
        <v>2</v>
      </c>
      <c r="E1959">
        <v>18</v>
      </c>
      <c r="F1959" t="s">
        <v>140</v>
      </c>
      <c r="G1959" t="s">
        <v>141</v>
      </c>
    </row>
    <row r="1960" spans="1:7" hidden="1" x14ac:dyDescent="0.25">
      <c r="A1960">
        <v>50</v>
      </c>
      <c r="B1960">
        <v>7528</v>
      </c>
      <c r="C1960">
        <v>0</v>
      </c>
      <c r="D1960">
        <v>2</v>
      </c>
      <c r="E1960">
        <v>18</v>
      </c>
      <c r="F1960" t="s">
        <v>140</v>
      </c>
      <c r="G1960" t="s">
        <v>141</v>
      </c>
    </row>
    <row r="1961" spans="1:7" hidden="1" x14ac:dyDescent="0.25">
      <c r="A1961">
        <v>50</v>
      </c>
      <c r="B1961">
        <v>7756</v>
      </c>
      <c r="C1961">
        <v>0</v>
      </c>
      <c r="D1961">
        <v>2</v>
      </c>
      <c r="E1961">
        <v>18</v>
      </c>
      <c r="F1961" t="s">
        <v>140</v>
      </c>
      <c r="G1961" t="s">
        <v>141</v>
      </c>
    </row>
    <row r="1962" spans="1:7" hidden="1" x14ac:dyDescent="0.25">
      <c r="A1962">
        <v>50</v>
      </c>
      <c r="B1962">
        <v>8256</v>
      </c>
      <c r="C1962">
        <v>0</v>
      </c>
      <c r="D1962">
        <v>2</v>
      </c>
      <c r="E1962">
        <v>18</v>
      </c>
      <c r="F1962" t="s">
        <v>140</v>
      </c>
      <c r="G1962" t="s">
        <v>141</v>
      </c>
    </row>
    <row r="1963" spans="1:7" hidden="1" x14ac:dyDescent="0.25">
      <c r="A1963">
        <v>50</v>
      </c>
      <c r="B1963">
        <v>10012</v>
      </c>
      <c r="C1963">
        <v>0</v>
      </c>
      <c r="D1963">
        <v>2</v>
      </c>
      <c r="E1963">
        <v>18</v>
      </c>
      <c r="F1963" t="s">
        <v>140</v>
      </c>
      <c r="G1963" t="s">
        <v>141</v>
      </c>
    </row>
    <row r="1964" spans="1:7" hidden="1" x14ac:dyDescent="0.25">
      <c r="A1964">
        <v>50</v>
      </c>
      <c r="B1964">
        <v>10064</v>
      </c>
      <c r="C1964">
        <v>0</v>
      </c>
      <c r="D1964">
        <v>2</v>
      </c>
      <c r="E1964">
        <v>18</v>
      </c>
      <c r="F1964" t="s">
        <v>140</v>
      </c>
      <c r="G1964" t="s">
        <v>141</v>
      </c>
    </row>
    <row r="1965" spans="1:7" hidden="1" x14ac:dyDescent="0.25">
      <c r="A1965">
        <v>50</v>
      </c>
      <c r="B1965">
        <v>10100</v>
      </c>
      <c r="C1965">
        <v>0</v>
      </c>
      <c r="D1965">
        <v>2</v>
      </c>
      <c r="E1965">
        <v>18</v>
      </c>
      <c r="F1965" t="s">
        <v>140</v>
      </c>
      <c r="G1965" t="s">
        <v>141</v>
      </c>
    </row>
    <row r="1966" spans="1:7" hidden="1" x14ac:dyDescent="0.25">
      <c r="A1966">
        <v>99</v>
      </c>
      <c r="B1966">
        <v>2068</v>
      </c>
      <c r="C1966">
        <v>0</v>
      </c>
      <c r="D1966">
        <v>2</v>
      </c>
      <c r="E1966">
        <v>30</v>
      </c>
      <c r="F1966" t="s">
        <v>140</v>
      </c>
      <c r="G1966" t="s">
        <v>141</v>
      </c>
    </row>
    <row r="1967" spans="1:7" hidden="1" x14ac:dyDescent="0.25">
      <c r="A1967">
        <v>99</v>
      </c>
      <c r="B1967">
        <v>3284</v>
      </c>
      <c r="C1967">
        <v>0</v>
      </c>
      <c r="D1967">
        <v>2</v>
      </c>
      <c r="E1967">
        <v>42</v>
      </c>
      <c r="F1967" t="s">
        <v>140</v>
      </c>
      <c r="G1967" t="s">
        <v>141</v>
      </c>
    </row>
    <row r="1968" spans="1:7" hidden="1" x14ac:dyDescent="0.25">
      <c r="A1968">
        <v>99</v>
      </c>
      <c r="B1968">
        <v>7188</v>
      </c>
      <c r="C1968">
        <v>0</v>
      </c>
      <c r="D1968">
        <v>2</v>
      </c>
      <c r="E1968">
        <v>30</v>
      </c>
      <c r="F1968" t="s">
        <v>140</v>
      </c>
      <c r="G1968" t="s">
        <v>141</v>
      </c>
    </row>
    <row r="1969" spans="1:7" hidden="1" x14ac:dyDescent="0.25">
      <c r="A1969">
        <v>99</v>
      </c>
      <c r="B1969">
        <v>7300</v>
      </c>
      <c r="C1969">
        <v>0</v>
      </c>
      <c r="D1969">
        <v>2</v>
      </c>
      <c r="E1969">
        <v>42</v>
      </c>
      <c r="F1969" t="s">
        <v>140</v>
      </c>
      <c r="G1969" t="s">
        <v>141</v>
      </c>
    </row>
    <row r="1970" spans="1:7" hidden="1" x14ac:dyDescent="0.25">
      <c r="A1970">
        <v>99</v>
      </c>
      <c r="B1970">
        <v>7552</v>
      </c>
      <c r="C1970">
        <v>0</v>
      </c>
      <c r="D1970">
        <v>2</v>
      </c>
      <c r="E1970">
        <v>42</v>
      </c>
      <c r="F1970" t="s">
        <v>140</v>
      </c>
      <c r="G1970" t="s">
        <v>141</v>
      </c>
    </row>
    <row r="1971" spans="1:7" hidden="1" x14ac:dyDescent="0.25">
      <c r="A1971">
        <v>99</v>
      </c>
      <c r="B1971">
        <v>8004</v>
      </c>
      <c r="C1971">
        <v>0</v>
      </c>
      <c r="D1971">
        <v>2</v>
      </c>
      <c r="E1971">
        <v>42</v>
      </c>
      <c r="F1971" t="s">
        <v>140</v>
      </c>
      <c r="G1971" t="s">
        <v>141</v>
      </c>
    </row>
    <row r="1972" spans="1:7" hidden="1" x14ac:dyDescent="0.25">
      <c r="A1972">
        <v>99</v>
      </c>
      <c r="B1972">
        <v>8144</v>
      </c>
      <c r="C1972">
        <v>0</v>
      </c>
      <c r="D1972">
        <v>2</v>
      </c>
      <c r="E1972">
        <v>42</v>
      </c>
      <c r="F1972" t="s">
        <v>140</v>
      </c>
      <c r="G1972" t="s">
        <v>141</v>
      </c>
    </row>
    <row r="1973" spans="1:7" hidden="1" x14ac:dyDescent="0.25">
      <c r="A1973">
        <v>99</v>
      </c>
      <c r="B1973">
        <v>8668</v>
      </c>
      <c r="C1973">
        <v>0</v>
      </c>
      <c r="D1973">
        <v>2</v>
      </c>
      <c r="E1973">
        <v>18</v>
      </c>
      <c r="F1973" t="s">
        <v>140</v>
      </c>
      <c r="G1973" t="s">
        <v>141</v>
      </c>
    </row>
    <row r="1974" spans="1:7" hidden="1" x14ac:dyDescent="0.25">
      <c r="A1974">
        <v>99</v>
      </c>
      <c r="B1974">
        <v>9032</v>
      </c>
      <c r="C1974">
        <v>0</v>
      </c>
      <c r="D1974">
        <v>2</v>
      </c>
      <c r="E1974">
        <v>42</v>
      </c>
      <c r="F1974" t="s">
        <v>140</v>
      </c>
      <c r="G1974" t="s">
        <v>141</v>
      </c>
    </row>
    <row r="1975" spans="1:7" hidden="1" x14ac:dyDescent="0.25">
      <c r="A1975">
        <v>99</v>
      </c>
      <c r="B1975">
        <v>9072</v>
      </c>
      <c r="C1975">
        <v>0</v>
      </c>
      <c r="D1975">
        <v>2</v>
      </c>
      <c r="E1975">
        <v>42</v>
      </c>
      <c r="F1975" t="s">
        <v>140</v>
      </c>
      <c r="G1975" t="s">
        <v>141</v>
      </c>
    </row>
    <row r="1976" spans="1:7" hidden="1" x14ac:dyDescent="0.25">
      <c r="A1976">
        <v>99</v>
      </c>
      <c r="B1976">
        <v>9272</v>
      </c>
      <c r="C1976">
        <v>0</v>
      </c>
      <c r="D1976">
        <v>2</v>
      </c>
      <c r="E1976">
        <v>42</v>
      </c>
      <c r="F1976" t="s">
        <v>140</v>
      </c>
      <c r="G1976" t="s">
        <v>141</v>
      </c>
    </row>
    <row r="1977" spans="1:7" hidden="1" x14ac:dyDescent="0.25">
      <c r="A1977">
        <v>99</v>
      </c>
      <c r="B1977">
        <v>10420</v>
      </c>
      <c r="C1977">
        <v>0</v>
      </c>
      <c r="D1977">
        <v>2</v>
      </c>
      <c r="E1977">
        <v>30</v>
      </c>
      <c r="F1977" t="s">
        <v>140</v>
      </c>
      <c r="G1977" t="s">
        <v>141</v>
      </c>
    </row>
    <row r="1978" spans="1:7" hidden="1" x14ac:dyDescent="0.25">
      <c r="A1978">
        <v>50</v>
      </c>
      <c r="B1978">
        <v>1172</v>
      </c>
      <c r="C1978">
        <v>0</v>
      </c>
      <c r="D1978">
        <v>2</v>
      </c>
      <c r="E1978">
        <v>15</v>
      </c>
      <c r="F1978" t="s">
        <v>135</v>
      </c>
      <c r="G1978" t="s">
        <v>118</v>
      </c>
    </row>
    <row r="1979" spans="1:7" hidden="1" x14ac:dyDescent="0.25">
      <c r="A1979">
        <v>50</v>
      </c>
      <c r="B1979">
        <v>1476</v>
      </c>
      <c r="C1979">
        <v>0</v>
      </c>
      <c r="D1979">
        <v>2</v>
      </c>
      <c r="E1979">
        <v>15</v>
      </c>
      <c r="F1979" t="s">
        <v>135</v>
      </c>
      <c r="G1979" t="s">
        <v>118</v>
      </c>
    </row>
    <row r="1980" spans="1:7" hidden="1" x14ac:dyDescent="0.25">
      <c r="A1980">
        <v>50</v>
      </c>
      <c r="B1980">
        <v>2548</v>
      </c>
      <c r="C1980">
        <v>0</v>
      </c>
      <c r="D1980">
        <v>2</v>
      </c>
      <c r="E1980">
        <v>15</v>
      </c>
      <c r="F1980" t="s">
        <v>135</v>
      </c>
      <c r="G1980" t="s">
        <v>118</v>
      </c>
    </row>
    <row r="1981" spans="1:7" hidden="1" x14ac:dyDescent="0.25">
      <c r="A1981">
        <v>50</v>
      </c>
      <c r="B1981">
        <v>4144</v>
      </c>
      <c r="C1981">
        <v>0</v>
      </c>
      <c r="D1981">
        <v>2</v>
      </c>
      <c r="E1981">
        <v>15</v>
      </c>
      <c r="F1981" t="s">
        <v>135</v>
      </c>
      <c r="G1981" t="s">
        <v>118</v>
      </c>
    </row>
    <row r="1982" spans="1:7" hidden="1" x14ac:dyDescent="0.25">
      <c r="A1982">
        <v>50</v>
      </c>
      <c r="B1982">
        <v>4336</v>
      </c>
      <c r="C1982">
        <v>0</v>
      </c>
      <c r="D1982">
        <v>2</v>
      </c>
      <c r="E1982">
        <v>15</v>
      </c>
      <c r="F1982" t="s">
        <v>135</v>
      </c>
      <c r="G1982" t="s">
        <v>118</v>
      </c>
    </row>
    <row r="1983" spans="1:7" hidden="1" x14ac:dyDescent="0.25">
      <c r="A1983">
        <v>50</v>
      </c>
      <c r="B1983">
        <v>4600</v>
      </c>
      <c r="C1983">
        <v>0</v>
      </c>
      <c r="D1983">
        <v>2</v>
      </c>
      <c r="E1983">
        <v>15</v>
      </c>
      <c r="F1983" t="s">
        <v>135</v>
      </c>
      <c r="G1983" t="s">
        <v>118</v>
      </c>
    </row>
    <row r="1984" spans="1:7" hidden="1" x14ac:dyDescent="0.25">
      <c r="A1984">
        <v>50</v>
      </c>
      <c r="B1984">
        <v>5892</v>
      </c>
      <c r="C1984">
        <v>0</v>
      </c>
      <c r="D1984">
        <v>2</v>
      </c>
      <c r="E1984">
        <v>15</v>
      </c>
      <c r="F1984" t="s">
        <v>135</v>
      </c>
      <c r="G1984" t="s">
        <v>118</v>
      </c>
    </row>
    <row r="1985" spans="1:7" hidden="1" x14ac:dyDescent="0.25">
      <c r="A1985">
        <v>50</v>
      </c>
      <c r="B1985">
        <v>5904</v>
      </c>
      <c r="C1985">
        <v>0</v>
      </c>
      <c r="D1985">
        <v>2</v>
      </c>
      <c r="E1985">
        <v>15</v>
      </c>
      <c r="F1985" t="s">
        <v>135</v>
      </c>
      <c r="G1985" t="s">
        <v>118</v>
      </c>
    </row>
    <row r="1986" spans="1:7" hidden="1" x14ac:dyDescent="0.25">
      <c r="A1986">
        <v>50</v>
      </c>
      <c r="B1986">
        <v>6280</v>
      </c>
      <c r="C1986">
        <v>0</v>
      </c>
      <c r="D1986">
        <v>2</v>
      </c>
      <c r="E1986">
        <v>15</v>
      </c>
      <c r="F1986" t="s">
        <v>135</v>
      </c>
      <c r="G1986" t="s">
        <v>118</v>
      </c>
    </row>
    <row r="1987" spans="1:7" hidden="1" x14ac:dyDescent="0.25">
      <c r="A1987">
        <v>50</v>
      </c>
      <c r="B1987">
        <v>6312</v>
      </c>
      <c r="C1987">
        <v>0</v>
      </c>
      <c r="D1987">
        <v>2</v>
      </c>
      <c r="E1987">
        <v>15</v>
      </c>
      <c r="F1987" t="s">
        <v>135</v>
      </c>
      <c r="G1987" t="s">
        <v>118</v>
      </c>
    </row>
    <row r="1988" spans="1:7" hidden="1" x14ac:dyDescent="0.25">
      <c r="A1988">
        <v>50</v>
      </c>
      <c r="B1988">
        <v>7528</v>
      </c>
      <c r="C1988">
        <v>0</v>
      </c>
      <c r="D1988">
        <v>2</v>
      </c>
      <c r="E1988">
        <v>15</v>
      </c>
      <c r="F1988" t="s">
        <v>135</v>
      </c>
      <c r="G1988" t="s">
        <v>118</v>
      </c>
    </row>
    <row r="1989" spans="1:7" hidden="1" x14ac:dyDescent="0.25">
      <c r="A1989">
        <v>50</v>
      </c>
      <c r="B1989">
        <v>7756</v>
      </c>
      <c r="C1989">
        <v>0</v>
      </c>
      <c r="D1989">
        <v>2</v>
      </c>
      <c r="E1989">
        <v>15</v>
      </c>
      <c r="F1989" t="s">
        <v>135</v>
      </c>
      <c r="G1989" t="s">
        <v>118</v>
      </c>
    </row>
    <row r="1990" spans="1:7" hidden="1" x14ac:dyDescent="0.25">
      <c r="A1990">
        <v>50</v>
      </c>
      <c r="B1990">
        <v>8256</v>
      </c>
      <c r="C1990">
        <v>0</v>
      </c>
      <c r="D1990">
        <v>2</v>
      </c>
      <c r="E1990">
        <v>15</v>
      </c>
      <c r="F1990" t="s">
        <v>135</v>
      </c>
      <c r="G1990" t="s">
        <v>118</v>
      </c>
    </row>
    <row r="1991" spans="1:7" hidden="1" x14ac:dyDescent="0.25">
      <c r="A1991">
        <v>50</v>
      </c>
      <c r="B1991">
        <v>10012</v>
      </c>
      <c r="C1991">
        <v>0</v>
      </c>
      <c r="D1991">
        <v>2</v>
      </c>
      <c r="E1991">
        <v>15</v>
      </c>
      <c r="F1991" t="s">
        <v>135</v>
      </c>
      <c r="G1991" t="s">
        <v>118</v>
      </c>
    </row>
    <row r="1992" spans="1:7" hidden="1" x14ac:dyDescent="0.25">
      <c r="A1992">
        <v>50</v>
      </c>
      <c r="B1992">
        <v>10064</v>
      </c>
      <c r="C1992">
        <v>0</v>
      </c>
      <c r="D1992">
        <v>2</v>
      </c>
      <c r="E1992">
        <v>15</v>
      </c>
      <c r="F1992" t="s">
        <v>135</v>
      </c>
      <c r="G1992" t="s">
        <v>118</v>
      </c>
    </row>
    <row r="1993" spans="1:7" hidden="1" x14ac:dyDescent="0.25">
      <c r="A1993">
        <v>50</v>
      </c>
      <c r="B1993">
        <v>10100</v>
      </c>
      <c r="C1993">
        <v>0</v>
      </c>
      <c r="D1993">
        <v>2</v>
      </c>
      <c r="E1993">
        <v>15</v>
      </c>
      <c r="F1993" t="s">
        <v>135</v>
      </c>
      <c r="G1993" t="s">
        <v>118</v>
      </c>
    </row>
    <row r="1994" spans="1:7" hidden="1" x14ac:dyDescent="0.25">
      <c r="A1994">
        <v>99</v>
      </c>
      <c r="B1994">
        <v>2068</v>
      </c>
      <c r="C1994">
        <v>0</v>
      </c>
      <c r="D1994">
        <v>2</v>
      </c>
      <c r="E1994">
        <v>27</v>
      </c>
      <c r="F1994" t="s">
        <v>135</v>
      </c>
      <c r="G1994" t="s">
        <v>118</v>
      </c>
    </row>
    <row r="1995" spans="1:7" hidden="1" x14ac:dyDescent="0.25">
      <c r="A1995">
        <v>99</v>
      </c>
      <c r="B1995">
        <v>3284</v>
      </c>
      <c r="C1995">
        <v>0</v>
      </c>
      <c r="D1995">
        <v>2</v>
      </c>
      <c r="E1995">
        <v>39</v>
      </c>
      <c r="F1995" t="s">
        <v>135</v>
      </c>
      <c r="G1995" t="s">
        <v>118</v>
      </c>
    </row>
    <row r="1996" spans="1:7" hidden="1" x14ac:dyDescent="0.25">
      <c r="A1996">
        <v>99</v>
      </c>
      <c r="B1996">
        <v>7188</v>
      </c>
      <c r="C1996">
        <v>0</v>
      </c>
      <c r="D1996">
        <v>2</v>
      </c>
      <c r="E1996">
        <v>27</v>
      </c>
      <c r="F1996" t="s">
        <v>135</v>
      </c>
      <c r="G1996" t="s">
        <v>118</v>
      </c>
    </row>
    <row r="1997" spans="1:7" hidden="1" x14ac:dyDescent="0.25">
      <c r="A1997">
        <v>99</v>
      </c>
      <c r="B1997">
        <v>7300</v>
      </c>
      <c r="C1997">
        <v>0</v>
      </c>
      <c r="D1997">
        <v>2</v>
      </c>
      <c r="E1997">
        <v>39</v>
      </c>
      <c r="F1997" t="s">
        <v>135</v>
      </c>
      <c r="G1997" t="s">
        <v>118</v>
      </c>
    </row>
    <row r="1998" spans="1:7" hidden="1" x14ac:dyDescent="0.25">
      <c r="A1998">
        <v>99</v>
      </c>
      <c r="B1998">
        <v>7552</v>
      </c>
      <c r="C1998">
        <v>0</v>
      </c>
      <c r="D1998">
        <v>2</v>
      </c>
      <c r="E1998">
        <v>39</v>
      </c>
      <c r="F1998" t="s">
        <v>135</v>
      </c>
      <c r="G1998" t="s">
        <v>118</v>
      </c>
    </row>
    <row r="1999" spans="1:7" hidden="1" x14ac:dyDescent="0.25">
      <c r="A1999">
        <v>99</v>
      </c>
      <c r="B1999">
        <v>8004</v>
      </c>
      <c r="C1999">
        <v>0</v>
      </c>
      <c r="D1999">
        <v>2</v>
      </c>
      <c r="E1999">
        <v>39</v>
      </c>
      <c r="F1999" t="s">
        <v>135</v>
      </c>
      <c r="G1999" t="s">
        <v>118</v>
      </c>
    </row>
    <row r="2000" spans="1:7" hidden="1" x14ac:dyDescent="0.25">
      <c r="A2000">
        <v>99</v>
      </c>
      <c r="B2000">
        <v>8144</v>
      </c>
      <c r="C2000">
        <v>0</v>
      </c>
      <c r="D2000">
        <v>2</v>
      </c>
      <c r="E2000">
        <v>39</v>
      </c>
      <c r="F2000" t="s">
        <v>135</v>
      </c>
      <c r="G2000" t="s">
        <v>118</v>
      </c>
    </row>
    <row r="2001" spans="1:7" hidden="1" x14ac:dyDescent="0.25">
      <c r="A2001">
        <v>99</v>
      </c>
      <c r="B2001">
        <v>8668</v>
      </c>
      <c r="C2001">
        <v>0</v>
      </c>
      <c r="D2001">
        <v>2</v>
      </c>
      <c r="E2001">
        <v>15</v>
      </c>
      <c r="F2001" t="s">
        <v>135</v>
      </c>
      <c r="G2001" t="s">
        <v>118</v>
      </c>
    </row>
    <row r="2002" spans="1:7" hidden="1" x14ac:dyDescent="0.25">
      <c r="A2002">
        <v>99</v>
      </c>
      <c r="B2002">
        <v>9032</v>
      </c>
      <c r="C2002">
        <v>0</v>
      </c>
      <c r="D2002">
        <v>2</v>
      </c>
      <c r="E2002">
        <v>39</v>
      </c>
      <c r="F2002" t="s">
        <v>135</v>
      </c>
      <c r="G2002" t="s">
        <v>118</v>
      </c>
    </row>
    <row r="2003" spans="1:7" hidden="1" x14ac:dyDescent="0.25">
      <c r="A2003">
        <v>99</v>
      </c>
      <c r="B2003">
        <v>9072</v>
      </c>
      <c r="C2003">
        <v>0</v>
      </c>
      <c r="D2003">
        <v>2</v>
      </c>
      <c r="E2003">
        <v>39</v>
      </c>
      <c r="F2003" t="s">
        <v>135</v>
      </c>
      <c r="G2003" t="s">
        <v>118</v>
      </c>
    </row>
    <row r="2004" spans="1:7" hidden="1" x14ac:dyDescent="0.25">
      <c r="A2004">
        <v>99</v>
      </c>
      <c r="B2004">
        <v>9272</v>
      </c>
      <c r="C2004">
        <v>0</v>
      </c>
      <c r="D2004">
        <v>2</v>
      </c>
      <c r="E2004">
        <v>39</v>
      </c>
      <c r="F2004" t="s">
        <v>135</v>
      </c>
      <c r="G2004" t="s">
        <v>118</v>
      </c>
    </row>
    <row r="2005" spans="1:7" hidden="1" x14ac:dyDescent="0.25">
      <c r="A2005">
        <v>99</v>
      </c>
      <c r="B2005">
        <v>10420</v>
      </c>
      <c r="C2005">
        <v>0</v>
      </c>
      <c r="D2005">
        <v>2</v>
      </c>
      <c r="E2005">
        <v>27</v>
      </c>
      <c r="F2005" t="s">
        <v>135</v>
      </c>
      <c r="G2005" t="s">
        <v>118</v>
      </c>
    </row>
    <row r="2006" spans="1:7" hidden="1" x14ac:dyDescent="0.25">
      <c r="A2006">
        <v>50</v>
      </c>
      <c r="B2006">
        <v>1172</v>
      </c>
      <c r="C2006">
        <v>0</v>
      </c>
      <c r="D2006">
        <v>2</v>
      </c>
      <c r="E2006">
        <v>14</v>
      </c>
      <c r="F2006" t="s">
        <v>134</v>
      </c>
      <c r="G2006" t="s">
        <v>116</v>
      </c>
    </row>
    <row r="2007" spans="1:7" hidden="1" x14ac:dyDescent="0.25">
      <c r="A2007">
        <v>50</v>
      </c>
      <c r="B2007">
        <v>1476</v>
      </c>
      <c r="C2007">
        <v>0</v>
      </c>
      <c r="D2007">
        <v>2</v>
      </c>
      <c r="E2007">
        <v>14</v>
      </c>
      <c r="F2007" t="s">
        <v>134</v>
      </c>
      <c r="G2007" t="s">
        <v>116</v>
      </c>
    </row>
    <row r="2008" spans="1:7" hidden="1" x14ac:dyDescent="0.25">
      <c r="A2008">
        <v>50</v>
      </c>
      <c r="B2008">
        <v>2548</v>
      </c>
      <c r="C2008">
        <v>0</v>
      </c>
      <c r="D2008">
        <v>2</v>
      </c>
      <c r="E2008">
        <v>14</v>
      </c>
      <c r="F2008" t="s">
        <v>134</v>
      </c>
      <c r="G2008" t="s">
        <v>116</v>
      </c>
    </row>
    <row r="2009" spans="1:7" hidden="1" x14ac:dyDescent="0.25">
      <c r="A2009">
        <v>50</v>
      </c>
      <c r="B2009">
        <v>4144</v>
      </c>
      <c r="C2009">
        <v>0</v>
      </c>
      <c r="D2009">
        <v>2</v>
      </c>
      <c r="E2009">
        <v>14</v>
      </c>
      <c r="F2009" t="s">
        <v>134</v>
      </c>
      <c r="G2009" t="s">
        <v>116</v>
      </c>
    </row>
    <row r="2010" spans="1:7" hidden="1" x14ac:dyDescent="0.25">
      <c r="A2010">
        <v>50</v>
      </c>
      <c r="B2010">
        <v>4336</v>
      </c>
      <c r="C2010">
        <v>0</v>
      </c>
      <c r="D2010">
        <v>2</v>
      </c>
      <c r="E2010">
        <v>14</v>
      </c>
      <c r="F2010" t="s">
        <v>134</v>
      </c>
      <c r="G2010" t="s">
        <v>116</v>
      </c>
    </row>
    <row r="2011" spans="1:7" hidden="1" x14ac:dyDescent="0.25">
      <c r="A2011">
        <v>50</v>
      </c>
      <c r="B2011">
        <v>4600</v>
      </c>
      <c r="C2011">
        <v>0</v>
      </c>
      <c r="D2011">
        <v>2</v>
      </c>
      <c r="E2011">
        <v>14</v>
      </c>
      <c r="F2011" t="s">
        <v>134</v>
      </c>
      <c r="G2011" t="s">
        <v>116</v>
      </c>
    </row>
    <row r="2012" spans="1:7" hidden="1" x14ac:dyDescent="0.25">
      <c r="A2012">
        <v>50</v>
      </c>
      <c r="B2012">
        <v>5892</v>
      </c>
      <c r="C2012">
        <v>0</v>
      </c>
      <c r="D2012">
        <v>2</v>
      </c>
      <c r="E2012">
        <v>14</v>
      </c>
      <c r="F2012" t="s">
        <v>134</v>
      </c>
      <c r="G2012" t="s">
        <v>116</v>
      </c>
    </row>
    <row r="2013" spans="1:7" hidden="1" x14ac:dyDescent="0.25">
      <c r="A2013">
        <v>50</v>
      </c>
      <c r="B2013">
        <v>5904</v>
      </c>
      <c r="C2013">
        <v>0</v>
      </c>
      <c r="D2013">
        <v>2</v>
      </c>
      <c r="E2013">
        <v>14</v>
      </c>
      <c r="F2013" t="s">
        <v>134</v>
      </c>
      <c r="G2013" t="s">
        <v>116</v>
      </c>
    </row>
    <row r="2014" spans="1:7" hidden="1" x14ac:dyDescent="0.25">
      <c r="A2014">
        <v>50</v>
      </c>
      <c r="B2014">
        <v>6280</v>
      </c>
      <c r="C2014">
        <v>0</v>
      </c>
      <c r="D2014">
        <v>2</v>
      </c>
      <c r="E2014">
        <v>14</v>
      </c>
      <c r="F2014" t="s">
        <v>134</v>
      </c>
      <c r="G2014" t="s">
        <v>116</v>
      </c>
    </row>
    <row r="2015" spans="1:7" hidden="1" x14ac:dyDescent="0.25">
      <c r="A2015">
        <v>50</v>
      </c>
      <c r="B2015">
        <v>6312</v>
      </c>
      <c r="C2015">
        <v>0</v>
      </c>
      <c r="D2015">
        <v>2</v>
      </c>
      <c r="E2015">
        <v>14</v>
      </c>
      <c r="F2015" t="s">
        <v>134</v>
      </c>
      <c r="G2015" t="s">
        <v>116</v>
      </c>
    </row>
    <row r="2016" spans="1:7" hidden="1" x14ac:dyDescent="0.25">
      <c r="A2016">
        <v>50</v>
      </c>
      <c r="B2016">
        <v>7528</v>
      </c>
      <c r="C2016">
        <v>0</v>
      </c>
      <c r="D2016">
        <v>2</v>
      </c>
      <c r="E2016">
        <v>14</v>
      </c>
      <c r="F2016" t="s">
        <v>134</v>
      </c>
      <c r="G2016" t="s">
        <v>116</v>
      </c>
    </row>
    <row r="2017" spans="1:7" hidden="1" x14ac:dyDescent="0.25">
      <c r="A2017">
        <v>50</v>
      </c>
      <c r="B2017">
        <v>7756</v>
      </c>
      <c r="C2017">
        <v>0</v>
      </c>
      <c r="D2017">
        <v>2</v>
      </c>
      <c r="E2017">
        <v>14</v>
      </c>
      <c r="F2017" t="s">
        <v>134</v>
      </c>
      <c r="G2017" t="s">
        <v>116</v>
      </c>
    </row>
    <row r="2018" spans="1:7" hidden="1" x14ac:dyDescent="0.25">
      <c r="A2018">
        <v>50</v>
      </c>
      <c r="B2018">
        <v>8256</v>
      </c>
      <c r="C2018">
        <v>0</v>
      </c>
      <c r="D2018">
        <v>2</v>
      </c>
      <c r="E2018">
        <v>14</v>
      </c>
      <c r="F2018" t="s">
        <v>134</v>
      </c>
      <c r="G2018" t="s">
        <v>116</v>
      </c>
    </row>
    <row r="2019" spans="1:7" hidden="1" x14ac:dyDescent="0.25">
      <c r="A2019">
        <v>50</v>
      </c>
      <c r="B2019">
        <v>10012</v>
      </c>
      <c r="C2019">
        <v>0</v>
      </c>
      <c r="D2019">
        <v>2</v>
      </c>
      <c r="E2019">
        <v>14</v>
      </c>
      <c r="F2019" t="s">
        <v>134</v>
      </c>
      <c r="G2019" t="s">
        <v>116</v>
      </c>
    </row>
    <row r="2020" spans="1:7" hidden="1" x14ac:dyDescent="0.25">
      <c r="A2020">
        <v>50</v>
      </c>
      <c r="B2020">
        <v>10064</v>
      </c>
      <c r="C2020">
        <v>0</v>
      </c>
      <c r="D2020">
        <v>2</v>
      </c>
      <c r="E2020">
        <v>14</v>
      </c>
      <c r="F2020" t="s">
        <v>134</v>
      </c>
      <c r="G2020" t="s">
        <v>116</v>
      </c>
    </row>
    <row r="2021" spans="1:7" hidden="1" x14ac:dyDescent="0.25">
      <c r="A2021">
        <v>50</v>
      </c>
      <c r="B2021">
        <v>10100</v>
      </c>
      <c r="C2021">
        <v>0</v>
      </c>
      <c r="D2021">
        <v>2</v>
      </c>
      <c r="E2021">
        <v>14</v>
      </c>
      <c r="F2021" t="s">
        <v>134</v>
      </c>
      <c r="G2021" t="s">
        <v>116</v>
      </c>
    </row>
    <row r="2022" spans="1:7" hidden="1" x14ac:dyDescent="0.25">
      <c r="A2022">
        <v>99</v>
      </c>
      <c r="B2022">
        <v>2068</v>
      </c>
      <c r="C2022">
        <v>0</v>
      </c>
      <c r="D2022">
        <v>2</v>
      </c>
      <c r="E2022">
        <v>26</v>
      </c>
      <c r="F2022" t="s">
        <v>134</v>
      </c>
      <c r="G2022" t="s">
        <v>116</v>
      </c>
    </row>
    <row r="2023" spans="1:7" hidden="1" x14ac:dyDescent="0.25">
      <c r="A2023">
        <v>99</v>
      </c>
      <c r="B2023">
        <v>3284</v>
      </c>
      <c r="C2023">
        <v>0</v>
      </c>
      <c r="D2023">
        <v>2</v>
      </c>
      <c r="E2023">
        <v>38</v>
      </c>
      <c r="F2023" t="s">
        <v>134</v>
      </c>
      <c r="G2023" t="s">
        <v>116</v>
      </c>
    </row>
    <row r="2024" spans="1:7" hidden="1" x14ac:dyDescent="0.25">
      <c r="A2024">
        <v>99</v>
      </c>
      <c r="B2024">
        <v>7188</v>
      </c>
      <c r="C2024">
        <v>0</v>
      </c>
      <c r="D2024">
        <v>2</v>
      </c>
      <c r="E2024">
        <v>26</v>
      </c>
      <c r="F2024" t="s">
        <v>134</v>
      </c>
      <c r="G2024" t="s">
        <v>116</v>
      </c>
    </row>
    <row r="2025" spans="1:7" hidden="1" x14ac:dyDescent="0.25">
      <c r="A2025">
        <v>99</v>
      </c>
      <c r="B2025">
        <v>7300</v>
      </c>
      <c r="C2025">
        <v>0</v>
      </c>
      <c r="D2025">
        <v>2</v>
      </c>
      <c r="E2025">
        <v>38</v>
      </c>
      <c r="F2025" t="s">
        <v>134</v>
      </c>
      <c r="G2025" t="s">
        <v>116</v>
      </c>
    </row>
    <row r="2026" spans="1:7" hidden="1" x14ac:dyDescent="0.25">
      <c r="A2026">
        <v>99</v>
      </c>
      <c r="B2026">
        <v>7552</v>
      </c>
      <c r="C2026">
        <v>0</v>
      </c>
      <c r="D2026">
        <v>2</v>
      </c>
      <c r="E2026">
        <v>38</v>
      </c>
      <c r="F2026" t="s">
        <v>134</v>
      </c>
      <c r="G2026" t="s">
        <v>116</v>
      </c>
    </row>
    <row r="2027" spans="1:7" hidden="1" x14ac:dyDescent="0.25">
      <c r="A2027">
        <v>99</v>
      </c>
      <c r="B2027">
        <v>8004</v>
      </c>
      <c r="C2027">
        <v>0</v>
      </c>
      <c r="D2027">
        <v>2</v>
      </c>
      <c r="E2027">
        <v>38</v>
      </c>
      <c r="F2027" t="s">
        <v>134</v>
      </c>
      <c r="G2027" t="s">
        <v>116</v>
      </c>
    </row>
    <row r="2028" spans="1:7" hidden="1" x14ac:dyDescent="0.25">
      <c r="A2028">
        <v>99</v>
      </c>
      <c r="B2028">
        <v>8144</v>
      </c>
      <c r="C2028">
        <v>0</v>
      </c>
      <c r="D2028">
        <v>2</v>
      </c>
      <c r="E2028">
        <v>38</v>
      </c>
      <c r="F2028" t="s">
        <v>134</v>
      </c>
      <c r="G2028" t="s">
        <v>116</v>
      </c>
    </row>
    <row r="2029" spans="1:7" hidden="1" x14ac:dyDescent="0.25">
      <c r="A2029">
        <v>99</v>
      </c>
      <c r="B2029">
        <v>8668</v>
      </c>
      <c r="C2029">
        <v>0</v>
      </c>
      <c r="D2029">
        <v>2</v>
      </c>
      <c r="E2029">
        <v>14</v>
      </c>
      <c r="F2029" t="s">
        <v>134</v>
      </c>
      <c r="G2029" t="s">
        <v>116</v>
      </c>
    </row>
    <row r="2030" spans="1:7" hidden="1" x14ac:dyDescent="0.25">
      <c r="A2030">
        <v>99</v>
      </c>
      <c r="B2030">
        <v>9032</v>
      </c>
      <c r="C2030">
        <v>0</v>
      </c>
      <c r="D2030">
        <v>2</v>
      </c>
      <c r="E2030">
        <v>38</v>
      </c>
      <c r="F2030" t="s">
        <v>134</v>
      </c>
      <c r="G2030" t="s">
        <v>116</v>
      </c>
    </row>
    <row r="2031" spans="1:7" hidden="1" x14ac:dyDescent="0.25">
      <c r="A2031">
        <v>99</v>
      </c>
      <c r="B2031">
        <v>9072</v>
      </c>
      <c r="C2031">
        <v>0</v>
      </c>
      <c r="D2031">
        <v>2</v>
      </c>
      <c r="E2031">
        <v>38</v>
      </c>
      <c r="F2031" t="s">
        <v>134</v>
      </c>
      <c r="G2031" t="s">
        <v>116</v>
      </c>
    </row>
    <row r="2032" spans="1:7" hidden="1" x14ac:dyDescent="0.25">
      <c r="A2032">
        <v>99</v>
      </c>
      <c r="B2032">
        <v>9272</v>
      </c>
      <c r="C2032">
        <v>0</v>
      </c>
      <c r="D2032">
        <v>2</v>
      </c>
      <c r="E2032">
        <v>38</v>
      </c>
      <c r="F2032" t="s">
        <v>134</v>
      </c>
      <c r="G2032" t="s">
        <v>116</v>
      </c>
    </row>
    <row r="2033" spans="1:7" hidden="1" x14ac:dyDescent="0.25">
      <c r="A2033">
        <v>99</v>
      </c>
      <c r="B2033">
        <v>10420</v>
      </c>
      <c r="C2033">
        <v>0</v>
      </c>
      <c r="D2033">
        <v>2</v>
      </c>
      <c r="E2033">
        <v>26</v>
      </c>
      <c r="F2033" t="s">
        <v>134</v>
      </c>
      <c r="G2033" t="s">
        <v>116</v>
      </c>
    </row>
    <row r="2034" spans="1:7" hidden="1" x14ac:dyDescent="0.25">
      <c r="A2034">
        <v>50</v>
      </c>
      <c r="B2034">
        <v>1172</v>
      </c>
      <c r="C2034">
        <v>0</v>
      </c>
      <c r="D2034">
        <v>2</v>
      </c>
      <c r="E2034">
        <v>13</v>
      </c>
      <c r="F2034" t="s">
        <v>133</v>
      </c>
      <c r="G2034" t="s">
        <v>114</v>
      </c>
    </row>
    <row r="2035" spans="1:7" hidden="1" x14ac:dyDescent="0.25">
      <c r="A2035">
        <v>50</v>
      </c>
      <c r="B2035">
        <v>1476</v>
      </c>
      <c r="C2035">
        <v>0</v>
      </c>
      <c r="D2035">
        <v>2</v>
      </c>
      <c r="E2035">
        <v>13</v>
      </c>
      <c r="F2035" t="s">
        <v>133</v>
      </c>
      <c r="G2035" t="s">
        <v>114</v>
      </c>
    </row>
    <row r="2036" spans="1:7" hidden="1" x14ac:dyDescent="0.25">
      <c r="A2036">
        <v>50</v>
      </c>
      <c r="B2036">
        <v>2548</v>
      </c>
      <c r="C2036">
        <v>0</v>
      </c>
      <c r="D2036">
        <v>2</v>
      </c>
      <c r="E2036">
        <v>13</v>
      </c>
      <c r="F2036" t="s">
        <v>133</v>
      </c>
      <c r="G2036" t="s">
        <v>114</v>
      </c>
    </row>
    <row r="2037" spans="1:7" hidden="1" x14ac:dyDescent="0.25">
      <c r="A2037">
        <v>50</v>
      </c>
      <c r="B2037">
        <v>4144</v>
      </c>
      <c r="C2037">
        <v>0</v>
      </c>
      <c r="D2037">
        <v>2</v>
      </c>
      <c r="E2037">
        <v>13</v>
      </c>
      <c r="F2037" t="s">
        <v>133</v>
      </c>
      <c r="G2037" t="s">
        <v>114</v>
      </c>
    </row>
    <row r="2038" spans="1:7" hidden="1" x14ac:dyDescent="0.25">
      <c r="A2038">
        <v>50</v>
      </c>
      <c r="B2038">
        <v>4336</v>
      </c>
      <c r="C2038">
        <v>0</v>
      </c>
      <c r="D2038">
        <v>2</v>
      </c>
      <c r="E2038">
        <v>13</v>
      </c>
      <c r="F2038" t="s">
        <v>133</v>
      </c>
      <c r="G2038" t="s">
        <v>114</v>
      </c>
    </row>
    <row r="2039" spans="1:7" hidden="1" x14ac:dyDescent="0.25">
      <c r="A2039">
        <v>50</v>
      </c>
      <c r="B2039">
        <v>4600</v>
      </c>
      <c r="C2039">
        <v>0</v>
      </c>
      <c r="D2039">
        <v>2</v>
      </c>
      <c r="E2039">
        <v>13</v>
      </c>
      <c r="F2039" t="s">
        <v>133</v>
      </c>
      <c r="G2039" t="s">
        <v>114</v>
      </c>
    </row>
    <row r="2040" spans="1:7" hidden="1" x14ac:dyDescent="0.25">
      <c r="A2040">
        <v>50</v>
      </c>
      <c r="B2040">
        <v>5892</v>
      </c>
      <c r="C2040">
        <v>0</v>
      </c>
      <c r="D2040">
        <v>2</v>
      </c>
      <c r="E2040">
        <v>13</v>
      </c>
      <c r="F2040" t="s">
        <v>133</v>
      </c>
      <c r="G2040" t="s">
        <v>114</v>
      </c>
    </row>
    <row r="2041" spans="1:7" hidden="1" x14ac:dyDescent="0.25">
      <c r="A2041">
        <v>50</v>
      </c>
      <c r="B2041">
        <v>5904</v>
      </c>
      <c r="C2041">
        <v>0</v>
      </c>
      <c r="D2041">
        <v>2</v>
      </c>
      <c r="E2041">
        <v>13</v>
      </c>
      <c r="F2041" t="s">
        <v>133</v>
      </c>
      <c r="G2041" t="s">
        <v>114</v>
      </c>
    </row>
    <row r="2042" spans="1:7" hidden="1" x14ac:dyDescent="0.25">
      <c r="A2042">
        <v>50</v>
      </c>
      <c r="B2042">
        <v>6280</v>
      </c>
      <c r="C2042">
        <v>0</v>
      </c>
      <c r="D2042">
        <v>2</v>
      </c>
      <c r="E2042">
        <v>13</v>
      </c>
      <c r="F2042" t="s">
        <v>133</v>
      </c>
      <c r="G2042" t="s">
        <v>114</v>
      </c>
    </row>
    <row r="2043" spans="1:7" hidden="1" x14ac:dyDescent="0.25">
      <c r="A2043">
        <v>50</v>
      </c>
      <c r="B2043">
        <v>6312</v>
      </c>
      <c r="C2043">
        <v>0</v>
      </c>
      <c r="D2043">
        <v>2</v>
      </c>
      <c r="E2043">
        <v>13</v>
      </c>
      <c r="F2043" t="s">
        <v>133</v>
      </c>
      <c r="G2043" t="s">
        <v>114</v>
      </c>
    </row>
    <row r="2044" spans="1:7" hidden="1" x14ac:dyDescent="0.25">
      <c r="A2044">
        <v>50</v>
      </c>
      <c r="B2044">
        <v>7528</v>
      </c>
      <c r="C2044">
        <v>0</v>
      </c>
      <c r="D2044">
        <v>2</v>
      </c>
      <c r="E2044">
        <v>13</v>
      </c>
      <c r="F2044" t="s">
        <v>133</v>
      </c>
      <c r="G2044" t="s">
        <v>114</v>
      </c>
    </row>
    <row r="2045" spans="1:7" hidden="1" x14ac:dyDescent="0.25">
      <c r="A2045">
        <v>50</v>
      </c>
      <c r="B2045">
        <v>7756</v>
      </c>
      <c r="C2045">
        <v>0</v>
      </c>
      <c r="D2045">
        <v>2</v>
      </c>
      <c r="E2045">
        <v>13</v>
      </c>
      <c r="F2045" t="s">
        <v>133</v>
      </c>
      <c r="G2045" t="s">
        <v>114</v>
      </c>
    </row>
    <row r="2046" spans="1:7" hidden="1" x14ac:dyDescent="0.25">
      <c r="A2046">
        <v>50</v>
      </c>
      <c r="B2046">
        <v>8256</v>
      </c>
      <c r="C2046">
        <v>0</v>
      </c>
      <c r="D2046">
        <v>2</v>
      </c>
      <c r="E2046">
        <v>13</v>
      </c>
      <c r="F2046" t="s">
        <v>133</v>
      </c>
      <c r="G2046" t="s">
        <v>114</v>
      </c>
    </row>
    <row r="2047" spans="1:7" hidden="1" x14ac:dyDescent="0.25">
      <c r="A2047">
        <v>50</v>
      </c>
      <c r="B2047">
        <v>10012</v>
      </c>
      <c r="C2047">
        <v>0</v>
      </c>
      <c r="D2047">
        <v>2</v>
      </c>
      <c r="E2047">
        <v>13</v>
      </c>
      <c r="F2047" t="s">
        <v>133</v>
      </c>
      <c r="G2047" t="s">
        <v>114</v>
      </c>
    </row>
    <row r="2048" spans="1:7" hidden="1" x14ac:dyDescent="0.25">
      <c r="A2048">
        <v>50</v>
      </c>
      <c r="B2048">
        <v>10064</v>
      </c>
      <c r="C2048">
        <v>0</v>
      </c>
      <c r="D2048">
        <v>2</v>
      </c>
      <c r="E2048">
        <v>13</v>
      </c>
      <c r="F2048" t="s">
        <v>133</v>
      </c>
      <c r="G2048" t="s">
        <v>114</v>
      </c>
    </row>
    <row r="2049" spans="1:7" hidden="1" x14ac:dyDescent="0.25">
      <c r="A2049">
        <v>50</v>
      </c>
      <c r="B2049">
        <v>10100</v>
      </c>
      <c r="C2049">
        <v>0</v>
      </c>
      <c r="D2049">
        <v>2</v>
      </c>
      <c r="E2049">
        <v>13</v>
      </c>
      <c r="F2049" t="s">
        <v>133</v>
      </c>
      <c r="G2049" t="s">
        <v>114</v>
      </c>
    </row>
    <row r="2050" spans="1:7" hidden="1" x14ac:dyDescent="0.25">
      <c r="A2050">
        <v>99</v>
      </c>
      <c r="B2050">
        <v>2068</v>
      </c>
      <c r="C2050">
        <v>0</v>
      </c>
      <c r="D2050">
        <v>2</v>
      </c>
      <c r="E2050">
        <v>25</v>
      </c>
      <c r="F2050" t="s">
        <v>133</v>
      </c>
      <c r="G2050" t="s">
        <v>114</v>
      </c>
    </row>
    <row r="2051" spans="1:7" hidden="1" x14ac:dyDescent="0.25">
      <c r="A2051">
        <v>99</v>
      </c>
      <c r="B2051">
        <v>3284</v>
      </c>
      <c r="C2051">
        <v>0</v>
      </c>
      <c r="D2051">
        <v>2</v>
      </c>
      <c r="E2051">
        <v>37</v>
      </c>
      <c r="F2051" t="s">
        <v>133</v>
      </c>
      <c r="G2051" t="s">
        <v>114</v>
      </c>
    </row>
    <row r="2052" spans="1:7" hidden="1" x14ac:dyDescent="0.25">
      <c r="A2052">
        <v>99</v>
      </c>
      <c r="B2052">
        <v>7188</v>
      </c>
      <c r="C2052">
        <v>0</v>
      </c>
      <c r="D2052">
        <v>2</v>
      </c>
      <c r="E2052">
        <v>25</v>
      </c>
      <c r="F2052" t="s">
        <v>133</v>
      </c>
      <c r="G2052" t="s">
        <v>114</v>
      </c>
    </row>
    <row r="2053" spans="1:7" hidden="1" x14ac:dyDescent="0.25">
      <c r="A2053">
        <v>99</v>
      </c>
      <c r="B2053">
        <v>7300</v>
      </c>
      <c r="C2053">
        <v>0</v>
      </c>
      <c r="D2053">
        <v>2</v>
      </c>
      <c r="E2053">
        <v>37</v>
      </c>
      <c r="F2053" t="s">
        <v>133</v>
      </c>
      <c r="G2053" t="s">
        <v>114</v>
      </c>
    </row>
    <row r="2054" spans="1:7" hidden="1" x14ac:dyDescent="0.25">
      <c r="A2054">
        <v>99</v>
      </c>
      <c r="B2054">
        <v>7552</v>
      </c>
      <c r="C2054">
        <v>0</v>
      </c>
      <c r="D2054">
        <v>2</v>
      </c>
      <c r="E2054">
        <v>37</v>
      </c>
      <c r="F2054" t="s">
        <v>133</v>
      </c>
      <c r="G2054" t="s">
        <v>114</v>
      </c>
    </row>
    <row r="2055" spans="1:7" hidden="1" x14ac:dyDescent="0.25">
      <c r="A2055">
        <v>99</v>
      </c>
      <c r="B2055">
        <v>8004</v>
      </c>
      <c r="C2055">
        <v>0</v>
      </c>
      <c r="D2055">
        <v>2</v>
      </c>
      <c r="E2055">
        <v>37</v>
      </c>
      <c r="F2055" t="s">
        <v>133</v>
      </c>
      <c r="G2055" t="s">
        <v>114</v>
      </c>
    </row>
    <row r="2056" spans="1:7" hidden="1" x14ac:dyDescent="0.25">
      <c r="A2056">
        <v>99</v>
      </c>
      <c r="B2056">
        <v>8144</v>
      </c>
      <c r="C2056">
        <v>0</v>
      </c>
      <c r="D2056">
        <v>2</v>
      </c>
      <c r="E2056">
        <v>37</v>
      </c>
      <c r="F2056" t="s">
        <v>133</v>
      </c>
      <c r="G2056" t="s">
        <v>114</v>
      </c>
    </row>
    <row r="2057" spans="1:7" hidden="1" x14ac:dyDescent="0.25">
      <c r="A2057">
        <v>99</v>
      </c>
      <c r="B2057">
        <v>8668</v>
      </c>
      <c r="C2057">
        <v>0</v>
      </c>
      <c r="D2057">
        <v>2</v>
      </c>
      <c r="E2057">
        <v>13</v>
      </c>
      <c r="F2057" t="s">
        <v>133</v>
      </c>
      <c r="G2057" t="s">
        <v>114</v>
      </c>
    </row>
    <row r="2058" spans="1:7" hidden="1" x14ac:dyDescent="0.25">
      <c r="A2058">
        <v>99</v>
      </c>
      <c r="B2058">
        <v>9032</v>
      </c>
      <c r="C2058">
        <v>0</v>
      </c>
      <c r="D2058">
        <v>2</v>
      </c>
      <c r="E2058">
        <v>37</v>
      </c>
      <c r="F2058" t="s">
        <v>133</v>
      </c>
      <c r="G2058" t="s">
        <v>114</v>
      </c>
    </row>
    <row r="2059" spans="1:7" hidden="1" x14ac:dyDescent="0.25">
      <c r="A2059">
        <v>99</v>
      </c>
      <c r="B2059">
        <v>9072</v>
      </c>
      <c r="C2059">
        <v>0</v>
      </c>
      <c r="D2059">
        <v>2</v>
      </c>
      <c r="E2059">
        <v>37</v>
      </c>
      <c r="F2059" t="s">
        <v>133</v>
      </c>
      <c r="G2059" t="s">
        <v>114</v>
      </c>
    </row>
    <row r="2060" spans="1:7" hidden="1" x14ac:dyDescent="0.25">
      <c r="A2060">
        <v>99</v>
      </c>
      <c r="B2060">
        <v>9272</v>
      </c>
      <c r="C2060">
        <v>0</v>
      </c>
      <c r="D2060">
        <v>2</v>
      </c>
      <c r="E2060">
        <v>37</v>
      </c>
      <c r="F2060" t="s">
        <v>133</v>
      </c>
      <c r="G2060" t="s">
        <v>114</v>
      </c>
    </row>
    <row r="2061" spans="1:7" hidden="1" x14ac:dyDescent="0.25">
      <c r="A2061">
        <v>99</v>
      </c>
      <c r="B2061">
        <v>10420</v>
      </c>
      <c r="C2061">
        <v>0</v>
      </c>
      <c r="D2061">
        <v>2</v>
      </c>
      <c r="E2061">
        <v>25</v>
      </c>
      <c r="F2061" t="s">
        <v>133</v>
      </c>
      <c r="G2061" t="s">
        <v>114</v>
      </c>
    </row>
    <row r="2062" spans="1:7" hidden="1" x14ac:dyDescent="0.25">
      <c r="A2062">
        <v>50</v>
      </c>
      <c r="B2062">
        <v>1172</v>
      </c>
      <c r="C2062">
        <v>0</v>
      </c>
      <c r="D2062">
        <v>2</v>
      </c>
      <c r="E2062">
        <v>25</v>
      </c>
      <c r="F2062" t="s">
        <v>150</v>
      </c>
      <c r="G2062" t="s">
        <v>120</v>
      </c>
    </row>
    <row r="2063" spans="1:7" hidden="1" x14ac:dyDescent="0.25">
      <c r="A2063">
        <v>50</v>
      </c>
      <c r="B2063">
        <v>1476</v>
      </c>
      <c r="C2063">
        <v>0</v>
      </c>
      <c r="D2063">
        <v>2</v>
      </c>
      <c r="E2063">
        <v>25</v>
      </c>
      <c r="F2063" t="s">
        <v>150</v>
      </c>
      <c r="G2063" t="s">
        <v>120</v>
      </c>
    </row>
    <row r="2064" spans="1:7" hidden="1" x14ac:dyDescent="0.25">
      <c r="A2064">
        <v>50</v>
      </c>
      <c r="B2064">
        <v>2548</v>
      </c>
      <c r="C2064">
        <v>0</v>
      </c>
      <c r="D2064">
        <v>2</v>
      </c>
      <c r="E2064">
        <v>25</v>
      </c>
      <c r="F2064" t="s">
        <v>150</v>
      </c>
      <c r="G2064" t="s">
        <v>120</v>
      </c>
    </row>
    <row r="2065" spans="1:7" hidden="1" x14ac:dyDescent="0.25">
      <c r="A2065">
        <v>50</v>
      </c>
      <c r="B2065">
        <v>4144</v>
      </c>
      <c r="C2065">
        <v>0</v>
      </c>
      <c r="D2065">
        <v>2</v>
      </c>
      <c r="E2065">
        <v>25</v>
      </c>
      <c r="F2065" t="s">
        <v>150</v>
      </c>
      <c r="G2065" t="s">
        <v>120</v>
      </c>
    </row>
    <row r="2066" spans="1:7" hidden="1" x14ac:dyDescent="0.25">
      <c r="A2066">
        <v>50</v>
      </c>
      <c r="B2066">
        <v>4336</v>
      </c>
      <c r="C2066">
        <v>0</v>
      </c>
      <c r="D2066">
        <v>2</v>
      </c>
      <c r="E2066">
        <v>25</v>
      </c>
      <c r="F2066" t="s">
        <v>150</v>
      </c>
      <c r="G2066" t="s">
        <v>120</v>
      </c>
    </row>
    <row r="2067" spans="1:7" hidden="1" x14ac:dyDescent="0.25">
      <c r="A2067">
        <v>50</v>
      </c>
      <c r="B2067">
        <v>4600</v>
      </c>
      <c r="C2067">
        <v>0</v>
      </c>
      <c r="D2067">
        <v>2</v>
      </c>
      <c r="E2067">
        <v>25</v>
      </c>
      <c r="F2067" t="s">
        <v>150</v>
      </c>
      <c r="G2067" t="s">
        <v>120</v>
      </c>
    </row>
    <row r="2068" spans="1:7" hidden="1" x14ac:dyDescent="0.25">
      <c r="A2068">
        <v>50</v>
      </c>
      <c r="B2068">
        <v>5892</v>
      </c>
      <c r="C2068">
        <v>0</v>
      </c>
      <c r="D2068">
        <v>2</v>
      </c>
      <c r="E2068">
        <v>25</v>
      </c>
      <c r="F2068" t="s">
        <v>150</v>
      </c>
      <c r="G2068" t="s">
        <v>120</v>
      </c>
    </row>
    <row r="2069" spans="1:7" hidden="1" x14ac:dyDescent="0.25">
      <c r="A2069">
        <v>50</v>
      </c>
      <c r="B2069">
        <v>5904</v>
      </c>
      <c r="C2069">
        <v>0</v>
      </c>
      <c r="D2069">
        <v>2</v>
      </c>
      <c r="E2069">
        <v>25</v>
      </c>
      <c r="F2069" t="s">
        <v>150</v>
      </c>
      <c r="G2069" t="s">
        <v>120</v>
      </c>
    </row>
    <row r="2070" spans="1:7" hidden="1" x14ac:dyDescent="0.25">
      <c r="A2070">
        <v>50</v>
      </c>
      <c r="B2070">
        <v>6280</v>
      </c>
      <c r="C2070">
        <v>0</v>
      </c>
      <c r="D2070">
        <v>2</v>
      </c>
      <c r="E2070">
        <v>25</v>
      </c>
      <c r="F2070" t="s">
        <v>150</v>
      </c>
      <c r="G2070" t="s">
        <v>120</v>
      </c>
    </row>
    <row r="2071" spans="1:7" hidden="1" x14ac:dyDescent="0.25">
      <c r="A2071">
        <v>50</v>
      </c>
      <c r="B2071">
        <v>6312</v>
      </c>
      <c r="C2071">
        <v>0</v>
      </c>
      <c r="D2071">
        <v>2</v>
      </c>
      <c r="E2071">
        <v>25</v>
      </c>
      <c r="F2071" t="s">
        <v>150</v>
      </c>
      <c r="G2071" t="s">
        <v>120</v>
      </c>
    </row>
    <row r="2072" spans="1:7" hidden="1" x14ac:dyDescent="0.25">
      <c r="A2072">
        <v>50</v>
      </c>
      <c r="B2072">
        <v>7528</v>
      </c>
      <c r="C2072">
        <v>0</v>
      </c>
      <c r="D2072">
        <v>2</v>
      </c>
      <c r="E2072">
        <v>25</v>
      </c>
      <c r="F2072" t="s">
        <v>150</v>
      </c>
      <c r="G2072" t="s">
        <v>120</v>
      </c>
    </row>
    <row r="2073" spans="1:7" hidden="1" x14ac:dyDescent="0.25">
      <c r="A2073">
        <v>50</v>
      </c>
      <c r="B2073">
        <v>7756</v>
      </c>
      <c r="C2073">
        <v>0</v>
      </c>
      <c r="D2073">
        <v>2</v>
      </c>
      <c r="E2073">
        <v>25</v>
      </c>
      <c r="F2073" t="s">
        <v>150</v>
      </c>
      <c r="G2073" t="s">
        <v>120</v>
      </c>
    </row>
    <row r="2074" spans="1:7" hidden="1" x14ac:dyDescent="0.25">
      <c r="A2074">
        <v>50</v>
      </c>
      <c r="B2074">
        <v>8256</v>
      </c>
      <c r="C2074">
        <v>0</v>
      </c>
      <c r="D2074">
        <v>2</v>
      </c>
      <c r="E2074">
        <v>25</v>
      </c>
      <c r="F2074" t="s">
        <v>150</v>
      </c>
      <c r="G2074" t="s">
        <v>120</v>
      </c>
    </row>
    <row r="2075" spans="1:7" hidden="1" x14ac:dyDescent="0.25">
      <c r="A2075">
        <v>50</v>
      </c>
      <c r="B2075">
        <v>10012</v>
      </c>
      <c r="C2075">
        <v>0</v>
      </c>
      <c r="D2075">
        <v>2</v>
      </c>
      <c r="E2075">
        <v>25</v>
      </c>
      <c r="F2075" t="s">
        <v>150</v>
      </c>
      <c r="G2075" t="s">
        <v>120</v>
      </c>
    </row>
    <row r="2076" spans="1:7" hidden="1" x14ac:dyDescent="0.25">
      <c r="A2076">
        <v>50</v>
      </c>
      <c r="B2076">
        <v>10064</v>
      </c>
      <c r="C2076">
        <v>0</v>
      </c>
      <c r="D2076">
        <v>2</v>
      </c>
      <c r="E2076">
        <v>25</v>
      </c>
      <c r="F2076" t="s">
        <v>150</v>
      </c>
      <c r="G2076" t="s">
        <v>120</v>
      </c>
    </row>
    <row r="2077" spans="1:7" hidden="1" x14ac:dyDescent="0.25">
      <c r="A2077">
        <v>50</v>
      </c>
      <c r="B2077">
        <v>10100</v>
      </c>
      <c r="C2077">
        <v>0</v>
      </c>
      <c r="D2077">
        <v>2</v>
      </c>
      <c r="E2077">
        <v>25</v>
      </c>
      <c r="F2077" t="s">
        <v>150</v>
      </c>
      <c r="G2077" t="s">
        <v>120</v>
      </c>
    </row>
    <row r="2078" spans="1:7" hidden="1" x14ac:dyDescent="0.25">
      <c r="A2078">
        <v>99</v>
      </c>
      <c r="B2078">
        <v>2068</v>
      </c>
      <c r="C2078">
        <v>0</v>
      </c>
      <c r="D2078">
        <v>2</v>
      </c>
      <c r="E2078">
        <v>37</v>
      </c>
      <c r="F2078" t="s">
        <v>150</v>
      </c>
      <c r="G2078" t="s">
        <v>120</v>
      </c>
    </row>
    <row r="2079" spans="1:7" hidden="1" x14ac:dyDescent="0.25">
      <c r="A2079">
        <v>99</v>
      </c>
      <c r="B2079">
        <v>3284</v>
      </c>
      <c r="C2079">
        <v>0</v>
      </c>
      <c r="D2079">
        <v>2</v>
      </c>
      <c r="E2079">
        <v>49</v>
      </c>
      <c r="F2079" t="s">
        <v>150</v>
      </c>
      <c r="G2079" t="s">
        <v>120</v>
      </c>
    </row>
    <row r="2080" spans="1:7" hidden="1" x14ac:dyDescent="0.25">
      <c r="A2080">
        <v>99</v>
      </c>
      <c r="B2080">
        <v>7188</v>
      </c>
      <c r="C2080">
        <v>0</v>
      </c>
      <c r="D2080">
        <v>2</v>
      </c>
      <c r="E2080">
        <v>37</v>
      </c>
      <c r="F2080" t="s">
        <v>150</v>
      </c>
      <c r="G2080" t="s">
        <v>120</v>
      </c>
    </row>
    <row r="2081" spans="1:7" hidden="1" x14ac:dyDescent="0.25">
      <c r="A2081">
        <v>99</v>
      </c>
      <c r="B2081">
        <v>7300</v>
      </c>
      <c r="C2081">
        <v>0</v>
      </c>
      <c r="D2081">
        <v>2</v>
      </c>
      <c r="E2081">
        <v>49</v>
      </c>
      <c r="F2081" t="s">
        <v>150</v>
      </c>
      <c r="G2081" t="s">
        <v>120</v>
      </c>
    </row>
    <row r="2082" spans="1:7" hidden="1" x14ac:dyDescent="0.25">
      <c r="A2082">
        <v>99</v>
      </c>
      <c r="B2082">
        <v>7552</v>
      </c>
      <c r="C2082">
        <v>0</v>
      </c>
      <c r="D2082">
        <v>2</v>
      </c>
      <c r="E2082">
        <v>49</v>
      </c>
      <c r="F2082" t="s">
        <v>150</v>
      </c>
      <c r="G2082" t="s">
        <v>120</v>
      </c>
    </row>
    <row r="2083" spans="1:7" hidden="1" x14ac:dyDescent="0.25">
      <c r="A2083">
        <v>99</v>
      </c>
      <c r="B2083">
        <v>8004</v>
      </c>
      <c r="C2083">
        <v>0</v>
      </c>
      <c r="D2083">
        <v>2</v>
      </c>
      <c r="E2083">
        <v>49</v>
      </c>
      <c r="F2083" t="s">
        <v>150</v>
      </c>
      <c r="G2083" t="s">
        <v>120</v>
      </c>
    </row>
    <row r="2084" spans="1:7" hidden="1" x14ac:dyDescent="0.25">
      <c r="A2084">
        <v>99</v>
      </c>
      <c r="B2084">
        <v>8144</v>
      </c>
      <c r="C2084">
        <v>0</v>
      </c>
      <c r="D2084">
        <v>2</v>
      </c>
      <c r="E2084">
        <v>49</v>
      </c>
      <c r="F2084" t="s">
        <v>150</v>
      </c>
      <c r="G2084" t="s">
        <v>120</v>
      </c>
    </row>
    <row r="2085" spans="1:7" hidden="1" x14ac:dyDescent="0.25">
      <c r="A2085">
        <v>99</v>
      </c>
      <c r="B2085">
        <v>8668</v>
      </c>
      <c r="C2085">
        <v>0</v>
      </c>
      <c r="D2085">
        <v>2</v>
      </c>
      <c r="E2085">
        <v>25</v>
      </c>
      <c r="F2085" t="s">
        <v>150</v>
      </c>
      <c r="G2085" t="s">
        <v>120</v>
      </c>
    </row>
    <row r="2086" spans="1:7" hidden="1" x14ac:dyDescent="0.25">
      <c r="A2086">
        <v>99</v>
      </c>
      <c r="B2086">
        <v>9032</v>
      </c>
      <c r="C2086">
        <v>0</v>
      </c>
      <c r="D2086">
        <v>2</v>
      </c>
      <c r="E2086">
        <v>49</v>
      </c>
      <c r="F2086" t="s">
        <v>150</v>
      </c>
      <c r="G2086" t="s">
        <v>120</v>
      </c>
    </row>
    <row r="2087" spans="1:7" hidden="1" x14ac:dyDescent="0.25">
      <c r="A2087">
        <v>99</v>
      </c>
      <c r="B2087">
        <v>9072</v>
      </c>
      <c r="C2087">
        <v>0</v>
      </c>
      <c r="D2087">
        <v>2</v>
      </c>
      <c r="E2087">
        <v>49</v>
      </c>
      <c r="F2087" t="s">
        <v>150</v>
      </c>
      <c r="G2087" t="s">
        <v>120</v>
      </c>
    </row>
    <row r="2088" spans="1:7" hidden="1" x14ac:dyDescent="0.25">
      <c r="A2088">
        <v>99</v>
      </c>
      <c r="B2088">
        <v>9272</v>
      </c>
      <c r="C2088">
        <v>0</v>
      </c>
      <c r="D2088">
        <v>2</v>
      </c>
      <c r="E2088">
        <v>49</v>
      </c>
      <c r="F2088" t="s">
        <v>150</v>
      </c>
      <c r="G2088" t="s">
        <v>120</v>
      </c>
    </row>
    <row r="2089" spans="1:7" hidden="1" x14ac:dyDescent="0.25">
      <c r="A2089">
        <v>99</v>
      </c>
      <c r="B2089">
        <v>10420</v>
      </c>
      <c r="C2089">
        <v>0</v>
      </c>
      <c r="D2089">
        <v>2</v>
      </c>
      <c r="E2089">
        <v>37</v>
      </c>
      <c r="F2089" t="s">
        <v>150</v>
      </c>
      <c r="G2089" t="s">
        <v>120</v>
      </c>
    </row>
    <row r="2090" spans="1:7" hidden="1" x14ac:dyDescent="0.25">
      <c r="A2090">
        <v>50</v>
      </c>
      <c r="B2090">
        <v>1172</v>
      </c>
      <c r="C2090">
        <v>0</v>
      </c>
      <c r="D2090">
        <v>2</v>
      </c>
      <c r="E2090">
        <v>24</v>
      </c>
      <c r="F2090" t="s">
        <v>149</v>
      </c>
      <c r="G2090" t="s">
        <v>122</v>
      </c>
    </row>
    <row r="2091" spans="1:7" hidden="1" x14ac:dyDescent="0.25">
      <c r="A2091">
        <v>50</v>
      </c>
      <c r="B2091">
        <v>1476</v>
      </c>
      <c r="C2091">
        <v>0</v>
      </c>
      <c r="D2091">
        <v>2</v>
      </c>
      <c r="E2091">
        <v>24</v>
      </c>
      <c r="F2091" t="s">
        <v>149</v>
      </c>
      <c r="G2091" t="s">
        <v>122</v>
      </c>
    </row>
    <row r="2092" spans="1:7" hidden="1" x14ac:dyDescent="0.25">
      <c r="A2092">
        <v>50</v>
      </c>
      <c r="B2092">
        <v>2548</v>
      </c>
      <c r="C2092">
        <v>0</v>
      </c>
      <c r="D2092">
        <v>2</v>
      </c>
      <c r="E2092">
        <v>24</v>
      </c>
      <c r="F2092" t="s">
        <v>149</v>
      </c>
      <c r="G2092" t="s">
        <v>122</v>
      </c>
    </row>
    <row r="2093" spans="1:7" hidden="1" x14ac:dyDescent="0.25">
      <c r="A2093">
        <v>50</v>
      </c>
      <c r="B2093">
        <v>4144</v>
      </c>
      <c r="C2093">
        <v>0</v>
      </c>
      <c r="D2093">
        <v>2</v>
      </c>
      <c r="E2093">
        <v>24</v>
      </c>
      <c r="F2093" t="s">
        <v>149</v>
      </c>
      <c r="G2093" t="s">
        <v>122</v>
      </c>
    </row>
    <row r="2094" spans="1:7" hidden="1" x14ac:dyDescent="0.25">
      <c r="A2094">
        <v>50</v>
      </c>
      <c r="B2094">
        <v>4336</v>
      </c>
      <c r="C2094">
        <v>0</v>
      </c>
      <c r="D2094">
        <v>2</v>
      </c>
      <c r="E2094">
        <v>24</v>
      </c>
      <c r="F2094" t="s">
        <v>149</v>
      </c>
      <c r="G2094" t="s">
        <v>122</v>
      </c>
    </row>
    <row r="2095" spans="1:7" hidden="1" x14ac:dyDescent="0.25">
      <c r="A2095">
        <v>50</v>
      </c>
      <c r="B2095">
        <v>4600</v>
      </c>
      <c r="C2095">
        <v>0</v>
      </c>
      <c r="D2095">
        <v>2</v>
      </c>
      <c r="E2095">
        <v>24</v>
      </c>
      <c r="F2095" t="s">
        <v>149</v>
      </c>
      <c r="G2095" t="s">
        <v>122</v>
      </c>
    </row>
    <row r="2096" spans="1:7" hidden="1" x14ac:dyDescent="0.25">
      <c r="A2096">
        <v>50</v>
      </c>
      <c r="B2096">
        <v>5892</v>
      </c>
      <c r="C2096">
        <v>0</v>
      </c>
      <c r="D2096">
        <v>2</v>
      </c>
      <c r="E2096">
        <v>24</v>
      </c>
      <c r="F2096" t="s">
        <v>149</v>
      </c>
      <c r="G2096" t="s">
        <v>122</v>
      </c>
    </row>
    <row r="2097" spans="1:7" hidden="1" x14ac:dyDescent="0.25">
      <c r="A2097">
        <v>50</v>
      </c>
      <c r="B2097">
        <v>5904</v>
      </c>
      <c r="C2097">
        <v>0</v>
      </c>
      <c r="D2097">
        <v>2</v>
      </c>
      <c r="E2097">
        <v>24</v>
      </c>
      <c r="F2097" t="s">
        <v>149</v>
      </c>
      <c r="G2097" t="s">
        <v>122</v>
      </c>
    </row>
    <row r="2098" spans="1:7" hidden="1" x14ac:dyDescent="0.25">
      <c r="A2098">
        <v>50</v>
      </c>
      <c r="B2098">
        <v>6280</v>
      </c>
      <c r="C2098">
        <v>0</v>
      </c>
      <c r="D2098">
        <v>2</v>
      </c>
      <c r="E2098">
        <v>24</v>
      </c>
      <c r="F2098" t="s">
        <v>149</v>
      </c>
      <c r="G2098" t="s">
        <v>122</v>
      </c>
    </row>
    <row r="2099" spans="1:7" hidden="1" x14ac:dyDescent="0.25">
      <c r="A2099">
        <v>50</v>
      </c>
      <c r="B2099">
        <v>6312</v>
      </c>
      <c r="C2099">
        <v>0</v>
      </c>
      <c r="D2099">
        <v>2</v>
      </c>
      <c r="E2099">
        <v>24</v>
      </c>
      <c r="F2099" t="s">
        <v>149</v>
      </c>
      <c r="G2099" t="s">
        <v>122</v>
      </c>
    </row>
    <row r="2100" spans="1:7" hidden="1" x14ac:dyDescent="0.25">
      <c r="A2100">
        <v>50</v>
      </c>
      <c r="B2100">
        <v>7528</v>
      </c>
      <c r="C2100">
        <v>0</v>
      </c>
      <c r="D2100">
        <v>2</v>
      </c>
      <c r="E2100">
        <v>24</v>
      </c>
      <c r="F2100" t="s">
        <v>149</v>
      </c>
      <c r="G2100" t="s">
        <v>122</v>
      </c>
    </row>
    <row r="2101" spans="1:7" hidden="1" x14ac:dyDescent="0.25">
      <c r="A2101">
        <v>50</v>
      </c>
      <c r="B2101">
        <v>7756</v>
      </c>
      <c r="C2101">
        <v>0</v>
      </c>
      <c r="D2101">
        <v>2</v>
      </c>
      <c r="E2101">
        <v>24</v>
      </c>
      <c r="F2101" t="s">
        <v>149</v>
      </c>
      <c r="G2101" t="s">
        <v>122</v>
      </c>
    </row>
    <row r="2102" spans="1:7" hidden="1" x14ac:dyDescent="0.25">
      <c r="A2102">
        <v>50</v>
      </c>
      <c r="B2102">
        <v>8256</v>
      </c>
      <c r="C2102">
        <v>0</v>
      </c>
      <c r="D2102">
        <v>2</v>
      </c>
      <c r="E2102">
        <v>24</v>
      </c>
      <c r="F2102" t="s">
        <v>149</v>
      </c>
      <c r="G2102" t="s">
        <v>122</v>
      </c>
    </row>
    <row r="2103" spans="1:7" hidden="1" x14ac:dyDescent="0.25">
      <c r="A2103">
        <v>50</v>
      </c>
      <c r="B2103">
        <v>10012</v>
      </c>
      <c r="C2103">
        <v>0</v>
      </c>
      <c r="D2103">
        <v>2</v>
      </c>
      <c r="E2103">
        <v>24</v>
      </c>
      <c r="F2103" t="s">
        <v>149</v>
      </c>
      <c r="G2103" t="s">
        <v>122</v>
      </c>
    </row>
    <row r="2104" spans="1:7" hidden="1" x14ac:dyDescent="0.25">
      <c r="A2104">
        <v>50</v>
      </c>
      <c r="B2104">
        <v>10064</v>
      </c>
      <c r="C2104">
        <v>0</v>
      </c>
      <c r="D2104">
        <v>2</v>
      </c>
      <c r="E2104">
        <v>24</v>
      </c>
      <c r="F2104" t="s">
        <v>149</v>
      </c>
      <c r="G2104" t="s">
        <v>122</v>
      </c>
    </row>
    <row r="2105" spans="1:7" hidden="1" x14ac:dyDescent="0.25">
      <c r="A2105">
        <v>50</v>
      </c>
      <c r="B2105">
        <v>10100</v>
      </c>
      <c r="C2105">
        <v>0</v>
      </c>
      <c r="D2105">
        <v>2</v>
      </c>
      <c r="E2105">
        <v>24</v>
      </c>
      <c r="F2105" t="s">
        <v>149</v>
      </c>
      <c r="G2105" t="s">
        <v>122</v>
      </c>
    </row>
    <row r="2106" spans="1:7" hidden="1" x14ac:dyDescent="0.25">
      <c r="A2106">
        <v>99</v>
      </c>
      <c r="B2106">
        <v>2068</v>
      </c>
      <c r="C2106">
        <v>0</v>
      </c>
      <c r="D2106">
        <v>2</v>
      </c>
      <c r="E2106">
        <v>36</v>
      </c>
      <c r="F2106" t="s">
        <v>149</v>
      </c>
      <c r="G2106" t="s">
        <v>122</v>
      </c>
    </row>
    <row r="2107" spans="1:7" hidden="1" x14ac:dyDescent="0.25">
      <c r="A2107">
        <v>99</v>
      </c>
      <c r="B2107">
        <v>3284</v>
      </c>
      <c r="C2107">
        <v>0</v>
      </c>
      <c r="D2107">
        <v>2</v>
      </c>
      <c r="E2107">
        <v>48</v>
      </c>
      <c r="F2107" t="s">
        <v>149</v>
      </c>
      <c r="G2107" t="s">
        <v>122</v>
      </c>
    </row>
    <row r="2108" spans="1:7" hidden="1" x14ac:dyDescent="0.25">
      <c r="A2108">
        <v>99</v>
      </c>
      <c r="B2108">
        <v>7188</v>
      </c>
      <c r="C2108">
        <v>0</v>
      </c>
      <c r="D2108">
        <v>2</v>
      </c>
      <c r="E2108">
        <v>36</v>
      </c>
      <c r="F2108" t="s">
        <v>149</v>
      </c>
      <c r="G2108" t="s">
        <v>122</v>
      </c>
    </row>
    <row r="2109" spans="1:7" hidden="1" x14ac:dyDescent="0.25">
      <c r="A2109">
        <v>99</v>
      </c>
      <c r="B2109">
        <v>7300</v>
      </c>
      <c r="C2109">
        <v>0</v>
      </c>
      <c r="D2109">
        <v>2</v>
      </c>
      <c r="E2109">
        <v>48</v>
      </c>
      <c r="F2109" t="s">
        <v>149</v>
      </c>
      <c r="G2109" t="s">
        <v>122</v>
      </c>
    </row>
    <row r="2110" spans="1:7" hidden="1" x14ac:dyDescent="0.25">
      <c r="A2110">
        <v>99</v>
      </c>
      <c r="B2110">
        <v>7552</v>
      </c>
      <c r="C2110">
        <v>0</v>
      </c>
      <c r="D2110">
        <v>2</v>
      </c>
      <c r="E2110">
        <v>48</v>
      </c>
      <c r="F2110" t="s">
        <v>149</v>
      </c>
      <c r="G2110" t="s">
        <v>122</v>
      </c>
    </row>
    <row r="2111" spans="1:7" hidden="1" x14ac:dyDescent="0.25">
      <c r="A2111">
        <v>99</v>
      </c>
      <c r="B2111">
        <v>8004</v>
      </c>
      <c r="C2111">
        <v>0</v>
      </c>
      <c r="D2111">
        <v>2</v>
      </c>
      <c r="E2111">
        <v>48</v>
      </c>
      <c r="F2111" t="s">
        <v>149</v>
      </c>
      <c r="G2111" t="s">
        <v>122</v>
      </c>
    </row>
    <row r="2112" spans="1:7" hidden="1" x14ac:dyDescent="0.25">
      <c r="A2112">
        <v>99</v>
      </c>
      <c r="B2112">
        <v>8144</v>
      </c>
      <c r="C2112">
        <v>0</v>
      </c>
      <c r="D2112">
        <v>2</v>
      </c>
      <c r="E2112">
        <v>48</v>
      </c>
      <c r="F2112" t="s">
        <v>149</v>
      </c>
      <c r="G2112" t="s">
        <v>122</v>
      </c>
    </row>
    <row r="2113" spans="1:7" hidden="1" x14ac:dyDescent="0.25">
      <c r="A2113">
        <v>99</v>
      </c>
      <c r="B2113">
        <v>8668</v>
      </c>
      <c r="C2113">
        <v>0</v>
      </c>
      <c r="D2113">
        <v>2</v>
      </c>
      <c r="E2113">
        <v>24</v>
      </c>
      <c r="F2113" t="s">
        <v>149</v>
      </c>
      <c r="G2113" t="s">
        <v>122</v>
      </c>
    </row>
    <row r="2114" spans="1:7" hidden="1" x14ac:dyDescent="0.25">
      <c r="A2114">
        <v>99</v>
      </c>
      <c r="B2114">
        <v>9032</v>
      </c>
      <c r="C2114">
        <v>0</v>
      </c>
      <c r="D2114">
        <v>2</v>
      </c>
      <c r="E2114">
        <v>48</v>
      </c>
      <c r="F2114" t="s">
        <v>149</v>
      </c>
      <c r="G2114" t="s">
        <v>122</v>
      </c>
    </row>
    <row r="2115" spans="1:7" hidden="1" x14ac:dyDescent="0.25">
      <c r="A2115">
        <v>99</v>
      </c>
      <c r="B2115">
        <v>9072</v>
      </c>
      <c r="C2115">
        <v>0</v>
      </c>
      <c r="D2115">
        <v>2</v>
      </c>
      <c r="E2115">
        <v>48</v>
      </c>
      <c r="F2115" t="s">
        <v>149</v>
      </c>
      <c r="G2115" t="s">
        <v>122</v>
      </c>
    </row>
    <row r="2116" spans="1:7" hidden="1" x14ac:dyDescent="0.25">
      <c r="A2116">
        <v>99</v>
      </c>
      <c r="B2116">
        <v>9272</v>
      </c>
      <c r="C2116">
        <v>0</v>
      </c>
      <c r="D2116">
        <v>2</v>
      </c>
      <c r="E2116">
        <v>48</v>
      </c>
      <c r="F2116" t="s">
        <v>149</v>
      </c>
      <c r="G2116" t="s">
        <v>122</v>
      </c>
    </row>
    <row r="2117" spans="1:7" hidden="1" x14ac:dyDescent="0.25">
      <c r="A2117">
        <v>99</v>
      </c>
      <c r="B2117">
        <v>10420</v>
      </c>
      <c r="C2117">
        <v>0</v>
      </c>
      <c r="D2117">
        <v>2</v>
      </c>
      <c r="E2117">
        <v>36</v>
      </c>
      <c r="F2117" t="s">
        <v>149</v>
      </c>
      <c r="G2117" t="s">
        <v>122</v>
      </c>
    </row>
    <row r="2118" spans="1:7" hidden="1" x14ac:dyDescent="0.25">
      <c r="A2118">
        <v>50</v>
      </c>
      <c r="B2118">
        <v>1172</v>
      </c>
      <c r="C2118">
        <v>0</v>
      </c>
      <c r="D2118">
        <v>2</v>
      </c>
      <c r="E2118">
        <v>23</v>
      </c>
      <c r="F2118" t="s">
        <v>148</v>
      </c>
      <c r="G2118" t="s">
        <v>124</v>
      </c>
    </row>
    <row r="2119" spans="1:7" hidden="1" x14ac:dyDescent="0.25">
      <c r="A2119">
        <v>50</v>
      </c>
      <c r="B2119">
        <v>1476</v>
      </c>
      <c r="C2119">
        <v>0</v>
      </c>
      <c r="D2119">
        <v>2</v>
      </c>
      <c r="E2119">
        <v>23</v>
      </c>
      <c r="F2119" t="s">
        <v>148</v>
      </c>
      <c r="G2119" t="s">
        <v>124</v>
      </c>
    </row>
    <row r="2120" spans="1:7" hidden="1" x14ac:dyDescent="0.25">
      <c r="A2120">
        <v>50</v>
      </c>
      <c r="B2120">
        <v>2548</v>
      </c>
      <c r="C2120">
        <v>0</v>
      </c>
      <c r="D2120">
        <v>2</v>
      </c>
      <c r="E2120">
        <v>23</v>
      </c>
      <c r="F2120" t="s">
        <v>148</v>
      </c>
      <c r="G2120" t="s">
        <v>124</v>
      </c>
    </row>
    <row r="2121" spans="1:7" hidden="1" x14ac:dyDescent="0.25">
      <c r="A2121">
        <v>50</v>
      </c>
      <c r="B2121">
        <v>4144</v>
      </c>
      <c r="C2121">
        <v>0</v>
      </c>
      <c r="D2121">
        <v>2</v>
      </c>
      <c r="E2121">
        <v>23</v>
      </c>
      <c r="F2121" t="s">
        <v>148</v>
      </c>
      <c r="G2121" t="s">
        <v>124</v>
      </c>
    </row>
    <row r="2122" spans="1:7" hidden="1" x14ac:dyDescent="0.25">
      <c r="A2122">
        <v>50</v>
      </c>
      <c r="B2122">
        <v>4336</v>
      </c>
      <c r="C2122">
        <v>0</v>
      </c>
      <c r="D2122">
        <v>2</v>
      </c>
      <c r="E2122">
        <v>23</v>
      </c>
      <c r="F2122" t="s">
        <v>148</v>
      </c>
      <c r="G2122" t="s">
        <v>124</v>
      </c>
    </row>
    <row r="2123" spans="1:7" hidden="1" x14ac:dyDescent="0.25">
      <c r="A2123">
        <v>50</v>
      </c>
      <c r="B2123">
        <v>4600</v>
      </c>
      <c r="C2123">
        <v>0</v>
      </c>
      <c r="D2123">
        <v>2</v>
      </c>
      <c r="E2123">
        <v>23</v>
      </c>
      <c r="F2123" t="s">
        <v>148</v>
      </c>
      <c r="G2123" t="s">
        <v>124</v>
      </c>
    </row>
    <row r="2124" spans="1:7" hidden="1" x14ac:dyDescent="0.25">
      <c r="A2124">
        <v>50</v>
      </c>
      <c r="B2124">
        <v>5892</v>
      </c>
      <c r="C2124">
        <v>0</v>
      </c>
      <c r="D2124">
        <v>2</v>
      </c>
      <c r="E2124">
        <v>23</v>
      </c>
      <c r="F2124" t="s">
        <v>148</v>
      </c>
      <c r="G2124" t="s">
        <v>124</v>
      </c>
    </row>
    <row r="2125" spans="1:7" hidden="1" x14ac:dyDescent="0.25">
      <c r="A2125">
        <v>50</v>
      </c>
      <c r="B2125">
        <v>5904</v>
      </c>
      <c r="C2125">
        <v>0</v>
      </c>
      <c r="D2125">
        <v>2</v>
      </c>
      <c r="E2125">
        <v>23</v>
      </c>
      <c r="F2125" t="s">
        <v>148</v>
      </c>
      <c r="G2125" t="s">
        <v>124</v>
      </c>
    </row>
    <row r="2126" spans="1:7" hidden="1" x14ac:dyDescent="0.25">
      <c r="A2126">
        <v>50</v>
      </c>
      <c r="B2126">
        <v>6280</v>
      </c>
      <c r="C2126">
        <v>0</v>
      </c>
      <c r="D2126">
        <v>2</v>
      </c>
      <c r="E2126">
        <v>23</v>
      </c>
      <c r="F2126" t="s">
        <v>148</v>
      </c>
      <c r="G2126" t="s">
        <v>124</v>
      </c>
    </row>
    <row r="2127" spans="1:7" hidden="1" x14ac:dyDescent="0.25">
      <c r="A2127">
        <v>50</v>
      </c>
      <c r="B2127">
        <v>6312</v>
      </c>
      <c r="C2127">
        <v>0</v>
      </c>
      <c r="D2127">
        <v>2</v>
      </c>
      <c r="E2127">
        <v>23</v>
      </c>
      <c r="F2127" t="s">
        <v>148</v>
      </c>
      <c r="G2127" t="s">
        <v>124</v>
      </c>
    </row>
    <row r="2128" spans="1:7" hidden="1" x14ac:dyDescent="0.25">
      <c r="A2128">
        <v>50</v>
      </c>
      <c r="B2128">
        <v>7528</v>
      </c>
      <c r="C2128">
        <v>0</v>
      </c>
      <c r="D2128">
        <v>2</v>
      </c>
      <c r="E2128">
        <v>23</v>
      </c>
      <c r="F2128" t="s">
        <v>148</v>
      </c>
      <c r="G2128" t="s">
        <v>124</v>
      </c>
    </row>
    <row r="2129" spans="1:7" hidden="1" x14ac:dyDescent="0.25">
      <c r="A2129">
        <v>50</v>
      </c>
      <c r="B2129">
        <v>7756</v>
      </c>
      <c r="C2129">
        <v>0</v>
      </c>
      <c r="D2129">
        <v>2</v>
      </c>
      <c r="E2129">
        <v>23</v>
      </c>
      <c r="F2129" t="s">
        <v>148</v>
      </c>
      <c r="G2129" t="s">
        <v>124</v>
      </c>
    </row>
    <row r="2130" spans="1:7" hidden="1" x14ac:dyDescent="0.25">
      <c r="A2130">
        <v>50</v>
      </c>
      <c r="B2130">
        <v>8256</v>
      </c>
      <c r="C2130">
        <v>0</v>
      </c>
      <c r="D2130">
        <v>2</v>
      </c>
      <c r="E2130">
        <v>23</v>
      </c>
      <c r="F2130" t="s">
        <v>148</v>
      </c>
      <c r="G2130" t="s">
        <v>124</v>
      </c>
    </row>
    <row r="2131" spans="1:7" hidden="1" x14ac:dyDescent="0.25">
      <c r="A2131">
        <v>50</v>
      </c>
      <c r="B2131">
        <v>10012</v>
      </c>
      <c r="C2131">
        <v>0</v>
      </c>
      <c r="D2131">
        <v>2</v>
      </c>
      <c r="E2131">
        <v>23</v>
      </c>
      <c r="F2131" t="s">
        <v>148</v>
      </c>
      <c r="G2131" t="s">
        <v>124</v>
      </c>
    </row>
    <row r="2132" spans="1:7" hidden="1" x14ac:dyDescent="0.25">
      <c r="A2132">
        <v>50</v>
      </c>
      <c r="B2132">
        <v>10064</v>
      </c>
      <c r="C2132">
        <v>0</v>
      </c>
      <c r="D2132">
        <v>2</v>
      </c>
      <c r="E2132">
        <v>23</v>
      </c>
      <c r="F2132" t="s">
        <v>148</v>
      </c>
      <c r="G2132" t="s">
        <v>124</v>
      </c>
    </row>
    <row r="2133" spans="1:7" hidden="1" x14ac:dyDescent="0.25">
      <c r="A2133">
        <v>50</v>
      </c>
      <c r="B2133">
        <v>10100</v>
      </c>
      <c r="C2133">
        <v>0</v>
      </c>
      <c r="D2133">
        <v>2</v>
      </c>
      <c r="E2133">
        <v>23</v>
      </c>
      <c r="F2133" t="s">
        <v>148</v>
      </c>
      <c r="G2133" t="s">
        <v>124</v>
      </c>
    </row>
    <row r="2134" spans="1:7" hidden="1" x14ac:dyDescent="0.25">
      <c r="A2134">
        <v>99</v>
      </c>
      <c r="B2134">
        <v>2068</v>
      </c>
      <c r="C2134">
        <v>0</v>
      </c>
      <c r="D2134">
        <v>2</v>
      </c>
      <c r="E2134">
        <v>35</v>
      </c>
      <c r="F2134" t="s">
        <v>148</v>
      </c>
      <c r="G2134" t="s">
        <v>124</v>
      </c>
    </row>
    <row r="2135" spans="1:7" hidden="1" x14ac:dyDescent="0.25">
      <c r="A2135">
        <v>99</v>
      </c>
      <c r="B2135">
        <v>3284</v>
      </c>
      <c r="C2135">
        <v>0</v>
      </c>
      <c r="D2135">
        <v>2</v>
      </c>
      <c r="E2135">
        <v>47</v>
      </c>
      <c r="F2135" t="s">
        <v>148</v>
      </c>
      <c r="G2135" t="s">
        <v>124</v>
      </c>
    </row>
    <row r="2136" spans="1:7" hidden="1" x14ac:dyDescent="0.25">
      <c r="A2136">
        <v>99</v>
      </c>
      <c r="B2136">
        <v>7188</v>
      </c>
      <c r="C2136">
        <v>0</v>
      </c>
      <c r="D2136">
        <v>2</v>
      </c>
      <c r="E2136">
        <v>35</v>
      </c>
      <c r="F2136" t="s">
        <v>148</v>
      </c>
      <c r="G2136" t="s">
        <v>124</v>
      </c>
    </row>
    <row r="2137" spans="1:7" hidden="1" x14ac:dyDescent="0.25">
      <c r="A2137">
        <v>99</v>
      </c>
      <c r="B2137">
        <v>7300</v>
      </c>
      <c r="C2137">
        <v>0</v>
      </c>
      <c r="D2137">
        <v>2</v>
      </c>
      <c r="E2137">
        <v>47</v>
      </c>
      <c r="F2137" t="s">
        <v>148</v>
      </c>
      <c r="G2137" t="s">
        <v>124</v>
      </c>
    </row>
    <row r="2138" spans="1:7" hidden="1" x14ac:dyDescent="0.25">
      <c r="A2138">
        <v>99</v>
      </c>
      <c r="B2138">
        <v>7552</v>
      </c>
      <c r="C2138">
        <v>0</v>
      </c>
      <c r="D2138">
        <v>2</v>
      </c>
      <c r="E2138">
        <v>47</v>
      </c>
      <c r="F2138" t="s">
        <v>148</v>
      </c>
      <c r="G2138" t="s">
        <v>124</v>
      </c>
    </row>
    <row r="2139" spans="1:7" hidden="1" x14ac:dyDescent="0.25">
      <c r="A2139">
        <v>99</v>
      </c>
      <c r="B2139">
        <v>8004</v>
      </c>
      <c r="C2139">
        <v>0</v>
      </c>
      <c r="D2139">
        <v>2</v>
      </c>
      <c r="E2139">
        <v>47</v>
      </c>
      <c r="F2139" t="s">
        <v>148</v>
      </c>
      <c r="G2139" t="s">
        <v>124</v>
      </c>
    </row>
    <row r="2140" spans="1:7" hidden="1" x14ac:dyDescent="0.25">
      <c r="A2140">
        <v>99</v>
      </c>
      <c r="B2140">
        <v>8144</v>
      </c>
      <c r="C2140">
        <v>0</v>
      </c>
      <c r="D2140">
        <v>2</v>
      </c>
      <c r="E2140">
        <v>47</v>
      </c>
      <c r="F2140" t="s">
        <v>148</v>
      </c>
      <c r="G2140" t="s">
        <v>124</v>
      </c>
    </row>
    <row r="2141" spans="1:7" hidden="1" x14ac:dyDescent="0.25">
      <c r="A2141">
        <v>99</v>
      </c>
      <c r="B2141">
        <v>8668</v>
      </c>
      <c r="C2141">
        <v>0</v>
      </c>
      <c r="D2141">
        <v>2</v>
      </c>
      <c r="E2141">
        <v>23</v>
      </c>
      <c r="F2141" t="s">
        <v>148</v>
      </c>
      <c r="G2141" t="s">
        <v>124</v>
      </c>
    </row>
    <row r="2142" spans="1:7" hidden="1" x14ac:dyDescent="0.25">
      <c r="A2142">
        <v>99</v>
      </c>
      <c r="B2142">
        <v>9032</v>
      </c>
      <c r="C2142">
        <v>0</v>
      </c>
      <c r="D2142">
        <v>2</v>
      </c>
      <c r="E2142">
        <v>47</v>
      </c>
      <c r="F2142" t="s">
        <v>148</v>
      </c>
      <c r="G2142" t="s">
        <v>124</v>
      </c>
    </row>
    <row r="2143" spans="1:7" hidden="1" x14ac:dyDescent="0.25">
      <c r="A2143">
        <v>99</v>
      </c>
      <c r="B2143">
        <v>9072</v>
      </c>
      <c r="C2143">
        <v>0</v>
      </c>
      <c r="D2143">
        <v>2</v>
      </c>
      <c r="E2143">
        <v>47</v>
      </c>
      <c r="F2143" t="s">
        <v>148</v>
      </c>
      <c r="G2143" t="s">
        <v>124</v>
      </c>
    </row>
    <row r="2144" spans="1:7" hidden="1" x14ac:dyDescent="0.25">
      <c r="A2144">
        <v>99</v>
      </c>
      <c r="B2144">
        <v>9272</v>
      </c>
      <c r="C2144">
        <v>0</v>
      </c>
      <c r="D2144">
        <v>2</v>
      </c>
      <c r="E2144">
        <v>47</v>
      </c>
      <c r="F2144" t="s">
        <v>148</v>
      </c>
      <c r="G2144" t="s">
        <v>124</v>
      </c>
    </row>
    <row r="2145" spans="1:7" hidden="1" x14ac:dyDescent="0.25">
      <c r="A2145">
        <v>99</v>
      </c>
      <c r="B2145">
        <v>10420</v>
      </c>
      <c r="C2145">
        <v>0</v>
      </c>
      <c r="D2145">
        <v>2</v>
      </c>
      <c r="E2145">
        <v>35</v>
      </c>
      <c r="F2145" t="s">
        <v>148</v>
      </c>
      <c r="G2145" t="s">
        <v>124</v>
      </c>
    </row>
    <row r="2146" spans="1:7" hidden="1" x14ac:dyDescent="0.25">
      <c r="A2146">
        <v>50</v>
      </c>
      <c r="B2146">
        <v>1172</v>
      </c>
      <c r="C2146">
        <v>0</v>
      </c>
      <c r="D2146">
        <v>2</v>
      </c>
      <c r="E2146">
        <v>21</v>
      </c>
      <c r="F2146" t="s">
        <v>146</v>
      </c>
      <c r="G2146" t="s">
        <v>122</v>
      </c>
    </row>
    <row r="2147" spans="1:7" hidden="1" x14ac:dyDescent="0.25">
      <c r="A2147">
        <v>50</v>
      </c>
      <c r="B2147">
        <v>1476</v>
      </c>
      <c r="C2147">
        <v>0</v>
      </c>
      <c r="D2147">
        <v>2</v>
      </c>
      <c r="E2147">
        <v>21</v>
      </c>
      <c r="F2147" t="s">
        <v>146</v>
      </c>
      <c r="G2147" t="s">
        <v>122</v>
      </c>
    </row>
    <row r="2148" spans="1:7" hidden="1" x14ac:dyDescent="0.25">
      <c r="A2148">
        <v>50</v>
      </c>
      <c r="B2148">
        <v>2548</v>
      </c>
      <c r="C2148">
        <v>0</v>
      </c>
      <c r="D2148">
        <v>2</v>
      </c>
      <c r="E2148">
        <v>21</v>
      </c>
      <c r="F2148" t="s">
        <v>146</v>
      </c>
      <c r="G2148" t="s">
        <v>122</v>
      </c>
    </row>
    <row r="2149" spans="1:7" hidden="1" x14ac:dyDescent="0.25">
      <c r="A2149">
        <v>50</v>
      </c>
      <c r="B2149">
        <v>4144</v>
      </c>
      <c r="C2149">
        <v>0</v>
      </c>
      <c r="D2149">
        <v>2</v>
      </c>
      <c r="E2149">
        <v>21</v>
      </c>
      <c r="F2149" t="s">
        <v>146</v>
      </c>
      <c r="G2149" t="s">
        <v>122</v>
      </c>
    </row>
    <row r="2150" spans="1:7" hidden="1" x14ac:dyDescent="0.25">
      <c r="A2150">
        <v>50</v>
      </c>
      <c r="B2150">
        <v>4336</v>
      </c>
      <c r="C2150">
        <v>0</v>
      </c>
      <c r="D2150">
        <v>2</v>
      </c>
      <c r="E2150">
        <v>21</v>
      </c>
      <c r="F2150" t="s">
        <v>146</v>
      </c>
      <c r="G2150" t="s">
        <v>122</v>
      </c>
    </row>
    <row r="2151" spans="1:7" hidden="1" x14ac:dyDescent="0.25">
      <c r="A2151">
        <v>50</v>
      </c>
      <c r="B2151">
        <v>4600</v>
      </c>
      <c r="C2151">
        <v>0</v>
      </c>
      <c r="D2151">
        <v>2</v>
      </c>
      <c r="E2151">
        <v>21</v>
      </c>
      <c r="F2151" t="s">
        <v>146</v>
      </c>
      <c r="G2151" t="s">
        <v>122</v>
      </c>
    </row>
    <row r="2152" spans="1:7" hidden="1" x14ac:dyDescent="0.25">
      <c r="A2152">
        <v>50</v>
      </c>
      <c r="B2152">
        <v>5892</v>
      </c>
      <c r="C2152">
        <v>0</v>
      </c>
      <c r="D2152">
        <v>2</v>
      </c>
      <c r="E2152">
        <v>21</v>
      </c>
      <c r="F2152" t="s">
        <v>146</v>
      </c>
      <c r="G2152" t="s">
        <v>122</v>
      </c>
    </row>
    <row r="2153" spans="1:7" hidden="1" x14ac:dyDescent="0.25">
      <c r="A2153">
        <v>50</v>
      </c>
      <c r="B2153">
        <v>5904</v>
      </c>
      <c r="C2153">
        <v>0</v>
      </c>
      <c r="D2153">
        <v>2</v>
      </c>
      <c r="E2153">
        <v>21</v>
      </c>
      <c r="F2153" t="s">
        <v>146</v>
      </c>
      <c r="G2153" t="s">
        <v>122</v>
      </c>
    </row>
    <row r="2154" spans="1:7" hidden="1" x14ac:dyDescent="0.25">
      <c r="A2154">
        <v>50</v>
      </c>
      <c r="B2154">
        <v>6280</v>
      </c>
      <c r="C2154">
        <v>0</v>
      </c>
      <c r="D2154">
        <v>2</v>
      </c>
      <c r="E2154">
        <v>21</v>
      </c>
      <c r="F2154" t="s">
        <v>146</v>
      </c>
      <c r="G2154" t="s">
        <v>122</v>
      </c>
    </row>
    <row r="2155" spans="1:7" hidden="1" x14ac:dyDescent="0.25">
      <c r="A2155">
        <v>50</v>
      </c>
      <c r="B2155">
        <v>6312</v>
      </c>
      <c r="C2155">
        <v>0</v>
      </c>
      <c r="D2155">
        <v>2</v>
      </c>
      <c r="E2155">
        <v>21</v>
      </c>
      <c r="F2155" t="s">
        <v>146</v>
      </c>
      <c r="G2155" t="s">
        <v>122</v>
      </c>
    </row>
    <row r="2156" spans="1:7" hidden="1" x14ac:dyDescent="0.25">
      <c r="A2156">
        <v>50</v>
      </c>
      <c r="B2156">
        <v>7528</v>
      </c>
      <c r="C2156">
        <v>0</v>
      </c>
      <c r="D2156">
        <v>2</v>
      </c>
      <c r="E2156">
        <v>21</v>
      </c>
      <c r="F2156" t="s">
        <v>146</v>
      </c>
      <c r="G2156" t="s">
        <v>122</v>
      </c>
    </row>
    <row r="2157" spans="1:7" hidden="1" x14ac:dyDescent="0.25">
      <c r="A2157">
        <v>50</v>
      </c>
      <c r="B2157">
        <v>7756</v>
      </c>
      <c r="C2157">
        <v>0</v>
      </c>
      <c r="D2157">
        <v>2</v>
      </c>
      <c r="E2157">
        <v>21</v>
      </c>
      <c r="F2157" t="s">
        <v>146</v>
      </c>
      <c r="G2157" t="s">
        <v>122</v>
      </c>
    </row>
    <row r="2158" spans="1:7" hidden="1" x14ac:dyDescent="0.25">
      <c r="A2158">
        <v>50</v>
      </c>
      <c r="B2158">
        <v>8256</v>
      </c>
      <c r="C2158">
        <v>0</v>
      </c>
      <c r="D2158">
        <v>2</v>
      </c>
      <c r="E2158">
        <v>21</v>
      </c>
      <c r="F2158" t="s">
        <v>146</v>
      </c>
      <c r="G2158" t="s">
        <v>122</v>
      </c>
    </row>
    <row r="2159" spans="1:7" hidden="1" x14ac:dyDescent="0.25">
      <c r="A2159">
        <v>50</v>
      </c>
      <c r="B2159">
        <v>10012</v>
      </c>
      <c r="C2159">
        <v>0</v>
      </c>
      <c r="D2159">
        <v>2</v>
      </c>
      <c r="E2159">
        <v>21</v>
      </c>
      <c r="F2159" t="s">
        <v>146</v>
      </c>
      <c r="G2159" t="s">
        <v>122</v>
      </c>
    </row>
    <row r="2160" spans="1:7" hidden="1" x14ac:dyDescent="0.25">
      <c r="A2160">
        <v>50</v>
      </c>
      <c r="B2160">
        <v>10064</v>
      </c>
      <c r="C2160">
        <v>0</v>
      </c>
      <c r="D2160">
        <v>2</v>
      </c>
      <c r="E2160">
        <v>21</v>
      </c>
      <c r="F2160" t="s">
        <v>146</v>
      </c>
      <c r="G2160" t="s">
        <v>122</v>
      </c>
    </row>
    <row r="2161" spans="1:7" hidden="1" x14ac:dyDescent="0.25">
      <c r="A2161">
        <v>50</v>
      </c>
      <c r="B2161">
        <v>10100</v>
      </c>
      <c r="C2161">
        <v>0</v>
      </c>
      <c r="D2161">
        <v>2</v>
      </c>
      <c r="E2161">
        <v>21</v>
      </c>
      <c r="F2161" t="s">
        <v>146</v>
      </c>
      <c r="G2161" t="s">
        <v>122</v>
      </c>
    </row>
    <row r="2162" spans="1:7" hidden="1" x14ac:dyDescent="0.25">
      <c r="A2162">
        <v>99</v>
      </c>
      <c r="B2162">
        <v>2068</v>
      </c>
      <c r="C2162">
        <v>0</v>
      </c>
      <c r="D2162">
        <v>2</v>
      </c>
      <c r="E2162">
        <v>33</v>
      </c>
      <c r="F2162" t="s">
        <v>146</v>
      </c>
      <c r="G2162" t="s">
        <v>122</v>
      </c>
    </row>
    <row r="2163" spans="1:7" hidden="1" x14ac:dyDescent="0.25">
      <c r="A2163">
        <v>99</v>
      </c>
      <c r="B2163">
        <v>3284</v>
      </c>
      <c r="C2163">
        <v>0</v>
      </c>
      <c r="D2163">
        <v>2</v>
      </c>
      <c r="E2163">
        <v>45</v>
      </c>
      <c r="F2163" t="s">
        <v>146</v>
      </c>
      <c r="G2163" t="s">
        <v>122</v>
      </c>
    </row>
    <row r="2164" spans="1:7" hidden="1" x14ac:dyDescent="0.25">
      <c r="A2164">
        <v>99</v>
      </c>
      <c r="B2164">
        <v>7188</v>
      </c>
      <c r="C2164">
        <v>0</v>
      </c>
      <c r="D2164">
        <v>2</v>
      </c>
      <c r="E2164">
        <v>33</v>
      </c>
      <c r="F2164" t="s">
        <v>146</v>
      </c>
      <c r="G2164" t="s">
        <v>122</v>
      </c>
    </row>
    <row r="2165" spans="1:7" hidden="1" x14ac:dyDescent="0.25">
      <c r="A2165">
        <v>99</v>
      </c>
      <c r="B2165">
        <v>7300</v>
      </c>
      <c r="C2165">
        <v>0</v>
      </c>
      <c r="D2165">
        <v>2</v>
      </c>
      <c r="E2165">
        <v>45</v>
      </c>
      <c r="F2165" t="s">
        <v>146</v>
      </c>
      <c r="G2165" t="s">
        <v>122</v>
      </c>
    </row>
    <row r="2166" spans="1:7" hidden="1" x14ac:dyDescent="0.25">
      <c r="A2166">
        <v>99</v>
      </c>
      <c r="B2166">
        <v>7552</v>
      </c>
      <c r="C2166">
        <v>0</v>
      </c>
      <c r="D2166">
        <v>2</v>
      </c>
      <c r="E2166">
        <v>45</v>
      </c>
      <c r="F2166" t="s">
        <v>146</v>
      </c>
      <c r="G2166" t="s">
        <v>122</v>
      </c>
    </row>
    <row r="2167" spans="1:7" hidden="1" x14ac:dyDescent="0.25">
      <c r="A2167">
        <v>99</v>
      </c>
      <c r="B2167">
        <v>8004</v>
      </c>
      <c r="C2167">
        <v>0</v>
      </c>
      <c r="D2167">
        <v>2</v>
      </c>
      <c r="E2167">
        <v>45</v>
      </c>
      <c r="F2167" t="s">
        <v>146</v>
      </c>
      <c r="G2167" t="s">
        <v>122</v>
      </c>
    </row>
    <row r="2168" spans="1:7" hidden="1" x14ac:dyDescent="0.25">
      <c r="A2168">
        <v>99</v>
      </c>
      <c r="B2168">
        <v>8144</v>
      </c>
      <c r="C2168">
        <v>0</v>
      </c>
      <c r="D2168">
        <v>2</v>
      </c>
      <c r="E2168">
        <v>45</v>
      </c>
      <c r="F2168" t="s">
        <v>146</v>
      </c>
      <c r="G2168" t="s">
        <v>122</v>
      </c>
    </row>
    <row r="2169" spans="1:7" hidden="1" x14ac:dyDescent="0.25">
      <c r="A2169">
        <v>99</v>
      </c>
      <c r="B2169">
        <v>8668</v>
      </c>
      <c r="C2169">
        <v>0</v>
      </c>
      <c r="D2169">
        <v>2</v>
      </c>
      <c r="E2169">
        <v>21</v>
      </c>
      <c r="F2169" t="s">
        <v>146</v>
      </c>
      <c r="G2169" t="s">
        <v>122</v>
      </c>
    </row>
    <row r="2170" spans="1:7" hidden="1" x14ac:dyDescent="0.25">
      <c r="A2170">
        <v>99</v>
      </c>
      <c r="B2170">
        <v>9032</v>
      </c>
      <c r="C2170">
        <v>0</v>
      </c>
      <c r="D2170">
        <v>2</v>
      </c>
      <c r="E2170">
        <v>45</v>
      </c>
      <c r="F2170" t="s">
        <v>146</v>
      </c>
      <c r="G2170" t="s">
        <v>122</v>
      </c>
    </row>
    <row r="2171" spans="1:7" hidden="1" x14ac:dyDescent="0.25">
      <c r="A2171">
        <v>99</v>
      </c>
      <c r="B2171">
        <v>9072</v>
      </c>
      <c r="C2171">
        <v>0</v>
      </c>
      <c r="D2171">
        <v>2</v>
      </c>
      <c r="E2171">
        <v>45</v>
      </c>
      <c r="F2171" t="s">
        <v>146</v>
      </c>
      <c r="G2171" t="s">
        <v>122</v>
      </c>
    </row>
    <row r="2172" spans="1:7" hidden="1" x14ac:dyDescent="0.25">
      <c r="A2172">
        <v>99</v>
      </c>
      <c r="B2172">
        <v>9272</v>
      </c>
      <c r="C2172">
        <v>0</v>
      </c>
      <c r="D2172">
        <v>2</v>
      </c>
      <c r="E2172">
        <v>45</v>
      </c>
      <c r="F2172" t="s">
        <v>146</v>
      </c>
      <c r="G2172" t="s">
        <v>122</v>
      </c>
    </row>
    <row r="2173" spans="1:7" hidden="1" x14ac:dyDescent="0.25">
      <c r="A2173">
        <v>99</v>
      </c>
      <c r="B2173">
        <v>10420</v>
      </c>
      <c r="C2173">
        <v>0</v>
      </c>
      <c r="D2173">
        <v>2</v>
      </c>
      <c r="E2173">
        <v>33</v>
      </c>
      <c r="F2173" t="s">
        <v>146</v>
      </c>
      <c r="G2173" t="s">
        <v>122</v>
      </c>
    </row>
    <row r="2174" spans="1:7" hidden="1" x14ac:dyDescent="0.25">
      <c r="A2174">
        <v>50</v>
      </c>
      <c r="B2174">
        <v>1172</v>
      </c>
      <c r="C2174">
        <v>0</v>
      </c>
      <c r="D2174">
        <v>2</v>
      </c>
      <c r="E2174">
        <v>22</v>
      </c>
      <c r="F2174" t="s">
        <v>147</v>
      </c>
      <c r="G2174" t="s">
        <v>122</v>
      </c>
    </row>
    <row r="2175" spans="1:7" hidden="1" x14ac:dyDescent="0.25">
      <c r="A2175">
        <v>50</v>
      </c>
      <c r="B2175">
        <v>1476</v>
      </c>
      <c r="C2175">
        <v>0</v>
      </c>
      <c r="D2175">
        <v>2</v>
      </c>
      <c r="E2175">
        <v>22</v>
      </c>
      <c r="F2175" t="s">
        <v>147</v>
      </c>
      <c r="G2175" t="s">
        <v>122</v>
      </c>
    </row>
    <row r="2176" spans="1:7" hidden="1" x14ac:dyDescent="0.25">
      <c r="A2176">
        <v>50</v>
      </c>
      <c r="B2176">
        <v>2548</v>
      </c>
      <c r="C2176">
        <v>0</v>
      </c>
      <c r="D2176">
        <v>2</v>
      </c>
      <c r="E2176">
        <v>22</v>
      </c>
      <c r="F2176" t="s">
        <v>147</v>
      </c>
      <c r="G2176" t="s">
        <v>122</v>
      </c>
    </row>
    <row r="2177" spans="1:7" hidden="1" x14ac:dyDescent="0.25">
      <c r="A2177">
        <v>50</v>
      </c>
      <c r="B2177">
        <v>4144</v>
      </c>
      <c r="C2177">
        <v>0</v>
      </c>
      <c r="D2177">
        <v>2</v>
      </c>
      <c r="E2177">
        <v>22</v>
      </c>
      <c r="F2177" t="s">
        <v>147</v>
      </c>
      <c r="G2177" t="s">
        <v>122</v>
      </c>
    </row>
    <row r="2178" spans="1:7" hidden="1" x14ac:dyDescent="0.25">
      <c r="A2178">
        <v>50</v>
      </c>
      <c r="B2178">
        <v>4336</v>
      </c>
      <c r="C2178">
        <v>0</v>
      </c>
      <c r="D2178">
        <v>2</v>
      </c>
      <c r="E2178">
        <v>22</v>
      </c>
      <c r="F2178" t="s">
        <v>147</v>
      </c>
      <c r="G2178" t="s">
        <v>122</v>
      </c>
    </row>
    <row r="2179" spans="1:7" hidden="1" x14ac:dyDescent="0.25">
      <c r="A2179">
        <v>50</v>
      </c>
      <c r="B2179">
        <v>4600</v>
      </c>
      <c r="C2179">
        <v>0</v>
      </c>
      <c r="D2179">
        <v>2</v>
      </c>
      <c r="E2179">
        <v>22</v>
      </c>
      <c r="F2179" t="s">
        <v>147</v>
      </c>
      <c r="G2179" t="s">
        <v>122</v>
      </c>
    </row>
    <row r="2180" spans="1:7" hidden="1" x14ac:dyDescent="0.25">
      <c r="A2180">
        <v>50</v>
      </c>
      <c r="B2180">
        <v>5892</v>
      </c>
      <c r="C2180">
        <v>0</v>
      </c>
      <c r="D2180">
        <v>2</v>
      </c>
      <c r="E2180">
        <v>22</v>
      </c>
      <c r="F2180" t="s">
        <v>147</v>
      </c>
      <c r="G2180" t="s">
        <v>122</v>
      </c>
    </row>
    <row r="2181" spans="1:7" hidden="1" x14ac:dyDescent="0.25">
      <c r="A2181">
        <v>50</v>
      </c>
      <c r="B2181">
        <v>5904</v>
      </c>
      <c r="C2181">
        <v>0</v>
      </c>
      <c r="D2181">
        <v>2</v>
      </c>
      <c r="E2181">
        <v>22</v>
      </c>
      <c r="F2181" t="s">
        <v>147</v>
      </c>
      <c r="G2181" t="s">
        <v>122</v>
      </c>
    </row>
    <row r="2182" spans="1:7" hidden="1" x14ac:dyDescent="0.25">
      <c r="A2182">
        <v>50</v>
      </c>
      <c r="B2182">
        <v>6280</v>
      </c>
      <c r="C2182">
        <v>0</v>
      </c>
      <c r="D2182">
        <v>2</v>
      </c>
      <c r="E2182">
        <v>22</v>
      </c>
      <c r="F2182" t="s">
        <v>147</v>
      </c>
      <c r="G2182" t="s">
        <v>122</v>
      </c>
    </row>
    <row r="2183" spans="1:7" hidden="1" x14ac:dyDescent="0.25">
      <c r="A2183">
        <v>50</v>
      </c>
      <c r="B2183">
        <v>6312</v>
      </c>
      <c r="C2183">
        <v>0</v>
      </c>
      <c r="D2183">
        <v>2</v>
      </c>
      <c r="E2183">
        <v>22</v>
      </c>
      <c r="F2183" t="s">
        <v>147</v>
      </c>
      <c r="G2183" t="s">
        <v>122</v>
      </c>
    </row>
    <row r="2184" spans="1:7" hidden="1" x14ac:dyDescent="0.25">
      <c r="A2184">
        <v>50</v>
      </c>
      <c r="B2184">
        <v>7528</v>
      </c>
      <c r="C2184">
        <v>0</v>
      </c>
      <c r="D2184">
        <v>2</v>
      </c>
      <c r="E2184">
        <v>22</v>
      </c>
      <c r="F2184" t="s">
        <v>147</v>
      </c>
      <c r="G2184" t="s">
        <v>122</v>
      </c>
    </row>
    <row r="2185" spans="1:7" hidden="1" x14ac:dyDescent="0.25">
      <c r="A2185">
        <v>50</v>
      </c>
      <c r="B2185">
        <v>7756</v>
      </c>
      <c r="C2185">
        <v>0</v>
      </c>
      <c r="D2185">
        <v>2</v>
      </c>
      <c r="E2185">
        <v>22</v>
      </c>
      <c r="F2185" t="s">
        <v>147</v>
      </c>
      <c r="G2185" t="s">
        <v>122</v>
      </c>
    </row>
    <row r="2186" spans="1:7" hidden="1" x14ac:dyDescent="0.25">
      <c r="A2186">
        <v>50</v>
      </c>
      <c r="B2186">
        <v>8256</v>
      </c>
      <c r="C2186">
        <v>0</v>
      </c>
      <c r="D2186">
        <v>2</v>
      </c>
      <c r="E2186">
        <v>22</v>
      </c>
      <c r="F2186" t="s">
        <v>147</v>
      </c>
      <c r="G2186" t="s">
        <v>122</v>
      </c>
    </row>
    <row r="2187" spans="1:7" hidden="1" x14ac:dyDescent="0.25">
      <c r="A2187">
        <v>50</v>
      </c>
      <c r="B2187">
        <v>10012</v>
      </c>
      <c r="C2187">
        <v>0</v>
      </c>
      <c r="D2187">
        <v>2</v>
      </c>
      <c r="E2187">
        <v>22</v>
      </c>
      <c r="F2187" t="s">
        <v>147</v>
      </c>
      <c r="G2187" t="s">
        <v>122</v>
      </c>
    </row>
    <row r="2188" spans="1:7" hidden="1" x14ac:dyDescent="0.25">
      <c r="A2188">
        <v>50</v>
      </c>
      <c r="B2188">
        <v>10064</v>
      </c>
      <c r="C2188">
        <v>0</v>
      </c>
      <c r="D2188">
        <v>2</v>
      </c>
      <c r="E2188">
        <v>22</v>
      </c>
      <c r="F2188" t="s">
        <v>147</v>
      </c>
      <c r="G2188" t="s">
        <v>122</v>
      </c>
    </row>
    <row r="2189" spans="1:7" hidden="1" x14ac:dyDescent="0.25">
      <c r="A2189">
        <v>50</v>
      </c>
      <c r="B2189">
        <v>10100</v>
      </c>
      <c r="C2189">
        <v>0</v>
      </c>
      <c r="D2189">
        <v>2</v>
      </c>
      <c r="E2189">
        <v>22</v>
      </c>
      <c r="F2189" t="s">
        <v>147</v>
      </c>
      <c r="G2189" t="s">
        <v>122</v>
      </c>
    </row>
    <row r="2190" spans="1:7" hidden="1" x14ac:dyDescent="0.25">
      <c r="A2190">
        <v>99</v>
      </c>
      <c r="B2190">
        <v>2068</v>
      </c>
      <c r="C2190">
        <v>0</v>
      </c>
      <c r="D2190">
        <v>2</v>
      </c>
      <c r="E2190">
        <v>34</v>
      </c>
      <c r="F2190" t="s">
        <v>147</v>
      </c>
      <c r="G2190" t="s">
        <v>122</v>
      </c>
    </row>
    <row r="2191" spans="1:7" hidden="1" x14ac:dyDescent="0.25">
      <c r="A2191">
        <v>99</v>
      </c>
      <c r="B2191">
        <v>3284</v>
      </c>
      <c r="C2191">
        <v>0</v>
      </c>
      <c r="D2191">
        <v>2</v>
      </c>
      <c r="E2191">
        <v>46</v>
      </c>
      <c r="F2191" t="s">
        <v>147</v>
      </c>
      <c r="G2191" t="s">
        <v>122</v>
      </c>
    </row>
    <row r="2192" spans="1:7" hidden="1" x14ac:dyDescent="0.25">
      <c r="A2192">
        <v>99</v>
      </c>
      <c r="B2192">
        <v>7188</v>
      </c>
      <c r="C2192">
        <v>0</v>
      </c>
      <c r="D2192">
        <v>2</v>
      </c>
      <c r="E2192">
        <v>34</v>
      </c>
      <c r="F2192" t="s">
        <v>147</v>
      </c>
      <c r="G2192" t="s">
        <v>122</v>
      </c>
    </row>
    <row r="2193" spans="1:7" hidden="1" x14ac:dyDescent="0.25">
      <c r="A2193">
        <v>99</v>
      </c>
      <c r="B2193">
        <v>7300</v>
      </c>
      <c r="C2193">
        <v>0</v>
      </c>
      <c r="D2193">
        <v>2</v>
      </c>
      <c r="E2193">
        <v>46</v>
      </c>
      <c r="F2193" t="s">
        <v>147</v>
      </c>
      <c r="G2193" t="s">
        <v>122</v>
      </c>
    </row>
    <row r="2194" spans="1:7" hidden="1" x14ac:dyDescent="0.25">
      <c r="A2194">
        <v>99</v>
      </c>
      <c r="B2194">
        <v>7552</v>
      </c>
      <c r="C2194">
        <v>0</v>
      </c>
      <c r="D2194">
        <v>2</v>
      </c>
      <c r="E2194">
        <v>46</v>
      </c>
      <c r="F2194" t="s">
        <v>147</v>
      </c>
      <c r="G2194" t="s">
        <v>122</v>
      </c>
    </row>
    <row r="2195" spans="1:7" hidden="1" x14ac:dyDescent="0.25">
      <c r="A2195">
        <v>99</v>
      </c>
      <c r="B2195">
        <v>8004</v>
      </c>
      <c r="C2195">
        <v>0</v>
      </c>
      <c r="D2195">
        <v>2</v>
      </c>
      <c r="E2195">
        <v>46</v>
      </c>
      <c r="F2195" t="s">
        <v>147</v>
      </c>
      <c r="G2195" t="s">
        <v>122</v>
      </c>
    </row>
    <row r="2196" spans="1:7" hidden="1" x14ac:dyDescent="0.25">
      <c r="A2196">
        <v>99</v>
      </c>
      <c r="B2196">
        <v>8144</v>
      </c>
      <c r="C2196">
        <v>0</v>
      </c>
      <c r="D2196">
        <v>2</v>
      </c>
      <c r="E2196">
        <v>46</v>
      </c>
      <c r="F2196" t="s">
        <v>147</v>
      </c>
      <c r="G2196" t="s">
        <v>122</v>
      </c>
    </row>
    <row r="2197" spans="1:7" hidden="1" x14ac:dyDescent="0.25">
      <c r="A2197">
        <v>99</v>
      </c>
      <c r="B2197">
        <v>8668</v>
      </c>
      <c r="C2197">
        <v>0</v>
      </c>
      <c r="D2197">
        <v>2</v>
      </c>
      <c r="E2197">
        <v>22</v>
      </c>
      <c r="F2197" t="s">
        <v>147</v>
      </c>
      <c r="G2197" t="s">
        <v>122</v>
      </c>
    </row>
    <row r="2198" spans="1:7" hidden="1" x14ac:dyDescent="0.25">
      <c r="A2198">
        <v>99</v>
      </c>
      <c r="B2198">
        <v>9032</v>
      </c>
      <c r="C2198">
        <v>0</v>
      </c>
      <c r="D2198">
        <v>2</v>
      </c>
      <c r="E2198">
        <v>46</v>
      </c>
      <c r="F2198" t="s">
        <v>147</v>
      </c>
      <c r="G2198" t="s">
        <v>122</v>
      </c>
    </row>
    <row r="2199" spans="1:7" hidden="1" x14ac:dyDescent="0.25">
      <c r="A2199">
        <v>99</v>
      </c>
      <c r="B2199">
        <v>9072</v>
      </c>
      <c r="C2199">
        <v>0</v>
      </c>
      <c r="D2199">
        <v>2</v>
      </c>
      <c r="E2199">
        <v>46</v>
      </c>
      <c r="F2199" t="s">
        <v>147</v>
      </c>
      <c r="G2199" t="s">
        <v>122</v>
      </c>
    </row>
    <row r="2200" spans="1:7" hidden="1" x14ac:dyDescent="0.25">
      <c r="A2200">
        <v>99</v>
      </c>
      <c r="B2200">
        <v>9272</v>
      </c>
      <c r="C2200">
        <v>0</v>
      </c>
      <c r="D2200">
        <v>2</v>
      </c>
      <c r="E2200">
        <v>46</v>
      </c>
      <c r="F2200" t="s">
        <v>147</v>
      </c>
      <c r="G2200" t="s">
        <v>122</v>
      </c>
    </row>
    <row r="2201" spans="1:7" hidden="1" x14ac:dyDescent="0.25">
      <c r="A2201">
        <v>99</v>
      </c>
      <c r="B2201">
        <v>10420</v>
      </c>
      <c r="C2201">
        <v>0</v>
      </c>
      <c r="D2201">
        <v>2</v>
      </c>
      <c r="E2201">
        <v>34</v>
      </c>
      <c r="F2201" t="s">
        <v>147</v>
      </c>
      <c r="G2201" t="s">
        <v>122</v>
      </c>
    </row>
    <row r="2202" spans="1:7" hidden="1" x14ac:dyDescent="0.25">
      <c r="A2202">
        <v>50</v>
      </c>
      <c r="B2202">
        <v>1172</v>
      </c>
      <c r="C2202">
        <v>0</v>
      </c>
      <c r="D2202">
        <v>2</v>
      </c>
      <c r="E2202">
        <v>26</v>
      </c>
      <c r="F2202" t="s">
        <v>151</v>
      </c>
      <c r="G2202" t="s">
        <v>122</v>
      </c>
    </row>
    <row r="2203" spans="1:7" hidden="1" x14ac:dyDescent="0.25">
      <c r="A2203">
        <v>50</v>
      </c>
      <c r="B2203">
        <v>1476</v>
      </c>
      <c r="C2203">
        <v>0</v>
      </c>
      <c r="D2203">
        <v>2</v>
      </c>
      <c r="E2203">
        <v>26</v>
      </c>
      <c r="F2203" t="s">
        <v>151</v>
      </c>
      <c r="G2203" t="s">
        <v>122</v>
      </c>
    </row>
    <row r="2204" spans="1:7" hidden="1" x14ac:dyDescent="0.25">
      <c r="A2204">
        <v>50</v>
      </c>
      <c r="B2204">
        <v>2548</v>
      </c>
      <c r="C2204">
        <v>0</v>
      </c>
      <c r="D2204">
        <v>2</v>
      </c>
      <c r="E2204">
        <v>26</v>
      </c>
      <c r="F2204" t="s">
        <v>151</v>
      </c>
      <c r="G2204" t="s">
        <v>122</v>
      </c>
    </row>
    <row r="2205" spans="1:7" hidden="1" x14ac:dyDescent="0.25">
      <c r="A2205">
        <v>50</v>
      </c>
      <c r="B2205">
        <v>4144</v>
      </c>
      <c r="C2205">
        <v>0</v>
      </c>
      <c r="D2205">
        <v>2</v>
      </c>
      <c r="E2205">
        <v>26</v>
      </c>
      <c r="F2205" t="s">
        <v>151</v>
      </c>
      <c r="G2205" t="s">
        <v>122</v>
      </c>
    </row>
    <row r="2206" spans="1:7" hidden="1" x14ac:dyDescent="0.25">
      <c r="A2206">
        <v>50</v>
      </c>
      <c r="B2206">
        <v>4336</v>
      </c>
      <c r="C2206">
        <v>0</v>
      </c>
      <c r="D2206">
        <v>2</v>
      </c>
      <c r="E2206">
        <v>26</v>
      </c>
      <c r="F2206" t="s">
        <v>151</v>
      </c>
      <c r="G2206" t="s">
        <v>122</v>
      </c>
    </row>
    <row r="2207" spans="1:7" hidden="1" x14ac:dyDescent="0.25">
      <c r="A2207">
        <v>50</v>
      </c>
      <c r="B2207">
        <v>4600</v>
      </c>
      <c r="C2207">
        <v>0</v>
      </c>
      <c r="D2207">
        <v>2</v>
      </c>
      <c r="E2207">
        <v>26</v>
      </c>
      <c r="F2207" t="s">
        <v>151</v>
      </c>
      <c r="G2207" t="s">
        <v>122</v>
      </c>
    </row>
    <row r="2208" spans="1:7" hidden="1" x14ac:dyDescent="0.25">
      <c r="A2208">
        <v>50</v>
      </c>
      <c r="B2208">
        <v>5892</v>
      </c>
      <c r="C2208">
        <v>0</v>
      </c>
      <c r="D2208">
        <v>2</v>
      </c>
      <c r="E2208">
        <v>26</v>
      </c>
      <c r="F2208" t="s">
        <v>151</v>
      </c>
      <c r="G2208" t="s">
        <v>122</v>
      </c>
    </row>
    <row r="2209" spans="1:7" hidden="1" x14ac:dyDescent="0.25">
      <c r="A2209">
        <v>50</v>
      </c>
      <c r="B2209">
        <v>5904</v>
      </c>
      <c r="C2209">
        <v>0</v>
      </c>
      <c r="D2209">
        <v>2</v>
      </c>
      <c r="E2209">
        <v>26</v>
      </c>
      <c r="F2209" t="s">
        <v>151</v>
      </c>
      <c r="G2209" t="s">
        <v>122</v>
      </c>
    </row>
    <row r="2210" spans="1:7" hidden="1" x14ac:dyDescent="0.25">
      <c r="A2210">
        <v>50</v>
      </c>
      <c r="B2210">
        <v>6280</v>
      </c>
      <c r="C2210">
        <v>0</v>
      </c>
      <c r="D2210">
        <v>2</v>
      </c>
      <c r="E2210">
        <v>26</v>
      </c>
      <c r="F2210" t="s">
        <v>151</v>
      </c>
      <c r="G2210" t="s">
        <v>122</v>
      </c>
    </row>
    <row r="2211" spans="1:7" hidden="1" x14ac:dyDescent="0.25">
      <c r="A2211">
        <v>50</v>
      </c>
      <c r="B2211">
        <v>6312</v>
      </c>
      <c r="C2211">
        <v>0</v>
      </c>
      <c r="D2211">
        <v>2</v>
      </c>
      <c r="E2211">
        <v>26</v>
      </c>
      <c r="F2211" t="s">
        <v>151</v>
      </c>
      <c r="G2211" t="s">
        <v>122</v>
      </c>
    </row>
    <row r="2212" spans="1:7" hidden="1" x14ac:dyDescent="0.25">
      <c r="A2212">
        <v>50</v>
      </c>
      <c r="B2212">
        <v>7528</v>
      </c>
      <c r="C2212">
        <v>0</v>
      </c>
      <c r="D2212">
        <v>2</v>
      </c>
      <c r="E2212">
        <v>26</v>
      </c>
      <c r="F2212" t="s">
        <v>151</v>
      </c>
      <c r="G2212" t="s">
        <v>122</v>
      </c>
    </row>
    <row r="2213" spans="1:7" hidden="1" x14ac:dyDescent="0.25">
      <c r="A2213">
        <v>50</v>
      </c>
      <c r="B2213">
        <v>7756</v>
      </c>
      <c r="C2213">
        <v>0</v>
      </c>
      <c r="D2213">
        <v>2</v>
      </c>
      <c r="E2213">
        <v>26</v>
      </c>
      <c r="F2213" t="s">
        <v>151</v>
      </c>
      <c r="G2213" t="s">
        <v>122</v>
      </c>
    </row>
    <row r="2214" spans="1:7" hidden="1" x14ac:dyDescent="0.25">
      <c r="A2214">
        <v>50</v>
      </c>
      <c r="B2214">
        <v>8256</v>
      </c>
      <c r="C2214">
        <v>0</v>
      </c>
      <c r="D2214">
        <v>2</v>
      </c>
      <c r="E2214">
        <v>26</v>
      </c>
      <c r="F2214" t="s">
        <v>151</v>
      </c>
      <c r="G2214" t="s">
        <v>122</v>
      </c>
    </row>
    <row r="2215" spans="1:7" hidden="1" x14ac:dyDescent="0.25">
      <c r="A2215">
        <v>50</v>
      </c>
      <c r="B2215">
        <v>10012</v>
      </c>
      <c r="C2215">
        <v>0</v>
      </c>
      <c r="D2215">
        <v>2</v>
      </c>
      <c r="E2215">
        <v>26</v>
      </c>
      <c r="F2215" t="s">
        <v>151</v>
      </c>
      <c r="G2215" t="s">
        <v>122</v>
      </c>
    </row>
    <row r="2216" spans="1:7" hidden="1" x14ac:dyDescent="0.25">
      <c r="A2216">
        <v>50</v>
      </c>
      <c r="B2216">
        <v>10064</v>
      </c>
      <c r="C2216">
        <v>0</v>
      </c>
      <c r="D2216">
        <v>2</v>
      </c>
      <c r="E2216">
        <v>26</v>
      </c>
      <c r="F2216" t="s">
        <v>151</v>
      </c>
      <c r="G2216" t="s">
        <v>122</v>
      </c>
    </row>
    <row r="2217" spans="1:7" hidden="1" x14ac:dyDescent="0.25">
      <c r="A2217">
        <v>50</v>
      </c>
      <c r="B2217">
        <v>10100</v>
      </c>
      <c r="C2217">
        <v>0</v>
      </c>
      <c r="D2217">
        <v>2</v>
      </c>
      <c r="E2217">
        <v>26</v>
      </c>
      <c r="F2217" t="s">
        <v>151</v>
      </c>
      <c r="G2217" t="s">
        <v>122</v>
      </c>
    </row>
    <row r="2218" spans="1:7" hidden="1" x14ac:dyDescent="0.25">
      <c r="A2218">
        <v>99</v>
      </c>
      <c r="B2218">
        <v>2068</v>
      </c>
      <c r="C2218">
        <v>0</v>
      </c>
      <c r="D2218">
        <v>2</v>
      </c>
      <c r="E2218">
        <v>38</v>
      </c>
      <c r="F2218" t="s">
        <v>151</v>
      </c>
      <c r="G2218" t="s">
        <v>122</v>
      </c>
    </row>
    <row r="2219" spans="1:7" hidden="1" x14ac:dyDescent="0.25">
      <c r="A2219">
        <v>99</v>
      </c>
      <c r="B2219">
        <v>3284</v>
      </c>
      <c r="C2219">
        <v>0</v>
      </c>
      <c r="D2219">
        <v>2</v>
      </c>
      <c r="E2219">
        <v>50</v>
      </c>
      <c r="F2219" t="s">
        <v>151</v>
      </c>
      <c r="G2219" t="s">
        <v>122</v>
      </c>
    </row>
    <row r="2220" spans="1:7" hidden="1" x14ac:dyDescent="0.25">
      <c r="A2220">
        <v>99</v>
      </c>
      <c r="B2220">
        <v>7188</v>
      </c>
      <c r="C2220">
        <v>0</v>
      </c>
      <c r="D2220">
        <v>2</v>
      </c>
      <c r="E2220">
        <v>38</v>
      </c>
      <c r="F2220" t="s">
        <v>151</v>
      </c>
      <c r="G2220" t="s">
        <v>122</v>
      </c>
    </row>
    <row r="2221" spans="1:7" hidden="1" x14ac:dyDescent="0.25">
      <c r="A2221">
        <v>99</v>
      </c>
      <c r="B2221">
        <v>7300</v>
      </c>
      <c r="C2221">
        <v>0</v>
      </c>
      <c r="D2221">
        <v>2</v>
      </c>
      <c r="E2221">
        <v>50</v>
      </c>
      <c r="F2221" t="s">
        <v>151</v>
      </c>
      <c r="G2221" t="s">
        <v>122</v>
      </c>
    </row>
    <row r="2222" spans="1:7" hidden="1" x14ac:dyDescent="0.25">
      <c r="A2222">
        <v>99</v>
      </c>
      <c r="B2222">
        <v>7552</v>
      </c>
      <c r="C2222">
        <v>0</v>
      </c>
      <c r="D2222">
        <v>2</v>
      </c>
      <c r="E2222">
        <v>50</v>
      </c>
      <c r="F2222" t="s">
        <v>151</v>
      </c>
      <c r="G2222" t="s">
        <v>122</v>
      </c>
    </row>
    <row r="2223" spans="1:7" hidden="1" x14ac:dyDescent="0.25">
      <c r="A2223">
        <v>99</v>
      </c>
      <c r="B2223">
        <v>8004</v>
      </c>
      <c r="C2223">
        <v>0</v>
      </c>
      <c r="D2223">
        <v>2</v>
      </c>
      <c r="E2223">
        <v>50</v>
      </c>
      <c r="F2223" t="s">
        <v>151</v>
      </c>
      <c r="G2223" t="s">
        <v>122</v>
      </c>
    </row>
    <row r="2224" spans="1:7" hidden="1" x14ac:dyDescent="0.25">
      <c r="A2224">
        <v>99</v>
      </c>
      <c r="B2224">
        <v>8144</v>
      </c>
      <c r="C2224">
        <v>0</v>
      </c>
      <c r="D2224">
        <v>2</v>
      </c>
      <c r="E2224">
        <v>50</v>
      </c>
      <c r="F2224" t="s">
        <v>151</v>
      </c>
      <c r="G2224" t="s">
        <v>122</v>
      </c>
    </row>
    <row r="2225" spans="1:7" hidden="1" x14ac:dyDescent="0.25">
      <c r="A2225">
        <v>99</v>
      </c>
      <c r="B2225">
        <v>8668</v>
      </c>
      <c r="C2225">
        <v>0</v>
      </c>
      <c r="D2225">
        <v>2</v>
      </c>
      <c r="E2225">
        <v>26</v>
      </c>
      <c r="F2225" t="s">
        <v>151</v>
      </c>
      <c r="G2225" t="s">
        <v>122</v>
      </c>
    </row>
    <row r="2226" spans="1:7" hidden="1" x14ac:dyDescent="0.25">
      <c r="A2226">
        <v>99</v>
      </c>
      <c r="B2226">
        <v>9032</v>
      </c>
      <c r="C2226">
        <v>0</v>
      </c>
      <c r="D2226">
        <v>2</v>
      </c>
      <c r="E2226">
        <v>50</v>
      </c>
      <c r="F2226" t="s">
        <v>151</v>
      </c>
      <c r="G2226" t="s">
        <v>122</v>
      </c>
    </row>
    <row r="2227" spans="1:7" hidden="1" x14ac:dyDescent="0.25">
      <c r="A2227">
        <v>99</v>
      </c>
      <c r="B2227">
        <v>9072</v>
      </c>
      <c r="C2227">
        <v>0</v>
      </c>
      <c r="D2227">
        <v>2</v>
      </c>
      <c r="E2227">
        <v>50</v>
      </c>
      <c r="F2227" t="s">
        <v>151</v>
      </c>
      <c r="G2227" t="s">
        <v>122</v>
      </c>
    </row>
    <row r="2228" spans="1:7" hidden="1" x14ac:dyDescent="0.25">
      <c r="A2228">
        <v>99</v>
      </c>
      <c r="B2228">
        <v>9272</v>
      </c>
      <c r="C2228">
        <v>0</v>
      </c>
      <c r="D2228">
        <v>2</v>
      </c>
      <c r="E2228">
        <v>50</v>
      </c>
      <c r="F2228" t="s">
        <v>151</v>
      </c>
      <c r="G2228" t="s">
        <v>122</v>
      </c>
    </row>
    <row r="2229" spans="1:7" hidden="1" x14ac:dyDescent="0.25">
      <c r="A2229">
        <v>99</v>
      </c>
      <c r="B2229">
        <v>10420</v>
      </c>
      <c r="C2229">
        <v>0</v>
      </c>
      <c r="D2229">
        <v>2</v>
      </c>
      <c r="E2229">
        <v>38</v>
      </c>
      <c r="F2229" t="s">
        <v>151</v>
      </c>
      <c r="G2229" t="s">
        <v>122</v>
      </c>
    </row>
    <row r="2230" spans="1:7" hidden="1" x14ac:dyDescent="0.25">
      <c r="A2230">
        <v>50</v>
      </c>
      <c r="B2230">
        <v>1172</v>
      </c>
      <c r="C2230">
        <v>0</v>
      </c>
      <c r="D2230">
        <v>2</v>
      </c>
      <c r="E2230">
        <v>27</v>
      </c>
      <c r="F2230" t="s">
        <v>152</v>
      </c>
      <c r="G2230" t="s">
        <v>124</v>
      </c>
    </row>
    <row r="2231" spans="1:7" hidden="1" x14ac:dyDescent="0.25">
      <c r="A2231">
        <v>50</v>
      </c>
      <c r="B2231">
        <v>1476</v>
      </c>
      <c r="C2231">
        <v>0</v>
      </c>
      <c r="D2231">
        <v>2</v>
      </c>
      <c r="E2231">
        <v>27</v>
      </c>
      <c r="F2231" t="s">
        <v>152</v>
      </c>
      <c r="G2231" t="s">
        <v>124</v>
      </c>
    </row>
    <row r="2232" spans="1:7" hidden="1" x14ac:dyDescent="0.25">
      <c r="A2232">
        <v>50</v>
      </c>
      <c r="B2232">
        <v>2548</v>
      </c>
      <c r="C2232">
        <v>0</v>
      </c>
      <c r="D2232">
        <v>2</v>
      </c>
      <c r="E2232">
        <v>27</v>
      </c>
      <c r="F2232" t="s">
        <v>152</v>
      </c>
      <c r="G2232" t="s">
        <v>124</v>
      </c>
    </row>
    <row r="2233" spans="1:7" hidden="1" x14ac:dyDescent="0.25">
      <c r="A2233">
        <v>50</v>
      </c>
      <c r="B2233">
        <v>4144</v>
      </c>
      <c r="C2233">
        <v>0</v>
      </c>
      <c r="D2233">
        <v>2</v>
      </c>
      <c r="E2233">
        <v>27</v>
      </c>
      <c r="F2233" t="s">
        <v>152</v>
      </c>
      <c r="G2233" t="s">
        <v>124</v>
      </c>
    </row>
    <row r="2234" spans="1:7" hidden="1" x14ac:dyDescent="0.25">
      <c r="A2234">
        <v>50</v>
      </c>
      <c r="B2234">
        <v>4336</v>
      </c>
      <c r="C2234">
        <v>0</v>
      </c>
      <c r="D2234">
        <v>2</v>
      </c>
      <c r="E2234">
        <v>27</v>
      </c>
      <c r="F2234" t="s">
        <v>152</v>
      </c>
      <c r="G2234" t="s">
        <v>124</v>
      </c>
    </row>
    <row r="2235" spans="1:7" hidden="1" x14ac:dyDescent="0.25">
      <c r="A2235">
        <v>50</v>
      </c>
      <c r="B2235">
        <v>4600</v>
      </c>
      <c r="C2235">
        <v>0</v>
      </c>
      <c r="D2235">
        <v>2</v>
      </c>
      <c r="E2235">
        <v>27</v>
      </c>
      <c r="F2235" t="s">
        <v>152</v>
      </c>
      <c r="G2235" t="s">
        <v>124</v>
      </c>
    </row>
    <row r="2236" spans="1:7" hidden="1" x14ac:dyDescent="0.25">
      <c r="A2236">
        <v>50</v>
      </c>
      <c r="B2236">
        <v>5892</v>
      </c>
      <c r="C2236">
        <v>0</v>
      </c>
      <c r="D2236">
        <v>2</v>
      </c>
      <c r="E2236">
        <v>27</v>
      </c>
      <c r="F2236" t="s">
        <v>152</v>
      </c>
      <c r="G2236" t="s">
        <v>124</v>
      </c>
    </row>
    <row r="2237" spans="1:7" hidden="1" x14ac:dyDescent="0.25">
      <c r="A2237">
        <v>50</v>
      </c>
      <c r="B2237">
        <v>5904</v>
      </c>
      <c r="C2237">
        <v>0</v>
      </c>
      <c r="D2237">
        <v>2</v>
      </c>
      <c r="E2237">
        <v>27</v>
      </c>
      <c r="F2237" t="s">
        <v>152</v>
      </c>
      <c r="G2237" t="s">
        <v>124</v>
      </c>
    </row>
    <row r="2238" spans="1:7" hidden="1" x14ac:dyDescent="0.25">
      <c r="A2238">
        <v>50</v>
      </c>
      <c r="B2238">
        <v>6280</v>
      </c>
      <c r="C2238">
        <v>0</v>
      </c>
      <c r="D2238">
        <v>2</v>
      </c>
      <c r="E2238">
        <v>27</v>
      </c>
      <c r="F2238" t="s">
        <v>152</v>
      </c>
      <c r="G2238" t="s">
        <v>124</v>
      </c>
    </row>
    <row r="2239" spans="1:7" hidden="1" x14ac:dyDescent="0.25">
      <c r="A2239">
        <v>50</v>
      </c>
      <c r="B2239">
        <v>6312</v>
      </c>
      <c r="C2239">
        <v>0</v>
      </c>
      <c r="D2239">
        <v>2</v>
      </c>
      <c r="E2239">
        <v>27</v>
      </c>
      <c r="F2239" t="s">
        <v>152</v>
      </c>
      <c r="G2239" t="s">
        <v>124</v>
      </c>
    </row>
    <row r="2240" spans="1:7" hidden="1" x14ac:dyDescent="0.25">
      <c r="A2240">
        <v>50</v>
      </c>
      <c r="B2240">
        <v>7528</v>
      </c>
      <c r="C2240">
        <v>0</v>
      </c>
      <c r="D2240">
        <v>2</v>
      </c>
      <c r="E2240">
        <v>27</v>
      </c>
      <c r="F2240" t="s">
        <v>152</v>
      </c>
      <c r="G2240" t="s">
        <v>124</v>
      </c>
    </row>
    <row r="2241" spans="1:7" hidden="1" x14ac:dyDescent="0.25">
      <c r="A2241">
        <v>50</v>
      </c>
      <c r="B2241">
        <v>7756</v>
      </c>
      <c r="C2241">
        <v>0</v>
      </c>
      <c r="D2241">
        <v>2</v>
      </c>
      <c r="E2241">
        <v>27</v>
      </c>
      <c r="F2241" t="s">
        <v>152</v>
      </c>
      <c r="G2241" t="s">
        <v>124</v>
      </c>
    </row>
    <row r="2242" spans="1:7" hidden="1" x14ac:dyDescent="0.25">
      <c r="A2242">
        <v>50</v>
      </c>
      <c r="B2242">
        <v>8256</v>
      </c>
      <c r="C2242">
        <v>0</v>
      </c>
      <c r="D2242">
        <v>2</v>
      </c>
      <c r="E2242">
        <v>27</v>
      </c>
      <c r="F2242" t="s">
        <v>152</v>
      </c>
      <c r="G2242" t="s">
        <v>124</v>
      </c>
    </row>
    <row r="2243" spans="1:7" hidden="1" x14ac:dyDescent="0.25">
      <c r="A2243">
        <v>50</v>
      </c>
      <c r="B2243">
        <v>10012</v>
      </c>
      <c r="C2243">
        <v>0</v>
      </c>
      <c r="D2243">
        <v>2</v>
      </c>
      <c r="E2243">
        <v>27</v>
      </c>
      <c r="F2243" t="s">
        <v>152</v>
      </c>
      <c r="G2243" t="s">
        <v>124</v>
      </c>
    </row>
    <row r="2244" spans="1:7" hidden="1" x14ac:dyDescent="0.25">
      <c r="A2244">
        <v>50</v>
      </c>
      <c r="B2244">
        <v>10064</v>
      </c>
      <c r="C2244">
        <v>0</v>
      </c>
      <c r="D2244">
        <v>2</v>
      </c>
      <c r="E2244">
        <v>27</v>
      </c>
      <c r="F2244" t="s">
        <v>152</v>
      </c>
      <c r="G2244" t="s">
        <v>124</v>
      </c>
    </row>
    <row r="2245" spans="1:7" hidden="1" x14ac:dyDescent="0.25">
      <c r="A2245">
        <v>50</v>
      </c>
      <c r="B2245">
        <v>10100</v>
      </c>
      <c r="C2245">
        <v>0</v>
      </c>
      <c r="D2245">
        <v>2</v>
      </c>
      <c r="E2245">
        <v>27</v>
      </c>
      <c r="F2245" t="s">
        <v>152</v>
      </c>
      <c r="G2245" t="s">
        <v>124</v>
      </c>
    </row>
    <row r="2246" spans="1:7" hidden="1" x14ac:dyDescent="0.25">
      <c r="A2246">
        <v>99</v>
      </c>
      <c r="B2246">
        <v>2068</v>
      </c>
      <c r="C2246">
        <v>0</v>
      </c>
      <c r="D2246">
        <v>2</v>
      </c>
      <c r="E2246">
        <v>39</v>
      </c>
      <c r="F2246" t="s">
        <v>152</v>
      </c>
      <c r="G2246" t="s">
        <v>124</v>
      </c>
    </row>
    <row r="2247" spans="1:7" hidden="1" x14ac:dyDescent="0.25">
      <c r="A2247">
        <v>99</v>
      </c>
      <c r="B2247">
        <v>3284</v>
      </c>
      <c r="C2247">
        <v>0</v>
      </c>
      <c r="D2247">
        <v>2</v>
      </c>
      <c r="E2247">
        <v>51</v>
      </c>
      <c r="F2247" t="s">
        <v>152</v>
      </c>
      <c r="G2247" t="s">
        <v>124</v>
      </c>
    </row>
    <row r="2248" spans="1:7" hidden="1" x14ac:dyDescent="0.25">
      <c r="A2248">
        <v>99</v>
      </c>
      <c r="B2248">
        <v>7188</v>
      </c>
      <c r="C2248">
        <v>0</v>
      </c>
      <c r="D2248">
        <v>2</v>
      </c>
      <c r="E2248">
        <v>39</v>
      </c>
      <c r="F2248" t="s">
        <v>152</v>
      </c>
      <c r="G2248" t="s">
        <v>124</v>
      </c>
    </row>
    <row r="2249" spans="1:7" hidden="1" x14ac:dyDescent="0.25">
      <c r="A2249">
        <v>99</v>
      </c>
      <c r="B2249">
        <v>7300</v>
      </c>
      <c r="C2249">
        <v>0</v>
      </c>
      <c r="D2249">
        <v>2</v>
      </c>
      <c r="E2249">
        <v>51</v>
      </c>
      <c r="F2249" t="s">
        <v>152</v>
      </c>
      <c r="G2249" t="s">
        <v>124</v>
      </c>
    </row>
    <row r="2250" spans="1:7" hidden="1" x14ac:dyDescent="0.25">
      <c r="A2250">
        <v>99</v>
      </c>
      <c r="B2250">
        <v>7552</v>
      </c>
      <c r="C2250">
        <v>0</v>
      </c>
      <c r="D2250">
        <v>2</v>
      </c>
      <c r="E2250">
        <v>51</v>
      </c>
      <c r="F2250" t="s">
        <v>152</v>
      </c>
      <c r="G2250" t="s">
        <v>124</v>
      </c>
    </row>
    <row r="2251" spans="1:7" hidden="1" x14ac:dyDescent="0.25">
      <c r="A2251">
        <v>99</v>
      </c>
      <c r="B2251">
        <v>8004</v>
      </c>
      <c r="C2251">
        <v>0</v>
      </c>
      <c r="D2251">
        <v>2</v>
      </c>
      <c r="E2251">
        <v>51</v>
      </c>
      <c r="F2251" t="s">
        <v>152</v>
      </c>
      <c r="G2251" t="s">
        <v>124</v>
      </c>
    </row>
    <row r="2252" spans="1:7" hidden="1" x14ac:dyDescent="0.25">
      <c r="A2252">
        <v>99</v>
      </c>
      <c r="B2252">
        <v>8144</v>
      </c>
      <c r="C2252">
        <v>0</v>
      </c>
      <c r="D2252">
        <v>2</v>
      </c>
      <c r="E2252">
        <v>51</v>
      </c>
      <c r="F2252" t="s">
        <v>152</v>
      </c>
      <c r="G2252" t="s">
        <v>124</v>
      </c>
    </row>
    <row r="2253" spans="1:7" hidden="1" x14ac:dyDescent="0.25">
      <c r="A2253">
        <v>99</v>
      </c>
      <c r="B2253">
        <v>8668</v>
      </c>
      <c r="C2253">
        <v>0</v>
      </c>
      <c r="D2253">
        <v>2</v>
      </c>
      <c r="E2253">
        <v>27</v>
      </c>
      <c r="F2253" t="s">
        <v>152</v>
      </c>
      <c r="G2253" t="s">
        <v>124</v>
      </c>
    </row>
    <row r="2254" spans="1:7" hidden="1" x14ac:dyDescent="0.25">
      <c r="A2254">
        <v>99</v>
      </c>
      <c r="B2254">
        <v>9032</v>
      </c>
      <c r="C2254">
        <v>0</v>
      </c>
      <c r="D2254">
        <v>2</v>
      </c>
      <c r="E2254">
        <v>51</v>
      </c>
      <c r="F2254" t="s">
        <v>152</v>
      </c>
      <c r="G2254" t="s">
        <v>124</v>
      </c>
    </row>
    <row r="2255" spans="1:7" hidden="1" x14ac:dyDescent="0.25">
      <c r="A2255">
        <v>99</v>
      </c>
      <c r="B2255">
        <v>9072</v>
      </c>
      <c r="C2255">
        <v>0</v>
      </c>
      <c r="D2255">
        <v>2</v>
      </c>
      <c r="E2255">
        <v>51</v>
      </c>
      <c r="F2255" t="s">
        <v>152</v>
      </c>
      <c r="G2255" t="s">
        <v>124</v>
      </c>
    </row>
    <row r="2256" spans="1:7" hidden="1" x14ac:dyDescent="0.25">
      <c r="A2256">
        <v>99</v>
      </c>
      <c r="B2256">
        <v>9272</v>
      </c>
      <c r="C2256">
        <v>0</v>
      </c>
      <c r="D2256">
        <v>2</v>
      </c>
      <c r="E2256">
        <v>51</v>
      </c>
      <c r="F2256" t="s">
        <v>152</v>
      </c>
      <c r="G2256" t="s">
        <v>124</v>
      </c>
    </row>
    <row r="2257" spans="1:7" hidden="1" x14ac:dyDescent="0.25">
      <c r="A2257">
        <v>99</v>
      </c>
      <c r="B2257">
        <v>10420</v>
      </c>
      <c r="C2257">
        <v>0</v>
      </c>
      <c r="D2257">
        <v>2</v>
      </c>
      <c r="E2257">
        <v>39</v>
      </c>
      <c r="F2257" t="s">
        <v>152</v>
      </c>
      <c r="G2257" t="s">
        <v>124</v>
      </c>
    </row>
    <row r="2258" spans="1:7" hidden="1" x14ac:dyDescent="0.25">
      <c r="A2258">
        <v>50</v>
      </c>
      <c r="B2258">
        <v>1172</v>
      </c>
      <c r="C2258">
        <v>0</v>
      </c>
      <c r="D2258">
        <v>2</v>
      </c>
      <c r="E2258">
        <v>30</v>
      </c>
      <c r="F2258" t="s">
        <v>302</v>
      </c>
      <c r="G2258" t="s">
        <v>214</v>
      </c>
    </row>
    <row r="2259" spans="1:7" hidden="1" x14ac:dyDescent="0.25">
      <c r="A2259">
        <v>50</v>
      </c>
      <c r="B2259">
        <v>1476</v>
      </c>
      <c r="C2259">
        <v>0</v>
      </c>
      <c r="D2259">
        <v>2</v>
      </c>
      <c r="E2259">
        <v>30</v>
      </c>
      <c r="F2259" t="s">
        <v>302</v>
      </c>
      <c r="G2259" t="s">
        <v>214</v>
      </c>
    </row>
    <row r="2260" spans="1:7" hidden="1" x14ac:dyDescent="0.25">
      <c r="A2260">
        <v>50</v>
      </c>
      <c r="B2260">
        <v>2548</v>
      </c>
      <c r="C2260">
        <v>0</v>
      </c>
      <c r="D2260">
        <v>2</v>
      </c>
      <c r="E2260">
        <v>30</v>
      </c>
      <c r="F2260" t="s">
        <v>302</v>
      </c>
      <c r="G2260" t="s">
        <v>214</v>
      </c>
    </row>
    <row r="2261" spans="1:7" hidden="1" x14ac:dyDescent="0.25">
      <c r="A2261">
        <v>50</v>
      </c>
      <c r="B2261">
        <v>4144</v>
      </c>
      <c r="C2261">
        <v>0</v>
      </c>
      <c r="D2261">
        <v>2</v>
      </c>
      <c r="E2261">
        <v>30</v>
      </c>
      <c r="F2261" t="s">
        <v>302</v>
      </c>
      <c r="G2261" t="s">
        <v>214</v>
      </c>
    </row>
    <row r="2262" spans="1:7" hidden="1" x14ac:dyDescent="0.25">
      <c r="A2262">
        <v>50</v>
      </c>
      <c r="B2262">
        <v>4336</v>
      </c>
      <c r="C2262">
        <v>0</v>
      </c>
      <c r="D2262">
        <v>2</v>
      </c>
      <c r="E2262">
        <v>30</v>
      </c>
      <c r="F2262" t="s">
        <v>302</v>
      </c>
      <c r="G2262" t="s">
        <v>214</v>
      </c>
    </row>
    <row r="2263" spans="1:7" hidden="1" x14ac:dyDescent="0.25">
      <c r="A2263">
        <v>50</v>
      </c>
      <c r="B2263">
        <v>4600</v>
      </c>
      <c r="C2263">
        <v>0</v>
      </c>
      <c r="D2263">
        <v>2</v>
      </c>
      <c r="E2263">
        <v>30</v>
      </c>
      <c r="F2263" t="s">
        <v>302</v>
      </c>
      <c r="G2263" t="s">
        <v>214</v>
      </c>
    </row>
    <row r="2264" spans="1:7" hidden="1" x14ac:dyDescent="0.25">
      <c r="A2264">
        <v>50</v>
      </c>
      <c r="B2264">
        <v>5892</v>
      </c>
      <c r="C2264">
        <v>0</v>
      </c>
      <c r="D2264">
        <v>2</v>
      </c>
      <c r="E2264">
        <v>30</v>
      </c>
      <c r="F2264" t="s">
        <v>302</v>
      </c>
      <c r="G2264" t="s">
        <v>214</v>
      </c>
    </row>
    <row r="2265" spans="1:7" hidden="1" x14ac:dyDescent="0.25">
      <c r="A2265">
        <v>50</v>
      </c>
      <c r="B2265">
        <v>5904</v>
      </c>
      <c r="C2265">
        <v>0</v>
      </c>
      <c r="D2265">
        <v>2</v>
      </c>
      <c r="E2265">
        <v>30</v>
      </c>
      <c r="F2265" t="s">
        <v>302</v>
      </c>
      <c r="G2265" t="s">
        <v>214</v>
      </c>
    </row>
    <row r="2266" spans="1:7" hidden="1" x14ac:dyDescent="0.25">
      <c r="A2266">
        <v>50</v>
      </c>
      <c r="B2266">
        <v>6280</v>
      </c>
      <c r="C2266">
        <v>0</v>
      </c>
      <c r="D2266">
        <v>2</v>
      </c>
      <c r="E2266">
        <v>30</v>
      </c>
      <c r="F2266" t="s">
        <v>302</v>
      </c>
      <c r="G2266" t="s">
        <v>214</v>
      </c>
    </row>
    <row r="2267" spans="1:7" hidden="1" x14ac:dyDescent="0.25">
      <c r="A2267">
        <v>50</v>
      </c>
      <c r="B2267">
        <v>6312</v>
      </c>
      <c r="C2267">
        <v>0</v>
      </c>
      <c r="D2267">
        <v>2</v>
      </c>
      <c r="E2267">
        <v>30</v>
      </c>
      <c r="F2267" t="s">
        <v>302</v>
      </c>
      <c r="G2267" t="s">
        <v>214</v>
      </c>
    </row>
    <row r="2268" spans="1:7" hidden="1" x14ac:dyDescent="0.25">
      <c r="A2268">
        <v>50</v>
      </c>
      <c r="B2268">
        <v>7528</v>
      </c>
      <c r="C2268">
        <v>0</v>
      </c>
      <c r="D2268">
        <v>2</v>
      </c>
      <c r="E2268">
        <v>30</v>
      </c>
      <c r="F2268" t="s">
        <v>302</v>
      </c>
      <c r="G2268" t="s">
        <v>214</v>
      </c>
    </row>
    <row r="2269" spans="1:7" hidden="1" x14ac:dyDescent="0.25">
      <c r="A2269">
        <v>50</v>
      </c>
      <c r="B2269">
        <v>7756</v>
      </c>
      <c r="C2269">
        <v>0</v>
      </c>
      <c r="D2269">
        <v>2</v>
      </c>
      <c r="E2269">
        <v>30</v>
      </c>
      <c r="F2269" t="s">
        <v>302</v>
      </c>
      <c r="G2269" t="s">
        <v>214</v>
      </c>
    </row>
    <row r="2270" spans="1:7" hidden="1" x14ac:dyDescent="0.25">
      <c r="A2270">
        <v>50</v>
      </c>
      <c r="B2270">
        <v>8256</v>
      </c>
      <c r="C2270">
        <v>0</v>
      </c>
      <c r="D2270">
        <v>2</v>
      </c>
      <c r="E2270">
        <v>30</v>
      </c>
      <c r="F2270" t="s">
        <v>302</v>
      </c>
      <c r="G2270" t="s">
        <v>214</v>
      </c>
    </row>
    <row r="2271" spans="1:7" hidden="1" x14ac:dyDescent="0.25">
      <c r="A2271">
        <v>50</v>
      </c>
      <c r="B2271">
        <v>10012</v>
      </c>
      <c r="C2271">
        <v>0</v>
      </c>
      <c r="D2271">
        <v>2</v>
      </c>
      <c r="E2271">
        <v>30</v>
      </c>
      <c r="F2271" t="s">
        <v>302</v>
      </c>
      <c r="G2271" t="s">
        <v>214</v>
      </c>
    </row>
    <row r="2272" spans="1:7" hidden="1" x14ac:dyDescent="0.25">
      <c r="A2272">
        <v>50</v>
      </c>
      <c r="B2272">
        <v>10064</v>
      </c>
      <c r="C2272">
        <v>0</v>
      </c>
      <c r="D2272">
        <v>2</v>
      </c>
      <c r="E2272">
        <v>30</v>
      </c>
      <c r="F2272" t="s">
        <v>302</v>
      </c>
      <c r="G2272" t="s">
        <v>214</v>
      </c>
    </row>
    <row r="2273" spans="1:7" hidden="1" x14ac:dyDescent="0.25">
      <c r="A2273">
        <v>50</v>
      </c>
      <c r="B2273">
        <v>10100</v>
      </c>
      <c r="C2273">
        <v>0</v>
      </c>
      <c r="D2273">
        <v>2</v>
      </c>
      <c r="E2273">
        <v>30</v>
      </c>
      <c r="F2273" t="s">
        <v>302</v>
      </c>
      <c r="G2273" t="s">
        <v>214</v>
      </c>
    </row>
    <row r="2274" spans="1:7" hidden="1" x14ac:dyDescent="0.25">
      <c r="A2274">
        <v>99</v>
      </c>
      <c r="B2274">
        <v>2068</v>
      </c>
      <c r="C2274">
        <v>0</v>
      </c>
      <c r="D2274">
        <v>2</v>
      </c>
      <c r="E2274">
        <v>42</v>
      </c>
      <c r="F2274" t="s">
        <v>302</v>
      </c>
      <c r="G2274" t="s">
        <v>214</v>
      </c>
    </row>
    <row r="2275" spans="1:7" hidden="1" x14ac:dyDescent="0.25">
      <c r="A2275">
        <v>99</v>
      </c>
      <c r="B2275">
        <v>3284</v>
      </c>
      <c r="C2275">
        <v>0</v>
      </c>
      <c r="D2275">
        <v>2</v>
      </c>
      <c r="E2275">
        <v>54</v>
      </c>
      <c r="F2275" t="s">
        <v>302</v>
      </c>
      <c r="G2275" t="s">
        <v>214</v>
      </c>
    </row>
    <row r="2276" spans="1:7" hidden="1" x14ac:dyDescent="0.25">
      <c r="A2276">
        <v>99</v>
      </c>
      <c r="B2276">
        <v>7188</v>
      </c>
      <c r="C2276">
        <v>0</v>
      </c>
      <c r="D2276">
        <v>2</v>
      </c>
      <c r="E2276">
        <v>42</v>
      </c>
      <c r="F2276" t="s">
        <v>302</v>
      </c>
      <c r="G2276" t="s">
        <v>214</v>
      </c>
    </row>
    <row r="2277" spans="1:7" hidden="1" x14ac:dyDescent="0.25">
      <c r="A2277">
        <v>99</v>
      </c>
      <c r="B2277">
        <v>7300</v>
      </c>
      <c r="C2277">
        <v>0</v>
      </c>
      <c r="D2277">
        <v>2</v>
      </c>
      <c r="E2277">
        <v>54</v>
      </c>
      <c r="F2277" t="s">
        <v>302</v>
      </c>
      <c r="G2277" t="s">
        <v>214</v>
      </c>
    </row>
    <row r="2278" spans="1:7" hidden="1" x14ac:dyDescent="0.25">
      <c r="A2278">
        <v>99</v>
      </c>
      <c r="B2278">
        <v>7552</v>
      </c>
      <c r="C2278">
        <v>0</v>
      </c>
      <c r="D2278">
        <v>2</v>
      </c>
      <c r="E2278">
        <v>54</v>
      </c>
      <c r="F2278" t="s">
        <v>302</v>
      </c>
      <c r="G2278" t="s">
        <v>214</v>
      </c>
    </row>
    <row r="2279" spans="1:7" hidden="1" x14ac:dyDescent="0.25">
      <c r="A2279">
        <v>99</v>
      </c>
      <c r="B2279">
        <v>8004</v>
      </c>
      <c r="C2279">
        <v>0</v>
      </c>
      <c r="D2279">
        <v>2</v>
      </c>
      <c r="E2279">
        <v>54</v>
      </c>
      <c r="F2279" t="s">
        <v>302</v>
      </c>
      <c r="G2279" t="s">
        <v>214</v>
      </c>
    </row>
    <row r="2280" spans="1:7" hidden="1" x14ac:dyDescent="0.25">
      <c r="A2280">
        <v>99</v>
      </c>
      <c r="B2280">
        <v>8144</v>
      </c>
      <c r="C2280">
        <v>0</v>
      </c>
      <c r="D2280">
        <v>2</v>
      </c>
      <c r="E2280">
        <v>54</v>
      </c>
      <c r="F2280" t="s">
        <v>302</v>
      </c>
      <c r="G2280" t="s">
        <v>214</v>
      </c>
    </row>
    <row r="2281" spans="1:7" hidden="1" x14ac:dyDescent="0.25">
      <c r="A2281">
        <v>99</v>
      </c>
      <c r="B2281">
        <v>8668</v>
      </c>
      <c r="C2281">
        <v>0</v>
      </c>
      <c r="D2281">
        <v>2</v>
      </c>
      <c r="E2281">
        <v>30</v>
      </c>
      <c r="F2281" t="s">
        <v>302</v>
      </c>
      <c r="G2281" t="s">
        <v>214</v>
      </c>
    </row>
    <row r="2282" spans="1:7" hidden="1" x14ac:dyDescent="0.25">
      <c r="A2282">
        <v>99</v>
      </c>
      <c r="B2282">
        <v>9032</v>
      </c>
      <c r="C2282">
        <v>0</v>
      </c>
      <c r="D2282">
        <v>2</v>
      </c>
      <c r="E2282">
        <v>54</v>
      </c>
      <c r="F2282" t="s">
        <v>302</v>
      </c>
      <c r="G2282" t="s">
        <v>214</v>
      </c>
    </row>
    <row r="2283" spans="1:7" hidden="1" x14ac:dyDescent="0.25">
      <c r="A2283">
        <v>99</v>
      </c>
      <c r="B2283">
        <v>9072</v>
      </c>
      <c r="C2283">
        <v>0</v>
      </c>
      <c r="D2283">
        <v>2</v>
      </c>
      <c r="E2283">
        <v>54</v>
      </c>
      <c r="F2283" t="s">
        <v>302</v>
      </c>
      <c r="G2283" t="s">
        <v>214</v>
      </c>
    </row>
    <row r="2284" spans="1:7" hidden="1" x14ac:dyDescent="0.25">
      <c r="A2284">
        <v>99</v>
      </c>
      <c r="B2284">
        <v>9272</v>
      </c>
      <c r="C2284">
        <v>0</v>
      </c>
      <c r="D2284">
        <v>2</v>
      </c>
      <c r="E2284">
        <v>54</v>
      </c>
      <c r="F2284" t="s">
        <v>302</v>
      </c>
      <c r="G2284" t="s">
        <v>214</v>
      </c>
    </row>
    <row r="2285" spans="1:7" hidden="1" x14ac:dyDescent="0.25">
      <c r="A2285">
        <v>99</v>
      </c>
      <c r="B2285">
        <v>10420</v>
      </c>
      <c r="C2285">
        <v>0</v>
      </c>
      <c r="D2285">
        <v>2</v>
      </c>
      <c r="E2285">
        <v>42</v>
      </c>
      <c r="F2285" t="s">
        <v>302</v>
      </c>
      <c r="G2285" t="s">
        <v>214</v>
      </c>
    </row>
    <row r="2286" spans="1:7" hidden="1" x14ac:dyDescent="0.25">
      <c r="A2286">
        <v>50</v>
      </c>
      <c r="B2286">
        <v>1172</v>
      </c>
      <c r="C2286">
        <v>0</v>
      </c>
      <c r="D2286">
        <v>2</v>
      </c>
      <c r="E2286">
        <v>29</v>
      </c>
      <c r="F2286" t="s">
        <v>301</v>
      </c>
      <c r="G2286" t="s">
        <v>183</v>
      </c>
    </row>
    <row r="2287" spans="1:7" hidden="1" x14ac:dyDescent="0.25">
      <c r="A2287">
        <v>50</v>
      </c>
      <c r="B2287">
        <v>1476</v>
      </c>
      <c r="C2287">
        <v>0</v>
      </c>
      <c r="D2287">
        <v>2</v>
      </c>
      <c r="E2287">
        <v>29</v>
      </c>
      <c r="F2287" t="s">
        <v>301</v>
      </c>
      <c r="G2287" t="s">
        <v>183</v>
      </c>
    </row>
    <row r="2288" spans="1:7" hidden="1" x14ac:dyDescent="0.25">
      <c r="A2288">
        <v>50</v>
      </c>
      <c r="B2288">
        <v>2548</v>
      </c>
      <c r="C2288">
        <v>0</v>
      </c>
      <c r="D2288">
        <v>2</v>
      </c>
      <c r="E2288">
        <v>29</v>
      </c>
      <c r="F2288" t="s">
        <v>301</v>
      </c>
      <c r="G2288" t="s">
        <v>183</v>
      </c>
    </row>
    <row r="2289" spans="1:7" hidden="1" x14ac:dyDescent="0.25">
      <c r="A2289">
        <v>50</v>
      </c>
      <c r="B2289">
        <v>4144</v>
      </c>
      <c r="C2289">
        <v>0</v>
      </c>
      <c r="D2289">
        <v>2</v>
      </c>
      <c r="E2289">
        <v>29</v>
      </c>
      <c r="F2289" t="s">
        <v>301</v>
      </c>
      <c r="G2289" t="s">
        <v>183</v>
      </c>
    </row>
    <row r="2290" spans="1:7" hidden="1" x14ac:dyDescent="0.25">
      <c r="A2290">
        <v>50</v>
      </c>
      <c r="B2290">
        <v>4336</v>
      </c>
      <c r="C2290">
        <v>0</v>
      </c>
      <c r="D2290">
        <v>2</v>
      </c>
      <c r="E2290">
        <v>29</v>
      </c>
      <c r="F2290" t="s">
        <v>301</v>
      </c>
      <c r="G2290" t="s">
        <v>183</v>
      </c>
    </row>
    <row r="2291" spans="1:7" hidden="1" x14ac:dyDescent="0.25">
      <c r="A2291">
        <v>50</v>
      </c>
      <c r="B2291">
        <v>4600</v>
      </c>
      <c r="C2291">
        <v>0</v>
      </c>
      <c r="D2291">
        <v>2</v>
      </c>
      <c r="E2291">
        <v>29</v>
      </c>
      <c r="F2291" t="s">
        <v>301</v>
      </c>
      <c r="G2291" t="s">
        <v>183</v>
      </c>
    </row>
    <row r="2292" spans="1:7" hidden="1" x14ac:dyDescent="0.25">
      <c r="A2292">
        <v>50</v>
      </c>
      <c r="B2292">
        <v>5892</v>
      </c>
      <c r="C2292">
        <v>0</v>
      </c>
      <c r="D2292">
        <v>2</v>
      </c>
      <c r="E2292">
        <v>29</v>
      </c>
      <c r="F2292" t="s">
        <v>301</v>
      </c>
      <c r="G2292" t="s">
        <v>183</v>
      </c>
    </row>
    <row r="2293" spans="1:7" hidden="1" x14ac:dyDescent="0.25">
      <c r="A2293">
        <v>50</v>
      </c>
      <c r="B2293">
        <v>5904</v>
      </c>
      <c r="C2293">
        <v>0</v>
      </c>
      <c r="D2293">
        <v>2</v>
      </c>
      <c r="E2293">
        <v>29</v>
      </c>
      <c r="F2293" t="s">
        <v>301</v>
      </c>
      <c r="G2293" t="s">
        <v>183</v>
      </c>
    </row>
    <row r="2294" spans="1:7" hidden="1" x14ac:dyDescent="0.25">
      <c r="A2294">
        <v>50</v>
      </c>
      <c r="B2294">
        <v>6280</v>
      </c>
      <c r="C2294">
        <v>0</v>
      </c>
      <c r="D2294">
        <v>2</v>
      </c>
      <c r="E2294">
        <v>29</v>
      </c>
      <c r="F2294" t="s">
        <v>301</v>
      </c>
      <c r="G2294" t="s">
        <v>183</v>
      </c>
    </row>
    <row r="2295" spans="1:7" hidden="1" x14ac:dyDescent="0.25">
      <c r="A2295">
        <v>50</v>
      </c>
      <c r="B2295">
        <v>6312</v>
      </c>
      <c r="C2295">
        <v>0</v>
      </c>
      <c r="D2295">
        <v>2</v>
      </c>
      <c r="E2295">
        <v>29</v>
      </c>
      <c r="F2295" t="s">
        <v>301</v>
      </c>
      <c r="G2295" t="s">
        <v>183</v>
      </c>
    </row>
    <row r="2296" spans="1:7" hidden="1" x14ac:dyDescent="0.25">
      <c r="A2296">
        <v>50</v>
      </c>
      <c r="B2296">
        <v>7528</v>
      </c>
      <c r="C2296">
        <v>0</v>
      </c>
      <c r="D2296">
        <v>2</v>
      </c>
      <c r="E2296">
        <v>29</v>
      </c>
      <c r="F2296" t="s">
        <v>301</v>
      </c>
      <c r="G2296" t="s">
        <v>183</v>
      </c>
    </row>
    <row r="2297" spans="1:7" hidden="1" x14ac:dyDescent="0.25">
      <c r="A2297">
        <v>50</v>
      </c>
      <c r="B2297">
        <v>7756</v>
      </c>
      <c r="C2297">
        <v>0</v>
      </c>
      <c r="D2297">
        <v>2</v>
      </c>
      <c r="E2297">
        <v>29</v>
      </c>
      <c r="F2297" t="s">
        <v>301</v>
      </c>
      <c r="G2297" t="s">
        <v>183</v>
      </c>
    </row>
    <row r="2298" spans="1:7" hidden="1" x14ac:dyDescent="0.25">
      <c r="A2298">
        <v>50</v>
      </c>
      <c r="B2298">
        <v>8256</v>
      </c>
      <c r="C2298">
        <v>0</v>
      </c>
      <c r="D2298">
        <v>2</v>
      </c>
      <c r="E2298">
        <v>29</v>
      </c>
      <c r="F2298" t="s">
        <v>301</v>
      </c>
      <c r="G2298" t="s">
        <v>183</v>
      </c>
    </row>
    <row r="2299" spans="1:7" hidden="1" x14ac:dyDescent="0.25">
      <c r="A2299">
        <v>50</v>
      </c>
      <c r="B2299">
        <v>10012</v>
      </c>
      <c r="C2299">
        <v>0</v>
      </c>
      <c r="D2299">
        <v>2</v>
      </c>
      <c r="E2299">
        <v>29</v>
      </c>
      <c r="F2299" t="s">
        <v>301</v>
      </c>
      <c r="G2299" t="s">
        <v>183</v>
      </c>
    </row>
    <row r="2300" spans="1:7" hidden="1" x14ac:dyDescent="0.25">
      <c r="A2300">
        <v>50</v>
      </c>
      <c r="B2300">
        <v>10064</v>
      </c>
      <c r="C2300">
        <v>0</v>
      </c>
      <c r="D2300">
        <v>2</v>
      </c>
      <c r="E2300">
        <v>29</v>
      </c>
      <c r="F2300" t="s">
        <v>301</v>
      </c>
      <c r="G2300" t="s">
        <v>183</v>
      </c>
    </row>
    <row r="2301" spans="1:7" hidden="1" x14ac:dyDescent="0.25">
      <c r="A2301">
        <v>50</v>
      </c>
      <c r="B2301">
        <v>10100</v>
      </c>
      <c r="C2301">
        <v>0</v>
      </c>
      <c r="D2301">
        <v>2</v>
      </c>
      <c r="E2301">
        <v>29</v>
      </c>
      <c r="F2301" t="s">
        <v>301</v>
      </c>
      <c r="G2301" t="s">
        <v>183</v>
      </c>
    </row>
    <row r="2302" spans="1:7" hidden="1" x14ac:dyDescent="0.25">
      <c r="A2302">
        <v>99</v>
      </c>
      <c r="B2302">
        <v>2068</v>
      </c>
      <c r="C2302">
        <v>0</v>
      </c>
      <c r="D2302">
        <v>2</v>
      </c>
      <c r="E2302">
        <v>41</v>
      </c>
      <c r="F2302" t="s">
        <v>301</v>
      </c>
      <c r="G2302" t="s">
        <v>183</v>
      </c>
    </row>
    <row r="2303" spans="1:7" hidden="1" x14ac:dyDescent="0.25">
      <c r="A2303">
        <v>99</v>
      </c>
      <c r="B2303">
        <v>3284</v>
      </c>
      <c r="C2303">
        <v>0</v>
      </c>
      <c r="D2303">
        <v>2</v>
      </c>
      <c r="E2303">
        <v>53</v>
      </c>
      <c r="F2303" t="s">
        <v>301</v>
      </c>
      <c r="G2303" t="s">
        <v>183</v>
      </c>
    </row>
    <row r="2304" spans="1:7" hidden="1" x14ac:dyDescent="0.25">
      <c r="A2304">
        <v>99</v>
      </c>
      <c r="B2304">
        <v>7188</v>
      </c>
      <c r="C2304">
        <v>0</v>
      </c>
      <c r="D2304">
        <v>2</v>
      </c>
      <c r="E2304">
        <v>41</v>
      </c>
      <c r="F2304" t="s">
        <v>301</v>
      </c>
      <c r="G2304" t="s">
        <v>183</v>
      </c>
    </row>
    <row r="2305" spans="1:7" hidden="1" x14ac:dyDescent="0.25">
      <c r="A2305">
        <v>99</v>
      </c>
      <c r="B2305">
        <v>7300</v>
      </c>
      <c r="C2305">
        <v>0</v>
      </c>
      <c r="D2305">
        <v>2</v>
      </c>
      <c r="E2305">
        <v>53</v>
      </c>
      <c r="F2305" t="s">
        <v>301</v>
      </c>
      <c r="G2305" t="s">
        <v>183</v>
      </c>
    </row>
    <row r="2306" spans="1:7" hidden="1" x14ac:dyDescent="0.25">
      <c r="A2306">
        <v>99</v>
      </c>
      <c r="B2306">
        <v>7552</v>
      </c>
      <c r="C2306">
        <v>0</v>
      </c>
      <c r="D2306">
        <v>2</v>
      </c>
      <c r="E2306">
        <v>53</v>
      </c>
      <c r="F2306" t="s">
        <v>301</v>
      </c>
      <c r="G2306" t="s">
        <v>183</v>
      </c>
    </row>
    <row r="2307" spans="1:7" hidden="1" x14ac:dyDescent="0.25">
      <c r="A2307">
        <v>99</v>
      </c>
      <c r="B2307">
        <v>8004</v>
      </c>
      <c r="C2307">
        <v>0</v>
      </c>
      <c r="D2307">
        <v>2</v>
      </c>
      <c r="E2307">
        <v>53</v>
      </c>
      <c r="F2307" t="s">
        <v>301</v>
      </c>
      <c r="G2307" t="s">
        <v>183</v>
      </c>
    </row>
    <row r="2308" spans="1:7" hidden="1" x14ac:dyDescent="0.25">
      <c r="A2308">
        <v>99</v>
      </c>
      <c r="B2308">
        <v>8144</v>
      </c>
      <c r="C2308">
        <v>0</v>
      </c>
      <c r="D2308">
        <v>2</v>
      </c>
      <c r="E2308">
        <v>53</v>
      </c>
      <c r="F2308" t="s">
        <v>301</v>
      </c>
      <c r="G2308" t="s">
        <v>183</v>
      </c>
    </row>
    <row r="2309" spans="1:7" hidden="1" x14ac:dyDescent="0.25">
      <c r="A2309">
        <v>99</v>
      </c>
      <c r="B2309">
        <v>8668</v>
      </c>
      <c r="C2309">
        <v>0</v>
      </c>
      <c r="D2309">
        <v>2</v>
      </c>
      <c r="E2309">
        <v>29</v>
      </c>
      <c r="F2309" t="s">
        <v>301</v>
      </c>
      <c r="G2309" t="s">
        <v>183</v>
      </c>
    </row>
    <row r="2310" spans="1:7" hidden="1" x14ac:dyDescent="0.25">
      <c r="A2310">
        <v>99</v>
      </c>
      <c r="B2310">
        <v>9032</v>
      </c>
      <c r="C2310">
        <v>0</v>
      </c>
      <c r="D2310">
        <v>2</v>
      </c>
      <c r="E2310">
        <v>53</v>
      </c>
      <c r="F2310" t="s">
        <v>301</v>
      </c>
      <c r="G2310" t="s">
        <v>183</v>
      </c>
    </row>
    <row r="2311" spans="1:7" hidden="1" x14ac:dyDescent="0.25">
      <c r="A2311">
        <v>99</v>
      </c>
      <c r="B2311">
        <v>9072</v>
      </c>
      <c r="C2311">
        <v>0</v>
      </c>
      <c r="D2311">
        <v>2</v>
      </c>
      <c r="E2311">
        <v>53</v>
      </c>
      <c r="F2311" t="s">
        <v>301</v>
      </c>
      <c r="G2311" t="s">
        <v>183</v>
      </c>
    </row>
    <row r="2312" spans="1:7" hidden="1" x14ac:dyDescent="0.25">
      <c r="A2312">
        <v>99</v>
      </c>
      <c r="B2312">
        <v>9272</v>
      </c>
      <c r="C2312">
        <v>0</v>
      </c>
      <c r="D2312">
        <v>2</v>
      </c>
      <c r="E2312">
        <v>53</v>
      </c>
      <c r="F2312" t="s">
        <v>301</v>
      </c>
      <c r="G2312" t="s">
        <v>183</v>
      </c>
    </row>
    <row r="2313" spans="1:7" hidden="1" x14ac:dyDescent="0.25">
      <c r="A2313">
        <v>99</v>
      </c>
      <c r="B2313">
        <v>10420</v>
      </c>
      <c r="C2313">
        <v>0</v>
      </c>
      <c r="D2313">
        <v>2</v>
      </c>
      <c r="E2313">
        <v>41</v>
      </c>
      <c r="F2313" t="s">
        <v>301</v>
      </c>
      <c r="G2313" t="s">
        <v>183</v>
      </c>
    </row>
    <row r="2314" spans="1:7" hidden="1" x14ac:dyDescent="0.25">
      <c r="A2314">
        <v>50</v>
      </c>
      <c r="B2314">
        <v>1172</v>
      </c>
      <c r="C2314">
        <v>0</v>
      </c>
      <c r="D2314">
        <v>2</v>
      </c>
      <c r="E2314">
        <v>8</v>
      </c>
      <c r="F2314" t="s">
        <v>284</v>
      </c>
      <c r="G2314" t="s">
        <v>130</v>
      </c>
    </row>
    <row r="2315" spans="1:7" hidden="1" x14ac:dyDescent="0.25">
      <c r="A2315">
        <v>50</v>
      </c>
      <c r="B2315">
        <v>1476</v>
      </c>
      <c r="C2315">
        <v>0</v>
      </c>
      <c r="D2315">
        <v>2</v>
      </c>
      <c r="E2315">
        <v>8</v>
      </c>
      <c r="F2315" t="s">
        <v>284</v>
      </c>
      <c r="G2315" t="s">
        <v>130</v>
      </c>
    </row>
    <row r="2316" spans="1:7" hidden="1" x14ac:dyDescent="0.25">
      <c r="A2316">
        <v>50</v>
      </c>
      <c r="B2316">
        <v>2548</v>
      </c>
      <c r="C2316">
        <v>0</v>
      </c>
      <c r="D2316">
        <v>2</v>
      </c>
      <c r="E2316">
        <v>8</v>
      </c>
      <c r="F2316" t="s">
        <v>284</v>
      </c>
      <c r="G2316" t="s">
        <v>130</v>
      </c>
    </row>
    <row r="2317" spans="1:7" hidden="1" x14ac:dyDescent="0.25">
      <c r="A2317">
        <v>50</v>
      </c>
      <c r="B2317">
        <v>4144</v>
      </c>
      <c r="C2317">
        <v>0</v>
      </c>
      <c r="D2317">
        <v>2</v>
      </c>
      <c r="E2317">
        <v>8</v>
      </c>
      <c r="F2317" t="s">
        <v>284</v>
      </c>
      <c r="G2317" t="s">
        <v>130</v>
      </c>
    </row>
    <row r="2318" spans="1:7" hidden="1" x14ac:dyDescent="0.25">
      <c r="A2318">
        <v>50</v>
      </c>
      <c r="B2318">
        <v>4336</v>
      </c>
      <c r="C2318">
        <v>0</v>
      </c>
      <c r="D2318">
        <v>2</v>
      </c>
      <c r="E2318">
        <v>8</v>
      </c>
      <c r="F2318" t="s">
        <v>284</v>
      </c>
      <c r="G2318" t="s">
        <v>130</v>
      </c>
    </row>
    <row r="2319" spans="1:7" hidden="1" x14ac:dyDescent="0.25">
      <c r="A2319">
        <v>50</v>
      </c>
      <c r="B2319">
        <v>4600</v>
      </c>
      <c r="C2319">
        <v>0</v>
      </c>
      <c r="D2319">
        <v>2</v>
      </c>
      <c r="E2319">
        <v>8</v>
      </c>
      <c r="F2319" t="s">
        <v>284</v>
      </c>
      <c r="G2319" t="s">
        <v>130</v>
      </c>
    </row>
    <row r="2320" spans="1:7" hidden="1" x14ac:dyDescent="0.25">
      <c r="A2320">
        <v>50</v>
      </c>
      <c r="B2320">
        <v>5892</v>
      </c>
      <c r="C2320">
        <v>0</v>
      </c>
      <c r="D2320">
        <v>2</v>
      </c>
      <c r="E2320">
        <v>8</v>
      </c>
      <c r="F2320" t="s">
        <v>284</v>
      </c>
      <c r="G2320" t="s">
        <v>130</v>
      </c>
    </row>
    <row r="2321" spans="1:7" hidden="1" x14ac:dyDescent="0.25">
      <c r="A2321">
        <v>50</v>
      </c>
      <c r="B2321">
        <v>5904</v>
      </c>
      <c r="C2321">
        <v>0</v>
      </c>
      <c r="D2321">
        <v>2</v>
      </c>
      <c r="E2321">
        <v>8</v>
      </c>
      <c r="F2321" t="s">
        <v>284</v>
      </c>
      <c r="G2321" t="s">
        <v>130</v>
      </c>
    </row>
    <row r="2322" spans="1:7" hidden="1" x14ac:dyDescent="0.25">
      <c r="A2322">
        <v>50</v>
      </c>
      <c r="B2322">
        <v>6280</v>
      </c>
      <c r="C2322">
        <v>0</v>
      </c>
      <c r="D2322">
        <v>2</v>
      </c>
      <c r="E2322">
        <v>8</v>
      </c>
      <c r="F2322" t="s">
        <v>284</v>
      </c>
      <c r="G2322" t="s">
        <v>130</v>
      </c>
    </row>
    <row r="2323" spans="1:7" hidden="1" x14ac:dyDescent="0.25">
      <c r="A2323">
        <v>50</v>
      </c>
      <c r="B2323">
        <v>6312</v>
      </c>
      <c r="C2323">
        <v>0</v>
      </c>
      <c r="D2323">
        <v>2</v>
      </c>
      <c r="E2323">
        <v>8</v>
      </c>
      <c r="F2323" t="s">
        <v>284</v>
      </c>
      <c r="G2323" t="s">
        <v>130</v>
      </c>
    </row>
    <row r="2324" spans="1:7" hidden="1" x14ac:dyDescent="0.25">
      <c r="A2324">
        <v>50</v>
      </c>
      <c r="B2324">
        <v>7528</v>
      </c>
      <c r="C2324">
        <v>0</v>
      </c>
      <c r="D2324">
        <v>2</v>
      </c>
      <c r="E2324">
        <v>8</v>
      </c>
      <c r="F2324" t="s">
        <v>284</v>
      </c>
      <c r="G2324" t="s">
        <v>130</v>
      </c>
    </row>
    <row r="2325" spans="1:7" hidden="1" x14ac:dyDescent="0.25">
      <c r="A2325">
        <v>50</v>
      </c>
      <c r="B2325">
        <v>7756</v>
      </c>
      <c r="C2325">
        <v>0</v>
      </c>
      <c r="D2325">
        <v>2</v>
      </c>
      <c r="E2325">
        <v>8</v>
      </c>
      <c r="F2325" t="s">
        <v>284</v>
      </c>
      <c r="G2325" t="s">
        <v>130</v>
      </c>
    </row>
    <row r="2326" spans="1:7" hidden="1" x14ac:dyDescent="0.25">
      <c r="A2326">
        <v>50</v>
      </c>
      <c r="B2326">
        <v>8256</v>
      </c>
      <c r="C2326">
        <v>0</v>
      </c>
      <c r="D2326">
        <v>2</v>
      </c>
      <c r="E2326">
        <v>8</v>
      </c>
      <c r="F2326" t="s">
        <v>284</v>
      </c>
      <c r="G2326" t="s">
        <v>130</v>
      </c>
    </row>
    <row r="2327" spans="1:7" hidden="1" x14ac:dyDescent="0.25">
      <c r="A2327">
        <v>50</v>
      </c>
      <c r="B2327">
        <v>10012</v>
      </c>
      <c r="C2327">
        <v>0</v>
      </c>
      <c r="D2327">
        <v>2</v>
      </c>
      <c r="E2327">
        <v>8</v>
      </c>
      <c r="F2327" t="s">
        <v>284</v>
      </c>
      <c r="G2327" t="s">
        <v>130</v>
      </c>
    </row>
    <row r="2328" spans="1:7" hidden="1" x14ac:dyDescent="0.25">
      <c r="A2328">
        <v>50</v>
      </c>
      <c r="B2328">
        <v>10064</v>
      </c>
      <c r="C2328">
        <v>0</v>
      </c>
      <c r="D2328">
        <v>2</v>
      </c>
      <c r="E2328">
        <v>8</v>
      </c>
      <c r="F2328" t="s">
        <v>284</v>
      </c>
      <c r="G2328" t="s">
        <v>130</v>
      </c>
    </row>
    <row r="2329" spans="1:7" hidden="1" x14ac:dyDescent="0.25">
      <c r="A2329">
        <v>50</v>
      </c>
      <c r="B2329">
        <v>10100</v>
      </c>
      <c r="C2329">
        <v>0</v>
      </c>
      <c r="D2329">
        <v>2</v>
      </c>
      <c r="E2329">
        <v>8</v>
      </c>
      <c r="F2329" t="s">
        <v>284</v>
      </c>
      <c r="G2329" t="s">
        <v>130</v>
      </c>
    </row>
    <row r="2330" spans="1:7" hidden="1" x14ac:dyDescent="0.25">
      <c r="A2330">
        <v>99</v>
      </c>
      <c r="B2330">
        <v>2068</v>
      </c>
      <c r="C2330">
        <v>0</v>
      </c>
      <c r="D2330">
        <v>2</v>
      </c>
      <c r="E2330">
        <v>8</v>
      </c>
      <c r="F2330" t="s">
        <v>284</v>
      </c>
      <c r="G2330" t="s">
        <v>130</v>
      </c>
    </row>
    <row r="2331" spans="1:7" hidden="1" x14ac:dyDescent="0.25">
      <c r="A2331">
        <v>99</v>
      </c>
      <c r="B2331">
        <v>3284</v>
      </c>
      <c r="C2331">
        <v>0</v>
      </c>
      <c r="D2331">
        <v>2</v>
      </c>
      <c r="E2331">
        <v>8</v>
      </c>
      <c r="F2331" t="s">
        <v>284</v>
      </c>
      <c r="G2331" t="s">
        <v>130</v>
      </c>
    </row>
    <row r="2332" spans="1:7" hidden="1" x14ac:dyDescent="0.25">
      <c r="A2332">
        <v>99</v>
      </c>
      <c r="B2332">
        <v>7188</v>
      </c>
      <c r="C2332">
        <v>0</v>
      </c>
      <c r="D2332">
        <v>2</v>
      </c>
      <c r="E2332">
        <v>8</v>
      </c>
      <c r="F2332" t="s">
        <v>284</v>
      </c>
      <c r="G2332" t="s">
        <v>130</v>
      </c>
    </row>
    <row r="2333" spans="1:7" hidden="1" x14ac:dyDescent="0.25">
      <c r="A2333">
        <v>99</v>
      </c>
      <c r="B2333">
        <v>7300</v>
      </c>
      <c r="C2333">
        <v>0</v>
      </c>
      <c r="D2333">
        <v>2</v>
      </c>
      <c r="E2333">
        <v>8</v>
      </c>
      <c r="F2333" t="s">
        <v>284</v>
      </c>
      <c r="G2333" t="s">
        <v>342</v>
      </c>
    </row>
    <row r="2334" spans="1:7" hidden="1" x14ac:dyDescent="0.25">
      <c r="A2334">
        <v>99</v>
      </c>
      <c r="B2334">
        <v>7552</v>
      </c>
      <c r="C2334">
        <v>0</v>
      </c>
      <c r="D2334">
        <v>2</v>
      </c>
      <c r="E2334">
        <v>8</v>
      </c>
      <c r="F2334" t="s">
        <v>284</v>
      </c>
      <c r="G2334" t="s">
        <v>130</v>
      </c>
    </row>
    <row r="2335" spans="1:7" hidden="1" x14ac:dyDescent="0.25">
      <c r="A2335">
        <v>99</v>
      </c>
      <c r="B2335">
        <v>8004</v>
      </c>
      <c r="C2335">
        <v>0</v>
      </c>
      <c r="D2335">
        <v>2</v>
      </c>
      <c r="E2335">
        <v>8</v>
      </c>
      <c r="F2335" t="s">
        <v>284</v>
      </c>
      <c r="G2335" t="s">
        <v>130</v>
      </c>
    </row>
    <row r="2336" spans="1:7" hidden="1" x14ac:dyDescent="0.25">
      <c r="A2336">
        <v>99</v>
      </c>
      <c r="B2336">
        <v>8144</v>
      </c>
      <c r="C2336">
        <v>0</v>
      </c>
      <c r="D2336">
        <v>2</v>
      </c>
      <c r="E2336">
        <v>8</v>
      </c>
      <c r="F2336" t="s">
        <v>284</v>
      </c>
      <c r="G2336" t="s">
        <v>130</v>
      </c>
    </row>
    <row r="2337" spans="1:7" hidden="1" x14ac:dyDescent="0.25">
      <c r="A2337">
        <v>99</v>
      </c>
      <c r="B2337">
        <v>8668</v>
      </c>
      <c r="C2337">
        <v>0</v>
      </c>
      <c r="D2337">
        <v>2</v>
      </c>
      <c r="E2337">
        <v>8</v>
      </c>
      <c r="F2337" t="s">
        <v>284</v>
      </c>
      <c r="G2337" t="s">
        <v>130</v>
      </c>
    </row>
    <row r="2338" spans="1:7" hidden="1" x14ac:dyDescent="0.25">
      <c r="A2338">
        <v>99</v>
      </c>
      <c r="B2338">
        <v>9032</v>
      </c>
      <c r="C2338">
        <v>0</v>
      </c>
      <c r="D2338">
        <v>2</v>
      </c>
      <c r="E2338">
        <v>8</v>
      </c>
      <c r="F2338" t="s">
        <v>284</v>
      </c>
      <c r="G2338" t="s">
        <v>342</v>
      </c>
    </row>
    <row r="2339" spans="1:7" hidden="1" x14ac:dyDescent="0.25">
      <c r="A2339">
        <v>99</v>
      </c>
      <c r="B2339">
        <v>9072</v>
      </c>
      <c r="C2339">
        <v>0</v>
      </c>
      <c r="D2339">
        <v>2</v>
      </c>
      <c r="E2339">
        <v>8</v>
      </c>
      <c r="F2339" t="s">
        <v>284</v>
      </c>
      <c r="G2339" t="s">
        <v>130</v>
      </c>
    </row>
    <row r="2340" spans="1:7" hidden="1" x14ac:dyDescent="0.25">
      <c r="A2340">
        <v>99</v>
      </c>
      <c r="B2340">
        <v>9272</v>
      </c>
      <c r="C2340">
        <v>0</v>
      </c>
      <c r="D2340">
        <v>2</v>
      </c>
      <c r="E2340">
        <v>8</v>
      </c>
      <c r="F2340" t="s">
        <v>284</v>
      </c>
      <c r="G2340" t="s">
        <v>130</v>
      </c>
    </row>
    <row r="2341" spans="1:7" hidden="1" x14ac:dyDescent="0.25">
      <c r="A2341">
        <v>99</v>
      </c>
      <c r="B2341">
        <v>10420</v>
      </c>
      <c r="C2341">
        <v>0</v>
      </c>
      <c r="D2341">
        <v>2</v>
      </c>
      <c r="E2341">
        <v>8</v>
      </c>
      <c r="F2341" t="s">
        <v>284</v>
      </c>
      <c r="G2341" t="s">
        <v>130</v>
      </c>
    </row>
    <row r="2342" spans="1:7" hidden="1" x14ac:dyDescent="0.25">
      <c r="A2342">
        <v>50</v>
      </c>
      <c r="B2342">
        <v>1172</v>
      </c>
      <c r="C2342">
        <v>0</v>
      </c>
      <c r="D2342">
        <v>2</v>
      </c>
      <c r="E2342">
        <v>7</v>
      </c>
      <c r="F2342" t="s">
        <v>283</v>
      </c>
      <c r="G2342" t="s">
        <v>341</v>
      </c>
    </row>
    <row r="2343" spans="1:7" hidden="1" x14ac:dyDescent="0.25">
      <c r="A2343">
        <v>50</v>
      </c>
      <c r="B2343">
        <v>1476</v>
      </c>
      <c r="C2343">
        <v>0</v>
      </c>
      <c r="D2343">
        <v>2</v>
      </c>
      <c r="E2343">
        <v>7</v>
      </c>
      <c r="F2343" t="s">
        <v>283</v>
      </c>
      <c r="G2343" t="s">
        <v>343</v>
      </c>
    </row>
    <row r="2344" spans="1:7" hidden="1" x14ac:dyDescent="0.25">
      <c r="A2344">
        <v>50</v>
      </c>
      <c r="B2344">
        <v>2548</v>
      </c>
      <c r="C2344">
        <v>0</v>
      </c>
      <c r="D2344">
        <v>2</v>
      </c>
      <c r="E2344">
        <v>7</v>
      </c>
      <c r="F2344" t="s">
        <v>283</v>
      </c>
      <c r="G2344" t="s">
        <v>341</v>
      </c>
    </row>
    <row r="2345" spans="1:7" hidden="1" x14ac:dyDescent="0.25">
      <c r="A2345">
        <v>50</v>
      </c>
      <c r="B2345">
        <v>4144</v>
      </c>
      <c r="C2345">
        <v>0</v>
      </c>
      <c r="D2345">
        <v>2</v>
      </c>
      <c r="E2345">
        <v>7</v>
      </c>
      <c r="F2345" t="s">
        <v>283</v>
      </c>
      <c r="G2345" t="s">
        <v>341</v>
      </c>
    </row>
    <row r="2346" spans="1:7" hidden="1" x14ac:dyDescent="0.25">
      <c r="A2346">
        <v>50</v>
      </c>
      <c r="B2346">
        <v>4336</v>
      </c>
      <c r="C2346">
        <v>0</v>
      </c>
      <c r="D2346">
        <v>2</v>
      </c>
      <c r="E2346">
        <v>7</v>
      </c>
      <c r="F2346" t="s">
        <v>283</v>
      </c>
      <c r="G2346" t="s">
        <v>341</v>
      </c>
    </row>
    <row r="2347" spans="1:7" hidden="1" x14ac:dyDescent="0.25">
      <c r="A2347">
        <v>50</v>
      </c>
      <c r="B2347">
        <v>4600</v>
      </c>
      <c r="C2347">
        <v>0</v>
      </c>
      <c r="D2347">
        <v>2</v>
      </c>
      <c r="E2347">
        <v>7</v>
      </c>
      <c r="F2347" t="s">
        <v>283</v>
      </c>
      <c r="G2347" t="s">
        <v>341</v>
      </c>
    </row>
    <row r="2348" spans="1:7" hidden="1" x14ac:dyDescent="0.25">
      <c r="A2348">
        <v>50</v>
      </c>
      <c r="B2348">
        <v>5892</v>
      </c>
      <c r="C2348">
        <v>0</v>
      </c>
      <c r="D2348">
        <v>2</v>
      </c>
      <c r="E2348">
        <v>7</v>
      </c>
      <c r="F2348" t="s">
        <v>283</v>
      </c>
      <c r="G2348" t="s">
        <v>341</v>
      </c>
    </row>
    <row r="2349" spans="1:7" hidden="1" x14ac:dyDescent="0.25">
      <c r="A2349">
        <v>50</v>
      </c>
      <c r="B2349">
        <v>5904</v>
      </c>
      <c r="C2349">
        <v>0</v>
      </c>
      <c r="D2349">
        <v>2</v>
      </c>
      <c r="E2349">
        <v>7</v>
      </c>
      <c r="F2349" t="s">
        <v>283</v>
      </c>
      <c r="G2349" t="s">
        <v>341</v>
      </c>
    </row>
    <row r="2350" spans="1:7" hidden="1" x14ac:dyDescent="0.25">
      <c r="A2350">
        <v>50</v>
      </c>
      <c r="B2350">
        <v>6280</v>
      </c>
      <c r="C2350">
        <v>0</v>
      </c>
      <c r="D2350">
        <v>2</v>
      </c>
      <c r="E2350">
        <v>7</v>
      </c>
      <c r="F2350" t="s">
        <v>283</v>
      </c>
      <c r="G2350" t="s">
        <v>341</v>
      </c>
    </row>
    <row r="2351" spans="1:7" hidden="1" x14ac:dyDescent="0.25">
      <c r="A2351">
        <v>50</v>
      </c>
      <c r="B2351">
        <v>6312</v>
      </c>
      <c r="C2351">
        <v>0</v>
      </c>
      <c r="D2351">
        <v>2</v>
      </c>
      <c r="E2351">
        <v>7</v>
      </c>
      <c r="F2351" t="s">
        <v>283</v>
      </c>
      <c r="G2351" t="s">
        <v>341</v>
      </c>
    </row>
    <row r="2352" spans="1:7" hidden="1" x14ac:dyDescent="0.25">
      <c r="A2352">
        <v>50</v>
      </c>
      <c r="B2352">
        <v>7528</v>
      </c>
      <c r="C2352">
        <v>0</v>
      </c>
      <c r="D2352">
        <v>2</v>
      </c>
      <c r="E2352">
        <v>7</v>
      </c>
      <c r="F2352" t="s">
        <v>283</v>
      </c>
      <c r="G2352" t="s">
        <v>341</v>
      </c>
    </row>
    <row r="2353" spans="1:7" hidden="1" x14ac:dyDescent="0.25">
      <c r="A2353">
        <v>50</v>
      </c>
      <c r="B2353">
        <v>7756</v>
      </c>
      <c r="C2353">
        <v>0</v>
      </c>
      <c r="D2353">
        <v>2</v>
      </c>
      <c r="E2353">
        <v>7</v>
      </c>
      <c r="F2353" t="s">
        <v>283</v>
      </c>
      <c r="G2353" t="s">
        <v>341</v>
      </c>
    </row>
    <row r="2354" spans="1:7" hidden="1" x14ac:dyDescent="0.25">
      <c r="A2354">
        <v>50</v>
      </c>
      <c r="B2354">
        <v>8256</v>
      </c>
      <c r="C2354">
        <v>0</v>
      </c>
      <c r="D2354">
        <v>2</v>
      </c>
      <c r="E2354">
        <v>7</v>
      </c>
      <c r="F2354" t="s">
        <v>283</v>
      </c>
      <c r="G2354" t="s">
        <v>341</v>
      </c>
    </row>
    <row r="2355" spans="1:7" hidden="1" x14ac:dyDescent="0.25">
      <c r="A2355">
        <v>50</v>
      </c>
      <c r="B2355">
        <v>10012</v>
      </c>
      <c r="C2355">
        <v>0</v>
      </c>
      <c r="D2355">
        <v>2</v>
      </c>
      <c r="E2355">
        <v>7</v>
      </c>
      <c r="F2355" t="s">
        <v>283</v>
      </c>
      <c r="G2355" t="s">
        <v>341</v>
      </c>
    </row>
    <row r="2356" spans="1:7" hidden="1" x14ac:dyDescent="0.25">
      <c r="A2356">
        <v>50</v>
      </c>
      <c r="B2356">
        <v>10064</v>
      </c>
      <c r="C2356">
        <v>0</v>
      </c>
      <c r="D2356">
        <v>2</v>
      </c>
      <c r="E2356">
        <v>7</v>
      </c>
      <c r="F2356" t="s">
        <v>283</v>
      </c>
      <c r="G2356" t="s">
        <v>341</v>
      </c>
    </row>
    <row r="2357" spans="1:7" hidden="1" x14ac:dyDescent="0.25">
      <c r="A2357">
        <v>50</v>
      </c>
      <c r="B2357">
        <v>10100</v>
      </c>
      <c r="C2357">
        <v>0</v>
      </c>
      <c r="D2357">
        <v>2</v>
      </c>
      <c r="E2357">
        <v>7</v>
      </c>
      <c r="F2357" t="s">
        <v>283</v>
      </c>
      <c r="G2357" t="s">
        <v>341</v>
      </c>
    </row>
    <row r="2358" spans="1:7" hidden="1" x14ac:dyDescent="0.25">
      <c r="A2358">
        <v>99</v>
      </c>
      <c r="B2358">
        <v>2068</v>
      </c>
      <c r="C2358">
        <v>0</v>
      </c>
      <c r="D2358">
        <v>2</v>
      </c>
      <c r="E2358">
        <v>7</v>
      </c>
      <c r="F2358" t="s">
        <v>283</v>
      </c>
      <c r="G2358" t="s">
        <v>348</v>
      </c>
    </row>
    <row r="2359" spans="1:7" hidden="1" x14ac:dyDescent="0.25">
      <c r="A2359">
        <v>99</v>
      </c>
      <c r="B2359">
        <v>3284</v>
      </c>
      <c r="C2359">
        <v>0</v>
      </c>
      <c r="D2359">
        <v>2</v>
      </c>
      <c r="E2359">
        <v>7</v>
      </c>
      <c r="F2359" t="s">
        <v>283</v>
      </c>
      <c r="G2359" t="s">
        <v>193</v>
      </c>
    </row>
    <row r="2360" spans="1:7" hidden="1" x14ac:dyDescent="0.25">
      <c r="A2360">
        <v>99</v>
      </c>
      <c r="B2360">
        <v>7188</v>
      </c>
      <c r="C2360">
        <v>0</v>
      </c>
      <c r="D2360">
        <v>2</v>
      </c>
      <c r="E2360">
        <v>7</v>
      </c>
      <c r="F2360" t="s">
        <v>283</v>
      </c>
      <c r="G2360" t="s">
        <v>350</v>
      </c>
    </row>
    <row r="2361" spans="1:7" hidden="1" x14ac:dyDescent="0.25">
      <c r="A2361">
        <v>99</v>
      </c>
      <c r="B2361">
        <v>7300</v>
      </c>
      <c r="C2361">
        <v>0</v>
      </c>
      <c r="D2361">
        <v>2</v>
      </c>
      <c r="E2361">
        <v>7</v>
      </c>
      <c r="F2361" t="s">
        <v>283</v>
      </c>
      <c r="G2361" t="s">
        <v>348</v>
      </c>
    </row>
    <row r="2362" spans="1:7" hidden="1" x14ac:dyDescent="0.25">
      <c r="A2362">
        <v>99</v>
      </c>
      <c r="B2362">
        <v>7552</v>
      </c>
      <c r="C2362">
        <v>0</v>
      </c>
      <c r="D2362">
        <v>2</v>
      </c>
      <c r="E2362">
        <v>7</v>
      </c>
      <c r="F2362" t="s">
        <v>283</v>
      </c>
      <c r="G2362" t="s">
        <v>348</v>
      </c>
    </row>
    <row r="2363" spans="1:7" hidden="1" x14ac:dyDescent="0.25">
      <c r="A2363">
        <v>99</v>
      </c>
      <c r="B2363">
        <v>8004</v>
      </c>
      <c r="C2363">
        <v>0</v>
      </c>
      <c r="D2363">
        <v>2</v>
      </c>
      <c r="E2363">
        <v>7</v>
      </c>
      <c r="F2363" t="s">
        <v>283</v>
      </c>
      <c r="G2363" t="s">
        <v>348</v>
      </c>
    </row>
    <row r="2364" spans="1:7" hidden="1" x14ac:dyDescent="0.25">
      <c r="A2364">
        <v>99</v>
      </c>
      <c r="B2364">
        <v>8144</v>
      </c>
      <c r="C2364">
        <v>0</v>
      </c>
      <c r="D2364">
        <v>2</v>
      </c>
      <c r="E2364">
        <v>7</v>
      </c>
      <c r="F2364" t="s">
        <v>283</v>
      </c>
      <c r="G2364" t="s">
        <v>193</v>
      </c>
    </row>
    <row r="2365" spans="1:7" hidden="1" x14ac:dyDescent="0.25">
      <c r="A2365">
        <v>99</v>
      </c>
      <c r="B2365">
        <v>8668</v>
      </c>
      <c r="C2365">
        <v>0</v>
      </c>
      <c r="D2365">
        <v>2</v>
      </c>
      <c r="E2365">
        <v>7</v>
      </c>
      <c r="F2365" t="s">
        <v>283</v>
      </c>
      <c r="G2365" t="s">
        <v>348</v>
      </c>
    </row>
    <row r="2366" spans="1:7" hidden="1" x14ac:dyDescent="0.25">
      <c r="A2366">
        <v>99</v>
      </c>
      <c r="B2366">
        <v>9032</v>
      </c>
      <c r="C2366">
        <v>0</v>
      </c>
      <c r="D2366">
        <v>2</v>
      </c>
      <c r="E2366">
        <v>7</v>
      </c>
      <c r="F2366" t="s">
        <v>283</v>
      </c>
      <c r="G2366" t="s">
        <v>348</v>
      </c>
    </row>
    <row r="2367" spans="1:7" hidden="1" x14ac:dyDescent="0.25">
      <c r="A2367">
        <v>99</v>
      </c>
      <c r="B2367">
        <v>9072</v>
      </c>
      <c r="C2367">
        <v>0</v>
      </c>
      <c r="D2367">
        <v>2</v>
      </c>
      <c r="E2367">
        <v>7</v>
      </c>
      <c r="F2367" t="s">
        <v>283</v>
      </c>
      <c r="G2367" t="s">
        <v>193</v>
      </c>
    </row>
    <row r="2368" spans="1:7" hidden="1" x14ac:dyDescent="0.25">
      <c r="A2368">
        <v>99</v>
      </c>
      <c r="B2368">
        <v>9272</v>
      </c>
      <c r="C2368">
        <v>0</v>
      </c>
      <c r="D2368">
        <v>2</v>
      </c>
      <c r="E2368">
        <v>7</v>
      </c>
      <c r="F2368" t="s">
        <v>283</v>
      </c>
      <c r="G2368" t="s">
        <v>348</v>
      </c>
    </row>
    <row r="2369" spans="1:7" hidden="1" x14ac:dyDescent="0.25">
      <c r="A2369">
        <v>99</v>
      </c>
      <c r="B2369">
        <v>10420</v>
      </c>
      <c r="C2369">
        <v>0</v>
      </c>
      <c r="D2369">
        <v>2</v>
      </c>
      <c r="E2369">
        <v>7</v>
      </c>
      <c r="F2369" t="s">
        <v>283</v>
      </c>
      <c r="G2369" t="s">
        <v>348</v>
      </c>
    </row>
    <row r="2370" spans="1:7" hidden="1" x14ac:dyDescent="0.25">
      <c r="A2370">
        <v>50</v>
      </c>
      <c r="B2370">
        <v>1172</v>
      </c>
      <c r="C2370">
        <v>0</v>
      </c>
      <c r="D2370">
        <v>2</v>
      </c>
      <c r="E2370">
        <v>9</v>
      </c>
      <c r="F2370" t="s">
        <v>285</v>
      </c>
      <c r="G2370" t="s">
        <v>124</v>
      </c>
    </row>
    <row r="2371" spans="1:7" hidden="1" x14ac:dyDescent="0.25">
      <c r="A2371">
        <v>50</v>
      </c>
      <c r="B2371">
        <v>1476</v>
      </c>
      <c r="C2371">
        <v>0</v>
      </c>
      <c r="D2371">
        <v>2</v>
      </c>
      <c r="E2371">
        <v>9</v>
      </c>
      <c r="F2371" t="s">
        <v>285</v>
      </c>
      <c r="G2371" t="s">
        <v>124</v>
      </c>
    </row>
    <row r="2372" spans="1:7" hidden="1" x14ac:dyDescent="0.25">
      <c r="A2372">
        <v>50</v>
      </c>
      <c r="B2372">
        <v>2548</v>
      </c>
      <c r="C2372">
        <v>0</v>
      </c>
      <c r="D2372">
        <v>2</v>
      </c>
      <c r="E2372">
        <v>9</v>
      </c>
      <c r="F2372" t="s">
        <v>285</v>
      </c>
      <c r="G2372" t="s">
        <v>124</v>
      </c>
    </row>
    <row r="2373" spans="1:7" hidden="1" x14ac:dyDescent="0.25">
      <c r="A2373">
        <v>50</v>
      </c>
      <c r="B2373">
        <v>4144</v>
      </c>
      <c r="C2373">
        <v>0</v>
      </c>
      <c r="D2373">
        <v>2</v>
      </c>
      <c r="E2373">
        <v>9</v>
      </c>
      <c r="F2373" t="s">
        <v>285</v>
      </c>
      <c r="G2373" t="s">
        <v>124</v>
      </c>
    </row>
    <row r="2374" spans="1:7" hidden="1" x14ac:dyDescent="0.25">
      <c r="A2374">
        <v>50</v>
      </c>
      <c r="B2374">
        <v>4336</v>
      </c>
      <c r="C2374">
        <v>0</v>
      </c>
      <c r="D2374">
        <v>2</v>
      </c>
      <c r="E2374">
        <v>9</v>
      </c>
      <c r="F2374" t="s">
        <v>285</v>
      </c>
      <c r="G2374" t="s">
        <v>124</v>
      </c>
    </row>
    <row r="2375" spans="1:7" hidden="1" x14ac:dyDescent="0.25">
      <c r="A2375">
        <v>50</v>
      </c>
      <c r="B2375">
        <v>4600</v>
      </c>
      <c r="C2375">
        <v>0</v>
      </c>
      <c r="D2375">
        <v>2</v>
      </c>
      <c r="E2375">
        <v>9</v>
      </c>
      <c r="F2375" t="s">
        <v>285</v>
      </c>
      <c r="G2375" t="s">
        <v>124</v>
      </c>
    </row>
    <row r="2376" spans="1:7" hidden="1" x14ac:dyDescent="0.25">
      <c r="A2376">
        <v>50</v>
      </c>
      <c r="B2376">
        <v>5892</v>
      </c>
      <c r="C2376">
        <v>0</v>
      </c>
      <c r="D2376">
        <v>2</v>
      </c>
      <c r="E2376">
        <v>9</v>
      </c>
      <c r="F2376" t="s">
        <v>285</v>
      </c>
      <c r="G2376" t="s">
        <v>124</v>
      </c>
    </row>
    <row r="2377" spans="1:7" hidden="1" x14ac:dyDescent="0.25">
      <c r="A2377">
        <v>50</v>
      </c>
      <c r="B2377">
        <v>5904</v>
      </c>
      <c r="C2377">
        <v>0</v>
      </c>
      <c r="D2377">
        <v>2</v>
      </c>
      <c r="E2377">
        <v>9</v>
      </c>
      <c r="F2377" t="s">
        <v>285</v>
      </c>
      <c r="G2377" t="s">
        <v>124</v>
      </c>
    </row>
    <row r="2378" spans="1:7" hidden="1" x14ac:dyDescent="0.25">
      <c r="A2378">
        <v>50</v>
      </c>
      <c r="B2378">
        <v>6280</v>
      </c>
      <c r="C2378">
        <v>0</v>
      </c>
      <c r="D2378">
        <v>2</v>
      </c>
      <c r="E2378">
        <v>9</v>
      </c>
      <c r="F2378" t="s">
        <v>285</v>
      </c>
      <c r="G2378" t="s">
        <v>124</v>
      </c>
    </row>
    <row r="2379" spans="1:7" hidden="1" x14ac:dyDescent="0.25">
      <c r="A2379">
        <v>50</v>
      </c>
      <c r="B2379">
        <v>6312</v>
      </c>
      <c r="C2379">
        <v>0</v>
      </c>
      <c r="D2379">
        <v>2</v>
      </c>
      <c r="E2379">
        <v>9</v>
      </c>
      <c r="F2379" t="s">
        <v>285</v>
      </c>
      <c r="G2379" t="s">
        <v>124</v>
      </c>
    </row>
    <row r="2380" spans="1:7" hidden="1" x14ac:dyDescent="0.25">
      <c r="A2380">
        <v>50</v>
      </c>
      <c r="B2380">
        <v>7528</v>
      </c>
      <c r="C2380">
        <v>0</v>
      </c>
      <c r="D2380">
        <v>2</v>
      </c>
      <c r="E2380">
        <v>9</v>
      </c>
      <c r="F2380" t="s">
        <v>285</v>
      </c>
      <c r="G2380" t="s">
        <v>124</v>
      </c>
    </row>
    <row r="2381" spans="1:7" hidden="1" x14ac:dyDescent="0.25">
      <c r="A2381">
        <v>50</v>
      </c>
      <c r="B2381">
        <v>7756</v>
      </c>
      <c r="C2381">
        <v>0</v>
      </c>
      <c r="D2381">
        <v>2</v>
      </c>
      <c r="E2381">
        <v>9</v>
      </c>
      <c r="F2381" t="s">
        <v>285</v>
      </c>
      <c r="G2381" t="s">
        <v>124</v>
      </c>
    </row>
    <row r="2382" spans="1:7" hidden="1" x14ac:dyDescent="0.25">
      <c r="A2382">
        <v>50</v>
      </c>
      <c r="B2382">
        <v>8256</v>
      </c>
      <c r="C2382">
        <v>0</v>
      </c>
      <c r="D2382">
        <v>2</v>
      </c>
      <c r="E2382">
        <v>9</v>
      </c>
      <c r="F2382" t="s">
        <v>285</v>
      </c>
      <c r="G2382" t="s">
        <v>124</v>
      </c>
    </row>
    <row r="2383" spans="1:7" hidden="1" x14ac:dyDescent="0.25">
      <c r="A2383">
        <v>50</v>
      </c>
      <c r="B2383">
        <v>10012</v>
      </c>
      <c r="C2383">
        <v>0</v>
      </c>
      <c r="D2383">
        <v>2</v>
      </c>
      <c r="E2383">
        <v>9</v>
      </c>
      <c r="F2383" t="s">
        <v>285</v>
      </c>
      <c r="G2383" t="s">
        <v>124</v>
      </c>
    </row>
    <row r="2384" spans="1:7" hidden="1" x14ac:dyDescent="0.25">
      <c r="A2384">
        <v>50</v>
      </c>
      <c r="B2384">
        <v>10064</v>
      </c>
      <c r="C2384">
        <v>0</v>
      </c>
      <c r="D2384">
        <v>2</v>
      </c>
      <c r="E2384">
        <v>9</v>
      </c>
      <c r="F2384" t="s">
        <v>285</v>
      </c>
      <c r="G2384" t="s">
        <v>124</v>
      </c>
    </row>
    <row r="2385" spans="1:7" hidden="1" x14ac:dyDescent="0.25">
      <c r="A2385">
        <v>50</v>
      </c>
      <c r="B2385">
        <v>10100</v>
      </c>
      <c r="C2385">
        <v>0</v>
      </c>
      <c r="D2385">
        <v>2</v>
      </c>
      <c r="E2385">
        <v>9</v>
      </c>
      <c r="F2385" t="s">
        <v>285</v>
      </c>
      <c r="G2385" t="s">
        <v>124</v>
      </c>
    </row>
    <row r="2386" spans="1:7" hidden="1" x14ac:dyDescent="0.25">
      <c r="A2386">
        <v>99</v>
      </c>
      <c r="B2386">
        <v>2068</v>
      </c>
      <c r="C2386">
        <v>0</v>
      </c>
      <c r="D2386">
        <v>2</v>
      </c>
      <c r="E2386">
        <v>9</v>
      </c>
      <c r="F2386" t="s">
        <v>285</v>
      </c>
      <c r="G2386" t="s">
        <v>124</v>
      </c>
    </row>
    <row r="2387" spans="1:7" hidden="1" x14ac:dyDescent="0.25">
      <c r="A2387">
        <v>99</v>
      </c>
      <c r="B2387">
        <v>3284</v>
      </c>
      <c r="C2387">
        <v>0</v>
      </c>
      <c r="D2387">
        <v>2</v>
      </c>
      <c r="E2387">
        <v>9</v>
      </c>
      <c r="F2387" t="s">
        <v>285</v>
      </c>
      <c r="G2387" t="s">
        <v>124</v>
      </c>
    </row>
    <row r="2388" spans="1:7" hidden="1" x14ac:dyDescent="0.25">
      <c r="A2388">
        <v>99</v>
      </c>
      <c r="B2388">
        <v>7188</v>
      </c>
      <c r="C2388">
        <v>0</v>
      </c>
      <c r="D2388">
        <v>2</v>
      </c>
      <c r="E2388">
        <v>9</v>
      </c>
      <c r="F2388" t="s">
        <v>285</v>
      </c>
      <c r="G2388" t="s">
        <v>124</v>
      </c>
    </row>
    <row r="2389" spans="1:7" hidden="1" x14ac:dyDescent="0.25">
      <c r="A2389">
        <v>99</v>
      </c>
      <c r="B2389">
        <v>7300</v>
      </c>
      <c r="C2389">
        <v>0</v>
      </c>
      <c r="D2389">
        <v>2</v>
      </c>
      <c r="E2389">
        <v>9</v>
      </c>
      <c r="F2389" t="s">
        <v>285</v>
      </c>
      <c r="G2389" t="s">
        <v>124</v>
      </c>
    </row>
    <row r="2390" spans="1:7" hidden="1" x14ac:dyDescent="0.25">
      <c r="A2390">
        <v>99</v>
      </c>
      <c r="B2390">
        <v>7552</v>
      </c>
      <c r="C2390">
        <v>0</v>
      </c>
      <c r="D2390">
        <v>2</v>
      </c>
      <c r="E2390">
        <v>9</v>
      </c>
      <c r="F2390" t="s">
        <v>285</v>
      </c>
      <c r="G2390" t="s">
        <v>124</v>
      </c>
    </row>
    <row r="2391" spans="1:7" hidden="1" x14ac:dyDescent="0.25">
      <c r="A2391">
        <v>99</v>
      </c>
      <c r="B2391">
        <v>8004</v>
      </c>
      <c r="C2391">
        <v>0</v>
      </c>
      <c r="D2391">
        <v>2</v>
      </c>
      <c r="E2391">
        <v>9</v>
      </c>
      <c r="F2391" t="s">
        <v>285</v>
      </c>
      <c r="G2391" t="s">
        <v>124</v>
      </c>
    </row>
    <row r="2392" spans="1:7" hidden="1" x14ac:dyDescent="0.25">
      <c r="A2392">
        <v>99</v>
      </c>
      <c r="B2392">
        <v>8144</v>
      </c>
      <c r="C2392">
        <v>0</v>
      </c>
      <c r="D2392">
        <v>2</v>
      </c>
      <c r="E2392">
        <v>9</v>
      </c>
      <c r="F2392" t="s">
        <v>285</v>
      </c>
      <c r="G2392" t="s">
        <v>124</v>
      </c>
    </row>
    <row r="2393" spans="1:7" hidden="1" x14ac:dyDescent="0.25">
      <c r="A2393">
        <v>99</v>
      </c>
      <c r="B2393">
        <v>8668</v>
      </c>
      <c r="C2393">
        <v>0</v>
      </c>
      <c r="D2393">
        <v>2</v>
      </c>
      <c r="E2393">
        <v>9</v>
      </c>
      <c r="F2393" t="s">
        <v>285</v>
      </c>
      <c r="G2393" t="s">
        <v>124</v>
      </c>
    </row>
    <row r="2394" spans="1:7" hidden="1" x14ac:dyDescent="0.25">
      <c r="A2394">
        <v>99</v>
      </c>
      <c r="B2394">
        <v>9032</v>
      </c>
      <c r="C2394">
        <v>0</v>
      </c>
      <c r="D2394">
        <v>2</v>
      </c>
      <c r="E2394">
        <v>9</v>
      </c>
      <c r="F2394" t="s">
        <v>285</v>
      </c>
      <c r="G2394" t="s">
        <v>124</v>
      </c>
    </row>
    <row r="2395" spans="1:7" hidden="1" x14ac:dyDescent="0.25">
      <c r="A2395">
        <v>99</v>
      </c>
      <c r="B2395">
        <v>9072</v>
      </c>
      <c r="C2395">
        <v>0</v>
      </c>
      <c r="D2395">
        <v>2</v>
      </c>
      <c r="E2395">
        <v>9</v>
      </c>
      <c r="F2395" t="s">
        <v>285</v>
      </c>
      <c r="G2395" t="s">
        <v>124</v>
      </c>
    </row>
    <row r="2396" spans="1:7" hidden="1" x14ac:dyDescent="0.25">
      <c r="A2396">
        <v>99</v>
      </c>
      <c r="B2396">
        <v>9272</v>
      </c>
      <c r="C2396">
        <v>0</v>
      </c>
      <c r="D2396">
        <v>2</v>
      </c>
      <c r="E2396">
        <v>9</v>
      </c>
      <c r="F2396" t="s">
        <v>285</v>
      </c>
      <c r="G2396" t="s">
        <v>124</v>
      </c>
    </row>
    <row r="2397" spans="1:7" hidden="1" x14ac:dyDescent="0.25">
      <c r="A2397">
        <v>99</v>
      </c>
      <c r="B2397">
        <v>10420</v>
      </c>
      <c r="C2397">
        <v>0</v>
      </c>
      <c r="D2397">
        <v>2</v>
      </c>
      <c r="E2397">
        <v>9</v>
      </c>
      <c r="F2397" t="s">
        <v>285</v>
      </c>
      <c r="G2397" t="s">
        <v>124</v>
      </c>
    </row>
    <row r="2398" spans="1:7" hidden="1" x14ac:dyDescent="0.25">
      <c r="A2398">
        <v>50</v>
      </c>
      <c r="B2398">
        <v>1172</v>
      </c>
      <c r="C2398">
        <v>0</v>
      </c>
      <c r="D2398">
        <v>2</v>
      </c>
      <c r="E2398">
        <v>10</v>
      </c>
      <c r="F2398" t="s">
        <v>286</v>
      </c>
      <c r="G2398" t="s">
        <v>131</v>
      </c>
    </row>
    <row r="2399" spans="1:7" hidden="1" x14ac:dyDescent="0.25">
      <c r="A2399">
        <v>50</v>
      </c>
      <c r="B2399">
        <v>1476</v>
      </c>
      <c r="C2399">
        <v>0</v>
      </c>
      <c r="D2399">
        <v>2</v>
      </c>
      <c r="E2399">
        <v>10</v>
      </c>
      <c r="F2399" t="s">
        <v>286</v>
      </c>
      <c r="G2399" t="s">
        <v>131</v>
      </c>
    </row>
    <row r="2400" spans="1:7" hidden="1" x14ac:dyDescent="0.25">
      <c r="A2400">
        <v>50</v>
      </c>
      <c r="B2400">
        <v>2548</v>
      </c>
      <c r="C2400">
        <v>0</v>
      </c>
      <c r="D2400">
        <v>2</v>
      </c>
      <c r="E2400">
        <v>10</v>
      </c>
      <c r="F2400" t="s">
        <v>286</v>
      </c>
      <c r="G2400" t="s">
        <v>131</v>
      </c>
    </row>
    <row r="2401" spans="1:7" hidden="1" x14ac:dyDescent="0.25">
      <c r="A2401">
        <v>50</v>
      </c>
      <c r="B2401">
        <v>4144</v>
      </c>
      <c r="C2401">
        <v>0</v>
      </c>
      <c r="D2401">
        <v>2</v>
      </c>
      <c r="E2401">
        <v>10</v>
      </c>
      <c r="F2401" t="s">
        <v>286</v>
      </c>
      <c r="G2401" t="s">
        <v>131</v>
      </c>
    </row>
    <row r="2402" spans="1:7" hidden="1" x14ac:dyDescent="0.25">
      <c r="A2402">
        <v>50</v>
      </c>
      <c r="B2402">
        <v>4336</v>
      </c>
      <c r="C2402">
        <v>0</v>
      </c>
      <c r="D2402">
        <v>2</v>
      </c>
      <c r="E2402">
        <v>10</v>
      </c>
      <c r="F2402" t="s">
        <v>286</v>
      </c>
      <c r="G2402" t="s">
        <v>131</v>
      </c>
    </row>
    <row r="2403" spans="1:7" hidden="1" x14ac:dyDescent="0.25">
      <c r="A2403">
        <v>50</v>
      </c>
      <c r="B2403">
        <v>4600</v>
      </c>
      <c r="C2403">
        <v>0</v>
      </c>
      <c r="D2403">
        <v>2</v>
      </c>
      <c r="E2403">
        <v>10</v>
      </c>
      <c r="F2403" t="s">
        <v>286</v>
      </c>
      <c r="G2403" t="s">
        <v>131</v>
      </c>
    </row>
    <row r="2404" spans="1:7" hidden="1" x14ac:dyDescent="0.25">
      <c r="A2404">
        <v>50</v>
      </c>
      <c r="B2404">
        <v>5892</v>
      </c>
      <c r="C2404">
        <v>0</v>
      </c>
      <c r="D2404">
        <v>2</v>
      </c>
      <c r="E2404">
        <v>10</v>
      </c>
      <c r="F2404" t="s">
        <v>286</v>
      </c>
      <c r="G2404" t="s">
        <v>131</v>
      </c>
    </row>
    <row r="2405" spans="1:7" hidden="1" x14ac:dyDescent="0.25">
      <c r="A2405">
        <v>50</v>
      </c>
      <c r="B2405">
        <v>5904</v>
      </c>
      <c r="C2405">
        <v>0</v>
      </c>
      <c r="D2405">
        <v>2</v>
      </c>
      <c r="E2405">
        <v>10</v>
      </c>
      <c r="F2405" t="s">
        <v>286</v>
      </c>
      <c r="G2405" t="s">
        <v>131</v>
      </c>
    </row>
    <row r="2406" spans="1:7" hidden="1" x14ac:dyDescent="0.25">
      <c r="A2406">
        <v>50</v>
      </c>
      <c r="B2406">
        <v>6280</v>
      </c>
      <c r="C2406">
        <v>0</v>
      </c>
      <c r="D2406">
        <v>2</v>
      </c>
      <c r="E2406">
        <v>10</v>
      </c>
      <c r="F2406" t="s">
        <v>286</v>
      </c>
      <c r="G2406" t="s">
        <v>131</v>
      </c>
    </row>
    <row r="2407" spans="1:7" hidden="1" x14ac:dyDescent="0.25">
      <c r="A2407">
        <v>50</v>
      </c>
      <c r="B2407">
        <v>6312</v>
      </c>
      <c r="C2407">
        <v>0</v>
      </c>
      <c r="D2407">
        <v>2</v>
      </c>
      <c r="E2407">
        <v>10</v>
      </c>
      <c r="F2407" t="s">
        <v>286</v>
      </c>
      <c r="G2407" t="s">
        <v>131</v>
      </c>
    </row>
    <row r="2408" spans="1:7" hidden="1" x14ac:dyDescent="0.25">
      <c r="A2408">
        <v>50</v>
      </c>
      <c r="B2408">
        <v>7528</v>
      </c>
      <c r="C2408">
        <v>0</v>
      </c>
      <c r="D2408">
        <v>2</v>
      </c>
      <c r="E2408">
        <v>10</v>
      </c>
      <c r="F2408" t="s">
        <v>286</v>
      </c>
      <c r="G2408" t="s">
        <v>131</v>
      </c>
    </row>
    <row r="2409" spans="1:7" hidden="1" x14ac:dyDescent="0.25">
      <c r="A2409">
        <v>50</v>
      </c>
      <c r="B2409">
        <v>7756</v>
      </c>
      <c r="C2409">
        <v>0</v>
      </c>
      <c r="D2409">
        <v>2</v>
      </c>
      <c r="E2409">
        <v>10</v>
      </c>
      <c r="F2409" t="s">
        <v>286</v>
      </c>
      <c r="G2409" t="s">
        <v>131</v>
      </c>
    </row>
    <row r="2410" spans="1:7" hidden="1" x14ac:dyDescent="0.25">
      <c r="A2410">
        <v>50</v>
      </c>
      <c r="B2410">
        <v>8256</v>
      </c>
      <c r="C2410">
        <v>0</v>
      </c>
      <c r="D2410">
        <v>2</v>
      </c>
      <c r="E2410">
        <v>10</v>
      </c>
      <c r="F2410" t="s">
        <v>286</v>
      </c>
      <c r="G2410" t="s">
        <v>131</v>
      </c>
    </row>
    <row r="2411" spans="1:7" hidden="1" x14ac:dyDescent="0.25">
      <c r="A2411">
        <v>50</v>
      </c>
      <c r="B2411">
        <v>10012</v>
      </c>
      <c r="C2411">
        <v>0</v>
      </c>
      <c r="D2411">
        <v>2</v>
      </c>
      <c r="E2411">
        <v>10</v>
      </c>
      <c r="F2411" t="s">
        <v>286</v>
      </c>
      <c r="G2411" t="s">
        <v>131</v>
      </c>
    </row>
    <row r="2412" spans="1:7" hidden="1" x14ac:dyDescent="0.25">
      <c r="A2412">
        <v>50</v>
      </c>
      <c r="B2412">
        <v>10064</v>
      </c>
      <c r="C2412">
        <v>0</v>
      </c>
      <c r="D2412">
        <v>2</v>
      </c>
      <c r="E2412">
        <v>10</v>
      </c>
      <c r="F2412" t="s">
        <v>286</v>
      </c>
      <c r="G2412" t="s">
        <v>131</v>
      </c>
    </row>
    <row r="2413" spans="1:7" hidden="1" x14ac:dyDescent="0.25">
      <c r="A2413">
        <v>50</v>
      </c>
      <c r="B2413">
        <v>10100</v>
      </c>
      <c r="C2413">
        <v>0</v>
      </c>
      <c r="D2413">
        <v>2</v>
      </c>
      <c r="E2413">
        <v>10</v>
      </c>
      <c r="F2413" t="s">
        <v>286</v>
      </c>
      <c r="G2413" t="s">
        <v>131</v>
      </c>
    </row>
    <row r="2414" spans="1:7" hidden="1" x14ac:dyDescent="0.25">
      <c r="A2414">
        <v>99</v>
      </c>
      <c r="B2414">
        <v>2068</v>
      </c>
      <c r="C2414">
        <v>0</v>
      </c>
      <c r="D2414">
        <v>2</v>
      </c>
      <c r="E2414">
        <v>10</v>
      </c>
      <c r="F2414" t="s">
        <v>286</v>
      </c>
      <c r="G2414" t="s">
        <v>131</v>
      </c>
    </row>
    <row r="2415" spans="1:7" hidden="1" x14ac:dyDescent="0.25">
      <c r="A2415">
        <v>99</v>
      </c>
      <c r="B2415">
        <v>3284</v>
      </c>
      <c r="C2415">
        <v>0</v>
      </c>
      <c r="D2415">
        <v>2</v>
      </c>
      <c r="E2415">
        <v>10</v>
      </c>
      <c r="F2415" t="s">
        <v>286</v>
      </c>
      <c r="G2415" t="s">
        <v>131</v>
      </c>
    </row>
    <row r="2416" spans="1:7" hidden="1" x14ac:dyDescent="0.25">
      <c r="A2416">
        <v>99</v>
      </c>
      <c r="B2416">
        <v>7188</v>
      </c>
      <c r="C2416">
        <v>0</v>
      </c>
      <c r="D2416">
        <v>2</v>
      </c>
      <c r="E2416">
        <v>10</v>
      </c>
      <c r="F2416" t="s">
        <v>286</v>
      </c>
      <c r="G2416" t="s">
        <v>131</v>
      </c>
    </row>
    <row r="2417" spans="1:7" hidden="1" x14ac:dyDescent="0.25">
      <c r="A2417">
        <v>99</v>
      </c>
      <c r="B2417">
        <v>7300</v>
      </c>
      <c r="C2417">
        <v>0</v>
      </c>
      <c r="D2417">
        <v>2</v>
      </c>
      <c r="E2417">
        <v>10</v>
      </c>
      <c r="F2417" t="s">
        <v>286</v>
      </c>
      <c r="G2417" t="s">
        <v>131</v>
      </c>
    </row>
    <row r="2418" spans="1:7" hidden="1" x14ac:dyDescent="0.25">
      <c r="A2418">
        <v>99</v>
      </c>
      <c r="B2418">
        <v>7552</v>
      </c>
      <c r="C2418">
        <v>0</v>
      </c>
      <c r="D2418">
        <v>2</v>
      </c>
      <c r="E2418">
        <v>10</v>
      </c>
      <c r="F2418" t="s">
        <v>286</v>
      </c>
      <c r="G2418" t="s">
        <v>131</v>
      </c>
    </row>
    <row r="2419" spans="1:7" hidden="1" x14ac:dyDescent="0.25">
      <c r="A2419">
        <v>99</v>
      </c>
      <c r="B2419">
        <v>8004</v>
      </c>
      <c r="C2419">
        <v>0</v>
      </c>
      <c r="D2419">
        <v>2</v>
      </c>
      <c r="E2419">
        <v>10</v>
      </c>
      <c r="F2419" t="s">
        <v>286</v>
      </c>
      <c r="G2419" t="s">
        <v>131</v>
      </c>
    </row>
    <row r="2420" spans="1:7" hidden="1" x14ac:dyDescent="0.25">
      <c r="A2420">
        <v>99</v>
      </c>
      <c r="B2420">
        <v>8144</v>
      </c>
      <c r="C2420">
        <v>0</v>
      </c>
      <c r="D2420">
        <v>2</v>
      </c>
      <c r="E2420">
        <v>10</v>
      </c>
      <c r="F2420" t="s">
        <v>286</v>
      </c>
      <c r="G2420" t="s">
        <v>131</v>
      </c>
    </row>
    <row r="2421" spans="1:7" hidden="1" x14ac:dyDescent="0.25">
      <c r="A2421">
        <v>99</v>
      </c>
      <c r="B2421">
        <v>8668</v>
      </c>
      <c r="C2421">
        <v>0</v>
      </c>
      <c r="D2421">
        <v>2</v>
      </c>
      <c r="E2421">
        <v>10</v>
      </c>
      <c r="F2421" t="s">
        <v>286</v>
      </c>
      <c r="G2421" t="s">
        <v>131</v>
      </c>
    </row>
    <row r="2422" spans="1:7" hidden="1" x14ac:dyDescent="0.25">
      <c r="A2422">
        <v>99</v>
      </c>
      <c r="B2422">
        <v>9032</v>
      </c>
      <c r="C2422">
        <v>0</v>
      </c>
      <c r="D2422">
        <v>2</v>
      </c>
      <c r="E2422">
        <v>10</v>
      </c>
      <c r="F2422" t="s">
        <v>286</v>
      </c>
      <c r="G2422" t="s">
        <v>131</v>
      </c>
    </row>
    <row r="2423" spans="1:7" hidden="1" x14ac:dyDescent="0.25">
      <c r="A2423">
        <v>99</v>
      </c>
      <c r="B2423">
        <v>9072</v>
      </c>
      <c r="C2423">
        <v>0</v>
      </c>
      <c r="D2423">
        <v>2</v>
      </c>
      <c r="E2423">
        <v>10</v>
      </c>
      <c r="F2423" t="s">
        <v>286</v>
      </c>
      <c r="G2423" t="s">
        <v>131</v>
      </c>
    </row>
    <row r="2424" spans="1:7" hidden="1" x14ac:dyDescent="0.25">
      <c r="A2424">
        <v>99</v>
      </c>
      <c r="B2424">
        <v>9272</v>
      </c>
      <c r="C2424">
        <v>0</v>
      </c>
      <c r="D2424">
        <v>2</v>
      </c>
      <c r="E2424">
        <v>10</v>
      </c>
      <c r="F2424" t="s">
        <v>286</v>
      </c>
      <c r="G2424" t="s">
        <v>131</v>
      </c>
    </row>
    <row r="2425" spans="1:7" hidden="1" x14ac:dyDescent="0.25">
      <c r="A2425">
        <v>99</v>
      </c>
      <c r="B2425">
        <v>10420</v>
      </c>
      <c r="C2425">
        <v>0</v>
      </c>
      <c r="D2425">
        <v>2</v>
      </c>
      <c r="E2425">
        <v>10</v>
      </c>
      <c r="F2425" t="s">
        <v>286</v>
      </c>
      <c r="G2425" t="s">
        <v>131</v>
      </c>
    </row>
    <row r="2426" spans="1:7" hidden="1" x14ac:dyDescent="0.25">
      <c r="A2426">
        <v>50</v>
      </c>
      <c r="B2426">
        <v>1172</v>
      </c>
      <c r="C2426">
        <v>0</v>
      </c>
      <c r="D2426">
        <v>2</v>
      </c>
      <c r="E2426">
        <v>2</v>
      </c>
      <c r="F2426" t="s">
        <v>277</v>
      </c>
      <c r="G2426" t="s">
        <v>118</v>
      </c>
    </row>
    <row r="2427" spans="1:7" hidden="1" x14ac:dyDescent="0.25">
      <c r="A2427">
        <v>50</v>
      </c>
      <c r="B2427">
        <v>1476</v>
      </c>
      <c r="C2427">
        <v>0</v>
      </c>
      <c r="D2427">
        <v>2</v>
      </c>
      <c r="E2427">
        <v>2</v>
      </c>
      <c r="F2427" t="s">
        <v>277</v>
      </c>
      <c r="G2427" t="s">
        <v>118</v>
      </c>
    </row>
    <row r="2428" spans="1:7" hidden="1" x14ac:dyDescent="0.25">
      <c r="A2428">
        <v>50</v>
      </c>
      <c r="B2428">
        <v>2548</v>
      </c>
      <c r="C2428">
        <v>0</v>
      </c>
      <c r="D2428">
        <v>2</v>
      </c>
      <c r="E2428">
        <v>2</v>
      </c>
      <c r="F2428" t="s">
        <v>277</v>
      </c>
      <c r="G2428" t="s">
        <v>118</v>
      </c>
    </row>
    <row r="2429" spans="1:7" hidden="1" x14ac:dyDescent="0.25">
      <c r="A2429">
        <v>50</v>
      </c>
      <c r="B2429">
        <v>4144</v>
      </c>
      <c r="C2429">
        <v>0</v>
      </c>
      <c r="D2429">
        <v>2</v>
      </c>
      <c r="E2429">
        <v>2</v>
      </c>
      <c r="F2429" t="s">
        <v>277</v>
      </c>
      <c r="G2429" t="s">
        <v>118</v>
      </c>
    </row>
    <row r="2430" spans="1:7" hidden="1" x14ac:dyDescent="0.25">
      <c r="A2430">
        <v>50</v>
      </c>
      <c r="B2430">
        <v>4336</v>
      </c>
      <c r="C2430">
        <v>0</v>
      </c>
      <c r="D2430">
        <v>2</v>
      </c>
      <c r="E2430">
        <v>2</v>
      </c>
      <c r="F2430" t="s">
        <v>277</v>
      </c>
      <c r="G2430" t="s">
        <v>118</v>
      </c>
    </row>
    <row r="2431" spans="1:7" hidden="1" x14ac:dyDescent="0.25">
      <c r="A2431">
        <v>50</v>
      </c>
      <c r="B2431">
        <v>4600</v>
      </c>
      <c r="C2431">
        <v>0</v>
      </c>
      <c r="D2431">
        <v>2</v>
      </c>
      <c r="E2431">
        <v>2</v>
      </c>
      <c r="F2431" t="s">
        <v>277</v>
      </c>
      <c r="G2431" t="s">
        <v>118</v>
      </c>
    </row>
    <row r="2432" spans="1:7" hidden="1" x14ac:dyDescent="0.25">
      <c r="A2432">
        <v>50</v>
      </c>
      <c r="B2432">
        <v>5892</v>
      </c>
      <c r="C2432">
        <v>0</v>
      </c>
      <c r="D2432">
        <v>2</v>
      </c>
      <c r="E2432">
        <v>2</v>
      </c>
      <c r="F2432" t="s">
        <v>277</v>
      </c>
      <c r="G2432" t="s">
        <v>118</v>
      </c>
    </row>
    <row r="2433" spans="1:7" hidden="1" x14ac:dyDescent="0.25">
      <c r="A2433">
        <v>50</v>
      </c>
      <c r="B2433">
        <v>5904</v>
      </c>
      <c r="C2433">
        <v>0</v>
      </c>
      <c r="D2433">
        <v>2</v>
      </c>
      <c r="E2433">
        <v>2</v>
      </c>
      <c r="F2433" t="s">
        <v>277</v>
      </c>
      <c r="G2433" t="s">
        <v>118</v>
      </c>
    </row>
    <row r="2434" spans="1:7" hidden="1" x14ac:dyDescent="0.25">
      <c r="A2434">
        <v>50</v>
      </c>
      <c r="B2434">
        <v>6280</v>
      </c>
      <c r="C2434">
        <v>0</v>
      </c>
      <c r="D2434">
        <v>2</v>
      </c>
      <c r="E2434">
        <v>2</v>
      </c>
      <c r="F2434" t="s">
        <v>277</v>
      </c>
      <c r="G2434" t="s">
        <v>118</v>
      </c>
    </row>
    <row r="2435" spans="1:7" hidden="1" x14ac:dyDescent="0.25">
      <c r="A2435">
        <v>50</v>
      </c>
      <c r="B2435">
        <v>6312</v>
      </c>
      <c r="C2435">
        <v>0</v>
      </c>
      <c r="D2435">
        <v>2</v>
      </c>
      <c r="E2435">
        <v>2</v>
      </c>
      <c r="F2435" t="s">
        <v>277</v>
      </c>
      <c r="G2435" t="s">
        <v>118</v>
      </c>
    </row>
    <row r="2436" spans="1:7" hidden="1" x14ac:dyDescent="0.25">
      <c r="A2436">
        <v>50</v>
      </c>
      <c r="B2436">
        <v>7528</v>
      </c>
      <c r="C2436">
        <v>0</v>
      </c>
      <c r="D2436">
        <v>2</v>
      </c>
      <c r="E2436">
        <v>2</v>
      </c>
      <c r="F2436" t="s">
        <v>277</v>
      </c>
      <c r="G2436" t="s">
        <v>118</v>
      </c>
    </row>
    <row r="2437" spans="1:7" hidden="1" x14ac:dyDescent="0.25">
      <c r="A2437">
        <v>50</v>
      </c>
      <c r="B2437">
        <v>7756</v>
      </c>
      <c r="C2437">
        <v>0</v>
      </c>
      <c r="D2437">
        <v>2</v>
      </c>
      <c r="E2437">
        <v>2</v>
      </c>
      <c r="F2437" t="s">
        <v>277</v>
      </c>
      <c r="G2437" t="s">
        <v>118</v>
      </c>
    </row>
    <row r="2438" spans="1:7" hidden="1" x14ac:dyDescent="0.25">
      <c r="A2438">
        <v>50</v>
      </c>
      <c r="B2438">
        <v>8256</v>
      </c>
      <c r="C2438">
        <v>0</v>
      </c>
      <c r="D2438">
        <v>2</v>
      </c>
      <c r="E2438">
        <v>2</v>
      </c>
      <c r="F2438" t="s">
        <v>277</v>
      </c>
      <c r="G2438" t="s">
        <v>118</v>
      </c>
    </row>
    <row r="2439" spans="1:7" hidden="1" x14ac:dyDescent="0.25">
      <c r="A2439">
        <v>50</v>
      </c>
      <c r="B2439">
        <v>10012</v>
      </c>
      <c r="C2439">
        <v>0</v>
      </c>
      <c r="D2439">
        <v>2</v>
      </c>
      <c r="E2439">
        <v>2</v>
      </c>
      <c r="F2439" t="s">
        <v>277</v>
      </c>
      <c r="G2439" t="s">
        <v>118</v>
      </c>
    </row>
    <row r="2440" spans="1:7" hidden="1" x14ac:dyDescent="0.25">
      <c r="A2440">
        <v>50</v>
      </c>
      <c r="B2440">
        <v>10064</v>
      </c>
      <c r="C2440">
        <v>0</v>
      </c>
      <c r="D2440">
        <v>2</v>
      </c>
      <c r="E2440">
        <v>2</v>
      </c>
      <c r="F2440" t="s">
        <v>277</v>
      </c>
      <c r="G2440" t="s">
        <v>118</v>
      </c>
    </row>
    <row r="2441" spans="1:7" hidden="1" x14ac:dyDescent="0.25">
      <c r="A2441">
        <v>50</v>
      </c>
      <c r="B2441">
        <v>10100</v>
      </c>
      <c r="C2441">
        <v>0</v>
      </c>
      <c r="D2441">
        <v>2</v>
      </c>
      <c r="E2441">
        <v>2</v>
      </c>
      <c r="F2441" t="s">
        <v>277</v>
      </c>
      <c r="G2441" t="s">
        <v>118</v>
      </c>
    </row>
    <row r="2442" spans="1:7" hidden="1" x14ac:dyDescent="0.25">
      <c r="A2442">
        <v>99</v>
      </c>
      <c r="B2442">
        <v>2068</v>
      </c>
      <c r="C2442">
        <v>0</v>
      </c>
      <c r="D2442">
        <v>2</v>
      </c>
      <c r="E2442">
        <v>2</v>
      </c>
      <c r="F2442" t="s">
        <v>277</v>
      </c>
      <c r="G2442" t="s">
        <v>118</v>
      </c>
    </row>
    <row r="2443" spans="1:7" hidden="1" x14ac:dyDescent="0.25">
      <c r="A2443">
        <v>99</v>
      </c>
      <c r="B2443">
        <v>3284</v>
      </c>
      <c r="C2443">
        <v>0</v>
      </c>
      <c r="D2443">
        <v>2</v>
      </c>
      <c r="E2443">
        <v>2</v>
      </c>
      <c r="F2443" t="s">
        <v>277</v>
      </c>
      <c r="G2443" t="s">
        <v>118</v>
      </c>
    </row>
    <row r="2444" spans="1:7" hidden="1" x14ac:dyDescent="0.25">
      <c r="A2444">
        <v>99</v>
      </c>
      <c r="B2444">
        <v>7188</v>
      </c>
      <c r="C2444">
        <v>0</v>
      </c>
      <c r="D2444">
        <v>2</v>
      </c>
      <c r="E2444">
        <v>2</v>
      </c>
      <c r="F2444" t="s">
        <v>277</v>
      </c>
      <c r="G2444" t="s">
        <v>118</v>
      </c>
    </row>
    <row r="2445" spans="1:7" hidden="1" x14ac:dyDescent="0.25">
      <c r="A2445">
        <v>99</v>
      </c>
      <c r="B2445">
        <v>7300</v>
      </c>
      <c r="C2445">
        <v>0</v>
      </c>
      <c r="D2445">
        <v>2</v>
      </c>
      <c r="E2445">
        <v>2</v>
      </c>
      <c r="F2445" t="s">
        <v>277</v>
      </c>
      <c r="G2445" t="s">
        <v>118</v>
      </c>
    </row>
    <row r="2446" spans="1:7" hidden="1" x14ac:dyDescent="0.25">
      <c r="A2446">
        <v>99</v>
      </c>
      <c r="B2446">
        <v>7552</v>
      </c>
      <c r="C2446">
        <v>0</v>
      </c>
      <c r="D2446">
        <v>2</v>
      </c>
      <c r="E2446">
        <v>2</v>
      </c>
      <c r="F2446" t="s">
        <v>277</v>
      </c>
      <c r="G2446" t="s">
        <v>118</v>
      </c>
    </row>
    <row r="2447" spans="1:7" hidden="1" x14ac:dyDescent="0.25">
      <c r="A2447">
        <v>99</v>
      </c>
      <c r="B2447">
        <v>8004</v>
      </c>
      <c r="C2447">
        <v>0</v>
      </c>
      <c r="D2447">
        <v>2</v>
      </c>
      <c r="E2447">
        <v>2</v>
      </c>
      <c r="F2447" t="s">
        <v>277</v>
      </c>
      <c r="G2447" t="s">
        <v>118</v>
      </c>
    </row>
    <row r="2448" spans="1:7" hidden="1" x14ac:dyDescent="0.25">
      <c r="A2448">
        <v>99</v>
      </c>
      <c r="B2448">
        <v>8144</v>
      </c>
      <c r="C2448">
        <v>0</v>
      </c>
      <c r="D2448">
        <v>2</v>
      </c>
      <c r="E2448">
        <v>2</v>
      </c>
      <c r="F2448" t="s">
        <v>277</v>
      </c>
      <c r="G2448" t="s">
        <v>118</v>
      </c>
    </row>
    <row r="2449" spans="1:7" hidden="1" x14ac:dyDescent="0.25">
      <c r="A2449">
        <v>99</v>
      </c>
      <c r="B2449">
        <v>8668</v>
      </c>
      <c r="C2449">
        <v>0</v>
      </c>
      <c r="D2449">
        <v>2</v>
      </c>
      <c r="E2449">
        <v>2</v>
      </c>
      <c r="F2449" t="s">
        <v>277</v>
      </c>
      <c r="G2449" t="s">
        <v>118</v>
      </c>
    </row>
    <row r="2450" spans="1:7" hidden="1" x14ac:dyDescent="0.25">
      <c r="A2450">
        <v>99</v>
      </c>
      <c r="B2450">
        <v>9032</v>
      </c>
      <c r="C2450">
        <v>0</v>
      </c>
      <c r="D2450">
        <v>2</v>
      </c>
      <c r="E2450">
        <v>2</v>
      </c>
      <c r="F2450" t="s">
        <v>277</v>
      </c>
      <c r="G2450" t="s">
        <v>118</v>
      </c>
    </row>
    <row r="2451" spans="1:7" hidden="1" x14ac:dyDescent="0.25">
      <c r="A2451">
        <v>99</v>
      </c>
      <c r="B2451">
        <v>9072</v>
      </c>
      <c r="C2451">
        <v>0</v>
      </c>
      <c r="D2451">
        <v>2</v>
      </c>
      <c r="E2451">
        <v>2</v>
      </c>
      <c r="F2451" t="s">
        <v>277</v>
      </c>
      <c r="G2451" t="s">
        <v>118</v>
      </c>
    </row>
    <row r="2452" spans="1:7" hidden="1" x14ac:dyDescent="0.25">
      <c r="A2452">
        <v>99</v>
      </c>
      <c r="B2452">
        <v>9272</v>
      </c>
      <c r="C2452">
        <v>0</v>
      </c>
      <c r="D2452">
        <v>2</v>
      </c>
      <c r="E2452">
        <v>2</v>
      </c>
      <c r="F2452" t="s">
        <v>277</v>
      </c>
      <c r="G2452" t="s">
        <v>118</v>
      </c>
    </row>
    <row r="2453" spans="1:7" hidden="1" x14ac:dyDescent="0.25">
      <c r="A2453">
        <v>99</v>
      </c>
      <c r="B2453">
        <v>10420</v>
      </c>
      <c r="C2453">
        <v>0</v>
      </c>
      <c r="D2453">
        <v>2</v>
      </c>
      <c r="E2453">
        <v>2</v>
      </c>
      <c r="F2453" t="s">
        <v>277</v>
      </c>
      <c r="G2453" t="s">
        <v>118</v>
      </c>
    </row>
    <row r="2454" spans="1:7" hidden="1" x14ac:dyDescent="0.25">
      <c r="A2454">
        <v>50</v>
      </c>
      <c r="B2454">
        <v>1172</v>
      </c>
      <c r="C2454">
        <v>0</v>
      </c>
      <c r="D2454">
        <v>2</v>
      </c>
      <c r="E2454">
        <v>1</v>
      </c>
      <c r="F2454" t="s">
        <v>276</v>
      </c>
      <c r="G2454" t="s">
        <v>127</v>
      </c>
    </row>
    <row r="2455" spans="1:7" hidden="1" x14ac:dyDescent="0.25">
      <c r="A2455">
        <v>50</v>
      </c>
      <c r="B2455">
        <v>1476</v>
      </c>
      <c r="C2455">
        <v>0</v>
      </c>
      <c r="D2455">
        <v>2</v>
      </c>
      <c r="E2455">
        <v>1</v>
      </c>
      <c r="F2455" t="s">
        <v>276</v>
      </c>
      <c r="G2455" t="s">
        <v>127</v>
      </c>
    </row>
    <row r="2456" spans="1:7" hidden="1" x14ac:dyDescent="0.25">
      <c r="A2456">
        <v>50</v>
      </c>
      <c r="B2456">
        <v>2548</v>
      </c>
      <c r="C2456">
        <v>0</v>
      </c>
      <c r="D2456">
        <v>2</v>
      </c>
      <c r="E2456">
        <v>1</v>
      </c>
      <c r="F2456" t="s">
        <v>276</v>
      </c>
      <c r="G2456" t="s">
        <v>127</v>
      </c>
    </row>
    <row r="2457" spans="1:7" hidden="1" x14ac:dyDescent="0.25">
      <c r="A2457">
        <v>50</v>
      </c>
      <c r="B2457">
        <v>4144</v>
      </c>
      <c r="C2457">
        <v>0</v>
      </c>
      <c r="D2457">
        <v>2</v>
      </c>
      <c r="E2457">
        <v>1</v>
      </c>
      <c r="F2457" t="s">
        <v>276</v>
      </c>
      <c r="G2457" t="s">
        <v>127</v>
      </c>
    </row>
    <row r="2458" spans="1:7" hidden="1" x14ac:dyDescent="0.25">
      <c r="A2458">
        <v>50</v>
      </c>
      <c r="B2458">
        <v>4336</v>
      </c>
      <c r="C2458">
        <v>0</v>
      </c>
      <c r="D2458">
        <v>2</v>
      </c>
      <c r="E2458">
        <v>1</v>
      </c>
      <c r="F2458" t="s">
        <v>276</v>
      </c>
      <c r="G2458" t="s">
        <v>127</v>
      </c>
    </row>
    <row r="2459" spans="1:7" hidden="1" x14ac:dyDescent="0.25">
      <c r="A2459">
        <v>50</v>
      </c>
      <c r="B2459">
        <v>4600</v>
      </c>
      <c r="C2459">
        <v>0</v>
      </c>
      <c r="D2459">
        <v>2</v>
      </c>
      <c r="E2459">
        <v>1</v>
      </c>
      <c r="F2459" t="s">
        <v>276</v>
      </c>
      <c r="G2459" t="s">
        <v>127</v>
      </c>
    </row>
    <row r="2460" spans="1:7" hidden="1" x14ac:dyDescent="0.25">
      <c r="A2460">
        <v>50</v>
      </c>
      <c r="B2460">
        <v>5892</v>
      </c>
      <c r="C2460">
        <v>0</v>
      </c>
      <c r="D2460">
        <v>2</v>
      </c>
      <c r="E2460">
        <v>1</v>
      </c>
      <c r="F2460" t="s">
        <v>276</v>
      </c>
      <c r="G2460" t="s">
        <v>127</v>
      </c>
    </row>
    <row r="2461" spans="1:7" hidden="1" x14ac:dyDescent="0.25">
      <c r="A2461">
        <v>50</v>
      </c>
      <c r="B2461">
        <v>5904</v>
      </c>
      <c r="C2461">
        <v>0</v>
      </c>
      <c r="D2461">
        <v>2</v>
      </c>
      <c r="E2461">
        <v>1</v>
      </c>
      <c r="F2461" t="s">
        <v>276</v>
      </c>
      <c r="G2461" t="s">
        <v>127</v>
      </c>
    </row>
    <row r="2462" spans="1:7" hidden="1" x14ac:dyDescent="0.25">
      <c r="A2462">
        <v>50</v>
      </c>
      <c r="B2462">
        <v>6280</v>
      </c>
      <c r="C2462">
        <v>0</v>
      </c>
      <c r="D2462">
        <v>2</v>
      </c>
      <c r="E2462">
        <v>1</v>
      </c>
      <c r="F2462" t="s">
        <v>276</v>
      </c>
      <c r="G2462" t="s">
        <v>127</v>
      </c>
    </row>
    <row r="2463" spans="1:7" hidden="1" x14ac:dyDescent="0.25">
      <c r="A2463">
        <v>50</v>
      </c>
      <c r="B2463">
        <v>6312</v>
      </c>
      <c r="C2463">
        <v>0</v>
      </c>
      <c r="D2463">
        <v>2</v>
      </c>
      <c r="E2463">
        <v>1</v>
      </c>
      <c r="F2463" t="s">
        <v>276</v>
      </c>
      <c r="G2463" t="s">
        <v>127</v>
      </c>
    </row>
    <row r="2464" spans="1:7" hidden="1" x14ac:dyDescent="0.25">
      <c r="A2464">
        <v>50</v>
      </c>
      <c r="B2464">
        <v>7528</v>
      </c>
      <c r="C2464">
        <v>0</v>
      </c>
      <c r="D2464">
        <v>2</v>
      </c>
      <c r="E2464">
        <v>1</v>
      </c>
      <c r="F2464" t="s">
        <v>276</v>
      </c>
      <c r="G2464" t="s">
        <v>127</v>
      </c>
    </row>
    <row r="2465" spans="1:7" hidden="1" x14ac:dyDescent="0.25">
      <c r="A2465">
        <v>50</v>
      </c>
      <c r="B2465">
        <v>7756</v>
      </c>
      <c r="C2465">
        <v>0</v>
      </c>
      <c r="D2465">
        <v>2</v>
      </c>
      <c r="E2465">
        <v>1</v>
      </c>
      <c r="F2465" t="s">
        <v>276</v>
      </c>
      <c r="G2465" t="s">
        <v>127</v>
      </c>
    </row>
    <row r="2466" spans="1:7" hidden="1" x14ac:dyDescent="0.25">
      <c r="A2466">
        <v>50</v>
      </c>
      <c r="B2466">
        <v>8256</v>
      </c>
      <c r="C2466">
        <v>0</v>
      </c>
      <c r="D2466">
        <v>2</v>
      </c>
      <c r="E2466">
        <v>1</v>
      </c>
      <c r="F2466" t="s">
        <v>276</v>
      </c>
      <c r="G2466" t="s">
        <v>127</v>
      </c>
    </row>
    <row r="2467" spans="1:7" hidden="1" x14ac:dyDescent="0.25">
      <c r="A2467">
        <v>50</v>
      </c>
      <c r="B2467">
        <v>10012</v>
      </c>
      <c r="C2467">
        <v>0</v>
      </c>
      <c r="D2467">
        <v>2</v>
      </c>
      <c r="E2467">
        <v>1</v>
      </c>
      <c r="F2467" t="s">
        <v>276</v>
      </c>
      <c r="G2467" t="s">
        <v>127</v>
      </c>
    </row>
    <row r="2468" spans="1:7" hidden="1" x14ac:dyDescent="0.25">
      <c r="A2468">
        <v>50</v>
      </c>
      <c r="B2468">
        <v>10064</v>
      </c>
      <c r="C2468">
        <v>0</v>
      </c>
      <c r="D2468">
        <v>2</v>
      </c>
      <c r="E2468">
        <v>1</v>
      </c>
      <c r="F2468" t="s">
        <v>276</v>
      </c>
      <c r="G2468" t="s">
        <v>127</v>
      </c>
    </row>
    <row r="2469" spans="1:7" hidden="1" x14ac:dyDescent="0.25">
      <c r="A2469">
        <v>50</v>
      </c>
      <c r="B2469">
        <v>10100</v>
      </c>
      <c r="C2469">
        <v>0</v>
      </c>
      <c r="D2469">
        <v>2</v>
      </c>
      <c r="E2469">
        <v>1</v>
      </c>
      <c r="F2469" t="s">
        <v>276</v>
      </c>
      <c r="G2469" t="s">
        <v>127</v>
      </c>
    </row>
    <row r="2470" spans="1:7" hidden="1" x14ac:dyDescent="0.25">
      <c r="A2470">
        <v>99</v>
      </c>
      <c r="B2470">
        <v>2068</v>
      </c>
      <c r="C2470">
        <v>0</v>
      </c>
      <c r="D2470">
        <v>2</v>
      </c>
      <c r="E2470">
        <v>1</v>
      </c>
      <c r="F2470" t="s">
        <v>276</v>
      </c>
      <c r="G2470" t="s">
        <v>127</v>
      </c>
    </row>
    <row r="2471" spans="1:7" hidden="1" x14ac:dyDescent="0.25">
      <c r="A2471">
        <v>99</v>
      </c>
      <c r="B2471">
        <v>3284</v>
      </c>
      <c r="C2471">
        <v>0</v>
      </c>
      <c r="D2471">
        <v>2</v>
      </c>
      <c r="E2471">
        <v>1</v>
      </c>
      <c r="F2471" t="s">
        <v>276</v>
      </c>
      <c r="G2471" t="s">
        <v>127</v>
      </c>
    </row>
    <row r="2472" spans="1:7" hidden="1" x14ac:dyDescent="0.25">
      <c r="A2472">
        <v>99</v>
      </c>
      <c r="B2472">
        <v>7188</v>
      </c>
      <c r="C2472">
        <v>0</v>
      </c>
      <c r="D2472">
        <v>2</v>
      </c>
      <c r="E2472">
        <v>1</v>
      </c>
      <c r="F2472" t="s">
        <v>276</v>
      </c>
      <c r="G2472" t="s">
        <v>127</v>
      </c>
    </row>
    <row r="2473" spans="1:7" hidden="1" x14ac:dyDescent="0.25">
      <c r="A2473">
        <v>99</v>
      </c>
      <c r="B2473">
        <v>7300</v>
      </c>
      <c r="C2473">
        <v>0</v>
      </c>
      <c r="D2473">
        <v>2</v>
      </c>
      <c r="E2473">
        <v>1</v>
      </c>
      <c r="F2473" t="s">
        <v>276</v>
      </c>
      <c r="G2473" t="s">
        <v>127</v>
      </c>
    </row>
    <row r="2474" spans="1:7" hidden="1" x14ac:dyDescent="0.25">
      <c r="A2474">
        <v>99</v>
      </c>
      <c r="B2474">
        <v>7552</v>
      </c>
      <c r="C2474">
        <v>0</v>
      </c>
      <c r="D2474">
        <v>2</v>
      </c>
      <c r="E2474">
        <v>1</v>
      </c>
      <c r="F2474" t="s">
        <v>276</v>
      </c>
      <c r="G2474" t="s">
        <v>127</v>
      </c>
    </row>
    <row r="2475" spans="1:7" hidden="1" x14ac:dyDescent="0.25">
      <c r="A2475">
        <v>99</v>
      </c>
      <c r="B2475">
        <v>8004</v>
      </c>
      <c r="C2475">
        <v>0</v>
      </c>
      <c r="D2475">
        <v>2</v>
      </c>
      <c r="E2475">
        <v>1</v>
      </c>
      <c r="F2475" t="s">
        <v>276</v>
      </c>
      <c r="G2475" t="s">
        <v>127</v>
      </c>
    </row>
    <row r="2476" spans="1:7" hidden="1" x14ac:dyDescent="0.25">
      <c r="A2476">
        <v>99</v>
      </c>
      <c r="B2476">
        <v>8144</v>
      </c>
      <c r="C2476">
        <v>0</v>
      </c>
      <c r="D2476">
        <v>2</v>
      </c>
      <c r="E2476">
        <v>1</v>
      </c>
      <c r="F2476" t="s">
        <v>276</v>
      </c>
      <c r="G2476" t="s">
        <v>127</v>
      </c>
    </row>
    <row r="2477" spans="1:7" hidden="1" x14ac:dyDescent="0.25">
      <c r="A2477">
        <v>99</v>
      </c>
      <c r="B2477">
        <v>8668</v>
      </c>
      <c r="C2477">
        <v>0</v>
      </c>
      <c r="D2477">
        <v>2</v>
      </c>
      <c r="E2477">
        <v>1</v>
      </c>
      <c r="F2477" t="s">
        <v>276</v>
      </c>
      <c r="G2477" t="s">
        <v>127</v>
      </c>
    </row>
    <row r="2478" spans="1:7" hidden="1" x14ac:dyDescent="0.25">
      <c r="A2478">
        <v>99</v>
      </c>
      <c r="B2478">
        <v>9032</v>
      </c>
      <c r="C2478">
        <v>0</v>
      </c>
      <c r="D2478">
        <v>2</v>
      </c>
      <c r="E2478">
        <v>1</v>
      </c>
      <c r="F2478" t="s">
        <v>276</v>
      </c>
      <c r="G2478" t="s">
        <v>127</v>
      </c>
    </row>
    <row r="2479" spans="1:7" hidden="1" x14ac:dyDescent="0.25">
      <c r="A2479">
        <v>99</v>
      </c>
      <c r="B2479">
        <v>9072</v>
      </c>
      <c r="C2479">
        <v>0</v>
      </c>
      <c r="D2479">
        <v>2</v>
      </c>
      <c r="E2479">
        <v>1</v>
      </c>
      <c r="F2479" t="s">
        <v>276</v>
      </c>
      <c r="G2479" t="s">
        <v>127</v>
      </c>
    </row>
    <row r="2480" spans="1:7" hidden="1" x14ac:dyDescent="0.25">
      <c r="A2480">
        <v>99</v>
      </c>
      <c r="B2480">
        <v>9272</v>
      </c>
      <c r="C2480">
        <v>0</v>
      </c>
      <c r="D2480">
        <v>2</v>
      </c>
      <c r="E2480">
        <v>1</v>
      </c>
      <c r="F2480" t="s">
        <v>276</v>
      </c>
      <c r="G2480" t="s">
        <v>127</v>
      </c>
    </row>
    <row r="2481" spans="1:7" hidden="1" x14ac:dyDescent="0.25">
      <c r="A2481">
        <v>99</v>
      </c>
      <c r="B2481">
        <v>10420</v>
      </c>
      <c r="C2481">
        <v>0</v>
      </c>
      <c r="D2481">
        <v>2</v>
      </c>
      <c r="E2481">
        <v>1</v>
      </c>
      <c r="F2481" t="s">
        <v>276</v>
      </c>
      <c r="G2481" t="s">
        <v>127</v>
      </c>
    </row>
    <row r="2482" spans="1:7" hidden="1" x14ac:dyDescent="0.25">
      <c r="A2482">
        <v>50</v>
      </c>
      <c r="B2482">
        <v>1172</v>
      </c>
      <c r="C2482">
        <v>0</v>
      </c>
      <c r="D2482">
        <v>2</v>
      </c>
      <c r="E2482">
        <v>0</v>
      </c>
      <c r="F2482" t="s">
        <v>275</v>
      </c>
      <c r="G2482" t="s">
        <v>337</v>
      </c>
    </row>
    <row r="2483" spans="1:7" hidden="1" x14ac:dyDescent="0.25">
      <c r="A2483">
        <v>50</v>
      </c>
      <c r="B2483">
        <v>1476</v>
      </c>
      <c r="C2483">
        <v>0</v>
      </c>
      <c r="D2483">
        <v>2</v>
      </c>
      <c r="E2483">
        <v>0</v>
      </c>
      <c r="F2483" t="s">
        <v>275</v>
      </c>
      <c r="G2483" t="s">
        <v>337</v>
      </c>
    </row>
    <row r="2484" spans="1:7" hidden="1" x14ac:dyDescent="0.25">
      <c r="A2484">
        <v>50</v>
      </c>
      <c r="B2484">
        <v>2548</v>
      </c>
      <c r="C2484">
        <v>0</v>
      </c>
      <c r="D2484">
        <v>2</v>
      </c>
      <c r="E2484">
        <v>0</v>
      </c>
      <c r="F2484" t="s">
        <v>275</v>
      </c>
      <c r="G2484" t="s">
        <v>337</v>
      </c>
    </row>
    <row r="2485" spans="1:7" hidden="1" x14ac:dyDescent="0.25">
      <c r="A2485">
        <v>50</v>
      </c>
      <c r="B2485">
        <v>4144</v>
      </c>
      <c r="C2485">
        <v>0</v>
      </c>
      <c r="D2485">
        <v>2</v>
      </c>
      <c r="E2485">
        <v>0</v>
      </c>
      <c r="F2485" t="s">
        <v>275</v>
      </c>
      <c r="G2485" t="s">
        <v>337</v>
      </c>
    </row>
    <row r="2486" spans="1:7" hidden="1" x14ac:dyDescent="0.25">
      <c r="A2486">
        <v>50</v>
      </c>
      <c r="B2486">
        <v>4336</v>
      </c>
      <c r="C2486">
        <v>0</v>
      </c>
      <c r="D2486">
        <v>2</v>
      </c>
      <c r="E2486">
        <v>0</v>
      </c>
      <c r="F2486" t="s">
        <v>275</v>
      </c>
      <c r="G2486" t="s">
        <v>337</v>
      </c>
    </row>
    <row r="2487" spans="1:7" hidden="1" x14ac:dyDescent="0.25">
      <c r="A2487">
        <v>50</v>
      </c>
      <c r="B2487">
        <v>4600</v>
      </c>
      <c r="C2487">
        <v>0</v>
      </c>
      <c r="D2487">
        <v>2</v>
      </c>
      <c r="E2487">
        <v>0</v>
      </c>
      <c r="F2487" t="s">
        <v>275</v>
      </c>
      <c r="G2487" t="s">
        <v>337</v>
      </c>
    </row>
    <row r="2488" spans="1:7" hidden="1" x14ac:dyDescent="0.25">
      <c r="A2488">
        <v>50</v>
      </c>
      <c r="B2488">
        <v>5892</v>
      </c>
      <c r="C2488">
        <v>0</v>
      </c>
      <c r="D2488">
        <v>2</v>
      </c>
      <c r="E2488">
        <v>0</v>
      </c>
      <c r="F2488" t="s">
        <v>275</v>
      </c>
      <c r="G2488" t="s">
        <v>337</v>
      </c>
    </row>
    <row r="2489" spans="1:7" hidden="1" x14ac:dyDescent="0.25">
      <c r="A2489">
        <v>50</v>
      </c>
      <c r="B2489">
        <v>5904</v>
      </c>
      <c r="C2489">
        <v>0</v>
      </c>
      <c r="D2489">
        <v>2</v>
      </c>
      <c r="E2489">
        <v>0</v>
      </c>
      <c r="F2489" t="s">
        <v>275</v>
      </c>
      <c r="G2489" t="s">
        <v>337</v>
      </c>
    </row>
    <row r="2490" spans="1:7" hidden="1" x14ac:dyDescent="0.25">
      <c r="A2490">
        <v>50</v>
      </c>
      <c r="B2490">
        <v>6280</v>
      </c>
      <c r="C2490">
        <v>0</v>
      </c>
      <c r="D2490">
        <v>2</v>
      </c>
      <c r="E2490">
        <v>0</v>
      </c>
      <c r="F2490" t="s">
        <v>275</v>
      </c>
      <c r="G2490" t="s">
        <v>337</v>
      </c>
    </row>
    <row r="2491" spans="1:7" hidden="1" x14ac:dyDescent="0.25">
      <c r="A2491">
        <v>50</v>
      </c>
      <c r="B2491">
        <v>6312</v>
      </c>
      <c r="C2491">
        <v>0</v>
      </c>
      <c r="D2491">
        <v>2</v>
      </c>
      <c r="E2491">
        <v>0</v>
      </c>
      <c r="F2491" t="s">
        <v>275</v>
      </c>
      <c r="G2491" t="s">
        <v>337</v>
      </c>
    </row>
    <row r="2492" spans="1:7" hidden="1" x14ac:dyDescent="0.25">
      <c r="A2492">
        <v>50</v>
      </c>
      <c r="B2492">
        <v>7528</v>
      </c>
      <c r="C2492">
        <v>0</v>
      </c>
      <c r="D2492">
        <v>2</v>
      </c>
      <c r="E2492">
        <v>0</v>
      </c>
      <c r="F2492" t="s">
        <v>275</v>
      </c>
      <c r="G2492" t="s">
        <v>337</v>
      </c>
    </row>
    <row r="2493" spans="1:7" hidden="1" x14ac:dyDescent="0.25">
      <c r="A2493">
        <v>50</v>
      </c>
      <c r="B2493">
        <v>7756</v>
      </c>
      <c r="C2493">
        <v>0</v>
      </c>
      <c r="D2493">
        <v>2</v>
      </c>
      <c r="E2493">
        <v>0</v>
      </c>
      <c r="F2493" t="s">
        <v>275</v>
      </c>
      <c r="G2493" t="s">
        <v>337</v>
      </c>
    </row>
    <row r="2494" spans="1:7" hidden="1" x14ac:dyDescent="0.25">
      <c r="A2494">
        <v>50</v>
      </c>
      <c r="B2494">
        <v>8256</v>
      </c>
      <c r="C2494">
        <v>0</v>
      </c>
      <c r="D2494">
        <v>2</v>
      </c>
      <c r="E2494">
        <v>0</v>
      </c>
      <c r="F2494" t="s">
        <v>275</v>
      </c>
      <c r="G2494" t="s">
        <v>337</v>
      </c>
    </row>
    <row r="2495" spans="1:7" hidden="1" x14ac:dyDescent="0.25">
      <c r="A2495">
        <v>50</v>
      </c>
      <c r="B2495">
        <v>10012</v>
      </c>
      <c r="C2495">
        <v>0</v>
      </c>
      <c r="D2495">
        <v>2</v>
      </c>
      <c r="E2495">
        <v>0</v>
      </c>
      <c r="F2495" t="s">
        <v>275</v>
      </c>
      <c r="G2495" t="s">
        <v>337</v>
      </c>
    </row>
    <row r="2496" spans="1:7" hidden="1" x14ac:dyDescent="0.25">
      <c r="A2496">
        <v>50</v>
      </c>
      <c r="B2496">
        <v>10064</v>
      </c>
      <c r="C2496">
        <v>0</v>
      </c>
      <c r="D2496">
        <v>2</v>
      </c>
      <c r="E2496">
        <v>0</v>
      </c>
      <c r="F2496" t="s">
        <v>275</v>
      </c>
      <c r="G2496" t="s">
        <v>337</v>
      </c>
    </row>
    <row r="2497" spans="1:7" hidden="1" x14ac:dyDescent="0.25">
      <c r="A2497">
        <v>50</v>
      </c>
      <c r="B2497">
        <v>10100</v>
      </c>
      <c r="C2497">
        <v>0</v>
      </c>
      <c r="D2497">
        <v>2</v>
      </c>
      <c r="E2497">
        <v>0</v>
      </c>
      <c r="F2497" t="s">
        <v>275</v>
      </c>
      <c r="G2497" t="s">
        <v>337</v>
      </c>
    </row>
    <row r="2498" spans="1:7" hidden="1" x14ac:dyDescent="0.25">
      <c r="A2498">
        <v>99</v>
      </c>
      <c r="B2498">
        <v>2068</v>
      </c>
      <c r="C2498">
        <v>0</v>
      </c>
      <c r="D2498">
        <v>2</v>
      </c>
      <c r="E2498">
        <v>0</v>
      </c>
      <c r="F2498" t="s">
        <v>275</v>
      </c>
      <c r="G2498" t="s">
        <v>126</v>
      </c>
    </row>
    <row r="2499" spans="1:7" hidden="1" x14ac:dyDescent="0.25">
      <c r="A2499">
        <v>99</v>
      </c>
      <c r="B2499">
        <v>3284</v>
      </c>
      <c r="C2499">
        <v>0</v>
      </c>
      <c r="D2499">
        <v>2</v>
      </c>
      <c r="E2499">
        <v>0</v>
      </c>
      <c r="F2499" t="s">
        <v>275</v>
      </c>
      <c r="G2499" t="s">
        <v>126</v>
      </c>
    </row>
    <row r="2500" spans="1:7" hidden="1" x14ac:dyDescent="0.25">
      <c r="A2500">
        <v>99</v>
      </c>
      <c r="B2500">
        <v>7188</v>
      </c>
      <c r="C2500">
        <v>0</v>
      </c>
      <c r="D2500">
        <v>2</v>
      </c>
      <c r="E2500">
        <v>0</v>
      </c>
      <c r="F2500" t="s">
        <v>275</v>
      </c>
      <c r="G2500" t="s">
        <v>126</v>
      </c>
    </row>
    <row r="2501" spans="1:7" hidden="1" x14ac:dyDescent="0.25">
      <c r="A2501">
        <v>99</v>
      </c>
      <c r="B2501">
        <v>7300</v>
      </c>
      <c r="C2501">
        <v>0</v>
      </c>
      <c r="D2501">
        <v>2</v>
      </c>
      <c r="E2501">
        <v>0</v>
      </c>
      <c r="F2501" t="s">
        <v>275</v>
      </c>
      <c r="G2501" t="s">
        <v>126</v>
      </c>
    </row>
    <row r="2502" spans="1:7" hidden="1" x14ac:dyDescent="0.25">
      <c r="A2502">
        <v>99</v>
      </c>
      <c r="B2502">
        <v>7552</v>
      </c>
      <c r="C2502">
        <v>0</v>
      </c>
      <c r="D2502">
        <v>2</v>
      </c>
      <c r="E2502">
        <v>0</v>
      </c>
      <c r="F2502" t="s">
        <v>275</v>
      </c>
      <c r="G2502" t="s">
        <v>126</v>
      </c>
    </row>
    <row r="2503" spans="1:7" hidden="1" x14ac:dyDescent="0.25">
      <c r="A2503">
        <v>99</v>
      </c>
      <c r="B2503">
        <v>8004</v>
      </c>
      <c r="C2503">
        <v>0</v>
      </c>
      <c r="D2503">
        <v>2</v>
      </c>
      <c r="E2503">
        <v>0</v>
      </c>
      <c r="F2503" t="s">
        <v>275</v>
      </c>
      <c r="G2503" t="s">
        <v>126</v>
      </c>
    </row>
    <row r="2504" spans="1:7" hidden="1" x14ac:dyDescent="0.25">
      <c r="A2504">
        <v>99</v>
      </c>
      <c r="B2504">
        <v>8144</v>
      </c>
      <c r="C2504">
        <v>0</v>
      </c>
      <c r="D2504">
        <v>2</v>
      </c>
      <c r="E2504">
        <v>0</v>
      </c>
      <c r="F2504" t="s">
        <v>275</v>
      </c>
      <c r="G2504" t="s">
        <v>126</v>
      </c>
    </row>
    <row r="2505" spans="1:7" hidden="1" x14ac:dyDescent="0.25">
      <c r="A2505">
        <v>99</v>
      </c>
      <c r="B2505">
        <v>8668</v>
      </c>
      <c r="C2505">
        <v>0</v>
      </c>
      <c r="D2505">
        <v>2</v>
      </c>
      <c r="E2505">
        <v>0</v>
      </c>
      <c r="F2505" t="s">
        <v>275</v>
      </c>
      <c r="G2505" t="s">
        <v>126</v>
      </c>
    </row>
    <row r="2506" spans="1:7" hidden="1" x14ac:dyDescent="0.25">
      <c r="A2506">
        <v>99</v>
      </c>
      <c r="B2506">
        <v>9032</v>
      </c>
      <c r="C2506">
        <v>0</v>
      </c>
      <c r="D2506">
        <v>2</v>
      </c>
      <c r="E2506">
        <v>0</v>
      </c>
      <c r="F2506" t="s">
        <v>275</v>
      </c>
      <c r="G2506" t="s">
        <v>126</v>
      </c>
    </row>
    <row r="2507" spans="1:7" hidden="1" x14ac:dyDescent="0.25">
      <c r="A2507">
        <v>99</v>
      </c>
      <c r="B2507">
        <v>9072</v>
      </c>
      <c r="C2507">
        <v>0</v>
      </c>
      <c r="D2507">
        <v>2</v>
      </c>
      <c r="E2507">
        <v>0</v>
      </c>
      <c r="F2507" t="s">
        <v>275</v>
      </c>
      <c r="G2507" t="s">
        <v>126</v>
      </c>
    </row>
    <row r="2508" spans="1:7" hidden="1" x14ac:dyDescent="0.25">
      <c r="A2508">
        <v>99</v>
      </c>
      <c r="B2508">
        <v>9272</v>
      </c>
      <c r="C2508">
        <v>0</v>
      </c>
      <c r="D2508">
        <v>2</v>
      </c>
      <c r="E2508">
        <v>0</v>
      </c>
      <c r="F2508" t="s">
        <v>275</v>
      </c>
      <c r="G2508" t="s">
        <v>126</v>
      </c>
    </row>
    <row r="2509" spans="1:7" hidden="1" x14ac:dyDescent="0.25">
      <c r="A2509">
        <v>99</v>
      </c>
      <c r="B2509">
        <v>10420</v>
      </c>
      <c r="C2509">
        <v>0</v>
      </c>
      <c r="D2509">
        <v>2</v>
      </c>
      <c r="E2509">
        <v>0</v>
      </c>
      <c r="F2509" t="s">
        <v>275</v>
      </c>
      <c r="G2509" t="s">
        <v>126</v>
      </c>
    </row>
    <row r="2510" spans="1:7" hidden="1" x14ac:dyDescent="0.25">
      <c r="A2510">
        <v>50</v>
      </c>
      <c r="B2510">
        <v>1172</v>
      </c>
      <c r="C2510">
        <v>0</v>
      </c>
      <c r="D2510">
        <v>2</v>
      </c>
      <c r="E2510">
        <v>5</v>
      </c>
      <c r="F2510" t="s">
        <v>280</v>
      </c>
      <c r="G2510" t="s">
        <v>124</v>
      </c>
    </row>
    <row r="2511" spans="1:7" hidden="1" x14ac:dyDescent="0.25">
      <c r="A2511">
        <v>50</v>
      </c>
      <c r="B2511">
        <v>1476</v>
      </c>
      <c r="C2511">
        <v>0</v>
      </c>
      <c r="D2511">
        <v>2</v>
      </c>
      <c r="E2511">
        <v>5</v>
      </c>
      <c r="F2511" t="s">
        <v>280</v>
      </c>
      <c r="G2511" t="s">
        <v>124</v>
      </c>
    </row>
    <row r="2512" spans="1:7" hidden="1" x14ac:dyDescent="0.25">
      <c r="A2512">
        <v>50</v>
      </c>
      <c r="B2512">
        <v>2548</v>
      </c>
      <c r="C2512">
        <v>0</v>
      </c>
      <c r="D2512">
        <v>2</v>
      </c>
      <c r="E2512">
        <v>5</v>
      </c>
      <c r="F2512" t="s">
        <v>280</v>
      </c>
      <c r="G2512" t="s">
        <v>124</v>
      </c>
    </row>
    <row r="2513" spans="1:7" hidden="1" x14ac:dyDescent="0.25">
      <c r="A2513">
        <v>50</v>
      </c>
      <c r="B2513">
        <v>4144</v>
      </c>
      <c r="C2513">
        <v>0</v>
      </c>
      <c r="D2513">
        <v>2</v>
      </c>
      <c r="E2513">
        <v>5</v>
      </c>
      <c r="F2513" t="s">
        <v>280</v>
      </c>
      <c r="G2513" t="s">
        <v>124</v>
      </c>
    </row>
    <row r="2514" spans="1:7" hidden="1" x14ac:dyDescent="0.25">
      <c r="A2514">
        <v>50</v>
      </c>
      <c r="B2514">
        <v>4336</v>
      </c>
      <c r="C2514">
        <v>0</v>
      </c>
      <c r="D2514">
        <v>2</v>
      </c>
      <c r="E2514">
        <v>5</v>
      </c>
      <c r="F2514" t="s">
        <v>280</v>
      </c>
      <c r="G2514" t="s">
        <v>124</v>
      </c>
    </row>
    <row r="2515" spans="1:7" hidden="1" x14ac:dyDescent="0.25">
      <c r="A2515">
        <v>50</v>
      </c>
      <c r="B2515">
        <v>4600</v>
      </c>
      <c r="C2515">
        <v>0</v>
      </c>
      <c r="D2515">
        <v>2</v>
      </c>
      <c r="E2515">
        <v>5</v>
      </c>
      <c r="F2515" t="s">
        <v>280</v>
      </c>
      <c r="G2515" t="s">
        <v>124</v>
      </c>
    </row>
    <row r="2516" spans="1:7" hidden="1" x14ac:dyDescent="0.25">
      <c r="A2516">
        <v>50</v>
      </c>
      <c r="B2516">
        <v>5892</v>
      </c>
      <c r="C2516">
        <v>0</v>
      </c>
      <c r="D2516">
        <v>2</v>
      </c>
      <c r="E2516">
        <v>5</v>
      </c>
      <c r="F2516" t="s">
        <v>280</v>
      </c>
      <c r="G2516" t="s">
        <v>124</v>
      </c>
    </row>
    <row r="2517" spans="1:7" hidden="1" x14ac:dyDescent="0.25">
      <c r="A2517">
        <v>50</v>
      </c>
      <c r="B2517">
        <v>5904</v>
      </c>
      <c r="C2517">
        <v>0</v>
      </c>
      <c r="D2517">
        <v>2</v>
      </c>
      <c r="E2517">
        <v>5</v>
      </c>
      <c r="F2517" t="s">
        <v>280</v>
      </c>
      <c r="G2517" t="s">
        <v>124</v>
      </c>
    </row>
    <row r="2518" spans="1:7" hidden="1" x14ac:dyDescent="0.25">
      <c r="A2518">
        <v>50</v>
      </c>
      <c r="B2518">
        <v>6280</v>
      </c>
      <c r="C2518">
        <v>0</v>
      </c>
      <c r="D2518">
        <v>2</v>
      </c>
      <c r="E2518">
        <v>5</v>
      </c>
      <c r="F2518" t="s">
        <v>280</v>
      </c>
      <c r="G2518" t="s">
        <v>124</v>
      </c>
    </row>
    <row r="2519" spans="1:7" hidden="1" x14ac:dyDescent="0.25">
      <c r="A2519">
        <v>50</v>
      </c>
      <c r="B2519">
        <v>6312</v>
      </c>
      <c r="C2519">
        <v>0</v>
      </c>
      <c r="D2519">
        <v>2</v>
      </c>
      <c r="E2519">
        <v>5</v>
      </c>
      <c r="F2519" t="s">
        <v>280</v>
      </c>
      <c r="G2519" t="s">
        <v>124</v>
      </c>
    </row>
    <row r="2520" spans="1:7" hidden="1" x14ac:dyDescent="0.25">
      <c r="A2520">
        <v>50</v>
      </c>
      <c r="B2520">
        <v>7528</v>
      </c>
      <c r="C2520">
        <v>0</v>
      </c>
      <c r="D2520">
        <v>2</v>
      </c>
      <c r="E2520">
        <v>5</v>
      </c>
      <c r="F2520" t="s">
        <v>280</v>
      </c>
      <c r="G2520" t="s">
        <v>124</v>
      </c>
    </row>
    <row r="2521" spans="1:7" hidden="1" x14ac:dyDescent="0.25">
      <c r="A2521">
        <v>50</v>
      </c>
      <c r="B2521">
        <v>7756</v>
      </c>
      <c r="C2521">
        <v>0</v>
      </c>
      <c r="D2521">
        <v>2</v>
      </c>
      <c r="E2521">
        <v>5</v>
      </c>
      <c r="F2521" t="s">
        <v>280</v>
      </c>
      <c r="G2521" t="s">
        <v>124</v>
      </c>
    </row>
    <row r="2522" spans="1:7" hidden="1" x14ac:dyDescent="0.25">
      <c r="A2522">
        <v>50</v>
      </c>
      <c r="B2522">
        <v>8256</v>
      </c>
      <c r="C2522">
        <v>0</v>
      </c>
      <c r="D2522">
        <v>2</v>
      </c>
      <c r="E2522">
        <v>5</v>
      </c>
      <c r="F2522" t="s">
        <v>280</v>
      </c>
      <c r="G2522" t="s">
        <v>124</v>
      </c>
    </row>
    <row r="2523" spans="1:7" hidden="1" x14ac:dyDescent="0.25">
      <c r="A2523">
        <v>50</v>
      </c>
      <c r="B2523">
        <v>10012</v>
      </c>
      <c r="C2523">
        <v>0</v>
      </c>
      <c r="D2523">
        <v>2</v>
      </c>
      <c r="E2523">
        <v>5</v>
      </c>
      <c r="F2523" t="s">
        <v>280</v>
      </c>
      <c r="G2523" t="s">
        <v>124</v>
      </c>
    </row>
    <row r="2524" spans="1:7" hidden="1" x14ac:dyDescent="0.25">
      <c r="A2524">
        <v>50</v>
      </c>
      <c r="B2524">
        <v>10064</v>
      </c>
      <c r="C2524">
        <v>0</v>
      </c>
      <c r="D2524">
        <v>2</v>
      </c>
      <c r="E2524">
        <v>5</v>
      </c>
      <c r="F2524" t="s">
        <v>280</v>
      </c>
      <c r="G2524" t="s">
        <v>124</v>
      </c>
    </row>
    <row r="2525" spans="1:7" hidden="1" x14ac:dyDescent="0.25">
      <c r="A2525">
        <v>50</v>
      </c>
      <c r="B2525">
        <v>10100</v>
      </c>
      <c r="C2525">
        <v>0</v>
      </c>
      <c r="D2525">
        <v>2</v>
      </c>
      <c r="E2525">
        <v>5</v>
      </c>
      <c r="F2525" t="s">
        <v>280</v>
      </c>
      <c r="G2525" t="s">
        <v>124</v>
      </c>
    </row>
    <row r="2526" spans="1:7" hidden="1" x14ac:dyDescent="0.25">
      <c r="A2526">
        <v>99</v>
      </c>
      <c r="B2526">
        <v>2068</v>
      </c>
      <c r="C2526">
        <v>0</v>
      </c>
      <c r="D2526">
        <v>2</v>
      </c>
      <c r="E2526">
        <v>5</v>
      </c>
      <c r="F2526" t="s">
        <v>280</v>
      </c>
      <c r="G2526" t="s">
        <v>124</v>
      </c>
    </row>
    <row r="2527" spans="1:7" hidden="1" x14ac:dyDescent="0.25">
      <c r="A2527">
        <v>99</v>
      </c>
      <c r="B2527">
        <v>3284</v>
      </c>
      <c r="C2527">
        <v>0</v>
      </c>
      <c r="D2527">
        <v>2</v>
      </c>
      <c r="E2527">
        <v>5</v>
      </c>
      <c r="F2527" t="s">
        <v>280</v>
      </c>
      <c r="G2527" t="s">
        <v>124</v>
      </c>
    </row>
    <row r="2528" spans="1:7" hidden="1" x14ac:dyDescent="0.25">
      <c r="A2528">
        <v>99</v>
      </c>
      <c r="B2528">
        <v>7188</v>
      </c>
      <c r="C2528">
        <v>0</v>
      </c>
      <c r="D2528">
        <v>2</v>
      </c>
      <c r="E2528">
        <v>5</v>
      </c>
      <c r="F2528" t="s">
        <v>280</v>
      </c>
      <c r="G2528" t="s">
        <v>124</v>
      </c>
    </row>
    <row r="2529" spans="1:7" hidden="1" x14ac:dyDescent="0.25">
      <c r="A2529">
        <v>99</v>
      </c>
      <c r="B2529">
        <v>7300</v>
      </c>
      <c r="C2529">
        <v>0</v>
      </c>
      <c r="D2529">
        <v>2</v>
      </c>
      <c r="E2529">
        <v>5</v>
      </c>
      <c r="F2529" t="s">
        <v>280</v>
      </c>
      <c r="G2529" t="s">
        <v>124</v>
      </c>
    </row>
    <row r="2530" spans="1:7" hidden="1" x14ac:dyDescent="0.25">
      <c r="A2530">
        <v>99</v>
      </c>
      <c r="B2530">
        <v>7552</v>
      </c>
      <c r="C2530">
        <v>0</v>
      </c>
      <c r="D2530">
        <v>2</v>
      </c>
      <c r="E2530">
        <v>5</v>
      </c>
      <c r="F2530" t="s">
        <v>280</v>
      </c>
      <c r="G2530" t="s">
        <v>124</v>
      </c>
    </row>
    <row r="2531" spans="1:7" hidden="1" x14ac:dyDescent="0.25">
      <c r="A2531">
        <v>99</v>
      </c>
      <c r="B2531">
        <v>8004</v>
      </c>
      <c r="C2531">
        <v>0</v>
      </c>
      <c r="D2531">
        <v>2</v>
      </c>
      <c r="E2531">
        <v>5</v>
      </c>
      <c r="F2531" t="s">
        <v>280</v>
      </c>
      <c r="G2531" t="s">
        <v>124</v>
      </c>
    </row>
    <row r="2532" spans="1:7" hidden="1" x14ac:dyDescent="0.25">
      <c r="A2532">
        <v>99</v>
      </c>
      <c r="B2532">
        <v>8144</v>
      </c>
      <c r="C2532">
        <v>0</v>
      </c>
      <c r="D2532">
        <v>2</v>
      </c>
      <c r="E2532">
        <v>5</v>
      </c>
      <c r="F2532" t="s">
        <v>280</v>
      </c>
      <c r="G2532" t="s">
        <v>124</v>
      </c>
    </row>
    <row r="2533" spans="1:7" hidden="1" x14ac:dyDescent="0.25">
      <c r="A2533">
        <v>99</v>
      </c>
      <c r="B2533">
        <v>8668</v>
      </c>
      <c r="C2533">
        <v>0</v>
      </c>
      <c r="D2533">
        <v>2</v>
      </c>
      <c r="E2533">
        <v>5</v>
      </c>
      <c r="F2533" t="s">
        <v>280</v>
      </c>
      <c r="G2533" t="s">
        <v>124</v>
      </c>
    </row>
    <row r="2534" spans="1:7" hidden="1" x14ac:dyDescent="0.25">
      <c r="A2534">
        <v>99</v>
      </c>
      <c r="B2534">
        <v>9032</v>
      </c>
      <c r="C2534">
        <v>0</v>
      </c>
      <c r="D2534">
        <v>2</v>
      </c>
      <c r="E2534">
        <v>5</v>
      </c>
      <c r="F2534" t="s">
        <v>280</v>
      </c>
      <c r="G2534" t="s">
        <v>124</v>
      </c>
    </row>
    <row r="2535" spans="1:7" hidden="1" x14ac:dyDescent="0.25">
      <c r="A2535">
        <v>99</v>
      </c>
      <c r="B2535">
        <v>9072</v>
      </c>
      <c r="C2535">
        <v>0</v>
      </c>
      <c r="D2535">
        <v>2</v>
      </c>
      <c r="E2535">
        <v>5</v>
      </c>
      <c r="F2535" t="s">
        <v>280</v>
      </c>
      <c r="G2535" t="s">
        <v>124</v>
      </c>
    </row>
    <row r="2536" spans="1:7" hidden="1" x14ac:dyDescent="0.25">
      <c r="A2536">
        <v>99</v>
      </c>
      <c r="B2536">
        <v>9272</v>
      </c>
      <c r="C2536">
        <v>0</v>
      </c>
      <c r="D2536">
        <v>2</v>
      </c>
      <c r="E2536">
        <v>5</v>
      </c>
      <c r="F2536" t="s">
        <v>280</v>
      </c>
      <c r="G2536" t="s">
        <v>124</v>
      </c>
    </row>
    <row r="2537" spans="1:7" hidden="1" x14ac:dyDescent="0.25">
      <c r="A2537">
        <v>99</v>
      </c>
      <c r="B2537">
        <v>10420</v>
      </c>
      <c r="C2537">
        <v>0</v>
      </c>
      <c r="D2537">
        <v>2</v>
      </c>
      <c r="E2537">
        <v>5</v>
      </c>
      <c r="F2537" t="s">
        <v>280</v>
      </c>
      <c r="G2537" t="s">
        <v>124</v>
      </c>
    </row>
    <row r="2538" spans="1:7" hidden="1" x14ac:dyDescent="0.25">
      <c r="A2538">
        <v>50</v>
      </c>
      <c r="B2538">
        <v>1172</v>
      </c>
      <c r="C2538">
        <v>0</v>
      </c>
      <c r="D2538">
        <v>2</v>
      </c>
      <c r="E2538">
        <v>3</v>
      </c>
      <c r="F2538" t="s">
        <v>278</v>
      </c>
      <c r="G2538" t="s">
        <v>128</v>
      </c>
    </row>
    <row r="2539" spans="1:7" hidden="1" x14ac:dyDescent="0.25">
      <c r="A2539">
        <v>50</v>
      </c>
      <c r="B2539">
        <v>1476</v>
      </c>
      <c r="C2539">
        <v>0</v>
      </c>
      <c r="D2539">
        <v>2</v>
      </c>
      <c r="E2539">
        <v>3</v>
      </c>
      <c r="F2539" t="s">
        <v>278</v>
      </c>
      <c r="G2539" t="s">
        <v>128</v>
      </c>
    </row>
    <row r="2540" spans="1:7" hidden="1" x14ac:dyDescent="0.25">
      <c r="A2540">
        <v>50</v>
      </c>
      <c r="B2540">
        <v>2548</v>
      </c>
      <c r="C2540">
        <v>0</v>
      </c>
      <c r="D2540">
        <v>2</v>
      </c>
      <c r="E2540">
        <v>3</v>
      </c>
      <c r="F2540" t="s">
        <v>278</v>
      </c>
      <c r="G2540" t="s">
        <v>128</v>
      </c>
    </row>
    <row r="2541" spans="1:7" hidden="1" x14ac:dyDescent="0.25">
      <c r="A2541">
        <v>50</v>
      </c>
      <c r="B2541">
        <v>4144</v>
      </c>
      <c r="C2541">
        <v>0</v>
      </c>
      <c r="D2541">
        <v>2</v>
      </c>
      <c r="E2541">
        <v>3</v>
      </c>
      <c r="F2541" t="s">
        <v>278</v>
      </c>
      <c r="G2541" t="s">
        <v>128</v>
      </c>
    </row>
    <row r="2542" spans="1:7" hidden="1" x14ac:dyDescent="0.25">
      <c r="A2542">
        <v>50</v>
      </c>
      <c r="B2542">
        <v>4336</v>
      </c>
      <c r="C2542">
        <v>0</v>
      </c>
      <c r="D2542">
        <v>2</v>
      </c>
      <c r="E2542">
        <v>3</v>
      </c>
      <c r="F2542" t="s">
        <v>278</v>
      </c>
      <c r="G2542" t="s">
        <v>128</v>
      </c>
    </row>
    <row r="2543" spans="1:7" hidden="1" x14ac:dyDescent="0.25">
      <c r="A2543">
        <v>50</v>
      </c>
      <c r="B2543">
        <v>4600</v>
      </c>
      <c r="C2543">
        <v>0</v>
      </c>
      <c r="D2543">
        <v>2</v>
      </c>
      <c r="E2543">
        <v>3</v>
      </c>
      <c r="F2543" t="s">
        <v>278</v>
      </c>
      <c r="G2543" t="s">
        <v>128</v>
      </c>
    </row>
    <row r="2544" spans="1:7" hidden="1" x14ac:dyDescent="0.25">
      <c r="A2544">
        <v>50</v>
      </c>
      <c r="B2544">
        <v>5892</v>
      </c>
      <c r="C2544">
        <v>0</v>
      </c>
      <c r="D2544">
        <v>2</v>
      </c>
      <c r="E2544">
        <v>3</v>
      </c>
      <c r="F2544" t="s">
        <v>278</v>
      </c>
      <c r="G2544" t="s">
        <v>128</v>
      </c>
    </row>
    <row r="2545" spans="1:7" hidden="1" x14ac:dyDescent="0.25">
      <c r="A2545">
        <v>50</v>
      </c>
      <c r="B2545">
        <v>5904</v>
      </c>
      <c r="C2545">
        <v>0</v>
      </c>
      <c r="D2545">
        <v>2</v>
      </c>
      <c r="E2545">
        <v>3</v>
      </c>
      <c r="F2545" t="s">
        <v>278</v>
      </c>
      <c r="G2545" t="s">
        <v>128</v>
      </c>
    </row>
    <row r="2546" spans="1:7" hidden="1" x14ac:dyDescent="0.25">
      <c r="A2546">
        <v>50</v>
      </c>
      <c r="B2546">
        <v>6280</v>
      </c>
      <c r="C2546">
        <v>0</v>
      </c>
      <c r="D2546">
        <v>2</v>
      </c>
      <c r="E2546">
        <v>3</v>
      </c>
      <c r="F2546" t="s">
        <v>278</v>
      </c>
      <c r="G2546" t="s">
        <v>128</v>
      </c>
    </row>
    <row r="2547" spans="1:7" hidden="1" x14ac:dyDescent="0.25">
      <c r="A2547">
        <v>50</v>
      </c>
      <c r="B2547">
        <v>6312</v>
      </c>
      <c r="C2547">
        <v>0</v>
      </c>
      <c r="D2547">
        <v>2</v>
      </c>
      <c r="E2547">
        <v>3</v>
      </c>
      <c r="F2547" t="s">
        <v>278</v>
      </c>
      <c r="G2547" t="s">
        <v>128</v>
      </c>
    </row>
    <row r="2548" spans="1:7" hidden="1" x14ac:dyDescent="0.25">
      <c r="A2548">
        <v>50</v>
      </c>
      <c r="B2548">
        <v>7528</v>
      </c>
      <c r="C2548">
        <v>0</v>
      </c>
      <c r="D2548">
        <v>2</v>
      </c>
      <c r="E2548">
        <v>3</v>
      </c>
      <c r="F2548" t="s">
        <v>278</v>
      </c>
      <c r="G2548" t="s">
        <v>128</v>
      </c>
    </row>
    <row r="2549" spans="1:7" hidden="1" x14ac:dyDescent="0.25">
      <c r="A2549">
        <v>50</v>
      </c>
      <c r="B2549">
        <v>7756</v>
      </c>
      <c r="C2549">
        <v>0</v>
      </c>
      <c r="D2549">
        <v>2</v>
      </c>
      <c r="E2549">
        <v>3</v>
      </c>
      <c r="F2549" t="s">
        <v>278</v>
      </c>
      <c r="G2549" t="s">
        <v>128</v>
      </c>
    </row>
    <row r="2550" spans="1:7" hidden="1" x14ac:dyDescent="0.25">
      <c r="A2550">
        <v>50</v>
      </c>
      <c r="B2550">
        <v>8256</v>
      </c>
      <c r="C2550">
        <v>0</v>
      </c>
      <c r="D2550">
        <v>2</v>
      </c>
      <c r="E2550">
        <v>3</v>
      </c>
      <c r="F2550" t="s">
        <v>278</v>
      </c>
      <c r="G2550" t="s">
        <v>128</v>
      </c>
    </row>
    <row r="2551" spans="1:7" hidden="1" x14ac:dyDescent="0.25">
      <c r="A2551">
        <v>50</v>
      </c>
      <c r="B2551">
        <v>10012</v>
      </c>
      <c r="C2551">
        <v>0</v>
      </c>
      <c r="D2551">
        <v>2</v>
      </c>
      <c r="E2551">
        <v>3</v>
      </c>
      <c r="F2551" t="s">
        <v>278</v>
      </c>
      <c r="G2551" t="s">
        <v>128</v>
      </c>
    </row>
    <row r="2552" spans="1:7" hidden="1" x14ac:dyDescent="0.25">
      <c r="A2552">
        <v>50</v>
      </c>
      <c r="B2552">
        <v>10064</v>
      </c>
      <c r="C2552">
        <v>0</v>
      </c>
      <c r="D2552">
        <v>2</v>
      </c>
      <c r="E2552">
        <v>3</v>
      </c>
      <c r="F2552" t="s">
        <v>278</v>
      </c>
      <c r="G2552" t="s">
        <v>128</v>
      </c>
    </row>
    <row r="2553" spans="1:7" hidden="1" x14ac:dyDescent="0.25">
      <c r="A2553">
        <v>50</v>
      </c>
      <c r="B2553">
        <v>10100</v>
      </c>
      <c r="C2553">
        <v>0</v>
      </c>
      <c r="D2553">
        <v>2</v>
      </c>
      <c r="E2553">
        <v>3</v>
      </c>
      <c r="F2553" t="s">
        <v>278</v>
      </c>
      <c r="G2553" t="s">
        <v>128</v>
      </c>
    </row>
    <row r="2554" spans="1:7" hidden="1" x14ac:dyDescent="0.25">
      <c r="A2554">
        <v>99</v>
      </c>
      <c r="B2554">
        <v>2068</v>
      </c>
      <c r="C2554">
        <v>0</v>
      </c>
      <c r="D2554">
        <v>2</v>
      </c>
      <c r="E2554">
        <v>3</v>
      </c>
      <c r="F2554" t="s">
        <v>278</v>
      </c>
      <c r="G2554" t="s">
        <v>128</v>
      </c>
    </row>
    <row r="2555" spans="1:7" hidden="1" x14ac:dyDescent="0.25">
      <c r="A2555">
        <v>99</v>
      </c>
      <c r="B2555">
        <v>3284</v>
      </c>
      <c r="C2555">
        <v>0</v>
      </c>
      <c r="D2555">
        <v>2</v>
      </c>
      <c r="E2555">
        <v>3</v>
      </c>
      <c r="F2555" t="s">
        <v>278</v>
      </c>
      <c r="G2555" t="s">
        <v>128</v>
      </c>
    </row>
    <row r="2556" spans="1:7" hidden="1" x14ac:dyDescent="0.25">
      <c r="A2556">
        <v>99</v>
      </c>
      <c r="B2556">
        <v>7188</v>
      </c>
      <c r="C2556">
        <v>0</v>
      </c>
      <c r="D2556">
        <v>2</v>
      </c>
      <c r="E2556">
        <v>3</v>
      </c>
      <c r="F2556" t="s">
        <v>278</v>
      </c>
      <c r="G2556" t="s">
        <v>128</v>
      </c>
    </row>
    <row r="2557" spans="1:7" hidden="1" x14ac:dyDescent="0.25">
      <c r="A2557">
        <v>99</v>
      </c>
      <c r="B2557">
        <v>7300</v>
      </c>
      <c r="C2557">
        <v>0</v>
      </c>
      <c r="D2557">
        <v>2</v>
      </c>
      <c r="E2557">
        <v>3</v>
      </c>
      <c r="F2557" t="s">
        <v>278</v>
      </c>
      <c r="G2557" t="s">
        <v>128</v>
      </c>
    </row>
    <row r="2558" spans="1:7" hidden="1" x14ac:dyDescent="0.25">
      <c r="A2558">
        <v>99</v>
      </c>
      <c r="B2558">
        <v>7552</v>
      </c>
      <c r="C2558">
        <v>0</v>
      </c>
      <c r="D2558">
        <v>2</v>
      </c>
      <c r="E2558">
        <v>3</v>
      </c>
      <c r="F2558" t="s">
        <v>278</v>
      </c>
      <c r="G2558" t="s">
        <v>128</v>
      </c>
    </row>
    <row r="2559" spans="1:7" hidden="1" x14ac:dyDescent="0.25">
      <c r="A2559">
        <v>99</v>
      </c>
      <c r="B2559">
        <v>8004</v>
      </c>
      <c r="C2559">
        <v>0</v>
      </c>
      <c r="D2559">
        <v>2</v>
      </c>
      <c r="E2559">
        <v>3</v>
      </c>
      <c r="F2559" t="s">
        <v>278</v>
      </c>
      <c r="G2559" t="s">
        <v>128</v>
      </c>
    </row>
    <row r="2560" spans="1:7" hidden="1" x14ac:dyDescent="0.25">
      <c r="A2560">
        <v>99</v>
      </c>
      <c r="B2560">
        <v>8144</v>
      </c>
      <c r="C2560">
        <v>0</v>
      </c>
      <c r="D2560">
        <v>2</v>
      </c>
      <c r="E2560">
        <v>3</v>
      </c>
      <c r="F2560" t="s">
        <v>278</v>
      </c>
      <c r="G2560" t="s">
        <v>128</v>
      </c>
    </row>
    <row r="2561" spans="1:7" hidden="1" x14ac:dyDescent="0.25">
      <c r="A2561">
        <v>99</v>
      </c>
      <c r="B2561">
        <v>8668</v>
      </c>
      <c r="C2561">
        <v>0</v>
      </c>
      <c r="D2561">
        <v>2</v>
      </c>
      <c r="E2561">
        <v>3</v>
      </c>
      <c r="F2561" t="s">
        <v>278</v>
      </c>
      <c r="G2561" t="s">
        <v>128</v>
      </c>
    </row>
    <row r="2562" spans="1:7" hidden="1" x14ac:dyDescent="0.25">
      <c r="A2562">
        <v>99</v>
      </c>
      <c r="B2562">
        <v>9032</v>
      </c>
      <c r="C2562">
        <v>0</v>
      </c>
      <c r="D2562">
        <v>2</v>
      </c>
      <c r="E2562">
        <v>3</v>
      </c>
      <c r="F2562" t="s">
        <v>278</v>
      </c>
      <c r="G2562" t="s">
        <v>128</v>
      </c>
    </row>
    <row r="2563" spans="1:7" hidden="1" x14ac:dyDescent="0.25">
      <c r="A2563">
        <v>99</v>
      </c>
      <c r="B2563">
        <v>9072</v>
      </c>
      <c r="C2563">
        <v>0</v>
      </c>
      <c r="D2563">
        <v>2</v>
      </c>
      <c r="E2563">
        <v>3</v>
      </c>
      <c r="F2563" t="s">
        <v>278</v>
      </c>
      <c r="G2563" t="s">
        <v>128</v>
      </c>
    </row>
    <row r="2564" spans="1:7" hidden="1" x14ac:dyDescent="0.25">
      <c r="A2564">
        <v>99</v>
      </c>
      <c r="B2564">
        <v>9272</v>
      </c>
      <c r="C2564">
        <v>0</v>
      </c>
      <c r="D2564">
        <v>2</v>
      </c>
      <c r="E2564">
        <v>3</v>
      </c>
      <c r="F2564" t="s">
        <v>278</v>
      </c>
      <c r="G2564" t="s">
        <v>128</v>
      </c>
    </row>
    <row r="2565" spans="1:7" hidden="1" x14ac:dyDescent="0.25">
      <c r="A2565">
        <v>99</v>
      </c>
      <c r="B2565">
        <v>10420</v>
      </c>
      <c r="C2565">
        <v>0</v>
      </c>
      <c r="D2565">
        <v>2</v>
      </c>
      <c r="E2565">
        <v>3</v>
      </c>
      <c r="F2565" t="s">
        <v>278</v>
      </c>
      <c r="G2565" t="s">
        <v>128</v>
      </c>
    </row>
    <row r="2566" spans="1:7" hidden="1" x14ac:dyDescent="0.25">
      <c r="A2566">
        <v>50</v>
      </c>
      <c r="B2566">
        <v>1172</v>
      </c>
      <c r="C2566">
        <v>0</v>
      </c>
      <c r="D2566">
        <v>2</v>
      </c>
      <c r="E2566">
        <v>4</v>
      </c>
      <c r="F2566" t="s">
        <v>279</v>
      </c>
      <c r="G2566" t="s">
        <v>129</v>
      </c>
    </row>
    <row r="2567" spans="1:7" hidden="1" x14ac:dyDescent="0.25">
      <c r="A2567">
        <v>50</v>
      </c>
      <c r="B2567">
        <v>1476</v>
      </c>
      <c r="C2567">
        <v>0</v>
      </c>
      <c r="D2567">
        <v>2</v>
      </c>
      <c r="E2567">
        <v>4</v>
      </c>
      <c r="F2567" t="s">
        <v>279</v>
      </c>
      <c r="G2567" t="s">
        <v>129</v>
      </c>
    </row>
    <row r="2568" spans="1:7" hidden="1" x14ac:dyDescent="0.25">
      <c r="A2568">
        <v>50</v>
      </c>
      <c r="B2568">
        <v>2548</v>
      </c>
      <c r="C2568">
        <v>0</v>
      </c>
      <c r="D2568">
        <v>2</v>
      </c>
      <c r="E2568">
        <v>4</v>
      </c>
      <c r="F2568" t="s">
        <v>279</v>
      </c>
      <c r="G2568" t="s">
        <v>129</v>
      </c>
    </row>
    <row r="2569" spans="1:7" hidden="1" x14ac:dyDescent="0.25">
      <c r="A2569">
        <v>50</v>
      </c>
      <c r="B2569">
        <v>4144</v>
      </c>
      <c r="C2569">
        <v>0</v>
      </c>
      <c r="D2569">
        <v>2</v>
      </c>
      <c r="E2569">
        <v>4</v>
      </c>
      <c r="F2569" t="s">
        <v>279</v>
      </c>
      <c r="G2569" t="s">
        <v>129</v>
      </c>
    </row>
    <row r="2570" spans="1:7" hidden="1" x14ac:dyDescent="0.25">
      <c r="A2570">
        <v>50</v>
      </c>
      <c r="B2570">
        <v>4336</v>
      </c>
      <c r="C2570">
        <v>0</v>
      </c>
      <c r="D2570">
        <v>2</v>
      </c>
      <c r="E2570">
        <v>4</v>
      </c>
      <c r="F2570" t="s">
        <v>279</v>
      </c>
      <c r="G2570" t="s">
        <v>129</v>
      </c>
    </row>
    <row r="2571" spans="1:7" hidden="1" x14ac:dyDescent="0.25">
      <c r="A2571">
        <v>50</v>
      </c>
      <c r="B2571">
        <v>4600</v>
      </c>
      <c r="C2571">
        <v>0</v>
      </c>
      <c r="D2571">
        <v>2</v>
      </c>
      <c r="E2571">
        <v>4</v>
      </c>
      <c r="F2571" t="s">
        <v>279</v>
      </c>
      <c r="G2571" t="s">
        <v>129</v>
      </c>
    </row>
    <row r="2572" spans="1:7" hidden="1" x14ac:dyDescent="0.25">
      <c r="A2572">
        <v>50</v>
      </c>
      <c r="B2572">
        <v>5892</v>
      </c>
      <c r="C2572">
        <v>0</v>
      </c>
      <c r="D2572">
        <v>2</v>
      </c>
      <c r="E2572">
        <v>4</v>
      </c>
      <c r="F2572" t="s">
        <v>279</v>
      </c>
      <c r="G2572" t="s">
        <v>129</v>
      </c>
    </row>
    <row r="2573" spans="1:7" hidden="1" x14ac:dyDescent="0.25">
      <c r="A2573">
        <v>50</v>
      </c>
      <c r="B2573">
        <v>5904</v>
      </c>
      <c r="C2573">
        <v>0</v>
      </c>
      <c r="D2573">
        <v>2</v>
      </c>
      <c r="E2573">
        <v>4</v>
      </c>
      <c r="F2573" t="s">
        <v>279</v>
      </c>
      <c r="G2573" t="s">
        <v>129</v>
      </c>
    </row>
    <row r="2574" spans="1:7" hidden="1" x14ac:dyDescent="0.25">
      <c r="A2574">
        <v>50</v>
      </c>
      <c r="B2574">
        <v>6280</v>
      </c>
      <c r="C2574">
        <v>0</v>
      </c>
      <c r="D2574">
        <v>2</v>
      </c>
      <c r="E2574">
        <v>4</v>
      </c>
      <c r="F2574" t="s">
        <v>279</v>
      </c>
      <c r="G2574" t="s">
        <v>129</v>
      </c>
    </row>
    <row r="2575" spans="1:7" hidden="1" x14ac:dyDescent="0.25">
      <c r="A2575">
        <v>50</v>
      </c>
      <c r="B2575">
        <v>6312</v>
      </c>
      <c r="C2575">
        <v>0</v>
      </c>
      <c r="D2575">
        <v>2</v>
      </c>
      <c r="E2575">
        <v>4</v>
      </c>
      <c r="F2575" t="s">
        <v>279</v>
      </c>
      <c r="G2575" t="s">
        <v>129</v>
      </c>
    </row>
    <row r="2576" spans="1:7" hidden="1" x14ac:dyDescent="0.25">
      <c r="A2576">
        <v>50</v>
      </c>
      <c r="B2576">
        <v>7528</v>
      </c>
      <c r="C2576">
        <v>0</v>
      </c>
      <c r="D2576">
        <v>2</v>
      </c>
      <c r="E2576">
        <v>4</v>
      </c>
      <c r="F2576" t="s">
        <v>279</v>
      </c>
      <c r="G2576" t="s">
        <v>129</v>
      </c>
    </row>
    <row r="2577" spans="1:7" hidden="1" x14ac:dyDescent="0.25">
      <c r="A2577">
        <v>50</v>
      </c>
      <c r="B2577">
        <v>7756</v>
      </c>
      <c r="C2577">
        <v>0</v>
      </c>
      <c r="D2577">
        <v>2</v>
      </c>
      <c r="E2577">
        <v>4</v>
      </c>
      <c r="F2577" t="s">
        <v>279</v>
      </c>
      <c r="G2577" t="s">
        <v>129</v>
      </c>
    </row>
    <row r="2578" spans="1:7" hidden="1" x14ac:dyDescent="0.25">
      <c r="A2578">
        <v>50</v>
      </c>
      <c r="B2578">
        <v>8256</v>
      </c>
      <c r="C2578">
        <v>0</v>
      </c>
      <c r="D2578">
        <v>2</v>
      </c>
      <c r="E2578">
        <v>4</v>
      </c>
      <c r="F2578" t="s">
        <v>279</v>
      </c>
      <c r="G2578" t="s">
        <v>129</v>
      </c>
    </row>
    <row r="2579" spans="1:7" hidden="1" x14ac:dyDescent="0.25">
      <c r="A2579">
        <v>50</v>
      </c>
      <c r="B2579">
        <v>10012</v>
      </c>
      <c r="C2579">
        <v>0</v>
      </c>
      <c r="D2579">
        <v>2</v>
      </c>
      <c r="E2579">
        <v>4</v>
      </c>
      <c r="F2579" t="s">
        <v>279</v>
      </c>
      <c r="G2579" t="s">
        <v>129</v>
      </c>
    </row>
    <row r="2580" spans="1:7" hidden="1" x14ac:dyDescent="0.25">
      <c r="A2580">
        <v>50</v>
      </c>
      <c r="B2580">
        <v>10064</v>
      </c>
      <c r="C2580">
        <v>0</v>
      </c>
      <c r="D2580">
        <v>2</v>
      </c>
      <c r="E2580">
        <v>4</v>
      </c>
      <c r="F2580" t="s">
        <v>279</v>
      </c>
      <c r="G2580" t="s">
        <v>129</v>
      </c>
    </row>
    <row r="2581" spans="1:7" hidden="1" x14ac:dyDescent="0.25">
      <c r="A2581">
        <v>50</v>
      </c>
      <c r="B2581">
        <v>10100</v>
      </c>
      <c r="C2581">
        <v>0</v>
      </c>
      <c r="D2581">
        <v>2</v>
      </c>
      <c r="E2581">
        <v>4</v>
      </c>
      <c r="F2581" t="s">
        <v>279</v>
      </c>
      <c r="G2581" t="s">
        <v>129</v>
      </c>
    </row>
    <row r="2582" spans="1:7" hidden="1" x14ac:dyDescent="0.25">
      <c r="A2582">
        <v>99</v>
      </c>
      <c r="B2582">
        <v>2068</v>
      </c>
      <c r="C2582">
        <v>0</v>
      </c>
      <c r="D2582">
        <v>2</v>
      </c>
      <c r="E2582">
        <v>4</v>
      </c>
      <c r="F2582" t="s">
        <v>279</v>
      </c>
      <c r="G2582" t="s">
        <v>129</v>
      </c>
    </row>
    <row r="2583" spans="1:7" hidden="1" x14ac:dyDescent="0.25">
      <c r="A2583">
        <v>99</v>
      </c>
      <c r="B2583">
        <v>3284</v>
      </c>
      <c r="C2583">
        <v>0</v>
      </c>
      <c r="D2583">
        <v>2</v>
      </c>
      <c r="E2583">
        <v>4</v>
      </c>
      <c r="F2583" t="s">
        <v>279</v>
      </c>
      <c r="G2583" t="s">
        <v>129</v>
      </c>
    </row>
    <row r="2584" spans="1:7" hidden="1" x14ac:dyDescent="0.25">
      <c r="A2584">
        <v>99</v>
      </c>
      <c r="B2584">
        <v>7188</v>
      </c>
      <c r="C2584">
        <v>0</v>
      </c>
      <c r="D2584">
        <v>2</v>
      </c>
      <c r="E2584">
        <v>4</v>
      </c>
      <c r="F2584" t="s">
        <v>279</v>
      </c>
      <c r="G2584" t="s">
        <v>129</v>
      </c>
    </row>
    <row r="2585" spans="1:7" hidden="1" x14ac:dyDescent="0.25">
      <c r="A2585">
        <v>99</v>
      </c>
      <c r="B2585">
        <v>7300</v>
      </c>
      <c r="C2585">
        <v>0</v>
      </c>
      <c r="D2585">
        <v>2</v>
      </c>
      <c r="E2585">
        <v>4</v>
      </c>
      <c r="F2585" t="s">
        <v>279</v>
      </c>
      <c r="G2585" t="s">
        <v>129</v>
      </c>
    </row>
    <row r="2586" spans="1:7" hidden="1" x14ac:dyDescent="0.25">
      <c r="A2586">
        <v>99</v>
      </c>
      <c r="B2586">
        <v>7552</v>
      </c>
      <c r="C2586">
        <v>0</v>
      </c>
      <c r="D2586">
        <v>2</v>
      </c>
      <c r="E2586">
        <v>4</v>
      </c>
      <c r="F2586" t="s">
        <v>279</v>
      </c>
      <c r="G2586" t="s">
        <v>129</v>
      </c>
    </row>
    <row r="2587" spans="1:7" hidden="1" x14ac:dyDescent="0.25">
      <c r="A2587">
        <v>99</v>
      </c>
      <c r="B2587">
        <v>8004</v>
      </c>
      <c r="C2587">
        <v>0</v>
      </c>
      <c r="D2587">
        <v>2</v>
      </c>
      <c r="E2587">
        <v>4</v>
      </c>
      <c r="F2587" t="s">
        <v>279</v>
      </c>
      <c r="G2587" t="s">
        <v>129</v>
      </c>
    </row>
    <row r="2588" spans="1:7" hidden="1" x14ac:dyDescent="0.25">
      <c r="A2588">
        <v>99</v>
      </c>
      <c r="B2588">
        <v>8144</v>
      </c>
      <c r="C2588">
        <v>0</v>
      </c>
      <c r="D2588">
        <v>2</v>
      </c>
      <c r="E2588">
        <v>4</v>
      </c>
      <c r="F2588" t="s">
        <v>279</v>
      </c>
      <c r="G2588" t="s">
        <v>129</v>
      </c>
    </row>
    <row r="2589" spans="1:7" hidden="1" x14ac:dyDescent="0.25">
      <c r="A2589">
        <v>99</v>
      </c>
      <c r="B2589">
        <v>8668</v>
      </c>
      <c r="C2589">
        <v>0</v>
      </c>
      <c r="D2589">
        <v>2</v>
      </c>
      <c r="E2589">
        <v>4</v>
      </c>
      <c r="F2589" t="s">
        <v>279</v>
      </c>
      <c r="G2589" t="s">
        <v>129</v>
      </c>
    </row>
    <row r="2590" spans="1:7" hidden="1" x14ac:dyDescent="0.25">
      <c r="A2590">
        <v>99</v>
      </c>
      <c r="B2590">
        <v>9032</v>
      </c>
      <c r="C2590">
        <v>0</v>
      </c>
      <c r="D2590">
        <v>2</v>
      </c>
      <c r="E2590">
        <v>4</v>
      </c>
      <c r="F2590" t="s">
        <v>279</v>
      </c>
      <c r="G2590" t="s">
        <v>129</v>
      </c>
    </row>
    <row r="2591" spans="1:7" hidden="1" x14ac:dyDescent="0.25">
      <c r="A2591">
        <v>99</v>
      </c>
      <c r="B2591">
        <v>9072</v>
      </c>
      <c r="C2591">
        <v>0</v>
      </c>
      <c r="D2591">
        <v>2</v>
      </c>
      <c r="E2591">
        <v>4</v>
      </c>
      <c r="F2591" t="s">
        <v>279</v>
      </c>
      <c r="G2591" t="s">
        <v>129</v>
      </c>
    </row>
    <row r="2592" spans="1:7" hidden="1" x14ac:dyDescent="0.25">
      <c r="A2592">
        <v>99</v>
      </c>
      <c r="B2592">
        <v>9272</v>
      </c>
      <c r="C2592">
        <v>0</v>
      </c>
      <c r="D2592">
        <v>2</v>
      </c>
      <c r="E2592">
        <v>4</v>
      </c>
      <c r="F2592" t="s">
        <v>279</v>
      </c>
      <c r="G2592" t="s">
        <v>129</v>
      </c>
    </row>
    <row r="2593" spans="1:7" hidden="1" x14ac:dyDescent="0.25">
      <c r="A2593">
        <v>99</v>
      </c>
      <c r="B2593">
        <v>10420</v>
      </c>
      <c r="C2593">
        <v>0</v>
      </c>
      <c r="D2593">
        <v>2</v>
      </c>
      <c r="E2593">
        <v>4</v>
      </c>
      <c r="F2593" t="s">
        <v>279</v>
      </c>
      <c r="G2593" t="s">
        <v>129</v>
      </c>
    </row>
    <row r="2594" spans="1:7" hidden="1" x14ac:dyDescent="0.25">
      <c r="A2594">
        <v>50</v>
      </c>
      <c r="B2594">
        <v>1172</v>
      </c>
      <c r="C2594">
        <v>0</v>
      </c>
      <c r="D2594">
        <v>2</v>
      </c>
      <c r="E2594">
        <v>6</v>
      </c>
      <c r="F2594" t="s">
        <v>281</v>
      </c>
      <c r="G2594" t="s">
        <v>303</v>
      </c>
    </row>
    <row r="2595" spans="1:7" hidden="1" x14ac:dyDescent="0.25">
      <c r="A2595">
        <v>50</v>
      </c>
      <c r="B2595">
        <v>1476</v>
      </c>
      <c r="C2595">
        <v>0</v>
      </c>
      <c r="D2595">
        <v>2</v>
      </c>
      <c r="E2595">
        <v>6</v>
      </c>
      <c r="F2595" t="s">
        <v>281</v>
      </c>
      <c r="G2595" t="s">
        <v>282</v>
      </c>
    </row>
    <row r="2596" spans="1:7" hidden="1" x14ac:dyDescent="0.25">
      <c r="A2596">
        <v>50</v>
      </c>
      <c r="B2596">
        <v>2548</v>
      </c>
      <c r="C2596">
        <v>0</v>
      </c>
      <c r="D2596">
        <v>2</v>
      </c>
      <c r="E2596">
        <v>6</v>
      </c>
      <c r="F2596" t="s">
        <v>281</v>
      </c>
      <c r="G2596" t="s">
        <v>303</v>
      </c>
    </row>
    <row r="2597" spans="1:7" hidden="1" x14ac:dyDescent="0.25">
      <c r="A2597">
        <v>50</v>
      </c>
      <c r="B2597">
        <v>4144</v>
      </c>
      <c r="C2597">
        <v>0</v>
      </c>
      <c r="D2597">
        <v>2</v>
      </c>
      <c r="E2597">
        <v>6</v>
      </c>
      <c r="F2597" t="s">
        <v>281</v>
      </c>
      <c r="G2597" t="s">
        <v>303</v>
      </c>
    </row>
    <row r="2598" spans="1:7" hidden="1" x14ac:dyDescent="0.25">
      <c r="A2598">
        <v>50</v>
      </c>
      <c r="B2598">
        <v>4336</v>
      </c>
      <c r="C2598">
        <v>0</v>
      </c>
      <c r="D2598">
        <v>2</v>
      </c>
      <c r="E2598">
        <v>6</v>
      </c>
      <c r="F2598" t="s">
        <v>281</v>
      </c>
      <c r="G2598" t="s">
        <v>303</v>
      </c>
    </row>
    <row r="2599" spans="1:7" hidden="1" x14ac:dyDescent="0.25">
      <c r="A2599">
        <v>50</v>
      </c>
      <c r="B2599">
        <v>4600</v>
      </c>
      <c r="C2599">
        <v>0</v>
      </c>
      <c r="D2599">
        <v>2</v>
      </c>
      <c r="E2599">
        <v>6</v>
      </c>
      <c r="F2599" t="s">
        <v>281</v>
      </c>
      <c r="G2599" t="s">
        <v>344</v>
      </c>
    </row>
    <row r="2600" spans="1:7" hidden="1" x14ac:dyDescent="0.25">
      <c r="A2600">
        <v>50</v>
      </c>
      <c r="B2600">
        <v>5892</v>
      </c>
      <c r="C2600">
        <v>0</v>
      </c>
      <c r="D2600">
        <v>2</v>
      </c>
      <c r="E2600">
        <v>6</v>
      </c>
      <c r="F2600" t="s">
        <v>281</v>
      </c>
      <c r="G2600" t="s">
        <v>344</v>
      </c>
    </row>
    <row r="2601" spans="1:7" hidden="1" x14ac:dyDescent="0.25">
      <c r="A2601">
        <v>50</v>
      </c>
      <c r="B2601">
        <v>5904</v>
      </c>
      <c r="C2601">
        <v>0</v>
      </c>
      <c r="D2601">
        <v>2</v>
      </c>
      <c r="E2601">
        <v>6</v>
      </c>
      <c r="F2601" t="s">
        <v>281</v>
      </c>
      <c r="G2601" t="s">
        <v>345</v>
      </c>
    </row>
    <row r="2602" spans="1:7" hidden="1" x14ac:dyDescent="0.25">
      <c r="A2602">
        <v>50</v>
      </c>
      <c r="B2602">
        <v>6280</v>
      </c>
      <c r="C2602">
        <v>0</v>
      </c>
      <c r="D2602">
        <v>2</v>
      </c>
      <c r="E2602">
        <v>6</v>
      </c>
      <c r="F2602" t="s">
        <v>281</v>
      </c>
      <c r="G2602" t="s">
        <v>344</v>
      </c>
    </row>
    <row r="2603" spans="1:7" hidden="1" x14ac:dyDescent="0.25">
      <c r="A2603">
        <v>50</v>
      </c>
      <c r="B2603">
        <v>6312</v>
      </c>
      <c r="C2603">
        <v>0</v>
      </c>
      <c r="D2603">
        <v>2</v>
      </c>
      <c r="E2603">
        <v>6</v>
      </c>
      <c r="F2603" t="s">
        <v>281</v>
      </c>
      <c r="G2603" t="s">
        <v>346</v>
      </c>
    </row>
    <row r="2604" spans="1:7" hidden="1" x14ac:dyDescent="0.25">
      <c r="A2604">
        <v>50</v>
      </c>
      <c r="B2604">
        <v>7528</v>
      </c>
      <c r="C2604">
        <v>0</v>
      </c>
      <c r="D2604">
        <v>2</v>
      </c>
      <c r="E2604">
        <v>6</v>
      </c>
      <c r="F2604" t="s">
        <v>281</v>
      </c>
      <c r="G2604" t="s">
        <v>303</v>
      </c>
    </row>
    <row r="2605" spans="1:7" hidden="1" x14ac:dyDescent="0.25">
      <c r="A2605">
        <v>50</v>
      </c>
      <c r="B2605">
        <v>7756</v>
      </c>
      <c r="C2605">
        <v>0</v>
      </c>
      <c r="D2605">
        <v>2</v>
      </c>
      <c r="E2605">
        <v>6</v>
      </c>
      <c r="F2605" t="s">
        <v>281</v>
      </c>
      <c r="G2605" t="s">
        <v>303</v>
      </c>
    </row>
    <row r="2606" spans="1:7" hidden="1" x14ac:dyDescent="0.25">
      <c r="A2606">
        <v>50</v>
      </c>
      <c r="B2606">
        <v>8256</v>
      </c>
      <c r="C2606">
        <v>0</v>
      </c>
      <c r="D2606">
        <v>2</v>
      </c>
      <c r="E2606">
        <v>6</v>
      </c>
      <c r="F2606" t="s">
        <v>281</v>
      </c>
      <c r="G2606" t="s">
        <v>346</v>
      </c>
    </row>
    <row r="2607" spans="1:7" hidden="1" x14ac:dyDescent="0.25">
      <c r="A2607">
        <v>50</v>
      </c>
      <c r="B2607">
        <v>10012</v>
      </c>
      <c r="C2607">
        <v>0</v>
      </c>
      <c r="D2607">
        <v>2</v>
      </c>
      <c r="E2607">
        <v>6</v>
      </c>
      <c r="F2607" t="s">
        <v>281</v>
      </c>
      <c r="G2607" t="s">
        <v>282</v>
      </c>
    </row>
    <row r="2608" spans="1:7" hidden="1" x14ac:dyDescent="0.25">
      <c r="A2608">
        <v>50</v>
      </c>
      <c r="B2608">
        <v>10064</v>
      </c>
      <c r="C2608">
        <v>0</v>
      </c>
      <c r="D2608">
        <v>2</v>
      </c>
      <c r="E2608">
        <v>6</v>
      </c>
      <c r="F2608" t="s">
        <v>281</v>
      </c>
      <c r="G2608" t="s">
        <v>344</v>
      </c>
    </row>
    <row r="2609" spans="1:7" hidden="1" x14ac:dyDescent="0.25">
      <c r="A2609">
        <v>50</v>
      </c>
      <c r="B2609">
        <v>10100</v>
      </c>
      <c r="C2609">
        <v>0</v>
      </c>
      <c r="D2609">
        <v>2</v>
      </c>
      <c r="E2609">
        <v>6</v>
      </c>
      <c r="F2609" t="s">
        <v>281</v>
      </c>
      <c r="G2609" t="s">
        <v>282</v>
      </c>
    </row>
    <row r="2610" spans="1:7" hidden="1" x14ac:dyDescent="0.25">
      <c r="A2610">
        <v>99</v>
      </c>
      <c r="B2610">
        <v>2068</v>
      </c>
      <c r="C2610">
        <v>0</v>
      </c>
      <c r="D2610">
        <v>2</v>
      </c>
      <c r="E2610">
        <v>6</v>
      </c>
      <c r="F2610" t="s">
        <v>281</v>
      </c>
      <c r="G2610" t="s">
        <v>304</v>
      </c>
    </row>
    <row r="2611" spans="1:7" hidden="1" x14ac:dyDescent="0.25">
      <c r="A2611">
        <v>99</v>
      </c>
      <c r="B2611">
        <v>3284</v>
      </c>
      <c r="C2611">
        <v>0</v>
      </c>
      <c r="D2611">
        <v>2</v>
      </c>
      <c r="E2611">
        <v>6</v>
      </c>
      <c r="F2611" t="s">
        <v>281</v>
      </c>
      <c r="G2611" t="s">
        <v>304</v>
      </c>
    </row>
    <row r="2612" spans="1:7" hidden="1" x14ac:dyDescent="0.25">
      <c r="A2612">
        <v>99</v>
      </c>
      <c r="B2612">
        <v>7188</v>
      </c>
      <c r="C2612">
        <v>0</v>
      </c>
      <c r="D2612">
        <v>2</v>
      </c>
      <c r="E2612">
        <v>6</v>
      </c>
      <c r="F2612" t="s">
        <v>281</v>
      </c>
      <c r="G2612" t="s">
        <v>304</v>
      </c>
    </row>
    <row r="2613" spans="1:7" hidden="1" x14ac:dyDescent="0.25">
      <c r="A2613">
        <v>99</v>
      </c>
      <c r="B2613">
        <v>7300</v>
      </c>
      <c r="C2613">
        <v>0</v>
      </c>
      <c r="D2613">
        <v>2</v>
      </c>
      <c r="E2613">
        <v>6</v>
      </c>
      <c r="F2613" t="s">
        <v>281</v>
      </c>
      <c r="G2613" t="s">
        <v>304</v>
      </c>
    </row>
    <row r="2614" spans="1:7" hidden="1" x14ac:dyDescent="0.25">
      <c r="A2614">
        <v>99</v>
      </c>
      <c r="B2614">
        <v>7552</v>
      </c>
      <c r="C2614">
        <v>0</v>
      </c>
      <c r="D2614">
        <v>2</v>
      </c>
      <c r="E2614">
        <v>6</v>
      </c>
      <c r="F2614" t="s">
        <v>281</v>
      </c>
      <c r="G2614" t="s">
        <v>304</v>
      </c>
    </row>
    <row r="2615" spans="1:7" hidden="1" x14ac:dyDescent="0.25">
      <c r="A2615">
        <v>99</v>
      </c>
      <c r="B2615">
        <v>8004</v>
      </c>
      <c r="C2615">
        <v>0</v>
      </c>
      <c r="D2615">
        <v>2</v>
      </c>
      <c r="E2615">
        <v>6</v>
      </c>
      <c r="F2615" t="s">
        <v>281</v>
      </c>
      <c r="G2615" t="s">
        <v>304</v>
      </c>
    </row>
    <row r="2616" spans="1:7" hidden="1" x14ac:dyDescent="0.25">
      <c r="A2616">
        <v>99</v>
      </c>
      <c r="B2616">
        <v>8144</v>
      </c>
      <c r="C2616">
        <v>0</v>
      </c>
      <c r="D2616">
        <v>2</v>
      </c>
      <c r="E2616">
        <v>6</v>
      </c>
      <c r="F2616" t="s">
        <v>281</v>
      </c>
      <c r="G2616" t="s">
        <v>304</v>
      </c>
    </row>
    <row r="2617" spans="1:7" hidden="1" x14ac:dyDescent="0.25">
      <c r="A2617">
        <v>99</v>
      </c>
      <c r="B2617">
        <v>8668</v>
      </c>
      <c r="C2617">
        <v>0</v>
      </c>
      <c r="D2617">
        <v>2</v>
      </c>
      <c r="E2617">
        <v>6</v>
      </c>
      <c r="F2617" t="s">
        <v>281</v>
      </c>
      <c r="G2617" t="s">
        <v>304</v>
      </c>
    </row>
    <row r="2618" spans="1:7" hidden="1" x14ac:dyDescent="0.25">
      <c r="A2618">
        <v>99</v>
      </c>
      <c r="B2618">
        <v>9032</v>
      </c>
      <c r="C2618">
        <v>0</v>
      </c>
      <c r="D2618">
        <v>2</v>
      </c>
      <c r="E2618">
        <v>6</v>
      </c>
      <c r="F2618" t="s">
        <v>281</v>
      </c>
      <c r="G2618" t="s">
        <v>304</v>
      </c>
    </row>
    <row r="2619" spans="1:7" hidden="1" x14ac:dyDescent="0.25">
      <c r="A2619">
        <v>99</v>
      </c>
      <c r="B2619">
        <v>9072</v>
      </c>
      <c r="C2619">
        <v>0</v>
      </c>
      <c r="D2619">
        <v>2</v>
      </c>
      <c r="E2619">
        <v>6</v>
      </c>
      <c r="F2619" t="s">
        <v>281</v>
      </c>
      <c r="G2619" t="s">
        <v>304</v>
      </c>
    </row>
    <row r="2620" spans="1:7" hidden="1" x14ac:dyDescent="0.25">
      <c r="A2620">
        <v>99</v>
      </c>
      <c r="B2620">
        <v>9272</v>
      </c>
      <c r="C2620">
        <v>0</v>
      </c>
      <c r="D2620">
        <v>2</v>
      </c>
      <c r="E2620">
        <v>6</v>
      </c>
      <c r="F2620" t="s">
        <v>281</v>
      </c>
      <c r="G2620" t="s">
        <v>304</v>
      </c>
    </row>
    <row r="2621" spans="1:7" hidden="1" x14ac:dyDescent="0.25">
      <c r="A2621">
        <v>99</v>
      </c>
      <c r="B2621">
        <v>10420</v>
      </c>
      <c r="C2621">
        <v>0</v>
      </c>
      <c r="D2621">
        <v>2</v>
      </c>
      <c r="E2621">
        <v>6</v>
      </c>
      <c r="F2621" t="s">
        <v>281</v>
      </c>
      <c r="G2621" t="s">
        <v>304</v>
      </c>
    </row>
    <row r="2622" spans="1:7" hidden="1" x14ac:dyDescent="0.25">
      <c r="A2622">
        <v>50</v>
      </c>
      <c r="B2622">
        <v>1172</v>
      </c>
      <c r="C2622">
        <v>0</v>
      </c>
      <c r="D2622">
        <v>2</v>
      </c>
      <c r="E2622">
        <v>11</v>
      </c>
      <c r="F2622" t="s">
        <v>287</v>
      </c>
      <c r="G2622" t="s">
        <v>155</v>
      </c>
    </row>
    <row r="2623" spans="1:7" hidden="1" x14ac:dyDescent="0.25">
      <c r="A2623">
        <v>50</v>
      </c>
      <c r="B2623">
        <v>1476</v>
      </c>
      <c r="C2623">
        <v>0</v>
      </c>
      <c r="D2623">
        <v>2</v>
      </c>
      <c r="E2623">
        <v>11</v>
      </c>
      <c r="F2623" t="s">
        <v>287</v>
      </c>
      <c r="G2623" t="s">
        <v>155</v>
      </c>
    </row>
    <row r="2624" spans="1:7" hidden="1" x14ac:dyDescent="0.25">
      <c r="A2624">
        <v>50</v>
      </c>
      <c r="B2624">
        <v>2548</v>
      </c>
      <c r="C2624">
        <v>0</v>
      </c>
      <c r="D2624">
        <v>2</v>
      </c>
      <c r="E2624">
        <v>11</v>
      </c>
      <c r="F2624" t="s">
        <v>287</v>
      </c>
      <c r="G2624" t="s">
        <v>155</v>
      </c>
    </row>
    <row r="2625" spans="1:7" hidden="1" x14ac:dyDescent="0.25">
      <c r="A2625">
        <v>50</v>
      </c>
      <c r="B2625">
        <v>4144</v>
      </c>
      <c r="C2625">
        <v>0</v>
      </c>
      <c r="D2625">
        <v>2</v>
      </c>
      <c r="E2625">
        <v>11</v>
      </c>
      <c r="F2625" t="s">
        <v>287</v>
      </c>
      <c r="G2625" t="s">
        <v>155</v>
      </c>
    </row>
    <row r="2626" spans="1:7" hidden="1" x14ac:dyDescent="0.25">
      <c r="A2626">
        <v>50</v>
      </c>
      <c r="B2626">
        <v>4336</v>
      </c>
      <c r="C2626">
        <v>0</v>
      </c>
      <c r="D2626">
        <v>2</v>
      </c>
      <c r="E2626">
        <v>11</v>
      </c>
      <c r="F2626" t="s">
        <v>287</v>
      </c>
      <c r="G2626" t="s">
        <v>155</v>
      </c>
    </row>
    <row r="2627" spans="1:7" hidden="1" x14ac:dyDescent="0.25">
      <c r="A2627">
        <v>50</v>
      </c>
      <c r="B2627">
        <v>4600</v>
      </c>
      <c r="C2627">
        <v>0</v>
      </c>
      <c r="D2627">
        <v>2</v>
      </c>
      <c r="E2627">
        <v>11</v>
      </c>
      <c r="F2627" t="s">
        <v>287</v>
      </c>
      <c r="G2627" t="s">
        <v>155</v>
      </c>
    </row>
    <row r="2628" spans="1:7" hidden="1" x14ac:dyDescent="0.25">
      <c r="A2628">
        <v>50</v>
      </c>
      <c r="B2628">
        <v>5892</v>
      </c>
      <c r="C2628">
        <v>0</v>
      </c>
      <c r="D2628">
        <v>2</v>
      </c>
      <c r="E2628">
        <v>11</v>
      </c>
      <c r="F2628" t="s">
        <v>287</v>
      </c>
      <c r="G2628" t="s">
        <v>155</v>
      </c>
    </row>
    <row r="2629" spans="1:7" hidden="1" x14ac:dyDescent="0.25">
      <c r="A2629">
        <v>50</v>
      </c>
      <c r="B2629">
        <v>5904</v>
      </c>
      <c r="C2629">
        <v>0</v>
      </c>
      <c r="D2629">
        <v>2</v>
      </c>
      <c r="E2629">
        <v>11</v>
      </c>
      <c r="F2629" t="s">
        <v>287</v>
      </c>
      <c r="G2629" t="s">
        <v>155</v>
      </c>
    </row>
    <row r="2630" spans="1:7" hidden="1" x14ac:dyDescent="0.25">
      <c r="A2630">
        <v>50</v>
      </c>
      <c r="B2630">
        <v>6280</v>
      </c>
      <c r="C2630">
        <v>0</v>
      </c>
      <c r="D2630">
        <v>2</v>
      </c>
      <c r="E2630">
        <v>11</v>
      </c>
      <c r="F2630" t="s">
        <v>287</v>
      </c>
      <c r="G2630" t="s">
        <v>155</v>
      </c>
    </row>
    <row r="2631" spans="1:7" hidden="1" x14ac:dyDescent="0.25">
      <c r="A2631">
        <v>50</v>
      </c>
      <c r="B2631">
        <v>6312</v>
      </c>
      <c r="C2631">
        <v>0</v>
      </c>
      <c r="D2631">
        <v>2</v>
      </c>
      <c r="E2631">
        <v>11</v>
      </c>
      <c r="F2631" t="s">
        <v>287</v>
      </c>
      <c r="G2631" t="s">
        <v>155</v>
      </c>
    </row>
    <row r="2632" spans="1:7" hidden="1" x14ac:dyDescent="0.25">
      <c r="A2632">
        <v>50</v>
      </c>
      <c r="B2632">
        <v>7528</v>
      </c>
      <c r="C2632">
        <v>0</v>
      </c>
      <c r="D2632">
        <v>2</v>
      </c>
      <c r="E2632">
        <v>11</v>
      </c>
      <c r="F2632" t="s">
        <v>287</v>
      </c>
      <c r="G2632" t="s">
        <v>155</v>
      </c>
    </row>
    <row r="2633" spans="1:7" hidden="1" x14ac:dyDescent="0.25">
      <c r="A2633">
        <v>50</v>
      </c>
      <c r="B2633">
        <v>7756</v>
      </c>
      <c r="C2633">
        <v>0</v>
      </c>
      <c r="D2633">
        <v>2</v>
      </c>
      <c r="E2633">
        <v>11</v>
      </c>
      <c r="F2633" t="s">
        <v>287</v>
      </c>
      <c r="G2633" t="s">
        <v>155</v>
      </c>
    </row>
    <row r="2634" spans="1:7" hidden="1" x14ac:dyDescent="0.25">
      <c r="A2634">
        <v>50</v>
      </c>
      <c r="B2634">
        <v>8256</v>
      </c>
      <c r="C2634">
        <v>0</v>
      </c>
      <c r="D2634">
        <v>2</v>
      </c>
      <c r="E2634">
        <v>11</v>
      </c>
      <c r="F2634" t="s">
        <v>287</v>
      </c>
      <c r="G2634" t="s">
        <v>155</v>
      </c>
    </row>
    <row r="2635" spans="1:7" hidden="1" x14ac:dyDescent="0.25">
      <c r="A2635">
        <v>50</v>
      </c>
      <c r="B2635">
        <v>10012</v>
      </c>
      <c r="C2635">
        <v>0</v>
      </c>
      <c r="D2635">
        <v>2</v>
      </c>
      <c r="E2635">
        <v>11</v>
      </c>
      <c r="F2635" t="s">
        <v>287</v>
      </c>
      <c r="G2635" t="s">
        <v>155</v>
      </c>
    </row>
    <row r="2636" spans="1:7" hidden="1" x14ac:dyDescent="0.25">
      <c r="A2636">
        <v>50</v>
      </c>
      <c r="B2636">
        <v>10064</v>
      </c>
      <c r="C2636">
        <v>0</v>
      </c>
      <c r="D2636">
        <v>2</v>
      </c>
      <c r="E2636">
        <v>11</v>
      </c>
      <c r="F2636" t="s">
        <v>287</v>
      </c>
      <c r="G2636" t="s">
        <v>155</v>
      </c>
    </row>
    <row r="2637" spans="1:7" hidden="1" x14ac:dyDescent="0.25">
      <c r="A2637">
        <v>50</v>
      </c>
      <c r="B2637">
        <v>10100</v>
      </c>
      <c r="C2637">
        <v>0</v>
      </c>
      <c r="D2637">
        <v>2</v>
      </c>
      <c r="E2637">
        <v>11</v>
      </c>
      <c r="F2637" t="s">
        <v>287</v>
      </c>
      <c r="G2637" t="s">
        <v>155</v>
      </c>
    </row>
    <row r="2638" spans="1:7" hidden="1" x14ac:dyDescent="0.25">
      <c r="A2638">
        <v>99</v>
      </c>
      <c r="B2638">
        <v>2068</v>
      </c>
      <c r="C2638">
        <v>0</v>
      </c>
      <c r="D2638">
        <v>2</v>
      </c>
      <c r="E2638">
        <v>11</v>
      </c>
      <c r="F2638" t="s">
        <v>287</v>
      </c>
      <c r="G2638" t="s">
        <v>155</v>
      </c>
    </row>
    <row r="2639" spans="1:7" hidden="1" x14ac:dyDescent="0.25">
      <c r="A2639">
        <v>99</v>
      </c>
      <c r="B2639">
        <v>3284</v>
      </c>
      <c r="C2639">
        <v>0</v>
      </c>
      <c r="D2639">
        <v>2</v>
      </c>
      <c r="E2639">
        <v>11</v>
      </c>
      <c r="F2639" t="s">
        <v>287</v>
      </c>
      <c r="G2639" t="s">
        <v>155</v>
      </c>
    </row>
    <row r="2640" spans="1:7" hidden="1" x14ac:dyDescent="0.25">
      <c r="A2640">
        <v>99</v>
      </c>
      <c r="B2640">
        <v>7188</v>
      </c>
      <c r="C2640">
        <v>0</v>
      </c>
      <c r="D2640">
        <v>2</v>
      </c>
      <c r="E2640">
        <v>11</v>
      </c>
      <c r="F2640" t="s">
        <v>287</v>
      </c>
      <c r="G2640" t="s">
        <v>155</v>
      </c>
    </row>
    <row r="2641" spans="1:7" hidden="1" x14ac:dyDescent="0.25">
      <c r="A2641">
        <v>99</v>
      </c>
      <c r="B2641">
        <v>7300</v>
      </c>
      <c r="C2641">
        <v>0</v>
      </c>
      <c r="D2641">
        <v>2</v>
      </c>
      <c r="E2641">
        <v>11</v>
      </c>
      <c r="F2641" t="s">
        <v>287</v>
      </c>
      <c r="G2641" t="s">
        <v>155</v>
      </c>
    </row>
    <row r="2642" spans="1:7" hidden="1" x14ac:dyDescent="0.25">
      <c r="A2642">
        <v>99</v>
      </c>
      <c r="B2642">
        <v>7552</v>
      </c>
      <c r="C2642">
        <v>0</v>
      </c>
      <c r="D2642">
        <v>2</v>
      </c>
      <c r="E2642">
        <v>11</v>
      </c>
      <c r="F2642" t="s">
        <v>287</v>
      </c>
      <c r="G2642" t="s">
        <v>155</v>
      </c>
    </row>
    <row r="2643" spans="1:7" hidden="1" x14ac:dyDescent="0.25">
      <c r="A2643">
        <v>99</v>
      </c>
      <c r="B2643">
        <v>8004</v>
      </c>
      <c r="C2643">
        <v>0</v>
      </c>
      <c r="D2643">
        <v>2</v>
      </c>
      <c r="E2643">
        <v>11</v>
      </c>
      <c r="F2643" t="s">
        <v>287</v>
      </c>
      <c r="G2643" t="s">
        <v>155</v>
      </c>
    </row>
    <row r="2644" spans="1:7" hidden="1" x14ac:dyDescent="0.25">
      <c r="A2644">
        <v>99</v>
      </c>
      <c r="B2644">
        <v>8144</v>
      </c>
      <c r="C2644">
        <v>0</v>
      </c>
      <c r="D2644">
        <v>2</v>
      </c>
      <c r="E2644">
        <v>11</v>
      </c>
      <c r="F2644" t="s">
        <v>287</v>
      </c>
      <c r="G2644" t="s">
        <v>155</v>
      </c>
    </row>
    <row r="2645" spans="1:7" hidden="1" x14ac:dyDescent="0.25">
      <c r="A2645">
        <v>99</v>
      </c>
      <c r="B2645">
        <v>8668</v>
      </c>
      <c r="C2645">
        <v>0</v>
      </c>
      <c r="D2645">
        <v>2</v>
      </c>
      <c r="E2645">
        <v>11</v>
      </c>
      <c r="F2645" t="s">
        <v>287</v>
      </c>
      <c r="G2645" t="s">
        <v>155</v>
      </c>
    </row>
    <row r="2646" spans="1:7" hidden="1" x14ac:dyDescent="0.25">
      <c r="A2646">
        <v>99</v>
      </c>
      <c r="B2646">
        <v>9032</v>
      </c>
      <c r="C2646">
        <v>0</v>
      </c>
      <c r="D2646">
        <v>2</v>
      </c>
      <c r="E2646">
        <v>11</v>
      </c>
      <c r="F2646" t="s">
        <v>287</v>
      </c>
      <c r="G2646" t="s">
        <v>155</v>
      </c>
    </row>
    <row r="2647" spans="1:7" hidden="1" x14ac:dyDescent="0.25">
      <c r="A2647">
        <v>99</v>
      </c>
      <c r="B2647">
        <v>9072</v>
      </c>
      <c r="C2647">
        <v>0</v>
      </c>
      <c r="D2647">
        <v>2</v>
      </c>
      <c r="E2647">
        <v>11</v>
      </c>
      <c r="F2647" t="s">
        <v>287</v>
      </c>
      <c r="G2647" t="s">
        <v>155</v>
      </c>
    </row>
    <row r="2648" spans="1:7" hidden="1" x14ac:dyDescent="0.25">
      <c r="A2648">
        <v>99</v>
      </c>
      <c r="B2648">
        <v>9272</v>
      </c>
      <c r="C2648">
        <v>0</v>
      </c>
      <c r="D2648">
        <v>2</v>
      </c>
      <c r="E2648">
        <v>11</v>
      </c>
      <c r="F2648" t="s">
        <v>287</v>
      </c>
      <c r="G2648" t="s">
        <v>155</v>
      </c>
    </row>
    <row r="2649" spans="1:7" hidden="1" x14ac:dyDescent="0.25">
      <c r="A2649">
        <v>99</v>
      </c>
      <c r="B2649">
        <v>10420</v>
      </c>
      <c r="C2649">
        <v>0</v>
      </c>
      <c r="D2649">
        <v>2</v>
      </c>
      <c r="E2649">
        <v>11</v>
      </c>
      <c r="F2649" t="s">
        <v>287</v>
      </c>
      <c r="G2649" t="s">
        <v>155</v>
      </c>
    </row>
    <row r="2650" spans="1:7" hidden="1" x14ac:dyDescent="0.25">
      <c r="A2650">
        <v>99</v>
      </c>
      <c r="B2650">
        <v>2068</v>
      </c>
      <c r="C2650">
        <v>0</v>
      </c>
      <c r="D2650">
        <v>2</v>
      </c>
      <c r="E2650">
        <v>20</v>
      </c>
      <c r="F2650" t="s">
        <v>296</v>
      </c>
      <c r="G2650" t="s">
        <v>130</v>
      </c>
    </row>
    <row r="2651" spans="1:7" hidden="1" x14ac:dyDescent="0.25">
      <c r="A2651">
        <v>99</v>
      </c>
      <c r="B2651">
        <v>3284</v>
      </c>
      <c r="C2651">
        <v>0</v>
      </c>
      <c r="D2651">
        <v>2</v>
      </c>
      <c r="E2651">
        <v>20</v>
      </c>
      <c r="F2651" t="s">
        <v>296</v>
      </c>
      <c r="G2651" t="s">
        <v>130</v>
      </c>
    </row>
    <row r="2652" spans="1:7" hidden="1" x14ac:dyDescent="0.25">
      <c r="A2652">
        <v>99</v>
      </c>
      <c r="B2652">
        <v>7188</v>
      </c>
      <c r="C2652">
        <v>0</v>
      </c>
      <c r="D2652">
        <v>2</v>
      </c>
      <c r="E2652">
        <v>20</v>
      </c>
      <c r="F2652" t="s">
        <v>296</v>
      </c>
      <c r="G2652" t="s">
        <v>130</v>
      </c>
    </row>
    <row r="2653" spans="1:7" hidden="1" x14ac:dyDescent="0.25">
      <c r="A2653">
        <v>99</v>
      </c>
      <c r="B2653">
        <v>7300</v>
      </c>
      <c r="C2653">
        <v>0</v>
      </c>
      <c r="D2653">
        <v>2</v>
      </c>
      <c r="E2653">
        <v>20</v>
      </c>
      <c r="F2653" t="s">
        <v>296</v>
      </c>
      <c r="G2653" t="s">
        <v>342</v>
      </c>
    </row>
    <row r="2654" spans="1:7" hidden="1" x14ac:dyDescent="0.25">
      <c r="A2654">
        <v>99</v>
      </c>
      <c r="B2654">
        <v>7552</v>
      </c>
      <c r="C2654">
        <v>0</v>
      </c>
      <c r="D2654">
        <v>2</v>
      </c>
      <c r="E2654">
        <v>20</v>
      </c>
      <c r="F2654" t="s">
        <v>296</v>
      </c>
      <c r="G2654" t="s">
        <v>130</v>
      </c>
    </row>
    <row r="2655" spans="1:7" hidden="1" x14ac:dyDescent="0.25">
      <c r="A2655">
        <v>99</v>
      </c>
      <c r="B2655">
        <v>8004</v>
      </c>
      <c r="C2655">
        <v>0</v>
      </c>
      <c r="D2655">
        <v>2</v>
      </c>
      <c r="E2655">
        <v>20</v>
      </c>
      <c r="F2655" t="s">
        <v>296</v>
      </c>
      <c r="G2655" t="s">
        <v>130</v>
      </c>
    </row>
    <row r="2656" spans="1:7" hidden="1" x14ac:dyDescent="0.25">
      <c r="A2656">
        <v>99</v>
      </c>
      <c r="B2656">
        <v>8144</v>
      </c>
      <c r="C2656">
        <v>0</v>
      </c>
      <c r="D2656">
        <v>2</v>
      </c>
      <c r="E2656">
        <v>20</v>
      </c>
      <c r="F2656" t="s">
        <v>296</v>
      </c>
      <c r="G2656" t="s">
        <v>130</v>
      </c>
    </row>
    <row r="2657" spans="1:7" hidden="1" x14ac:dyDescent="0.25">
      <c r="A2657">
        <v>99</v>
      </c>
      <c r="B2657">
        <v>9032</v>
      </c>
      <c r="C2657">
        <v>0</v>
      </c>
      <c r="D2657">
        <v>2</v>
      </c>
      <c r="E2657">
        <v>20</v>
      </c>
      <c r="F2657" t="s">
        <v>296</v>
      </c>
      <c r="G2657" t="s">
        <v>342</v>
      </c>
    </row>
    <row r="2658" spans="1:7" hidden="1" x14ac:dyDescent="0.25">
      <c r="A2658">
        <v>99</v>
      </c>
      <c r="B2658">
        <v>9072</v>
      </c>
      <c r="C2658">
        <v>0</v>
      </c>
      <c r="D2658">
        <v>2</v>
      </c>
      <c r="E2658">
        <v>20</v>
      </c>
      <c r="F2658" t="s">
        <v>296</v>
      </c>
      <c r="G2658" t="s">
        <v>130</v>
      </c>
    </row>
    <row r="2659" spans="1:7" hidden="1" x14ac:dyDescent="0.25">
      <c r="A2659">
        <v>99</v>
      </c>
      <c r="B2659">
        <v>9272</v>
      </c>
      <c r="C2659">
        <v>0</v>
      </c>
      <c r="D2659">
        <v>2</v>
      </c>
      <c r="E2659">
        <v>20</v>
      </c>
      <c r="F2659" t="s">
        <v>296</v>
      </c>
      <c r="G2659" t="s">
        <v>130</v>
      </c>
    </row>
    <row r="2660" spans="1:7" hidden="1" x14ac:dyDescent="0.25">
      <c r="A2660">
        <v>99</v>
      </c>
      <c r="B2660">
        <v>10420</v>
      </c>
      <c r="C2660">
        <v>0</v>
      </c>
      <c r="D2660">
        <v>2</v>
      </c>
      <c r="E2660">
        <v>20</v>
      </c>
      <c r="F2660" t="s">
        <v>296</v>
      </c>
      <c r="G2660" t="s">
        <v>130</v>
      </c>
    </row>
    <row r="2661" spans="1:7" hidden="1" x14ac:dyDescent="0.25">
      <c r="A2661">
        <v>99</v>
      </c>
      <c r="B2661">
        <v>2068</v>
      </c>
      <c r="C2661">
        <v>0</v>
      </c>
      <c r="D2661">
        <v>2</v>
      </c>
      <c r="E2661">
        <v>19</v>
      </c>
      <c r="F2661" t="s">
        <v>295</v>
      </c>
      <c r="G2661" t="s">
        <v>348</v>
      </c>
    </row>
    <row r="2662" spans="1:7" hidden="1" x14ac:dyDescent="0.25">
      <c r="A2662">
        <v>99</v>
      </c>
      <c r="B2662">
        <v>3284</v>
      </c>
      <c r="C2662">
        <v>0</v>
      </c>
      <c r="D2662">
        <v>2</v>
      </c>
      <c r="E2662">
        <v>19</v>
      </c>
      <c r="F2662" t="s">
        <v>295</v>
      </c>
      <c r="G2662" t="s">
        <v>195</v>
      </c>
    </row>
    <row r="2663" spans="1:7" hidden="1" x14ac:dyDescent="0.25">
      <c r="A2663">
        <v>99</v>
      </c>
      <c r="B2663">
        <v>7188</v>
      </c>
      <c r="C2663">
        <v>0</v>
      </c>
      <c r="D2663">
        <v>2</v>
      </c>
      <c r="E2663">
        <v>19</v>
      </c>
      <c r="F2663" t="s">
        <v>295</v>
      </c>
      <c r="G2663" t="s">
        <v>350</v>
      </c>
    </row>
    <row r="2664" spans="1:7" hidden="1" x14ac:dyDescent="0.25">
      <c r="A2664">
        <v>99</v>
      </c>
      <c r="B2664">
        <v>7300</v>
      </c>
      <c r="C2664">
        <v>0</v>
      </c>
      <c r="D2664">
        <v>2</v>
      </c>
      <c r="E2664">
        <v>19</v>
      </c>
      <c r="F2664" t="s">
        <v>295</v>
      </c>
      <c r="G2664" t="s">
        <v>348</v>
      </c>
    </row>
    <row r="2665" spans="1:7" hidden="1" x14ac:dyDescent="0.25">
      <c r="A2665">
        <v>99</v>
      </c>
      <c r="B2665">
        <v>7552</v>
      </c>
      <c r="C2665">
        <v>0</v>
      </c>
      <c r="D2665">
        <v>2</v>
      </c>
      <c r="E2665">
        <v>19</v>
      </c>
      <c r="F2665" t="s">
        <v>295</v>
      </c>
      <c r="G2665" t="s">
        <v>195</v>
      </c>
    </row>
    <row r="2666" spans="1:7" hidden="1" x14ac:dyDescent="0.25">
      <c r="A2666">
        <v>99</v>
      </c>
      <c r="B2666">
        <v>8004</v>
      </c>
      <c r="C2666">
        <v>0</v>
      </c>
      <c r="D2666">
        <v>2</v>
      </c>
      <c r="E2666">
        <v>19</v>
      </c>
      <c r="F2666" t="s">
        <v>295</v>
      </c>
      <c r="G2666" t="s">
        <v>351</v>
      </c>
    </row>
    <row r="2667" spans="1:7" hidden="1" x14ac:dyDescent="0.25">
      <c r="A2667">
        <v>99</v>
      </c>
      <c r="B2667">
        <v>8144</v>
      </c>
      <c r="C2667">
        <v>0</v>
      </c>
      <c r="D2667">
        <v>2</v>
      </c>
      <c r="E2667">
        <v>19</v>
      </c>
      <c r="F2667" t="s">
        <v>295</v>
      </c>
      <c r="G2667" t="s">
        <v>195</v>
      </c>
    </row>
    <row r="2668" spans="1:7" hidden="1" x14ac:dyDescent="0.25">
      <c r="A2668">
        <v>99</v>
      </c>
      <c r="B2668">
        <v>9032</v>
      </c>
      <c r="C2668">
        <v>0</v>
      </c>
      <c r="D2668">
        <v>2</v>
      </c>
      <c r="E2668">
        <v>19</v>
      </c>
      <c r="F2668" t="s">
        <v>295</v>
      </c>
      <c r="G2668" t="s">
        <v>348</v>
      </c>
    </row>
    <row r="2669" spans="1:7" hidden="1" x14ac:dyDescent="0.25">
      <c r="A2669">
        <v>99</v>
      </c>
      <c r="B2669">
        <v>9072</v>
      </c>
      <c r="C2669">
        <v>0</v>
      </c>
      <c r="D2669">
        <v>2</v>
      </c>
      <c r="E2669">
        <v>19</v>
      </c>
      <c r="F2669" t="s">
        <v>295</v>
      </c>
      <c r="G2669" t="s">
        <v>195</v>
      </c>
    </row>
    <row r="2670" spans="1:7" hidden="1" x14ac:dyDescent="0.25">
      <c r="A2670">
        <v>99</v>
      </c>
      <c r="B2670">
        <v>9272</v>
      </c>
      <c r="C2670">
        <v>0</v>
      </c>
      <c r="D2670">
        <v>2</v>
      </c>
      <c r="E2670">
        <v>19</v>
      </c>
      <c r="F2670" t="s">
        <v>295</v>
      </c>
      <c r="G2670" t="s">
        <v>348</v>
      </c>
    </row>
    <row r="2671" spans="1:7" hidden="1" x14ac:dyDescent="0.25">
      <c r="A2671">
        <v>99</v>
      </c>
      <c r="B2671">
        <v>10420</v>
      </c>
      <c r="C2671">
        <v>0</v>
      </c>
      <c r="D2671">
        <v>2</v>
      </c>
      <c r="E2671">
        <v>19</v>
      </c>
      <c r="F2671" t="s">
        <v>295</v>
      </c>
      <c r="G2671" t="s">
        <v>348</v>
      </c>
    </row>
    <row r="2672" spans="1:7" hidden="1" x14ac:dyDescent="0.25">
      <c r="A2672">
        <v>99</v>
      </c>
      <c r="B2672">
        <v>2068</v>
      </c>
      <c r="C2672">
        <v>0</v>
      </c>
      <c r="D2672">
        <v>2</v>
      </c>
      <c r="E2672">
        <v>21</v>
      </c>
      <c r="F2672" t="s">
        <v>297</v>
      </c>
      <c r="G2672" t="s">
        <v>124</v>
      </c>
    </row>
    <row r="2673" spans="1:7" hidden="1" x14ac:dyDescent="0.25">
      <c r="A2673">
        <v>99</v>
      </c>
      <c r="B2673">
        <v>3284</v>
      </c>
      <c r="C2673">
        <v>0</v>
      </c>
      <c r="D2673">
        <v>2</v>
      </c>
      <c r="E2673">
        <v>21</v>
      </c>
      <c r="F2673" t="s">
        <v>297</v>
      </c>
      <c r="G2673" t="s">
        <v>124</v>
      </c>
    </row>
    <row r="2674" spans="1:7" hidden="1" x14ac:dyDescent="0.25">
      <c r="A2674">
        <v>99</v>
      </c>
      <c r="B2674">
        <v>7188</v>
      </c>
      <c r="C2674">
        <v>0</v>
      </c>
      <c r="D2674">
        <v>2</v>
      </c>
      <c r="E2674">
        <v>21</v>
      </c>
      <c r="F2674" t="s">
        <v>297</v>
      </c>
      <c r="G2674" t="s">
        <v>124</v>
      </c>
    </row>
    <row r="2675" spans="1:7" hidden="1" x14ac:dyDescent="0.25">
      <c r="A2675">
        <v>99</v>
      </c>
      <c r="B2675">
        <v>7300</v>
      </c>
      <c r="C2675">
        <v>0</v>
      </c>
      <c r="D2675">
        <v>2</v>
      </c>
      <c r="E2675">
        <v>21</v>
      </c>
      <c r="F2675" t="s">
        <v>297</v>
      </c>
      <c r="G2675" t="s">
        <v>124</v>
      </c>
    </row>
    <row r="2676" spans="1:7" hidden="1" x14ac:dyDescent="0.25">
      <c r="A2676">
        <v>99</v>
      </c>
      <c r="B2676">
        <v>7552</v>
      </c>
      <c r="C2676">
        <v>0</v>
      </c>
      <c r="D2676">
        <v>2</v>
      </c>
      <c r="E2676">
        <v>21</v>
      </c>
      <c r="F2676" t="s">
        <v>297</v>
      </c>
      <c r="G2676" t="s">
        <v>124</v>
      </c>
    </row>
    <row r="2677" spans="1:7" hidden="1" x14ac:dyDescent="0.25">
      <c r="A2677">
        <v>99</v>
      </c>
      <c r="B2677">
        <v>8004</v>
      </c>
      <c r="C2677">
        <v>0</v>
      </c>
      <c r="D2677">
        <v>2</v>
      </c>
      <c r="E2677">
        <v>21</v>
      </c>
      <c r="F2677" t="s">
        <v>297</v>
      </c>
      <c r="G2677" t="s">
        <v>124</v>
      </c>
    </row>
    <row r="2678" spans="1:7" hidden="1" x14ac:dyDescent="0.25">
      <c r="A2678">
        <v>99</v>
      </c>
      <c r="B2678">
        <v>8144</v>
      </c>
      <c r="C2678">
        <v>0</v>
      </c>
      <c r="D2678">
        <v>2</v>
      </c>
      <c r="E2678">
        <v>21</v>
      </c>
      <c r="F2678" t="s">
        <v>297</v>
      </c>
      <c r="G2678" t="s">
        <v>124</v>
      </c>
    </row>
    <row r="2679" spans="1:7" hidden="1" x14ac:dyDescent="0.25">
      <c r="A2679">
        <v>99</v>
      </c>
      <c r="B2679">
        <v>9032</v>
      </c>
      <c r="C2679">
        <v>0</v>
      </c>
      <c r="D2679">
        <v>2</v>
      </c>
      <c r="E2679">
        <v>21</v>
      </c>
      <c r="F2679" t="s">
        <v>297</v>
      </c>
      <c r="G2679" t="s">
        <v>124</v>
      </c>
    </row>
    <row r="2680" spans="1:7" hidden="1" x14ac:dyDescent="0.25">
      <c r="A2680">
        <v>99</v>
      </c>
      <c r="B2680">
        <v>9072</v>
      </c>
      <c r="C2680">
        <v>0</v>
      </c>
      <c r="D2680">
        <v>2</v>
      </c>
      <c r="E2680">
        <v>21</v>
      </c>
      <c r="F2680" t="s">
        <v>297</v>
      </c>
      <c r="G2680" t="s">
        <v>124</v>
      </c>
    </row>
    <row r="2681" spans="1:7" hidden="1" x14ac:dyDescent="0.25">
      <c r="A2681">
        <v>99</v>
      </c>
      <c r="B2681">
        <v>9272</v>
      </c>
      <c r="C2681">
        <v>0</v>
      </c>
      <c r="D2681">
        <v>2</v>
      </c>
      <c r="E2681">
        <v>21</v>
      </c>
      <c r="F2681" t="s">
        <v>297</v>
      </c>
      <c r="G2681" t="s">
        <v>124</v>
      </c>
    </row>
    <row r="2682" spans="1:7" hidden="1" x14ac:dyDescent="0.25">
      <c r="A2682">
        <v>99</v>
      </c>
      <c r="B2682">
        <v>10420</v>
      </c>
      <c r="C2682">
        <v>0</v>
      </c>
      <c r="D2682">
        <v>2</v>
      </c>
      <c r="E2682">
        <v>21</v>
      </c>
      <c r="F2682" t="s">
        <v>297</v>
      </c>
      <c r="G2682" t="s">
        <v>124</v>
      </c>
    </row>
    <row r="2683" spans="1:7" hidden="1" x14ac:dyDescent="0.25">
      <c r="A2683">
        <v>99</v>
      </c>
      <c r="B2683">
        <v>2068</v>
      </c>
      <c r="C2683">
        <v>0</v>
      </c>
      <c r="D2683">
        <v>2</v>
      </c>
      <c r="E2683">
        <v>22</v>
      </c>
      <c r="F2683" t="s">
        <v>298</v>
      </c>
      <c r="G2683" t="s">
        <v>131</v>
      </c>
    </row>
    <row r="2684" spans="1:7" hidden="1" x14ac:dyDescent="0.25">
      <c r="A2684">
        <v>99</v>
      </c>
      <c r="B2684">
        <v>3284</v>
      </c>
      <c r="C2684">
        <v>0</v>
      </c>
      <c r="D2684">
        <v>2</v>
      </c>
      <c r="E2684">
        <v>22</v>
      </c>
      <c r="F2684" t="s">
        <v>298</v>
      </c>
      <c r="G2684" t="s">
        <v>131</v>
      </c>
    </row>
    <row r="2685" spans="1:7" hidden="1" x14ac:dyDescent="0.25">
      <c r="A2685">
        <v>99</v>
      </c>
      <c r="B2685">
        <v>7188</v>
      </c>
      <c r="C2685">
        <v>0</v>
      </c>
      <c r="D2685">
        <v>2</v>
      </c>
      <c r="E2685">
        <v>22</v>
      </c>
      <c r="F2685" t="s">
        <v>298</v>
      </c>
      <c r="G2685" t="s">
        <v>131</v>
      </c>
    </row>
    <row r="2686" spans="1:7" hidden="1" x14ac:dyDescent="0.25">
      <c r="A2686">
        <v>99</v>
      </c>
      <c r="B2686">
        <v>7300</v>
      </c>
      <c r="C2686">
        <v>0</v>
      </c>
      <c r="D2686">
        <v>2</v>
      </c>
      <c r="E2686">
        <v>22</v>
      </c>
      <c r="F2686" t="s">
        <v>298</v>
      </c>
      <c r="G2686" t="s">
        <v>131</v>
      </c>
    </row>
    <row r="2687" spans="1:7" hidden="1" x14ac:dyDescent="0.25">
      <c r="A2687">
        <v>99</v>
      </c>
      <c r="B2687">
        <v>7552</v>
      </c>
      <c r="C2687">
        <v>0</v>
      </c>
      <c r="D2687">
        <v>2</v>
      </c>
      <c r="E2687">
        <v>22</v>
      </c>
      <c r="F2687" t="s">
        <v>298</v>
      </c>
      <c r="G2687" t="s">
        <v>131</v>
      </c>
    </row>
    <row r="2688" spans="1:7" hidden="1" x14ac:dyDescent="0.25">
      <c r="A2688">
        <v>99</v>
      </c>
      <c r="B2688">
        <v>8004</v>
      </c>
      <c r="C2688">
        <v>0</v>
      </c>
      <c r="D2688">
        <v>2</v>
      </c>
      <c r="E2688">
        <v>22</v>
      </c>
      <c r="F2688" t="s">
        <v>298</v>
      </c>
      <c r="G2688" t="s">
        <v>131</v>
      </c>
    </row>
    <row r="2689" spans="1:7" hidden="1" x14ac:dyDescent="0.25">
      <c r="A2689">
        <v>99</v>
      </c>
      <c r="B2689">
        <v>8144</v>
      </c>
      <c r="C2689">
        <v>0</v>
      </c>
      <c r="D2689">
        <v>2</v>
      </c>
      <c r="E2689">
        <v>22</v>
      </c>
      <c r="F2689" t="s">
        <v>298</v>
      </c>
      <c r="G2689" t="s">
        <v>131</v>
      </c>
    </row>
    <row r="2690" spans="1:7" hidden="1" x14ac:dyDescent="0.25">
      <c r="A2690">
        <v>99</v>
      </c>
      <c r="B2690">
        <v>9032</v>
      </c>
      <c r="C2690">
        <v>0</v>
      </c>
      <c r="D2690">
        <v>2</v>
      </c>
      <c r="E2690">
        <v>22</v>
      </c>
      <c r="F2690" t="s">
        <v>298</v>
      </c>
      <c r="G2690" t="s">
        <v>131</v>
      </c>
    </row>
    <row r="2691" spans="1:7" hidden="1" x14ac:dyDescent="0.25">
      <c r="A2691">
        <v>99</v>
      </c>
      <c r="B2691">
        <v>9072</v>
      </c>
      <c r="C2691">
        <v>0</v>
      </c>
      <c r="D2691">
        <v>2</v>
      </c>
      <c r="E2691">
        <v>22</v>
      </c>
      <c r="F2691" t="s">
        <v>298</v>
      </c>
      <c r="G2691" t="s">
        <v>131</v>
      </c>
    </row>
    <row r="2692" spans="1:7" hidden="1" x14ac:dyDescent="0.25">
      <c r="A2692">
        <v>99</v>
      </c>
      <c r="B2692">
        <v>9272</v>
      </c>
      <c r="C2692">
        <v>0</v>
      </c>
      <c r="D2692">
        <v>2</v>
      </c>
      <c r="E2692">
        <v>22</v>
      </c>
      <c r="F2692" t="s">
        <v>298</v>
      </c>
      <c r="G2692" t="s">
        <v>131</v>
      </c>
    </row>
    <row r="2693" spans="1:7" hidden="1" x14ac:dyDescent="0.25">
      <c r="A2693">
        <v>99</v>
      </c>
      <c r="B2693">
        <v>10420</v>
      </c>
      <c r="C2693">
        <v>0</v>
      </c>
      <c r="D2693">
        <v>2</v>
      </c>
      <c r="E2693">
        <v>22</v>
      </c>
      <c r="F2693" t="s">
        <v>298</v>
      </c>
      <c r="G2693" t="s">
        <v>131</v>
      </c>
    </row>
    <row r="2694" spans="1:7" hidden="1" x14ac:dyDescent="0.25">
      <c r="A2694">
        <v>99</v>
      </c>
      <c r="B2694">
        <v>2068</v>
      </c>
      <c r="C2694">
        <v>0</v>
      </c>
      <c r="D2694">
        <v>2</v>
      </c>
      <c r="E2694">
        <v>14</v>
      </c>
      <c r="F2694" t="s">
        <v>290</v>
      </c>
      <c r="G2694" t="s">
        <v>118</v>
      </c>
    </row>
    <row r="2695" spans="1:7" hidden="1" x14ac:dyDescent="0.25">
      <c r="A2695">
        <v>99</v>
      </c>
      <c r="B2695">
        <v>3284</v>
      </c>
      <c r="C2695">
        <v>0</v>
      </c>
      <c r="D2695">
        <v>2</v>
      </c>
      <c r="E2695">
        <v>14</v>
      </c>
      <c r="F2695" t="s">
        <v>290</v>
      </c>
      <c r="G2695" t="s">
        <v>118</v>
      </c>
    </row>
    <row r="2696" spans="1:7" hidden="1" x14ac:dyDescent="0.25">
      <c r="A2696">
        <v>99</v>
      </c>
      <c r="B2696">
        <v>7188</v>
      </c>
      <c r="C2696">
        <v>0</v>
      </c>
      <c r="D2696">
        <v>2</v>
      </c>
      <c r="E2696">
        <v>14</v>
      </c>
      <c r="F2696" t="s">
        <v>290</v>
      </c>
      <c r="G2696" t="s">
        <v>118</v>
      </c>
    </row>
    <row r="2697" spans="1:7" hidden="1" x14ac:dyDescent="0.25">
      <c r="A2697">
        <v>99</v>
      </c>
      <c r="B2697">
        <v>7300</v>
      </c>
      <c r="C2697">
        <v>0</v>
      </c>
      <c r="D2697">
        <v>2</v>
      </c>
      <c r="E2697">
        <v>14</v>
      </c>
      <c r="F2697" t="s">
        <v>290</v>
      </c>
      <c r="G2697" t="s">
        <v>118</v>
      </c>
    </row>
    <row r="2698" spans="1:7" hidden="1" x14ac:dyDescent="0.25">
      <c r="A2698">
        <v>99</v>
      </c>
      <c r="B2698">
        <v>7552</v>
      </c>
      <c r="C2698">
        <v>0</v>
      </c>
      <c r="D2698">
        <v>2</v>
      </c>
      <c r="E2698">
        <v>14</v>
      </c>
      <c r="F2698" t="s">
        <v>290</v>
      </c>
      <c r="G2698" t="s">
        <v>118</v>
      </c>
    </row>
    <row r="2699" spans="1:7" hidden="1" x14ac:dyDescent="0.25">
      <c r="A2699">
        <v>99</v>
      </c>
      <c r="B2699">
        <v>8004</v>
      </c>
      <c r="C2699">
        <v>0</v>
      </c>
      <c r="D2699">
        <v>2</v>
      </c>
      <c r="E2699">
        <v>14</v>
      </c>
      <c r="F2699" t="s">
        <v>290</v>
      </c>
      <c r="G2699" t="s">
        <v>118</v>
      </c>
    </row>
    <row r="2700" spans="1:7" hidden="1" x14ac:dyDescent="0.25">
      <c r="A2700">
        <v>99</v>
      </c>
      <c r="B2700">
        <v>8144</v>
      </c>
      <c r="C2700">
        <v>0</v>
      </c>
      <c r="D2700">
        <v>2</v>
      </c>
      <c r="E2700">
        <v>14</v>
      </c>
      <c r="F2700" t="s">
        <v>290</v>
      </c>
      <c r="G2700" t="s">
        <v>118</v>
      </c>
    </row>
    <row r="2701" spans="1:7" hidden="1" x14ac:dyDescent="0.25">
      <c r="A2701">
        <v>99</v>
      </c>
      <c r="B2701">
        <v>9032</v>
      </c>
      <c r="C2701">
        <v>0</v>
      </c>
      <c r="D2701">
        <v>2</v>
      </c>
      <c r="E2701">
        <v>14</v>
      </c>
      <c r="F2701" t="s">
        <v>290</v>
      </c>
      <c r="G2701" t="s">
        <v>118</v>
      </c>
    </row>
    <row r="2702" spans="1:7" hidden="1" x14ac:dyDescent="0.25">
      <c r="A2702">
        <v>99</v>
      </c>
      <c r="B2702">
        <v>9072</v>
      </c>
      <c r="C2702">
        <v>0</v>
      </c>
      <c r="D2702">
        <v>2</v>
      </c>
      <c r="E2702">
        <v>14</v>
      </c>
      <c r="F2702" t="s">
        <v>290</v>
      </c>
      <c r="G2702" t="s">
        <v>118</v>
      </c>
    </row>
    <row r="2703" spans="1:7" hidden="1" x14ac:dyDescent="0.25">
      <c r="A2703">
        <v>99</v>
      </c>
      <c r="B2703">
        <v>9272</v>
      </c>
      <c r="C2703">
        <v>0</v>
      </c>
      <c r="D2703">
        <v>2</v>
      </c>
      <c r="E2703">
        <v>14</v>
      </c>
      <c r="F2703" t="s">
        <v>290</v>
      </c>
      <c r="G2703" t="s">
        <v>118</v>
      </c>
    </row>
    <row r="2704" spans="1:7" hidden="1" x14ac:dyDescent="0.25">
      <c r="A2704">
        <v>99</v>
      </c>
      <c r="B2704">
        <v>10420</v>
      </c>
      <c r="C2704">
        <v>0</v>
      </c>
      <c r="D2704">
        <v>2</v>
      </c>
      <c r="E2704">
        <v>14</v>
      </c>
      <c r="F2704" t="s">
        <v>290</v>
      </c>
      <c r="G2704" t="s">
        <v>118</v>
      </c>
    </row>
    <row r="2705" spans="1:7" hidden="1" x14ac:dyDescent="0.25">
      <c r="A2705">
        <v>99</v>
      </c>
      <c r="B2705">
        <v>2068</v>
      </c>
      <c r="C2705">
        <v>0</v>
      </c>
      <c r="D2705">
        <v>2</v>
      </c>
      <c r="E2705">
        <v>13</v>
      </c>
      <c r="F2705" t="s">
        <v>289</v>
      </c>
      <c r="G2705" t="s">
        <v>127</v>
      </c>
    </row>
    <row r="2706" spans="1:7" hidden="1" x14ac:dyDescent="0.25">
      <c r="A2706">
        <v>99</v>
      </c>
      <c r="B2706">
        <v>3284</v>
      </c>
      <c r="C2706">
        <v>0</v>
      </c>
      <c r="D2706">
        <v>2</v>
      </c>
      <c r="E2706">
        <v>13</v>
      </c>
      <c r="F2706" t="s">
        <v>289</v>
      </c>
      <c r="G2706" t="s">
        <v>127</v>
      </c>
    </row>
    <row r="2707" spans="1:7" hidden="1" x14ac:dyDescent="0.25">
      <c r="A2707">
        <v>99</v>
      </c>
      <c r="B2707">
        <v>7188</v>
      </c>
      <c r="C2707">
        <v>0</v>
      </c>
      <c r="D2707">
        <v>2</v>
      </c>
      <c r="E2707">
        <v>13</v>
      </c>
      <c r="F2707" t="s">
        <v>289</v>
      </c>
      <c r="G2707" t="s">
        <v>127</v>
      </c>
    </row>
    <row r="2708" spans="1:7" hidden="1" x14ac:dyDescent="0.25">
      <c r="A2708">
        <v>99</v>
      </c>
      <c r="B2708">
        <v>7300</v>
      </c>
      <c r="C2708">
        <v>0</v>
      </c>
      <c r="D2708">
        <v>2</v>
      </c>
      <c r="E2708">
        <v>13</v>
      </c>
      <c r="F2708" t="s">
        <v>289</v>
      </c>
      <c r="G2708" t="s">
        <v>127</v>
      </c>
    </row>
    <row r="2709" spans="1:7" hidden="1" x14ac:dyDescent="0.25">
      <c r="A2709">
        <v>99</v>
      </c>
      <c r="B2709">
        <v>7552</v>
      </c>
      <c r="C2709">
        <v>0</v>
      </c>
      <c r="D2709">
        <v>2</v>
      </c>
      <c r="E2709">
        <v>13</v>
      </c>
      <c r="F2709" t="s">
        <v>289</v>
      </c>
      <c r="G2709" t="s">
        <v>127</v>
      </c>
    </row>
    <row r="2710" spans="1:7" hidden="1" x14ac:dyDescent="0.25">
      <c r="A2710">
        <v>99</v>
      </c>
      <c r="B2710">
        <v>8004</v>
      </c>
      <c r="C2710">
        <v>0</v>
      </c>
      <c r="D2710">
        <v>2</v>
      </c>
      <c r="E2710">
        <v>13</v>
      </c>
      <c r="F2710" t="s">
        <v>289</v>
      </c>
      <c r="G2710" t="s">
        <v>127</v>
      </c>
    </row>
    <row r="2711" spans="1:7" hidden="1" x14ac:dyDescent="0.25">
      <c r="A2711">
        <v>99</v>
      </c>
      <c r="B2711">
        <v>8144</v>
      </c>
      <c r="C2711">
        <v>0</v>
      </c>
      <c r="D2711">
        <v>2</v>
      </c>
      <c r="E2711">
        <v>13</v>
      </c>
      <c r="F2711" t="s">
        <v>289</v>
      </c>
      <c r="G2711" t="s">
        <v>127</v>
      </c>
    </row>
    <row r="2712" spans="1:7" hidden="1" x14ac:dyDescent="0.25">
      <c r="A2712">
        <v>99</v>
      </c>
      <c r="B2712">
        <v>9032</v>
      </c>
      <c r="C2712">
        <v>0</v>
      </c>
      <c r="D2712">
        <v>2</v>
      </c>
      <c r="E2712">
        <v>13</v>
      </c>
      <c r="F2712" t="s">
        <v>289</v>
      </c>
      <c r="G2712" t="s">
        <v>127</v>
      </c>
    </row>
    <row r="2713" spans="1:7" hidden="1" x14ac:dyDescent="0.25">
      <c r="A2713">
        <v>99</v>
      </c>
      <c r="B2713">
        <v>9072</v>
      </c>
      <c r="C2713">
        <v>0</v>
      </c>
      <c r="D2713">
        <v>2</v>
      </c>
      <c r="E2713">
        <v>13</v>
      </c>
      <c r="F2713" t="s">
        <v>289</v>
      </c>
      <c r="G2713" t="s">
        <v>127</v>
      </c>
    </row>
    <row r="2714" spans="1:7" hidden="1" x14ac:dyDescent="0.25">
      <c r="A2714">
        <v>99</v>
      </c>
      <c r="B2714">
        <v>9272</v>
      </c>
      <c r="C2714">
        <v>0</v>
      </c>
      <c r="D2714">
        <v>2</v>
      </c>
      <c r="E2714">
        <v>13</v>
      </c>
      <c r="F2714" t="s">
        <v>289</v>
      </c>
      <c r="G2714" t="s">
        <v>127</v>
      </c>
    </row>
    <row r="2715" spans="1:7" hidden="1" x14ac:dyDescent="0.25">
      <c r="A2715">
        <v>99</v>
      </c>
      <c r="B2715">
        <v>10420</v>
      </c>
      <c r="C2715">
        <v>0</v>
      </c>
      <c r="D2715">
        <v>2</v>
      </c>
      <c r="E2715">
        <v>13</v>
      </c>
      <c r="F2715" t="s">
        <v>289</v>
      </c>
      <c r="G2715" t="s">
        <v>127</v>
      </c>
    </row>
    <row r="2716" spans="1:7" hidden="1" x14ac:dyDescent="0.25">
      <c r="A2716">
        <v>99</v>
      </c>
      <c r="B2716">
        <v>2068</v>
      </c>
      <c r="C2716">
        <v>0</v>
      </c>
      <c r="D2716">
        <v>2</v>
      </c>
      <c r="E2716">
        <v>12</v>
      </c>
      <c r="F2716" t="s">
        <v>288</v>
      </c>
      <c r="G2716" t="s">
        <v>126</v>
      </c>
    </row>
    <row r="2717" spans="1:7" hidden="1" x14ac:dyDescent="0.25">
      <c r="A2717">
        <v>99</v>
      </c>
      <c r="B2717">
        <v>3284</v>
      </c>
      <c r="C2717">
        <v>0</v>
      </c>
      <c r="D2717">
        <v>2</v>
      </c>
      <c r="E2717">
        <v>12</v>
      </c>
      <c r="F2717" t="s">
        <v>288</v>
      </c>
      <c r="G2717" t="s">
        <v>126</v>
      </c>
    </row>
    <row r="2718" spans="1:7" hidden="1" x14ac:dyDescent="0.25">
      <c r="A2718">
        <v>99</v>
      </c>
      <c r="B2718">
        <v>7188</v>
      </c>
      <c r="C2718">
        <v>0</v>
      </c>
      <c r="D2718">
        <v>2</v>
      </c>
      <c r="E2718">
        <v>12</v>
      </c>
      <c r="F2718" t="s">
        <v>288</v>
      </c>
      <c r="G2718" t="s">
        <v>126</v>
      </c>
    </row>
    <row r="2719" spans="1:7" hidden="1" x14ac:dyDescent="0.25">
      <c r="A2719">
        <v>99</v>
      </c>
      <c r="B2719">
        <v>7300</v>
      </c>
      <c r="C2719">
        <v>0</v>
      </c>
      <c r="D2719">
        <v>2</v>
      </c>
      <c r="E2719">
        <v>12</v>
      </c>
      <c r="F2719" t="s">
        <v>288</v>
      </c>
      <c r="G2719" t="s">
        <v>126</v>
      </c>
    </row>
    <row r="2720" spans="1:7" hidden="1" x14ac:dyDescent="0.25">
      <c r="A2720">
        <v>99</v>
      </c>
      <c r="B2720">
        <v>7552</v>
      </c>
      <c r="C2720">
        <v>0</v>
      </c>
      <c r="D2720">
        <v>2</v>
      </c>
      <c r="E2720">
        <v>12</v>
      </c>
      <c r="F2720" t="s">
        <v>288</v>
      </c>
      <c r="G2720" t="s">
        <v>126</v>
      </c>
    </row>
    <row r="2721" spans="1:7" hidden="1" x14ac:dyDescent="0.25">
      <c r="A2721">
        <v>99</v>
      </c>
      <c r="B2721">
        <v>8004</v>
      </c>
      <c r="C2721">
        <v>0</v>
      </c>
      <c r="D2721">
        <v>2</v>
      </c>
      <c r="E2721">
        <v>12</v>
      </c>
      <c r="F2721" t="s">
        <v>288</v>
      </c>
      <c r="G2721" t="s">
        <v>126</v>
      </c>
    </row>
    <row r="2722" spans="1:7" hidden="1" x14ac:dyDescent="0.25">
      <c r="A2722">
        <v>99</v>
      </c>
      <c r="B2722">
        <v>8144</v>
      </c>
      <c r="C2722">
        <v>0</v>
      </c>
      <c r="D2722">
        <v>2</v>
      </c>
      <c r="E2722">
        <v>12</v>
      </c>
      <c r="F2722" t="s">
        <v>288</v>
      </c>
      <c r="G2722" t="s">
        <v>126</v>
      </c>
    </row>
    <row r="2723" spans="1:7" hidden="1" x14ac:dyDescent="0.25">
      <c r="A2723">
        <v>99</v>
      </c>
      <c r="B2723">
        <v>9032</v>
      </c>
      <c r="C2723">
        <v>0</v>
      </c>
      <c r="D2723">
        <v>2</v>
      </c>
      <c r="E2723">
        <v>12</v>
      </c>
      <c r="F2723" t="s">
        <v>288</v>
      </c>
      <c r="G2723" t="s">
        <v>126</v>
      </c>
    </row>
    <row r="2724" spans="1:7" hidden="1" x14ac:dyDescent="0.25">
      <c r="A2724">
        <v>99</v>
      </c>
      <c r="B2724">
        <v>9072</v>
      </c>
      <c r="C2724">
        <v>0</v>
      </c>
      <c r="D2724">
        <v>2</v>
      </c>
      <c r="E2724">
        <v>12</v>
      </c>
      <c r="F2724" t="s">
        <v>288</v>
      </c>
      <c r="G2724" t="s">
        <v>126</v>
      </c>
    </row>
    <row r="2725" spans="1:7" hidden="1" x14ac:dyDescent="0.25">
      <c r="A2725">
        <v>99</v>
      </c>
      <c r="B2725">
        <v>9272</v>
      </c>
      <c r="C2725">
        <v>0</v>
      </c>
      <c r="D2725">
        <v>2</v>
      </c>
      <c r="E2725">
        <v>12</v>
      </c>
      <c r="F2725" t="s">
        <v>288</v>
      </c>
      <c r="G2725" t="s">
        <v>126</v>
      </c>
    </row>
    <row r="2726" spans="1:7" hidden="1" x14ac:dyDescent="0.25">
      <c r="A2726">
        <v>99</v>
      </c>
      <c r="B2726">
        <v>10420</v>
      </c>
      <c r="C2726">
        <v>0</v>
      </c>
      <c r="D2726">
        <v>2</v>
      </c>
      <c r="E2726">
        <v>12</v>
      </c>
      <c r="F2726" t="s">
        <v>288</v>
      </c>
      <c r="G2726" t="s">
        <v>126</v>
      </c>
    </row>
    <row r="2727" spans="1:7" hidden="1" x14ac:dyDescent="0.25">
      <c r="A2727">
        <v>99</v>
      </c>
      <c r="B2727">
        <v>2068</v>
      </c>
      <c r="C2727">
        <v>0</v>
      </c>
      <c r="D2727">
        <v>2</v>
      </c>
      <c r="E2727">
        <v>17</v>
      </c>
      <c r="F2727" t="s">
        <v>293</v>
      </c>
      <c r="G2727" t="s">
        <v>124</v>
      </c>
    </row>
    <row r="2728" spans="1:7" hidden="1" x14ac:dyDescent="0.25">
      <c r="A2728">
        <v>99</v>
      </c>
      <c r="B2728">
        <v>3284</v>
      </c>
      <c r="C2728">
        <v>0</v>
      </c>
      <c r="D2728">
        <v>2</v>
      </c>
      <c r="E2728">
        <v>17</v>
      </c>
      <c r="F2728" t="s">
        <v>293</v>
      </c>
      <c r="G2728" t="s">
        <v>124</v>
      </c>
    </row>
    <row r="2729" spans="1:7" hidden="1" x14ac:dyDescent="0.25">
      <c r="A2729">
        <v>99</v>
      </c>
      <c r="B2729">
        <v>7188</v>
      </c>
      <c r="C2729">
        <v>0</v>
      </c>
      <c r="D2729">
        <v>2</v>
      </c>
      <c r="E2729">
        <v>17</v>
      </c>
      <c r="F2729" t="s">
        <v>293</v>
      </c>
      <c r="G2729" t="s">
        <v>124</v>
      </c>
    </row>
    <row r="2730" spans="1:7" hidden="1" x14ac:dyDescent="0.25">
      <c r="A2730">
        <v>99</v>
      </c>
      <c r="B2730">
        <v>7300</v>
      </c>
      <c r="C2730">
        <v>0</v>
      </c>
      <c r="D2730">
        <v>2</v>
      </c>
      <c r="E2730">
        <v>17</v>
      </c>
      <c r="F2730" t="s">
        <v>293</v>
      </c>
      <c r="G2730" t="s">
        <v>124</v>
      </c>
    </row>
    <row r="2731" spans="1:7" hidden="1" x14ac:dyDescent="0.25">
      <c r="A2731">
        <v>99</v>
      </c>
      <c r="B2731">
        <v>7552</v>
      </c>
      <c r="C2731">
        <v>0</v>
      </c>
      <c r="D2731">
        <v>2</v>
      </c>
      <c r="E2731">
        <v>17</v>
      </c>
      <c r="F2731" t="s">
        <v>293</v>
      </c>
      <c r="G2731" t="s">
        <v>124</v>
      </c>
    </row>
    <row r="2732" spans="1:7" hidden="1" x14ac:dyDescent="0.25">
      <c r="A2732">
        <v>99</v>
      </c>
      <c r="B2732">
        <v>8004</v>
      </c>
      <c r="C2732">
        <v>0</v>
      </c>
      <c r="D2732">
        <v>2</v>
      </c>
      <c r="E2732">
        <v>17</v>
      </c>
      <c r="F2732" t="s">
        <v>293</v>
      </c>
      <c r="G2732" t="s">
        <v>124</v>
      </c>
    </row>
    <row r="2733" spans="1:7" hidden="1" x14ac:dyDescent="0.25">
      <c r="A2733">
        <v>99</v>
      </c>
      <c r="B2733">
        <v>8144</v>
      </c>
      <c r="C2733">
        <v>0</v>
      </c>
      <c r="D2733">
        <v>2</v>
      </c>
      <c r="E2733">
        <v>17</v>
      </c>
      <c r="F2733" t="s">
        <v>293</v>
      </c>
      <c r="G2733" t="s">
        <v>124</v>
      </c>
    </row>
    <row r="2734" spans="1:7" hidden="1" x14ac:dyDescent="0.25">
      <c r="A2734">
        <v>99</v>
      </c>
      <c r="B2734">
        <v>9032</v>
      </c>
      <c r="C2734">
        <v>0</v>
      </c>
      <c r="D2734">
        <v>2</v>
      </c>
      <c r="E2734">
        <v>17</v>
      </c>
      <c r="F2734" t="s">
        <v>293</v>
      </c>
      <c r="G2734" t="s">
        <v>124</v>
      </c>
    </row>
    <row r="2735" spans="1:7" hidden="1" x14ac:dyDescent="0.25">
      <c r="A2735">
        <v>99</v>
      </c>
      <c r="B2735">
        <v>9072</v>
      </c>
      <c r="C2735">
        <v>0</v>
      </c>
      <c r="D2735">
        <v>2</v>
      </c>
      <c r="E2735">
        <v>17</v>
      </c>
      <c r="F2735" t="s">
        <v>293</v>
      </c>
      <c r="G2735" t="s">
        <v>124</v>
      </c>
    </row>
    <row r="2736" spans="1:7" hidden="1" x14ac:dyDescent="0.25">
      <c r="A2736">
        <v>99</v>
      </c>
      <c r="B2736">
        <v>9272</v>
      </c>
      <c r="C2736">
        <v>0</v>
      </c>
      <c r="D2736">
        <v>2</v>
      </c>
      <c r="E2736">
        <v>17</v>
      </c>
      <c r="F2736" t="s">
        <v>293</v>
      </c>
      <c r="G2736" t="s">
        <v>124</v>
      </c>
    </row>
    <row r="2737" spans="1:7" hidden="1" x14ac:dyDescent="0.25">
      <c r="A2737">
        <v>99</v>
      </c>
      <c r="B2737">
        <v>10420</v>
      </c>
      <c r="C2737">
        <v>0</v>
      </c>
      <c r="D2737">
        <v>2</v>
      </c>
      <c r="E2737">
        <v>17</v>
      </c>
      <c r="F2737" t="s">
        <v>293</v>
      </c>
      <c r="G2737" t="s">
        <v>124</v>
      </c>
    </row>
    <row r="2738" spans="1:7" hidden="1" x14ac:dyDescent="0.25">
      <c r="A2738">
        <v>99</v>
      </c>
      <c r="B2738">
        <v>2068</v>
      </c>
      <c r="C2738">
        <v>0</v>
      </c>
      <c r="D2738">
        <v>2</v>
      </c>
      <c r="E2738">
        <v>15</v>
      </c>
      <c r="F2738" t="s">
        <v>291</v>
      </c>
      <c r="G2738" t="s">
        <v>231</v>
      </c>
    </row>
    <row r="2739" spans="1:7" hidden="1" x14ac:dyDescent="0.25">
      <c r="A2739">
        <v>99</v>
      </c>
      <c r="B2739">
        <v>3284</v>
      </c>
      <c r="C2739">
        <v>0</v>
      </c>
      <c r="D2739">
        <v>2</v>
      </c>
      <c r="E2739">
        <v>15</v>
      </c>
      <c r="F2739" t="s">
        <v>291</v>
      </c>
      <c r="G2739" t="s">
        <v>203</v>
      </c>
    </row>
    <row r="2740" spans="1:7" hidden="1" x14ac:dyDescent="0.25">
      <c r="A2740">
        <v>99</v>
      </c>
      <c r="B2740">
        <v>7188</v>
      </c>
      <c r="C2740">
        <v>0</v>
      </c>
      <c r="D2740">
        <v>2</v>
      </c>
      <c r="E2740">
        <v>15</v>
      </c>
      <c r="F2740" t="s">
        <v>291</v>
      </c>
      <c r="G2740" t="s">
        <v>231</v>
      </c>
    </row>
    <row r="2741" spans="1:7" hidden="1" x14ac:dyDescent="0.25">
      <c r="A2741">
        <v>99</v>
      </c>
      <c r="B2741">
        <v>7300</v>
      </c>
      <c r="C2741">
        <v>0</v>
      </c>
      <c r="D2741">
        <v>2</v>
      </c>
      <c r="E2741">
        <v>15</v>
      </c>
      <c r="F2741" t="s">
        <v>291</v>
      </c>
      <c r="G2741" t="s">
        <v>203</v>
      </c>
    </row>
    <row r="2742" spans="1:7" hidden="1" x14ac:dyDescent="0.25">
      <c r="A2742">
        <v>99</v>
      </c>
      <c r="B2742">
        <v>7552</v>
      </c>
      <c r="C2742">
        <v>0</v>
      </c>
      <c r="D2742">
        <v>2</v>
      </c>
      <c r="E2742">
        <v>15</v>
      </c>
      <c r="F2742" t="s">
        <v>291</v>
      </c>
      <c r="G2742" t="s">
        <v>203</v>
      </c>
    </row>
    <row r="2743" spans="1:7" hidden="1" x14ac:dyDescent="0.25">
      <c r="A2743">
        <v>99</v>
      </c>
      <c r="B2743">
        <v>8004</v>
      </c>
      <c r="C2743">
        <v>0</v>
      </c>
      <c r="D2743">
        <v>2</v>
      </c>
      <c r="E2743">
        <v>15</v>
      </c>
      <c r="F2743" t="s">
        <v>291</v>
      </c>
      <c r="G2743" t="s">
        <v>203</v>
      </c>
    </row>
    <row r="2744" spans="1:7" hidden="1" x14ac:dyDescent="0.25">
      <c r="A2744">
        <v>99</v>
      </c>
      <c r="B2744">
        <v>8144</v>
      </c>
      <c r="C2744">
        <v>0</v>
      </c>
      <c r="D2744">
        <v>2</v>
      </c>
      <c r="E2744">
        <v>15</v>
      </c>
      <c r="F2744" t="s">
        <v>291</v>
      </c>
      <c r="G2744" t="s">
        <v>203</v>
      </c>
    </row>
    <row r="2745" spans="1:7" hidden="1" x14ac:dyDescent="0.25">
      <c r="A2745">
        <v>99</v>
      </c>
      <c r="B2745">
        <v>9032</v>
      </c>
      <c r="C2745">
        <v>0</v>
      </c>
      <c r="D2745">
        <v>2</v>
      </c>
      <c r="E2745">
        <v>15</v>
      </c>
      <c r="F2745" t="s">
        <v>291</v>
      </c>
      <c r="G2745" t="s">
        <v>203</v>
      </c>
    </row>
    <row r="2746" spans="1:7" hidden="1" x14ac:dyDescent="0.25">
      <c r="A2746">
        <v>99</v>
      </c>
      <c r="B2746">
        <v>9072</v>
      </c>
      <c r="C2746">
        <v>0</v>
      </c>
      <c r="D2746">
        <v>2</v>
      </c>
      <c r="E2746">
        <v>15</v>
      </c>
      <c r="F2746" t="s">
        <v>291</v>
      </c>
      <c r="G2746" t="s">
        <v>203</v>
      </c>
    </row>
    <row r="2747" spans="1:7" hidden="1" x14ac:dyDescent="0.25">
      <c r="A2747">
        <v>99</v>
      </c>
      <c r="B2747">
        <v>9272</v>
      </c>
      <c r="C2747">
        <v>0</v>
      </c>
      <c r="D2747">
        <v>2</v>
      </c>
      <c r="E2747">
        <v>15</v>
      </c>
      <c r="F2747" t="s">
        <v>291</v>
      </c>
      <c r="G2747" t="s">
        <v>203</v>
      </c>
    </row>
    <row r="2748" spans="1:7" hidden="1" x14ac:dyDescent="0.25">
      <c r="A2748">
        <v>99</v>
      </c>
      <c r="B2748">
        <v>10420</v>
      </c>
      <c r="C2748">
        <v>0</v>
      </c>
      <c r="D2748">
        <v>2</v>
      </c>
      <c r="E2748">
        <v>15</v>
      </c>
      <c r="F2748" t="s">
        <v>291</v>
      </c>
      <c r="G2748" t="s">
        <v>231</v>
      </c>
    </row>
    <row r="2749" spans="1:7" hidden="1" x14ac:dyDescent="0.25">
      <c r="A2749">
        <v>99</v>
      </c>
      <c r="B2749">
        <v>2068</v>
      </c>
      <c r="C2749">
        <v>0</v>
      </c>
      <c r="D2749">
        <v>2</v>
      </c>
      <c r="E2749">
        <v>16</v>
      </c>
      <c r="F2749" t="s">
        <v>292</v>
      </c>
      <c r="G2749" t="s">
        <v>129</v>
      </c>
    </row>
    <row r="2750" spans="1:7" hidden="1" x14ac:dyDescent="0.25">
      <c r="A2750">
        <v>99</v>
      </c>
      <c r="B2750">
        <v>3284</v>
      </c>
      <c r="C2750">
        <v>0</v>
      </c>
      <c r="D2750">
        <v>2</v>
      </c>
      <c r="E2750">
        <v>16</v>
      </c>
      <c r="F2750" t="s">
        <v>292</v>
      </c>
      <c r="G2750" t="s">
        <v>129</v>
      </c>
    </row>
    <row r="2751" spans="1:7" hidden="1" x14ac:dyDescent="0.25">
      <c r="A2751">
        <v>99</v>
      </c>
      <c r="B2751">
        <v>7188</v>
      </c>
      <c r="C2751">
        <v>0</v>
      </c>
      <c r="D2751">
        <v>2</v>
      </c>
      <c r="E2751">
        <v>16</v>
      </c>
      <c r="F2751" t="s">
        <v>292</v>
      </c>
      <c r="G2751" t="s">
        <v>129</v>
      </c>
    </row>
    <row r="2752" spans="1:7" hidden="1" x14ac:dyDescent="0.25">
      <c r="A2752">
        <v>99</v>
      </c>
      <c r="B2752">
        <v>7300</v>
      </c>
      <c r="C2752">
        <v>0</v>
      </c>
      <c r="D2752">
        <v>2</v>
      </c>
      <c r="E2752">
        <v>16</v>
      </c>
      <c r="F2752" t="s">
        <v>292</v>
      </c>
      <c r="G2752" t="s">
        <v>129</v>
      </c>
    </row>
    <row r="2753" spans="1:7" hidden="1" x14ac:dyDescent="0.25">
      <c r="A2753">
        <v>99</v>
      </c>
      <c r="B2753">
        <v>7552</v>
      </c>
      <c r="C2753">
        <v>0</v>
      </c>
      <c r="D2753">
        <v>2</v>
      </c>
      <c r="E2753">
        <v>16</v>
      </c>
      <c r="F2753" t="s">
        <v>292</v>
      </c>
      <c r="G2753" t="s">
        <v>129</v>
      </c>
    </row>
    <row r="2754" spans="1:7" hidden="1" x14ac:dyDescent="0.25">
      <c r="A2754">
        <v>99</v>
      </c>
      <c r="B2754">
        <v>8004</v>
      </c>
      <c r="C2754">
        <v>0</v>
      </c>
      <c r="D2754">
        <v>2</v>
      </c>
      <c r="E2754">
        <v>16</v>
      </c>
      <c r="F2754" t="s">
        <v>292</v>
      </c>
      <c r="G2754" t="s">
        <v>129</v>
      </c>
    </row>
    <row r="2755" spans="1:7" hidden="1" x14ac:dyDescent="0.25">
      <c r="A2755">
        <v>99</v>
      </c>
      <c r="B2755">
        <v>8144</v>
      </c>
      <c r="C2755">
        <v>0</v>
      </c>
      <c r="D2755">
        <v>2</v>
      </c>
      <c r="E2755">
        <v>16</v>
      </c>
      <c r="F2755" t="s">
        <v>292</v>
      </c>
      <c r="G2755" t="s">
        <v>129</v>
      </c>
    </row>
    <row r="2756" spans="1:7" hidden="1" x14ac:dyDescent="0.25">
      <c r="A2756">
        <v>99</v>
      </c>
      <c r="B2756">
        <v>9032</v>
      </c>
      <c r="C2756">
        <v>0</v>
      </c>
      <c r="D2756">
        <v>2</v>
      </c>
      <c r="E2756">
        <v>16</v>
      </c>
      <c r="F2756" t="s">
        <v>292</v>
      </c>
      <c r="G2756" t="s">
        <v>129</v>
      </c>
    </row>
    <row r="2757" spans="1:7" hidden="1" x14ac:dyDescent="0.25">
      <c r="A2757">
        <v>99</v>
      </c>
      <c r="B2757">
        <v>9072</v>
      </c>
      <c r="C2757">
        <v>0</v>
      </c>
      <c r="D2757">
        <v>2</v>
      </c>
      <c r="E2757">
        <v>16</v>
      </c>
      <c r="F2757" t="s">
        <v>292</v>
      </c>
      <c r="G2757" t="s">
        <v>129</v>
      </c>
    </row>
    <row r="2758" spans="1:7" hidden="1" x14ac:dyDescent="0.25">
      <c r="A2758">
        <v>99</v>
      </c>
      <c r="B2758">
        <v>9272</v>
      </c>
      <c r="C2758">
        <v>0</v>
      </c>
      <c r="D2758">
        <v>2</v>
      </c>
      <c r="E2758">
        <v>16</v>
      </c>
      <c r="F2758" t="s">
        <v>292</v>
      </c>
      <c r="G2758" t="s">
        <v>129</v>
      </c>
    </row>
    <row r="2759" spans="1:7" hidden="1" x14ac:dyDescent="0.25">
      <c r="A2759">
        <v>99</v>
      </c>
      <c r="B2759">
        <v>10420</v>
      </c>
      <c r="C2759">
        <v>0</v>
      </c>
      <c r="D2759">
        <v>2</v>
      </c>
      <c r="E2759">
        <v>16</v>
      </c>
      <c r="F2759" t="s">
        <v>292</v>
      </c>
      <c r="G2759" t="s">
        <v>129</v>
      </c>
    </row>
    <row r="2760" spans="1:7" hidden="1" x14ac:dyDescent="0.25">
      <c r="A2760">
        <v>99</v>
      </c>
      <c r="B2760">
        <v>2068</v>
      </c>
      <c r="C2760">
        <v>0</v>
      </c>
      <c r="D2760">
        <v>2</v>
      </c>
      <c r="E2760">
        <v>18</v>
      </c>
      <c r="F2760" t="s">
        <v>294</v>
      </c>
      <c r="G2760" t="s">
        <v>304</v>
      </c>
    </row>
    <row r="2761" spans="1:7" hidden="1" x14ac:dyDescent="0.25">
      <c r="A2761">
        <v>99</v>
      </c>
      <c r="B2761">
        <v>3284</v>
      </c>
      <c r="C2761">
        <v>0</v>
      </c>
      <c r="D2761">
        <v>2</v>
      </c>
      <c r="E2761">
        <v>18</v>
      </c>
      <c r="F2761" t="s">
        <v>294</v>
      </c>
      <c r="G2761" t="s">
        <v>304</v>
      </c>
    </row>
    <row r="2762" spans="1:7" hidden="1" x14ac:dyDescent="0.25">
      <c r="A2762">
        <v>99</v>
      </c>
      <c r="B2762">
        <v>7188</v>
      </c>
      <c r="C2762">
        <v>0</v>
      </c>
      <c r="D2762">
        <v>2</v>
      </c>
      <c r="E2762">
        <v>18</v>
      </c>
      <c r="F2762" t="s">
        <v>294</v>
      </c>
      <c r="G2762" t="s">
        <v>304</v>
      </c>
    </row>
    <row r="2763" spans="1:7" hidden="1" x14ac:dyDescent="0.25">
      <c r="A2763">
        <v>99</v>
      </c>
      <c r="B2763">
        <v>7300</v>
      </c>
      <c r="C2763">
        <v>0</v>
      </c>
      <c r="D2763">
        <v>2</v>
      </c>
      <c r="E2763">
        <v>18</v>
      </c>
      <c r="F2763" t="s">
        <v>294</v>
      </c>
      <c r="G2763" t="s">
        <v>304</v>
      </c>
    </row>
    <row r="2764" spans="1:7" hidden="1" x14ac:dyDescent="0.25">
      <c r="A2764">
        <v>99</v>
      </c>
      <c r="B2764">
        <v>7552</v>
      </c>
      <c r="C2764">
        <v>0</v>
      </c>
      <c r="D2764">
        <v>2</v>
      </c>
      <c r="E2764">
        <v>18</v>
      </c>
      <c r="F2764" t="s">
        <v>294</v>
      </c>
      <c r="G2764" t="s">
        <v>304</v>
      </c>
    </row>
    <row r="2765" spans="1:7" hidden="1" x14ac:dyDescent="0.25">
      <c r="A2765">
        <v>99</v>
      </c>
      <c r="B2765">
        <v>8004</v>
      </c>
      <c r="C2765">
        <v>0</v>
      </c>
      <c r="D2765">
        <v>2</v>
      </c>
      <c r="E2765">
        <v>18</v>
      </c>
      <c r="F2765" t="s">
        <v>294</v>
      </c>
      <c r="G2765" t="s">
        <v>304</v>
      </c>
    </row>
    <row r="2766" spans="1:7" hidden="1" x14ac:dyDescent="0.25">
      <c r="A2766">
        <v>99</v>
      </c>
      <c r="B2766">
        <v>8144</v>
      </c>
      <c r="C2766">
        <v>0</v>
      </c>
      <c r="D2766">
        <v>2</v>
      </c>
      <c r="E2766">
        <v>18</v>
      </c>
      <c r="F2766" t="s">
        <v>294</v>
      </c>
      <c r="G2766" t="s">
        <v>304</v>
      </c>
    </row>
    <row r="2767" spans="1:7" hidden="1" x14ac:dyDescent="0.25">
      <c r="A2767">
        <v>99</v>
      </c>
      <c r="B2767">
        <v>9032</v>
      </c>
      <c r="C2767">
        <v>0</v>
      </c>
      <c r="D2767">
        <v>2</v>
      </c>
      <c r="E2767">
        <v>18</v>
      </c>
      <c r="F2767" t="s">
        <v>294</v>
      </c>
      <c r="G2767" t="s">
        <v>304</v>
      </c>
    </row>
    <row r="2768" spans="1:7" hidden="1" x14ac:dyDescent="0.25">
      <c r="A2768">
        <v>99</v>
      </c>
      <c r="B2768">
        <v>9072</v>
      </c>
      <c r="C2768">
        <v>0</v>
      </c>
      <c r="D2768">
        <v>2</v>
      </c>
      <c r="E2768">
        <v>18</v>
      </c>
      <c r="F2768" t="s">
        <v>294</v>
      </c>
      <c r="G2768" t="s">
        <v>304</v>
      </c>
    </row>
    <row r="2769" spans="1:7" hidden="1" x14ac:dyDescent="0.25">
      <c r="A2769">
        <v>99</v>
      </c>
      <c r="B2769">
        <v>9272</v>
      </c>
      <c r="C2769">
        <v>0</v>
      </c>
      <c r="D2769">
        <v>2</v>
      </c>
      <c r="E2769">
        <v>18</v>
      </c>
      <c r="F2769" t="s">
        <v>294</v>
      </c>
      <c r="G2769" t="s">
        <v>304</v>
      </c>
    </row>
    <row r="2770" spans="1:7" hidden="1" x14ac:dyDescent="0.25">
      <c r="A2770">
        <v>99</v>
      </c>
      <c r="B2770">
        <v>10420</v>
      </c>
      <c r="C2770">
        <v>0</v>
      </c>
      <c r="D2770">
        <v>2</v>
      </c>
      <c r="E2770">
        <v>18</v>
      </c>
      <c r="F2770" t="s">
        <v>294</v>
      </c>
      <c r="G2770" t="s">
        <v>304</v>
      </c>
    </row>
    <row r="2771" spans="1:7" hidden="1" x14ac:dyDescent="0.25">
      <c r="A2771">
        <v>99</v>
      </c>
      <c r="B2771">
        <v>2068</v>
      </c>
      <c r="C2771">
        <v>0</v>
      </c>
      <c r="D2771">
        <v>2</v>
      </c>
      <c r="E2771">
        <v>23</v>
      </c>
      <c r="F2771" t="s">
        <v>299</v>
      </c>
      <c r="G2771" t="s">
        <v>155</v>
      </c>
    </row>
    <row r="2772" spans="1:7" hidden="1" x14ac:dyDescent="0.25">
      <c r="A2772">
        <v>99</v>
      </c>
      <c r="B2772">
        <v>3284</v>
      </c>
      <c r="C2772">
        <v>0</v>
      </c>
      <c r="D2772">
        <v>2</v>
      </c>
      <c r="E2772">
        <v>23</v>
      </c>
      <c r="F2772" t="s">
        <v>299</v>
      </c>
      <c r="G2772" t="s">
        <v>206</v>
      </c>
    </row>
    <row r="2773" spans="1:7" hidden="1" x14ac:dyDescent="0.25">
      <c r="A2773">
        <v>99</v>
      </c>
      <c r="B2773">
        <v>7188</v>
      </c>
      <c r="C2773">
        <v>0</v>
      </c>
      <c r="D2773">
        <v>2</v>
      </c>
      <c r="E2773">
        <v>23</v>
      </c>
      <c r="F2773" t="s">
        <v>299</v>
      </c>
      <c r="G2773" t="s">
        <v>155</v>
      </c>
    </row>
    <row r="2774" spans="1:7" hidden="1" x14ac:dyDescent="0.25">
      <c r="A2774">
        <v>99</v>
      </c>
      <c r="B2774">
        <v>7300</v>
      </c>
      <c r="C2774">
        <v>0</v>
      </c>
      <c r="D2774">
        <v>2</v>
      </c>
      <c r="E2774">
        <v>23</v>
      </c>
      <c r="F2774" t="s">
        <v>299</v>
      </c>
      <c r="G2774" t="s">
        <v>206</v>
      </c>
    </row>
    <row r="2775" spans="1:7" hidden="1" x14ac:dyDescent="0.25">
      <c r="A2775">
        <v>99</v>
      </c>
      <c r="B2775">
        <v>7552</v>
      </c>
      <c r="C2775">
        <v>0</v>
      </c>
      <c r="D2775">
        <v>2</v>
      </c>
      <c r="E2775">
        <v>23</v>
      </c>
      <c r="F2775" t="s">
        <v>299</v>
      </c>
      <c r="G2775" t="s">
        <v>206</v>
      </c>
    </row>
    <row r="2776" spans="1:7" hidden="1" x14ac:dyDescent="0.25">
      <c r="A2776">
        <v>99</v>
      </c>
      <c r="B2776">
        <v>8004</v>
      </c>
      <c r="C2776">
        <v>0</v>
      </c>
      <c r="D2776">
        <v>2</v>
      </c>
      <c r="E2776">
        <v>23</v>
      </c>
      <c r="F2776" t="s">
        <v>299</v>
      </c>
      <c r="G2776" t="s">
        <v>206</v>
      </c>
    </row>
    <row r="2777" spans="1:7" hidden="1" x14ac:dyDescent="0.25">
      <c r="A2777">
        <v>99</v>
      </c>
      <c r="B2777">
        <v>8144</v>
      </c>
      <c r="C2777">
        <v>0</v>
      </c>
      <c r="D2777">
        <v>2</v>
      </c>
      <c r="E2777">
        <v>23</v>
      </c>
      <c r="F2777" t="s">
        <v>299</v>
      </c>
      <c r="G2777" t="s">
        <v>206</v>
      </c>
    </row>
    <row r="2778" spans="1:7" hidden="1" x14ac:dyDescent="0.25">
      <c r="A2778">
        <v>99</v>
      </c>
      <c r="B2778">
        <v>9032</v>
      </c>
      <c r="C2778">
        <v>0</v>
      </c>
      <c r="D2778">
        <v>2</v>
      </c>
      <c r="E2778">
        <v>23</v>
      </c>
      <c r="F2778" t="s">
        <v>299</v>
      </c>
      <c r="G2778" t="s">
        <v>206</v>
      </c>
    </row>
    <row r="2779" spans="1:7" hidden="1" x14ac:dyDescent="0.25">
      <c r="A2779">
        <v>99</v>
      </c>
      <c r="B2779">
        <v>9072</v>
      </c>
      <c r="C2779">
        <v>0</v>
      </c>
      <c r="D2779">
        <v>2</v>
      </c>
      <c r="E2779">
        <v>23</v>
      </c>
      <c r="F2779" t="s">
        <v>299</v>
      </c>
      <c r="G2779" t="s">
        <v>206</v>
      </c>
    </row>
    <row r="2780" spans="1:7" hidden="1" x14ac:dyDescent="0.25">
      <c r="A2780">
        <v>99</v>
      </c>
      <c r="B2780">
        <v>9272</v>
      </c>
      <c r="C2780">
        <v>0</v>
      </c>
      <c r="D2780">
        <v>2</v>
      </c>
      <c r="E2780">
        <v>23</v>
      </c>
      <c r="F2780" t="s">
        <v>299</v>
      </c>
      <c r="G2780" t="s">
        <v>206</v>
      </c>
    </row>
    <row r="2781" spans="1:7" hidden="1" x14ac:dyDescent="0.25">
      <c r="A2781">
        <v>99</v>
      </c>
      <c r="B2781">
        <v>10420</v>
      </c>
      <c r="C2781">
        <v>0</v>
      </c>
      <c r="D2781">
        <v>2</v>
      </c>
      <c r="E2781">
        <v>23</v>
      </c>
      <c r="F2781" t="s">
        <v>299</v>
      </c>
      <c r="G2781" t="s">
        <v>155</v>
      </c>
    </row>
    <row r="2782" spans="1:7" hidden="1" x14ac:dyDescent="0.25">
      <c r="A2782">
        <v>99</v>
      </c>
      <c r="B2782">
        <v>3284</v>
      </c>
      <c r="C2782">
        <v>0</v>
      </c>
      <c r="D2782">
        <v>2</v>
      </c>
      <c r="E2782">
        <v>32</v>
      </c>
      <c r="F2782" t="s">
        <v>313</v>
      </c>
      <c r="G2782" t="s">
        <v>130</v>
      </c>
    </row>
    <row r="2783" spans="1:7" hidden="1" x14ac:dyDescent="0.25">
      <c r="A2783">
        <v>99</v>
      </c>
      <c r="B2783">
        <v>7300</v>
      </c>
      <c r="C2783">
        <v>0</v>
      </c>
      <c r="D2783">
        <v>2</v>
      </c>
      <c r="E2783">
        <v>32</v>
      </c>
      <c r="F2783" t="s">
        <v>313</v>
      </c>
      <c r="G2783" t="s">
        <v>342</v>
      </c>
    </row>
    <row r="2784" spans="1:7" hidden="1" x14ac:dyDescent="0.25">
      <c r="A2784">
        <v>99</v>
      </c>
      <c r="B2784">
        <v>7552</v>
      </c>
      <c r="C2784">
        <v>0</v>
      </c>
      <c r="D2784">
        <v>2</v>
      </c>
      <c r="E2784">
        <v>32</v>
      </c>
      <c r="F2784" t="s">
        <v>313</v>
      </c>
      <c r="G2784" t="s">
        <v>130</v>
      </c>
    </row>
    <row r="2785" spans="1:7" hidden="1" x14ac:dyDescent="0.25">
      <c r="A2785">
        <v>99</v>
      </c>
      <c r="B2785">
        <v>8004</v>
      </c>
      <c r="C2785">
        <v>0</v>
      </c>
      <c r="D2785">
        <v>2</v>
      </c>
      <c r="E2785">
        <v>32</v>
      </c>
      <c r="F2785" t="s">
        <v>313</v>
      </c>
      <c r="G2785" t="s">
        <v>130</v>
      </c>
    </row>
    <row r="2786" spans="1:7" hidden="1" x14ac:dyDescent="0.25">
      <c r="A2786">
        <v>99</v>
      </c>
      <c r="B2786">
        <v>8144</v>
      </c>
      <c r="C2786">
        <v>0</v>
      </c>
      <c r="D2786">
        <v>2</v>
      </c>
      <c r="E2786">
        <v>32</v>
      </c>
      <c r="F2786" t="s">
        <v>313</v>
      </c>
      <c r="G2786" t="s">
        <v>130</v>
      </c>
    </row>
    <row r="2787" spans="1:7" hidden="1" x14ac:dyDescent="0.25">
      <c r="A2787">
        <v>99</v>
      </c>
      <c r="B2787">
        <v>9032</v>
      </c>
      <c r="C2787">
        <v>0</v>
      </c>
      <c r="D2787">
        <v>2</v>
      </c>
      <c r="E2787">
        <v>32</v>
      </c>
      <c r="F2787" t="s">
        <v>313</v>
      </c>
      <c r="G2787" t="s">
        <v>342</v>
      </c>
    </row>
    <row r="2788" spans="1:7" hidden="1" x14ac:dyDescent="0.25">
      <c r="A2788">
        <v>99</v>
      </c>
      <c r="B2788">
        <v>9072</v>
      </c>
      <c r="C2788">
        <v>0</v>
      </c>
      <c r="D2788">
        <v>2</v>
      </c>
      <c r="E2788">
        <v>32</v>
      </c>
      <c r="F2788" t="s">
        <v>313</v>
      </c>
      <c r="G2788" t="s">
        <v>130</v>
      </c>
    </row>
    <row r="2789" spans="1:7" hidden="1" x14ac:dyDescent="0.25">
      <c r="A2789">
        <v>99</v>
      </c>
      <c r="B2789">
        <v>9272</v>
      </c>
      <c r="C2789">
        <v>0</v>
      </c>
      <c r="D2789">
        <v>2</v>
      </c>
      <c r="E2789">
        <v>32</v>
      </c>
      <c r="F2789" t="s">
        <v>313</v>
      </c>
      <c r="G2789" t="s">
        <v>130</v>
      </c>
    </row>
    <row r="2790" spans="1:7" hidden="1" x14ac:dyDescent="0.25">
      <c r="A2790">
        <v>99</v>
      </c>
      <c r="B2790">
        <v>3284</v>
      </c>
      <c r="C2790">
        <v>0</v>
      </c>
      <c r="D2790">
        <v>2</v>
      </c>
      <c r="E2790">
        <v>31</v>
      </c>
      <c r="F2790" t="s">
        <v>312</v>
      </c>
      <c r="G2790" t="s">
        <v>195</v>
      </c>
    </row>
    <row r="2791" spans="1:7" hidden="1" x14ac:dyDescent="0.25">
      <c r="A2791">
        <v>99</v>
      </c>
      <c r="B2791">
        <v>7300</v>
      </c>
      <c r="C2791">
        <v>0</v>
      </c>
      <c r="D2791">
        <v>2</v>
      </c>
      <c r="E2791">
        <v>31</v>
      </c>
      <c r="F2791" t="s">
        <v>312</v>
      </c>
      <c r="G2791" t="s">
        <v>348</v>
      </c>
    </row>
    <row r="2792" spans="1:7" hidden="1" x14ac:dyDescent="0.25">
      <c r="A2792">
        <v>99</v>
      </c>
      <c r="B2792">
        <v>7552</v>
      </c>
      <c r="C2792">
        <v>0</v>
      </c>
      <c r="D2792">
        <v>2</v>
      </c>
      <c r="E2792">
        <v>31</v>
      </c>
      <c r="F2792" t="s">
        <v>312</v>
      </c>
      <c r="G2792" t="s">
        <v>195</v>
      </c>
    </row>
    <row r="2793" spans="1:7" hidden="1" x14ac:dyDescent="0.25">
      <c r="A2793">
        <v>99</v>
      </c>
      <c r="B2793">
        <v>8004</v>
      </c>
      <c r="C2793">
        <v>0</v>
      </c>
      <c r="D2793">
        <v>2</v>
      </c>
      <c r="E2793">
        <v>31</v>
      </c>
      <c r="F2793" t="s">
        <v>312</v>
      </c>
      <c r="G2793" t="s">
        <v>351</v>
      </c>
    </row>
    <row r="2794" spans="1:7" hidden="1" x14ac:dyDescent="0.25">
      <c r="A2794">
        <v>99</v>
      </c>
      <c r="B2794">
        <v>8144</v>
      </c>
      <c r="C2794">
        <v>0</v>
      </c>
      <c r="D2794">
        <v>2</v>
      </c>
      <c r="E2794">
        <v>31</v>
      </c>
      <c r="F2794" t="s">
        <v>312</v>
      </c>
      <c r="G2794" t="s">
        <v>195</v>
      </c>
    </row>
    <row r="2795" spans="1:7" hidden="1" x14ac:dyDescent="0.25">
      <c r="A2795">
        <v>99</v>
      </c>
      <c r="B2795">
        <v>9032</v>
      </c>
      <c r="C2795">
        <v>0</v>
      </c>
      <c r="D2795">
        <v>2</v>
      </c>
      <c r="E2795">
        <v>31</v>
      </c>
      <c r="F2795" t="s">
        <v>312</v>
      </c>
      <c r="G2795" t="s">
        <v>348</v>
      </c>
    </row>
    <row r="2796" spans="1:7" hidden="1" x14ac:dyDescent="0.25">
      <c r="A2796">
        <v>99</v>
      </c>
      <c r="B2796">
        <v>9072</v>
      </c>
      <c r="C2796">
        <v>0</v>
      </c>
      <c r="D2796">
        <v>2</v>
      </c>
      <c r="E2796">
        <v>31</v>
      </c>
      <c r="F2796" t="s">
        <v>312</v>
      </c>
      <c r="G2796" t="s">
        <v>195</v>
      </c>
    </row>
    <row r="2797" spans="1:7" hidden="1" x14ac:dyDescent="0.25">
      <c r="A2797">
        <v>99</v>
      </c>
      <c r="B2797">
        <v>9272</v>
      </c>
      <c r="C2797">
        <v>0</v>
      </c>
      <c r="D2797">
        <v>2</v>
      </c>
      <c r="E2797">
        <v>31</v>
      </c>
      <c r="F2797" t="s">
        <v>312</v>
      </c>
      <c r="G2797" t="s">
        <v>348</v>
      </c>
    </row>
    <row r="2798" spans="1:7" hidden="1" x14ac:dyDescent="0.25">
      <c r="A2798">
        <v>99</v>
      </c>
      <c r="B2798">
        <v>3284</v>
      </c>
      <c r="C2798">
        <v>0</v>
      </c>
      <c r="D2798">
        <v>2</v>
      </c>
      <c r="E2798">
        <v>33</v>
      </c>
      <c r="F2798" t="s">
        <v>314</v>
      </c>
      <c r="G2798" t="s">
        <v>124</v>
      </c>
    </row>
    <row r="2799" spans="1:7" hidden="1" x14ac:dyDescent="0.25">
      <c r="A2799">
        <v>99</v>
      </c>
      <c r="B2799">
        <v>7300</v>
      </c>
      <c r="C2799">
        <v>0</v>
      </c>
      <c r="D2799">
        <v>2</v>
      </c>
      <c r="E2799">
        <v>33</v>
      </c>
      <c r="F2799" t="s">
        <v>314</v>
      </c>
      <c r="G2799" t="s">
        <v>124</v>
      </c>
    </row>
    <row r="2800" spans="1:7" hidden="1" x14ac:dyDescent="0.25">
      <c r="A2800">
        <v>99</v>
      </c>
      <c r="B2800">
        <v>7552</v>
      </c>
      <c r="C2800">
        <v>0</v>
      </c>
      <c r="D2800">
        <v>2</v>
      </c>
      <c r="E2800">
        <v>33</v>
      </c>
      <c r="F2800" t="s">
        <v>314</v>
      </c>
      <c r="G2800" t="s">
        <v>124</v>
      </c>
    </row>
    <row r="2801" spans="1:7" hidden="1" x14ac:dyDescent="0.25">
      <c r="A2801">
        <v>99</v>
      </c>
      <c r="B2801">
        <v>8004</v>
      </c>
      <c r="C2801">
        <v>0</v>
      </c>
      <c r="D2801">
        <v>2</v>
      </c>
      <c r="E2801">
        <v>33</v>
      </c>
      <c r="F2801" t="s">
        <v>314</v>
      </c>
      <c r="G2801" t="s">
        <v>124</v>
      </c>
    </row>
    <row r="2802" spans="1:7" hidden="1" x14ac:dyDescent="0.25">
      <c r="A2802">
        <v>99</v>
      </c>
      <c r="B2802">
        <v>8144</v>
      </c>
      <c r="C2802">
        <v>0</v>
      </c>
      <c r="D2802">
        <v>2</v>
      </c>
      <c r="E2802">
        <v>33</v>
      </c>
      <c r="F2802" t="s">
        <v>314</v>
      </c>
      <c r="G2802" t="s">
        <v>124</v>
      </c>
    </row>
    <row r="2803" spans="1:7" hidden="1" x14ac:dyDescent="0.25">
      <c r="A2803">
        <v>99</v>
      </c>
      <c r="B2803">
        <v>9032</v>
      </c>
      <c r="C2803">
        <v>0</v>
      </c>
      <c r="D2803">
        <v>2</v>
      </c>
      <c r="E2803">
        <v>33</v>
      </c>
      <c r="F2803" t="s">
        <v>314</v>
      </c>
      <c r="G2803" t="s">
        <v>124</v>
      </c>
    </row>
    <row r="2804" spans="1:7" hidden="1" x14ac:dyDescent="0.25">
      <c r="A2804">
        <v>99</v>
      </c>
      <c r="B2804">
        <v>9072</v>
      </c>
      <c r="C2804">
        <v>0</v>
      </c>
      <c r="D2804">
        <v>2</v>
      </c>
      <c r="E2804">
        <v>33</v>
      </c>
      <c r="F2804" t="s">
        <v>314</v>
      </c>
      <c r="G2804" t="s">
        <v>124</v>
      </c>
    </row>
    <row r="2805" spans="1:7" hidden="1" x14ac:dyDescent="0.25">
      <c r="A2805">
        <v>99</v>
      </c>
      <c r="B2805">
        <v>9272</v>
      </c>
      <c r="C2805">
        <v>0</v>
      </c>
      <c r="D2805">
        <v>2</v>
      </c>
      <c r="E2805">
        <v>33</v>
      </c>
      <c r="F2805" t="s">
        <v>314</v>
      </c>
      <c r="G2805" t="s">
        <v>124</v>
      </c>
    </row>
    <row r="2806" spans="1:7" hidden="1" x14ac:dyDescent="0.25">
      <c r="A2806">
        <v>99</v>
      </c>
      <c r="B2806">
        <v>3284</v>
      </c>
      <c r="C2806">
        <v>0</v>
      </c>
      <c r="D2806">
        <v>2</v>
      </c>
      <c r="E2806">
        <v>34</v>
      </c>
      <c r="F2806" t="s">
        <v>315</v>
      </c>
      <c r="G2806" t="s">
        <v>131</v>
      </c>
    </row>
    <row r="2807" spans="1:7" hidden="1" x14ac:dyDescent="0.25">
      <c r="A2807">
        <v>99</v>
      </c>
      <c r="B2807">
        <v>7300</v>
      </c>
      <c r="C2807">
        <v>0</v>
      </c>
      <c r="D2807">
        <v>2</v>
      </c>
      <c r="E2807">
        <v>34</v>
      </c>
      <c r="F2807" t="s">
        <v>315</v>
      </c>
      <c r="G2807" t="s">
        <v>131</v>
      </c>
    </row>
    <row r="2808" spans="1:7" hidden="1" x14ac:dyDescent="0.25">
      <c r="A2808">
        <v>99</v>
      </c>
      <c r="B2808">
        <v>7552</v>
      </c>
      <c r="C2808">
        <v>0</v>
      </c>
      <c r="D2808">
        <v>2</v>
      </c>
      <c r="E2808">
        <v>34</v>
      </c>
      <c r="F2808" t="s">
        <v>315</v>
      </c>
      <c r="G2808" t="s">
        <v>131</v>
      </c>
    </row>
    <row r="2809" spans="1:7" hidden="1" x14ac:dyDescent="0.25">
      <c r="A2809">
        <v>99</v>
      </c>
      <c r="B2809">
        <v>8004</v>
      </c>
      <c r="C2809">
        <v>0</v>
      </c>
      <c r="D2809">
        <v>2</v>
      </c>
      <c r="E2809">
        <v>34</v>
      </c>
      <c r="F2809" t="s">
        <v>315</v>
      </c>
      <c r="G2809" t="s">
        <v>131</v>
      </c>
    </row>
    <row r="2810" spans="1:7" hidden="1" x14ac:dyDescent="0.25">
      <c r="A2810">
        <v>99</v>
      </c>
      <c r="B2810">
        <v>8144</v>
      </c>
      <c r="C2810">
        <v>0</v>
      </c>
      <c r="D2810">
        <v>2</v>
      </c>
      <c r="E2810">
        <v>34</v>
      </c>
      <c r="F2810" t="s">
        <v>315</v>
      </c>
      <c r="G2810" t="s">
        <v>131</v>
      </c>
    </row>
    <row r="2811" spans="1:7" hidden="1" x14ac:dyDescent="0.25">
      <c r="A2811">
        <v>99</v>
      </c>
      <c r="B2811">
        <v>9032</v>
      </c>
      <c r="C2811">
        <v>0</v>
      </c>
      <c r="D2811">
        <v>2</v>
      </c>
      <c r="E2811">
        <v>34</v>
      </c>
      <c r="F2811" t="s">
        <v>315</v>
      </c>
      <c r="G2811" t="s">
        <v>131</v>
      </c>
    </row>
    <row r="2812" spans="1:7" hidden="1" x14ac:dyDescent="0.25">
      <c r="A2812">
        <v>99</v>
      </c>
      <c r="B2812">
        <v>9072</v>
      </c>
      <c r="C2812">
        <v>0</v>
      </c>
      <c r="D2812">
        <v>2</v>
      </c>
      <c r="E2812">
        <v>34</v>
      </c>
      <c r="F2812" t="s">
        <v>315</v>
      </c>
      <c r="G2812" t="s">
        <v>131</v>
      </c>
    </row>
    <row r="2813" spans="1:7" hidden="1" x14ac:dyDescent="0.25">
      <c r="A2813">
        <v>99</v>
      </c>
      <c r="B2813">
        <v>9272</v>
      </c>
      <c r="C2813">
        <v>0</v>
      </c>
      <c r="D2813">
        <v>2</v>
      </c>
      <c r="E2813">
        <v>34</v>
      </c>
      <c r="F2813" t="s">
        <v>315</v>
      </c>
      <c r="G2813" t="s">
        <v>131</v>
      </c>
    </row>
    <row r="2814" spans="1:7" hidden="1" x14ac:dyDescent="0.25">
      <c r="A2814">
        <v>99</v>
      </c>
      <c r="B2814">
        <v>3284</v>
      </c>
      <c r="C2814">
        <v>0</v>
      </c>
      <c r="D2814">
        <v>2</v>
      </c>
      <c r="E2814">
        <v>26</v>
      </c>
      <c r="F2814" t="s">
        <v>307</v>
      </c>
      <c r="G2814" t="s">
        <v>118</v>
      </c>
    </row>
    <row r="2815" spans="1:7" hidden="1" x14ac:dyDescent="0.25">
      <c r="A2815">
        <v>99</v>
      </c>
      <c r="B2815">
        <v>7300</v>
      </c>
      <c r="C2815">
        <v>0</v>
      </c>
      <c r="D2815">
        <v>2</v>
      </c>
      <c r="E2815">
        <v>26</v>
      </c>
      <c r="F2815" t="s">
        <v>307</v>
      </c>
      <c r="G2815" t="s">
        <v>118</v>
      </c>
    </row>
    <row r="2816" spans="1:7" hidden="1" x14ac:dyDescent="0.25">
      <c r="A2816">
        <v>99</v>
      </c>
      <c r="B2816">
        <v>7552</v>
      </c>
      <c r="C2816">
        <v>0</v>
      </c>
      <c r="D2816">
        <v>2</v>
      </c>
      <c r="E2816">
        <v>26</v>
      </c>
      <c r="F2816" t="s">
        <v>307</v>
      </c>
      <c r="G2816" t="s">
        <v>118</v>
      </c>
    </row>
    <row r="2817" spans="1:7" hidden="1" x14ac:dyDescent="0.25">
      <c r="A2817">
        <v>99</v>
      </c>
      <c r="B2817">
        <v>8004</v>
      </c>
      <c r="C2817">
        <v>0</v>
      </c>
      <c r="D2817">
        <v>2</v>
      </c>
      <c r="E2817">
        <v>26</v>
      </c>
      <c r="F2817" t="s">
        <v>307</v>
      </c>
      <c r="G2817" t="s">
        <v>118</v>
      </c>
    </row>
    <row r="2818" spans="1:7" hidden="1" x14ac:dyDescent="0.25">
      <c r="A2818">
        <v>99</v>
      </c>
      <c r="B2818">
        <v>8144</v>
      </c>
      <c r="C2818">
        <v>0</v>
      </c>
      <c r="D2818">
        <v>2</v>
      </c>
      <c r="E2818">
        <v>26</v>
      </c>
      <c r="F2818" t="s">
        <v>307</v>
      </c>
      <c r="G2818" t="s">
        <v>118</v>
      </c>
    </row>
    <row r="2819" spans="1:7" hidden="1" x14ac:dyDescent="0.25">
      <c r="A2819">
        <v>99</v>
      </c>
      <c r="B2819">
        <v>9032</v>
      </c>
      <c r="C2819">
        <v>0</v>
      </c>
      <c r="D2819">
        <v>2</v>
      </c>
      <c r="E2819">
        <v>26</v>
      </c>
      <c r="F2819" t="s">
        <v>307</v>
      </c>
      <c r="G2819" t="s">
        <v>118</v>
      </c>
    </row>
    <row r="2820" spans="1:7" hidden="1" x14ac:dyDescent="0.25">
      <c r="A2820">
        <v>99</v>
      </c>
      <c r="B2820">
        <v>9072</v>
      </c>
      <c r="C2820">
        <v>0</v>
      </c>
      <c r="D2820">
        <v>2</v>
      </c>
      <c r="E2820">
        <v>26</v>
      </c>
      <c r="F2820" t="s">
        <v>307</v>
      </c>
      <c r="G2820" t="s">
        <v>118</v>
      </c>
    </row>
    <row r="2821" spans="1:7" hidden="1" x14ac:dyDescent="0.25">
      <c r="A2821">
        <v>99</v>
      </c>
      <c r="B2821">
        <v>9272</v>
      </c>
      <c r="C2821">
        <v>0</v>
      </c>
      <c r="D2821">
        <v>2</v>
      </c>
      <c r="E2821">
        <v>26</v>
      </c>
      <c r="F2821" t="s">
        <v>307</v>
      </c>
      <c r="G2821" t="s">
        <v>118</v>
      </c>
    </row>
    <row r="2822" spans="1:7" hidden="1" x14ac:dyDescent="0.25">
      <c r="A2822">
        <v>99</v>
      </c>
      <c r="B2822">
        <v>3284</v>
      </c>
      <c r="C2822">
        <v>0</v>
      </c>
      <c r="D2822">
        <v>2</v>
      </c>
      <c r="E2822">
        <v>25</v>
      </c>
      <c r="F2822" t="s">
        <v>306</v>
      </c>
      <c r="G2822" t="s">
        <v>127</v>
      </c>
    </row>
    <row r="2823" spans="1:7" hidden="1" x14ac:dyDescent="0.25">
      <c r="A2823">
        <v>99</v>
      </c>
      <c r="B2823">
        <v>7300</v>
      </c>
      <c r="C2823">
        <v>0</v>
      </c>
      <c r="D2823">
        <v>2</v>
      </c>
      <c r="E2823">
        <v>25</v>
      </c>
      <c r="F2823" t="s">
        <v>306</v>
      </c>
      <c r="G2823" t="s">
        <v>127</v>
      </c>
    </row>
    <row r="2824" spans="1:7" hidden="1" x14ac:dyDescent="0.25">
      <c r="A2824">
        <v>99</v>
      </c>
      <c r="B2824">
        <v>7552</v>
      </c>
      <c r="C2824">
        <v>0</v>
      </c>
      <c r="D2824">
        <v>2</v>
      </c>
      <c r="E2824">
        <v>25</v>
      </c>
      <c r="F2824" t="s">
        <v>306</v>
      </c>
      <c r="G2824" t="s">
        <v>127</v>
      </c>
    </row>
    <row r="2825" spans="1:7" hidden="1" x14ac:dyDescent="0.25">
      <c r="A2825">
        <v>99</v>
      </c>
      <c r="B2825">
        <v>8004</v>
      </c>
      <c r="C2825">
        <v>0</v>
      </c>
      <c r="D2825">
        <v>2</v>
      </c>
      <c r="E2825">
        <v>25</v>
      </c>
      <c r="F2825" t="s">
        <v>306</v>
      </c>
      <c r="G2825" t="s">
        <v>127</v>
      </c>
    </row>
    <row r="2826" spans="1:7" hidden="1" x14ac:dyDescent="0.25">
      <c r="A2826">
        <v>99</v>
      </c>
      <c r="B2826">
        <v>8144</v>
      </c>
      <c r="C2826">
        <v>0</v>
      </c>
      <c r="D2826">
        <v>2</v>
      </c>
      <c r="E2826">
        <v>25</v>
      </c>
      <c r="F2826" t="s">
        <v>306</v>
      </c>
      <c r="G2826" t="s">
        <v>127</v>
      </c>
    </row>
    <row r="2827" spans="1:7" hidden="1" x14ac:dyDescent="0.25">
      <c r="A2827">
        <v>99</v>
      </c>
      <c r="B2827">
        <v>9032</v>
      </c>
      <c r="C2827">
        <v>0</v>
      </c>
      <c r="D2827">
        <v>2</v>
      </c>
      <c r="E2827">
        <v>25</v>
      </c>
      <c r="F2827" t="s">
        <v>306</v>
      </c>
      <c r="G2827" t="s">
        <v>127</v>
      </c>
    </row>
    <row r="2828" spans="1:7" hidden="1" x14ac:dyDescent="0.25">
      <c r="A2828">
        <v>99</v>
      </c>
      <c r="B2828">
        <v>9072</v>
      </c>
      <c r="C2828">
        <v>0</v>
      </c>
      <c r="D2828">
        <v>2</v>
      </c>
      <c r="E2828">
        <v>25</v>
      </c>
      <c r="F2828" t="s">
        <v>306</v>
      </c>
      <c r="G2828" t="s">
        <v>127</v>
      </c>
    </row>
    <row r="2829" spans="1:7" hidden="1" x14ac:dyDescent="0.25">
      <c r="A2829">
        <v>99</v>
      </c>
      <c r="B2829">
        <v>9272</v>
      </c>
      <c r="C2829">
        <v>0</v>
      </c>
      <c r="D2829">
        <v>2</v>
      </c>
      <c r="E2829">
        <v>25</v>
      </c>
      <c r="F2829" t="s">
        <v>306</v>
      </c>
      <c r="G2829" t="s">
        <v>127</v>
      </c>
    </row>
    <row r="2830" spans="1:7" hidden="1" x14ac:dyDescent="0.25">
      <c r="A2830">
        <v>99</v>
      </c>
      <c r="B2830">
        <v>3284</v>
      </c>
      <c r="C2830">
        <v>0</v>
      </c>
      <c r="D2830">
        <v>2</v>
      </c>
      <c r="E2830">
        <v>24</v>
      </c>
      <c r="F2830" t="s">
        <v>305</v>
      </c>
      <c r="G2830" t="s">
        <v>126</v>
      </c>
    </row>
    <row r="2831" spans="1:7" hidden="1" x14ac:dyDescent="0.25">
      <c r="A2831">
        <v>99</v>
      </c>
      <c r="B2831">
        <v>7300</v>
      </c>
      <c r="C2831">
        <v>0</v>
      </c>
      <c r="D2831">
        <v>2</v>
      </c>
      <c r="E2831">
        <v>24</v>
      </c>
      <c r="F2831" t="s">
        <v>305</v>
      </c>
      <c r="G2831" t="s">
        <v>126</v>
      </c>
    </row>
    <row r="2832" spans="1:7" hidden="1" x14ac:dyDescent="0.25">
      <c r="A2832">
        <v>99</v>
      </c>
      <c r="B2832">
        <v>7552</v>
      </c>
      <c r="C2832">
        <v>0</v>
      </c>
      <c r="D2832">
        <v>2</v>
      </c>
      <c r="E2832">
        <v>24</v>
      </c>
      <c r="F2832" t="s">
        <v>305</v>
      </c>
      <c r="G2832" t="s">
        <v>126</v>
      </c>
    </row>
    <row r="2833" spans="1:7" hidden="1" x14ac:dyDescent="0.25">
      <c r="A2833">
        <v>99</v>
      </c>
      <c r="B2833">
        <v>8004</v>
      </c>
      <c r="C2833">
        <v>0</v>
      </c>
      <c r="D2833">
        <v>2</v>
      </c>
      <c r="E2833">
        <v>24</v>
      </c>
      <c r="F2833" t="s">
        <v>305</v>
      </c>
      <c r="G2833" t="s">
        <v>126</v>
      </c>
    </row>
    <row r="2834" spans="1:7" hidden="1" x14ac:dyDescent="0.25">
      <c r="A2834">
        <v>99</v>
      </c>
      <c r="B2834">
        <v>8144</v>
      </c>
      <c r="C2834">
        <v>0</v>
      </c>
      <c r="D2834">
        <v>2</v>
      </c>
      <c r="E2834">
        <v>24</v>
      </c>
      <c r="F2834" t="s">
        <v>305</v>
      </c>
      <c r="G2834" t="s">
        <v>126</v>
      </c>
    </row>
    <row r="2835" spans="1:7" hidden="1" x14ac:dyDescent="0.25">
      <c r="A2835">
        <v>99</v>
      </c>
      <c r="B2835">
        <v>9032</v>
      </c>
      <c r="C2835">
        <v>0</v>
      </c>
      <c r="D2835">
        <v>2</v>
      </c>
      <c r="E2835">
        <v>24</v>
      </c>
      <c r="F2835" t="s">
        <v>305</v>
      </c>
      <c r="G2835" t="s">
        <v>126</v>
      </c>
    </row>
    <row r="2836" spans="1:7" hidden="1" x14ac:dyDescent="0.25">
      <c r="A2836">
        <v>99</v>
      </c>
      <c r="B2836">
        <v>9072</v>
      </c>
      <c r="C2836">
        <v>0</v>
      </c>
      <c r="D2836">
        <v>2</v>
      </c>
      <c r="E2836">
        <v>24</v>
      </c>
      <c r="F2836" t="s">
        <v>305</v>
      </c>
      <c r="G2836" t="s">
        <v>126</v>
      </c>
    </row>
    <row r="2837" spans="1:7" hidden="1" x14ac:dyDescent="0.25">
      <c r="A2837">
        <v>99</v>
      </c>
      <c r="B2837">
        <v>9272</v>
      </c>
      <c r="C2837">
        <v>0</v>
      </c>
      <c r="D2837">
        <v>2</v>
      </c>
      <c r="E2837">
        <v>24</v>
      </c>
      <c r="F2837" t="s">
        <v>305</v>
      </c>
      <c r="G2837" t="s">
        <v>126</v>
      </c>
    </row>
    <row r="2838" spans="1:7" hidden="1" x14ac:dyDescent="0.25">
      <c r="A2838">
        <v>99</v>
      </c>
      <c r="B2838">
        <v>3284</v>
      </c>
      <c r="C2838">
        <v>0</v>
      </c>
      <c r="D2838">
        <v>2</v>
      </c>
      <c r="E2838">
        <v>29</v>
      </c>
      <c r="F2838" t="s">
        <v>310</v>
      </c>
      <c r="G2838" t="s">
        <v>124</v>
      </c>
    </row>
    <row r="2839" spans="1:7" hidden="1" x14ac:dyDescent="0.25">
      <c r="A2839">
        <v>99</v>
      </c>
      <c r="B2839">
        <v>7300</v>
      </c>
      <c r="C2839">
        <v>0</v>
      </c>
      <c r="D2839">
        <v>2</v>
      </c>
      <c r="E2839">
        <v>29</v>
      </c>
      <c r="F2839" t="s">
        <v>310</v>
      </c>
      <c r="G2839" t="s">
        <v>124</v>
      </c>
    </row>
    <row r="2840" spans="1:7" hidden="1" x14ac:dyDescent="0.25">
      <c r="A2840">
        <v>99</v>
      </c>
      <c r="B2840">
        <v>7552</v>
      </c>
      <c r="C2840">
        <v>0</v>
      </c>
      <c r="D2840">
        <v>2</v>
      </c>
      <c r="E2840">
        <v>29</v>
      </c>
      <c r="F2840" t="s">
        <v>310</v>
      </c>
      <c r="G2840" t="s">
        <v>124</v>
      </c>
    </row>
    <row r="2841" spans="1:7" hidden="1" x14ac:dyDescent="0.25">
      <c r="A2841">
        <v>99</v>
      </c>
      <c r="B2841">
        <v>8004</v>
      </c>
      <c r="C2841">
        <v>0</v>
      </c>
      <c r="D2841">
        <v>2</v>
      </c>
      <c r="E2841">
        <v>29</v>
      </c>
      <c r="F2841" t="s">
        <v>310</v>
      </c>
      <c r="G2841" t="s">
        <v>124</v>
      </c>
    </row>
    <row r="2842" spans="1:7" hidden="1" x14ac:dyDescent="0.25">
      <c r="A2842">
        <v>99</v>
      </c>
      <c r="B2842">
        <v>8144</v>
      </c>
      <c r="C2842">
        <v>0</v>
      </c>
      <c r="D2842">
        <v>2</v>
      </c>
      <c r="E2842">
        <v>29</v>
      </c>
      <c r="F2842" t="s">
        <v>310</v>
      </c>
      <c r="G2842" t="s">
        <v>124</v>
      </c>
    </row>
    <row r="2843" spans="1:7" hidden="1" x14ac:dyDescent="0.25">
      <c r="A2843">
        <v>99</v>
      </c>
      <c r="B2843">
        <v>9032</v>
      </c>
      <c r="C2843">
        <v>0</v>
      </c>
      <c r="D2843">
        <v>2</v>
      </c>
      <c r="E2843">
        <v>29</v>
      </c>
      <c r="F2843" t="s">
        <v>310</v>
      </c>
      <c r="G2843" t="s">
        <v>124</v>
      </c>
    </row>
    <row r="2844" spans="1:7" hidden="1" x14ac:dyDescent="0.25">
      <c r="A2844">
        <v>99</v>
      </c>
      <c r="B2844">
        <v>9072</v>
      </c>
      <c r="C2844">
        <v>0</v>
      </c>
      <c r="D2844">
        <v>2</v>
      </c>
      <c r="E2844">
        <v>29</v>
      </c>
      <c r="F2844" t="s">
        <v>310</v>
      </c>
      <c r="G2844" t="s">
        <v>124</v>
      </c>
    </row>
    <row r="2845" spans="1:7" hidden="1" x14ac:dyDescent="0.25">
      <c r="A2845">
        <v>99</v>
      </c>
      <c r="B2845">
        <v>9272</v>
      </c>
      <c r="C2845">
        <v>0</v>
      </c>
      <c r="D2845">
        <v>2</v>
      </c>
      <c r="E2845">
        <v>29</v>
      </c>
      <c r="F2845" t="s">
        <v>310</v>
      </c>
      <c r="G2845" t="s">
        <v>124</v>
      </c>
    </row>
    <row r="2846" spans="1:7" hidden="1" x14ac:dyDescent="0.25">
      <c r="A2846">
        <v>99</v>
      </c>
      <c r="B2846">
        <v>3284</v>
      </c>
      <c r="C2846">
        <v>0</v>
      </c>
      <c r="D2846">
        <v>2</v>
      </c>
      <c r="E2846">
        <v>27</v>
      </c>
      <c r="F2846" t="s">
        <v>308</v>
      </c>
      <c r="G2846" t="s">
        <v>231</v>
      </c>
    </row>
    <row r="2847" spans="1:7" hidden="1" x14ac:dyDescent="0.25">
      <c r="A2847">
        <v>99</v>
      </c>
      <c r="B2847">
        <v>7300</v>
      </c>
      <c r="C2847">
        <v>0</v>
      </c>
      <c r="D2847">
        <v>2</v>
      </c>
      <c r="E2847">
        <v>27</v>
      </c>
      <c r="F2847" t="s">
        <v>308</v>
      </c>
      <c r="G2847" t="s">
        <v>231</v>
      </c>
    </row>
    <row r="2848" spans="1:7" hidden="1" x14ac:dyDescent="0.25">
      <c r="A2848">
        <v>99</v>
      </c>
      <c r="B2848">
        <v>7552</v>
      </c>
      <c r="C2848">
        <v>0</v>
      </c>
      <c r="D2848">
        <v>2</v>
      </c>
      <c r="E2848">
        <v>27</v>
      </c>
      <c r="F2848" t="s">
        <v>308</v>
      </c>
      <c r="G2848" t="s">
        <v>231</v>
      </c>
    </row>
    <row r="2849" spans="1:7" hidden="1" x14ac:dyDescent="0.25">
      <c r="A2849">
        <v>99</v>
      </c>
      <c r="B2849">
        <v>8004</v>
      </c>
      <c r="C2849">
        <v>0</v>
      </c>
      <c r="D2849">
        <v>2</v>
      </c>
      <c r="E2849">
        <v>27</v>
      </c>
      <c r="F2849" t="s">
        <v>308</v>
      </c>
      <c r="G2849" t="s">
        <v>231</v>
      </c>
    </row>
    <row r="2850" spans="1:7" hidden="1" x14ac:dyDescent="0.25">
      <c r="A2850">
        <v>99</v>
      </c>
      <c r="B2850">
        <v>8144</v>
      </c>
      <c r="C2850">
        <v>0</v>
      </c>
      <c r="D2850">
        <v>2</v>
      </c>
      <c r="E2850">
        <v>27</v>
      </c>
      <c r="F2850" t="s">
        <v>308</v>
      </c>
      <c r="G2850" t="s">
        <v>231</v>
      </c>
    </row>
    <row r="2851" spans="1:7" hidden="1" x14ac:dyDescent="0.25">
      <c r="A2851">
        <v>99</v>
      </c>
      <c r="B2851">
        <v>9032</v>
      </c>
      <c r="C2851">
        <v>0</v>
      </c>
      <c r="D2851">
        <v>2</v>
      </c>
      <c r="E2851">
        <v>27</v>
      </c>
      <c r="F2851" t="s">
        <v>308</v>
      </c>
      <c r="G2851" t="s">
        <v>231</v>
      </c>
    </row>
    <row r="2852" spans="1:7" hidden="1" x14ac:dyDescent="0.25">
      <c r="A2852">
        <v>99</v>
      </c>
      <c r="B2852">
        <v>9072</v>
      </c>
      <c r="C2852">
        <v>0</v>
      </c>
      <c r="D2852">
        <v>2</v>
      </c>
      <c r="E2852">
        <v>27</v>
      </c>
      <c r="F2852" t="s">
        <v>308</v>
      </c>
      <c r="G2852" t="s">
        <v>231</v>
      </c>
    </row>
    <row r="2853" spans="1:7" hidden="1" x14ac:dyDescent="0.25">
      <c r="A2853">
        <v>99</v>
      </c>
      <c r="B2853">
        <v>9272</v>
      </c>
      <c r="C2853">
        <v>0</v>
      </c>
      <c r="D2853">
        <v>2</v>
      </c>
      <c r="E2853">
        <v>27</v>
      </c>
      <c r="F2853" t="s">
        <v>308</v>
      </c>
      <c r="G2853" t="s">
        <v>231</v>
      </c>
    </row>
    <row r="2854" spans="1:7" hidden="1" x14ac:dyDescent="0.25">
      <c r="A2854">
        <v>99</v>
      </c>
      <c r="B2854">
        <v>3284</v>
      </c>
      <c r="C2854">
        <v>0</v>
      </c>
      <c r="D2854">
        <v>2</v>
      </c>
      <c r="E2854">
        <v>28</v>
      </c>
      <c r="F2854" t="s">
        <v>309</v>
      </c>
      <c r="G2854" t="s">
        <v>129</v>
      </c>
    </row>
    <row r="2855" spans="1:7" hidden="1" x14ac:dyDescent="0.25">
      <c r="A2855">
        <v>99</v>
      </c>
      <c r="B2855">
        <v>7300</v>
      </c>
      <c r="C2855">
        <v>0</v>
      </c>
      <c r="D2855">
        <v>2</v>
      </c>
      <c r="E2855">
        <v>28</v>
      </c>
      <c r="F2855" t="s">
        <v>309</v>
      </c>
      <c r="G2855" t="s">
        <v>129</v>
      </c>
    </row>
    <row r="2856" spans="1:7" hidden="1" x14ac:dyDescent="0.25">
      <c r="A2856">
        <v>99</v>
      </c>
      <c r="B2856">
        <v>7552</v>
      </c>
      <c r="C2856">
        <v>0</v>
      </c>
      <c r="D2856">
        <v>2</v>
      </c>
      <c r="E2856">
        <v>28</v>
      </c>
      <c r="F2856" t="s">
        <v>309</v>
      </c>
      <c r="G2856" t="s">
        <v>129</v>
      </c>
    </row>
    <row r="2857" spans="1:7" hidden="1" x14ac:dyDescent="0.25">
      <c r="A2857">
        <v>99</v>
      </c>
      <c r="B2857">
        <v>8004</v>
      </c>
      <c r="C2857">
        <v>0</v>
      </c>
      <c r="D2857">
        <v>2</v>
      </c>
      <c r="E2857">
        <v>28</v>
      </c>
      <c r="F2857" t="s">
        <v>309</v>
      </c>
      <c r="G2857" t="s">
        <v>129</v>
      </c>
    </row>
    <row r="2858" spans="1:7" hidden="1" x14ac:dyDescent="0.25">
      <c r="A2858">
        <v>99</v>
      </c>
      <c r="B2858">
        <v>8144</v>
      </c>
      <c r="C2858">
        <v>0</v>
      </c>
      <c r="D2858">
        <v>2</v>
      </c>
      <c r="E2858">
        <v>28</v>
      </c>
      <c r="F2858" t="s">
        <v>309</v>
      </c>
      <c r="G2858" t="s">
        <v>129</v>
      </c>
    </row>
    <row r="2859" spans="1:7" hidden="1" x14ac:dyDescent="0.25">
      <c r="A2859">
        <v>99</v>
      </c>
      <c r="B2859">
        <v>9032</v>
      </c>
      <c r="C2859">
        <v>0</v>
      </c>
      <c r="D2859">
        <v>2</v>
      </c>
      <c r="E2859">
        <v>28</v>
      </c>
      <c r="F2859" t="s">
        <v>309</v>
      </c>
      <c r="G2859" t="s">
        <v>129</v>
      </c>
    </row>
    <row r="2860" spans="1:7" hidden="1" x14ac:dyDescent="0.25">
      <c r="A2860">
        <v>99</v>
      </c>
      <c r="B2860">
        <v>9072</v>
      </c>
      <c r="C2860">
        <v>0</v>
      </c>
      <c r="D2860">
        <v>2</v>
      </c>
      <c r="E2860">
        <v>28</v>
      </c>
      <c r="F2860" t="s">
        <v>309</v>
      </c>
      <c r="G2860" t="s">
        <v>129</v>
      </c>
    </row>
    <row r="2861" spans="1:7" hidden="1" x14ac:dyDescent="0.25">
      <c r="A2861">
        <v>99</v>
      </c>
      <c r="B2861">
        <v>9272</v>
      </c>
      <c r="C2861">
        <v>0</v>
      </c>
      <c r="D2861">
        <v>2</v>
      </c>
      <c r="E2861">
        <v>28</v>
      </c>
      <c r="F2861" t="s">
        <v>309</v>
      </c>
      <c r="G2861" t="s">
        <v>129</v>
      </c>
    </row>
    <row r="2862" spans="1:7" hidden="1" x14ac:dyDescent="0.25">
      <c r="A2862">
        <v>99</v>
      </c>
      <c r="B2862">
        <v>3284</v>
      </c>
      <c r="C2862">
        <v>0</v>
      </c>
      <c r="D2862">
        <v>2</v>
      </c>
      <c r="E2862">
        <v>30</v>
      </c>
      <c r="F2862" t="s">
        <v>311</v>
      </c>
      <c r="G2862" t="s">
        <v>304</v>
      </c>
    </row>
    <row r="2863" spans="1:7" hidden="1" x14ac:dyDescent="0.25">
      <c r="A2863">
        <v>99</v>
      </c>
      <c r="B2863">
        <v>7300</v>
      </c>
      <c r="C2863">
        <v>0</v>
      </c>
      <c r="D2863">
        <v>2</v>
      </c>
      <c r="E2863">
        <v>30</v>
      </c>
      <c r="F2863" t="s">
        <v>311</v>
      </c>
      <c r="G2863" t="s">
        <v>304</v>
      </c>
    </row>
    <row r="2864" spans="1:7" hidden="1" x14ac:dyDescent="0.25">
      <c r="A2864">
        <v>99</v>
      </c>
      <c r="B2864">
        <v>7552</v>
      </c>
      <c r="C2864">
        <v>0</v>
      </c>
      <c r="D2864">
        <v>2</v>
      </c>
      <c r="E2864">
        <v>30</v>
      </c>
      <c r="F2864" t="s">
        <v>311</v>
      </c>
      <c r="G2864" t="s">
        <v>304</v>
      </c>
    </row>
    <row r="2865" spans="1:7" hidden="1" x14ac:dyDescent="0.25">
      <c r="A2865">
        <v>99</v>
      </c>
      <c r="B2865">
        <v>8004</v>
      </c>
      <c r="C2865">
        <v>0</v>
      </c>
      <c r="D2865">
        <v>2</v>
      </c>
      <c r="E2865">
        <v>30</v>
      </c>
      <c r="F2865" t="s">
        <v>311</v>
      </c>
      <c r="G2865" t="s">
        <v>304</v>
      </c>
    </row>
    <row r="2866" spans="1:7" hidden="1" x14ac:dyDescent="0.25">
      <c r="A2866">
        <v>99</v>
      </c>
      <c r="B2866">
        <v>8144</v>
      </c>
      <c r="C2866">
        <v>0</v>
      </c>
      <c r="D2866">
        <v>2</v>
      </c>
      <c r="E2866">
        <v>30</v>
      </c>
      <c r="F2866" t="s">
        <v>311</v>
      </c>
      <c r="G2866" t="s">
        <v>304</v>
      </c>
    </row>
    <row r="2867" spans="1:7" hidden="1" x14ac:dyDescent="0.25">
      <c r="A2867">
        <v>99</v>
      </c>
      <c r="B2867">
        <v>9032</v>
      </c>
      <c r="C2867">
        <v>0</v>
      </c>
      <c r="D2867">
        <v>2</v>
      </c>
      <c r="E2867">
        <v>30</v>
      </c>
      <c r="F2867" t="s">
        <v>311</v>
      </c>
      <c r="G2867" t="s">
        <v>304</v>
      </c>
    </row>
    <row r="2868" spans="1:7" hidden="1" x14ac:dyDescent="0.25">
      <c r="A2868">
        <v>99</v>
      </c>
      <c r="B2868">
        <v>9072</v>
      </c>
      <c r="C2868">
        <v>0</v>
      </c>
      <c r="D2868">
        <v>2</v>
      </c>
      <c r="E2868">
        <v>30</v>
      </c>
      <c r="F2868" t="s">
        <v>311</v>
      </c>
      <c r="G2868" t="s">
        <v>304</v>
      </c>
    </row>
    <row r="2869" spans="1:7" hidden="1" x14ac:dyDescent="0.25">
      <c r="A2869">
        <v>99</v>
      </c>
      <c r="B2869">
        <v>9272</v>
      </c>
      <c r="C2869">
        <v>0</v>
      </c>
      <c r="D2869">
        <v>2</v>
      </c>
      <c r="E2869">
        <v>30</v>
      </c>
      <c r="F2869" t="s">
        <v>311</v>
      </c>
      <c r="G2869" t="s">
        <v>304</v>
      </c>
    </row>
    <row r="2870" spans="1:7" hidden="1" x14ac:dyDescent="0.25">
      <c r="A2870">
        <v>99</v>
      </c>
      <c r="B2870">
        <v>3284</v>
      </c>
      <c r="C2870">
        <v>0</v>
      </c>
      <c r="D2870">
        <v>2</v>
      </c>
      <c r="E2870">
        <v>35</v>
      </c>
      <c r="F2870" t="s">
        <v>316</v>
      </c>
      <c r="G2870" t="s">
        <v>155</v>
      </c>
    </row>
    <row r="2871" spans="1:7" hidden="1" x14ac:dyDescent="0.25">
      <c r="A2871">
        <v>99</v>
      </c>
      <c r="B2871">
        <v>7300</v>
      </c>
      <c r="C2871">
        <v>0</v>
      </c>
      <c r="D2871">
        <v>2</v>
      </c>
      <c r="E2871">
        <v>35</v>
      </c>
      <c r="F2871" t="s">
        <v>316</v>
      </c>
      <c r="G2871" t="s">
        <v>155</v>
      </c>
    </row>
    <row r="2872" spans="1:7" hidden="1" x14ac:dyDescent="0.25">
      <c r="A2872">
        <v>99</v>
      </c>
      <c r="B2872">
        <v>7552</v>
      </c>
      <c r="C2872">
        <v>0</v>
      </c>
      <c r="D2872">
        <v>2</v>
      </c>
      <c r="E2872">
        <v>35</v>
      </c>
      <c r="F2872" t="s">
        <v>316</v>
      </c>
      <c r="G2872" t="s">
        <v>155</v>
      </c>
    </row>
    <row r="2873" spans="1:7" hidden="1" x14ac:dyDescent="0.25">
      <c r="A2873">
        <v>99</v>
      </c>
      <c r="B2873">
        <v>8004</v>
      </c>
      <c r="C2873">
        <v>0</v>
      </c>
      <c r="D2873">
        <v>2</v>
      </c>
      <c r="E2873">
        <v>35</v>
      </c>
      <c r="F2873" t="s">
        <v>316</v>
      </c>
      <c r="G2873" t="s">
        <v>155</v>
      </c>
    </row>
    <row r="2874" spans="1:7" hidden="1" x14ac:dyDescent="0.25">
      <c r="A2874">
        <v>99</v>
      </c>
      <c r="B2874">
        <v>8144</v>
      </c>
      <c r="C2874">
        <v>0</v>
      </c>
      <c r="D2874">
        <v>2</v>
      </c>
      <c r="E2874">
        <v>35</v>
      </c>
      <c r="F2874" t="s">
        <v>316</v>
      </c>
      <c r="G2874" t="s">
        <v>155</v>
      </c>
    </row>
    <row r="2875" spans="1:7" hidden="1" x14ac:dyDescent="0.25">
      <c r="A2875">
        <v>99</v>
      </c>
      <c r="B2875">
        <v>9032</v>
      </c>
      <c r="C2875">
        <v>0</v>
      </c>
      <c r="D2875">
        <v>2</v>
      </c>
      <c r="E2875">
        <v>35</v>
      </c>
      <c r="F2875" t="s">
        <v>316</v>
      </c>
      <c r="G2875" t="s">
        <v>155</v>
      </c>
    </row>
    <row r="2876" spans="1:7" hidden="1" x14ac:dyDescent="0.25">
      <c r="A2876">
        <v>99</v>
      </c>
      <c r="B2876">
        <v>9072</v>
      </c>
      <c r="C2876">
        <v>0</v>
      </c>
      <c r="D2876">
        <v>2</v>
      </c>
      <c r="E2876">
        <v>35</v>
      </c>
      <c r="F2876" t="s">
        <v>316</v>
      </c>
      <c r="G2876" t="s">
        <v>155</v>
      </c>
    </row>
    <row r="2877" spans="1:7" hidden="1" x14ac:dyDescent="0.25">
      <c r="A2877">
        <v>99</v>
      </c>
      <c r="B2877">
        <v>9272</v>
      </c>
      <c r="C2877">
        <v>0</v>
      </c>
      <c r="D2877">
        <v>2</v>
      </c>
      <c r="E2877">
        <v>35</v>
      </c>
      <c r="F2877" t="s">
        <v>316</v>
      </c>
      <c r="G2877" t="s">
        <v>155</v>
      </c>
    </row>
    <row r="2878" spans="1:7" hidden="1" x14ac:dyDescent="0.25">
      <c r="A2878">
        <v>50</v>
      </c>
      <c r="B2878">
        <v>1172</v>
      </c>
      <c r="C2878">
        <v>0</v>
      </c>
      <c r="D2878">
        <v>2</v>
      </c>
      <c r="E2878">
        <v>28</v>
      </c>
      <c r="F2878" t="s">
        <v>300</v>
      </c>
      <c r="G2878" t="s">
        <v>159</v>
      </c>
    </row>
    <row r="2879" spans="1:7" hidden="1" x14ac:dyDescent="0.25">
      <c r="A2879">
        <v>50</v>
      </c>
      <c r="B2879">
        <v>1476</v>
      </c>
      <c r="C2879">
        <v>0</v>
      </c>
      <c r="D2879">
        <v>2</v>
      </c>
      <c r="E2879">
        <v>28</v>
      </c>
      <c r="F2879" t="s">
        <v>300</v>
      </c>
      <c r="G2879" t="s">
        <v>159</v>
      </c>
    </row>
    <row r="2880" spans="1:7" hidden="1" x14ac:dyDescent="0.25">
      <c r="A2880">
        <v>50</v>
      </c>
      <c r="B2880">
        <v>2548</v>
      </c>
      <c r="C2880">
        <v>0</v>
      </c>
      <c r="D2880">
        <v>2</v>
      </c>
      <c r="E2880">
        <v>28</v>
      </c>
      <c r="F2880" t="s">
        <v>300</v>
      </c>
      <c r="G2880" t="s">
        <v>159</v>
      </c>
    </row>
    <row r="2881" spans="1:7" hidden="1" x14ac:dyDescent="0.25">
      <c r="A2881">
        <v>50</v>
      </c>
      <c r="B2881">
        <v>4144</v>
      </c>
      <c r="C2881">
        <v>0</v>
      </c>
      <c r="D2881">
        <v>2</v>
      </c>
      <c r="E2881">
        <v>28</v>
      </c>
      <c r="F2881" t="s">
        <v>300</v>
      </c>
      <c r="G2881" t="s">
        <v>159</v>
      </c>
    </row>
    <row r="2882" spans="1:7" hidden="1" x14ac:dyDescent="0.25">
      <c r="A2882">
        <v>50</v>
      </c>
      <c r="B2882">
        <v>4336</v>
      </c>
      <c r="C2882">
        <v>0</v>
      </c>
      <c r="D2882">
        <v>2</v>
      </c>
      <c r="E2882">
        <v>28</v>
      </c>
      <c r="F2882" t="s">
        <v>300</v>
      </c>
      <c r="G2882" t="s">
        <v>159</v>
      </c>
    </row>
    <row r="2883" spans="1:7" hidden="1" x14ac:dyDescent="0.25">
      <c r="A2883">
        <v>50</v>
      </c>
      <c r="B2883">
        <v>4600</v>
      </c>
      <c r="C2883">
        <v>0</v>
      </c>
      <c r="D2883">
        <v>2</v>
      </c>
      <c r="E2883">
        <v>28</v>
      </c>
      <c r="F2883" t="s">
        <v>300</v>
      </c>
      <c r="G2883" t="s">
        <v>159</v>
      </c>
    </row>
    <row r="2884" spans="1:7" hidden="1" x14ac:dyDescent="0.25">
      <c r="A2884">
        <v>50</v>
      </c>
      <c r="B2884">
        <v>5892</v>
      </c>
      <c r="C2884">
        <v>0</v>
      </c>
      <c r="D2884">
        <v>2</v>
      </c>
      <c r="E2884">
        <v>28</v>
      </c>
      <c r="F2884" t="s">
        <v>300</v>
      </c>
      <c r="G2884" t="s">
        <v>159</v>
      </c>
    </row>
    <row r="2885" spans="1:7" hidden="1" x14ac:dyDescent="0.25">
      <c r="A2885">
        <v>50</v>
      </c>
      <c r="B2885">
        <v>5904</v>
      </c>
      <c r="C2885">
        <v>0</v>
      </c>
      <c r="D2885">
        <v>2</v>
      </c>
      <c r="E2885">
        <v>28</v>
      </c>
      <c r="F2885" t="s">
        <v>300</v>
      </c>
      <c r="G2885" t="s">
        <v>159</v>
      </c>
    </row>
    <row r="2886" spans="1:7" hidden="1" x14ac:dyDescent="0.25">
      <c r="A2886">
        <v>50</v>
      </c>
      <c r="B2886">
        <v>6280</v>
      </c>
      <c r="C2886">
        <v>0</v>
      </c>
      <c r="D2886">
        <v>2</v>
      </c>
      <c r="E2886">
        <v>28</v>
      </c>
      <c r="F2886" t="s">
        <v>300</v>
      </c>
      <c r="G2886" t="s">
        <v>159</v>
      </c>
    </row>
    <row r="2887" spans="1:7" hidden="1" x14ac:dyDescent="0.25">
      <c r="A2887">
        <v>50</v>
      </c>
      <c r="B2887">
        <v>6312</v>
      </c>
      <c r="C2887">
        <v>0</v>
      </c>
      <c r="D2887">
        <v>2</v>
      </c>
      <c r="E2887">
        <v>28</v>
      </c>
      <c r="F2887" t="s">
        <v>300</v>
      </c>
      <c r="G2887" t="s">
        <v>159</v>
      </c>
    </row>
    <row r="2888" spans="1:7" hidden="1" x14ac:dyDescent="0.25">
      <c r="A2888">
        <v>50</v>
      </c>
      <c r="B2888">
        <v>7528</v>
      </c>
      <c r="C2888">
        <v>0</v>
      </c>
      <c r="D2888">
        <v>2</v>
      </c>
      <c r="E2888">
        <v>28</v>
      </c>
      <c r="F2888" t="s">
        <v>300</v>
      </c>
      <c r="G2888" t="s">
        <v>159</v>
      </c>
    </row>
    <row r="2889" spans="1:7" hidden="1" x14ac:dyDescent="0.25">
      <c r="A2889">
        <v>50</v>
      </c>
      <c r="B2889">
        <v>7756</v>
      </c>
      <c r="C2889">
        <v>0</v>
      </c>
      <c r="D2889">
        <v>2</v>
      </c>
      <c r="E2889">
        <v>28</v>
      </c>
      <c r="F2889" t="s">
        <v>300</v>
      </c>
      <c r="G2889" t="s">
        <v>159</v>
      </c>
    </row>
    <row r="2890" spans="1:7" hidden="1" x14ac:dyDescent="0.25">
      <c r="A2890">
        <v>50</v>
      </c>
      <c r="B2890">
        <v>8256</v>
      </c>
      <c r="C2890">
        <v>0</v>
      </c>
      <c r="D2890">
        <v>2</v>
      </c>
      <c r="E2890">
        <v>28</v>
      </c>
      <c r="F2890" t="s">
        <v>300</v>
      </c>
      <c r="G2890" t="s">
        <v>159</v>
      </c>
    </row>
    <row r="2891" spans="1:7" hidden="1" x14ac:dyDescent="0.25">
      <c r="A2891">
        <v>50</v>
      </c>
      <c r="B2891">
        <v>10012</v>
      </c>
      <c r="C2891">
        <v>0</v>
      </c>
      <c r="D2891">
        <v>2</v>
      </c>
      <c r="E2891">
        <v>28</v>
      </c>
      <c r="F2891" t="s">
        <v>300</v>
      </c>
      <c r="G2891" t="s">
        <v>159</v>
      </c>
    </row>
    <row r="2892" spans="1:7" hidden="1" x14ac:dyDescent="0.25">
      <c r="A2892">
        <v>50</v>
      </c>
      <c r="B2892">
        <v>10064</v>
      </c>
      <c r="C2892">
        <v>0</v>
      </c>
      <c r="D2892">
        <v>2</v>
      </c>
      <c r="E2892">
        <v>28</v>
      </c>
      <c r="F2892" t="s">
        <v>300</v>
      </c>
      <c r="G2892" t="s">
        <v>159</v>
      </c>
    </row>
    <row r="2893" spans="1:7" hidden="1" x14ac:dyDescent="0.25">
      <c r="A2893">
        <v>50</v>
      </c>
      <c r="B2893">
        <v>10100</v>
      </c>
      <c r="C2893">
        <v>0</v>
      </c>
      <c r="D2893">
        <v>2</v>
      </c>
      <c r="E2893">
        <v>28</v>
      </c>
      <c r="F2893" t="s">
        <v>300</v>
      </c>
      <c r="G2893" t="s">
        <v>159</v>
      </c>
    </row>
    <row r="2894" spans="1:7" hidden="1" x14ac:dyDescent="0.25">
      <c r="A2894">
        <v>99</v>
      </c>
      <c r="B2894">
        <v>2068</v>
      </c>
      <c r="C2894">
        <v>0</v>
      </c>
      <c r="D2894">
        <v>2</v>
      </c>
      <c r="E2894">
        <v>40</v>
      </c>
      <c r="F2894" t="s">
        <v>300</v>
      </c>
      <c r="G2894" t="s">
        <v>181</v>
      </c>
    </row>
    <row r="2895" spans="1:7" hidden="1" x14ac:dyDescent="0.25">
      <c r="A2895">
        <v>99</v>
      </c>
      <c r="B2895">
        <v>3284</v>
      </c>
      <c r="C2895">
        <v>0</v>
      </c>
      <c r="D2895">
        <v>2</v>
      </c>
      <c r="E2895">
        <v>52</v>
      </c>
      <c r="F2895" t="s">
        <v>300</v>
      </c>
      <c r="G2895" t="s">
        <v>214</v>
      </c>
    </row>
    <row r="2896" spans="1:7" hidden="1" x14ac:dyDescent="0.25">
      <c r="A2896">
        <v>99</v>
      </c>
      <c r="B2896">
        <v>7188</v>
      </c>
      <c r="C2896">
        <v>0</v>
      </c>
      <c r="D2896">
        <v>2</v>
      </c>
      <c r="E2896">
        <v>40</v>
      </c>
      <c r="F2896" t="s">
        <v>300</v>
      </c>
      <c r="G2896" t="s">
        <v>181</v>
      </c>
    </row>
    <row r="2897" spans="1:7" hidden="1" x14ac:dyDescent="0.25">
      <c r="A2897">
        <v>99</v>
      </c>
      <c r="B2897">
        <v>7300</v>
      </c>
      <c r="C2897">
        <v>0</v>
      </c>
      <c r="D2897">
        <v>2</v>
      </c>
      <c r="E2897">
        <v>52</v>
      </c>
      <c r="F2897" t="s">
        <v>300</v>
      </c>
      <c r="G2897" t="s">
        <v>214</v>
      </c>
    </row>
    <row r="2898" spans="1:7" hidden="1" x14ac:dyDescent="0.25">
      <c r="A2898">
        <v>99</v>
      </c>
      <c r="B2898">
        <v>7552</v>
      </c>
      <c r="C2898">
        <v>0</v>
      </c>
      <c r="D2898">
        <v>2</v>
      </c>
      <c r="E2898">
        <v>52</v>
      </c>
      <c r="F2898" t="s">
        <v>300</v>
      </c>
      <c r="G2898" t="s">
        <v>159</v>
      </c>
    </row>
    <row r="2899" spans="1:7" hidden="1" x14ac:dyDescent="0.25">
      <c r="A2899">
        <v>99</v>
      </c>
      <c r="B2899">
        <v>8004</v>
      </c>
      <c r="C2899">
        <v>0</v>
      </c>
      <c r="D2899">
        <v>2</v>
      </c>
      <c r="E2899">
        <v>52</v>
      </c>
      <c r="F2899" t="s">
        <v>300</v>
      </c>
      <c r="G2899" t="s">
        <v>214</v>
      </c>
    </row>
    <row r="2900" spans="1:7" hidden="1" x14ac:dyDescent="0.25">
      <c r="A2900">
        <v>99</v>
      </c>
      <c r="B2900">
        <v>8144</v>
      </c>
      <c r="C2900">
        <v>0</v>
      </c>
      <c r="D2900">
        <v>2</v>
      </c>
      <c r="E2900">
        <v>52</v>
      </c>
      <c r="F2900" t="s">
        <v>300</v>
      </c>
      <c r="G2900" t="s">
        <v>159</v>
      </c>
    </row>
    <row r="2901" spans="1:7" hidden="1" x14ac:dyDescent="0.25">
      <c r="A2901">
        <v>99</v>
      </c>
      <c r="B2901">
        <v>8668</v>
      </c>
      <c r="C2901">
        <v>0</v>
      </c>
      <c r="D2901">
        <v>2</v>
      </c>
      <c r="E2901">
        <v>28</v>
      </c>
      <c r="F2901" t="s">
        <v>300</v>
      </c>
      <c r="G2901" t="s">
        <v>159</v>
      </c>
    </row>
    <row r="2902" spans="1:7" hidden="1" x14ac:dyDescent="0.25">
      <c r="A2902">
        <v>99</v>
      </c>
      <c r="B2902">
        <v>9032</v>
      </c>
      <c r="C2902">
        <v>0</v>
      </c>
      <c r="D2902">
        <v>2</v>
      </c>
      <c r="E2902">
        <v>52</v>
      </c>
      <c r="F2902" t="s">
        <v>300</v>
      </c>
      <c r="G2902" t="s">
        <v>214</v>
      </c>
    </row>
    <row r="2903" spans="1:7" hidden="1" x14ac:dyDescent="0.25">
      <c r="A2903">
        <v>99</v>
      </c>
      <c r="B2903">
        <v>9072</v>
      </c>
      <c r="C2903">
        <v>0</v>
      </c>
      <c r="D2903">
        <v>2</v>
      </c>
      <c r="E2903">
        <v>52</v>
      </c>
      <c r="F2903" t="s">
        <v>300</v>
      </c>
      <c r="G2903" t="s">
        <v>214</v>
      </c>
    </row>
    <row r="2904" spans="1:7" hidden="1" x14ac:dyDescent="0.25">
      <c r="A2904">
        <v>99</v>
      </c>
      <c r="B2904">
        <v>9272</v>
      </c>
      <c r="C2904">
        <v>0</v>
      </c>
      <c r="D2904">
        <v>2</v>
      </c>
      <c r="E2904">
        <v>52</v>
      </c>
      <c r="F2904" t="s">
        <v>300</v>
      </c>
      <c r="G2904" t="s">
        <v>214</v>
      </c>
    </row>
    <row r="2905" spans="1:7" hidden="1" x14ac:dyDescent="0.25">
      <c r="A2905">
        <v>99</v>
      </c>
      <c r="B2905">
        <v>10420</v>
      </c>
      <c r="C2905">
        <v>0</v>
      </c>
      <c r="D2905">
        <v>2</v>
      </c>
      <c r="E2905">
        <v>40</v>
      </c>
      <c r="F2905" t="s">
        <v>300</v>
      </c>
      <c r="G2905" t="s">
        <v>159</v>
      </c>
    </row>
    <row r="2906" spans="1:7" hidden="1" x14ac:dyDescent="0.25">
      <c r="A2906">
        <v>50</v>
      </c>
      <c r="B2906">
        <v>476</v>
      </c>
      <c r="C2906">
        <v>0</v>
      </c>
      <c r="D2906">
        <v>2</v>
      </c>
      <c r="E2906">
        <v>31</v>
      </c>
      <c r="F2906" t="s">
        <v>176</v>
      </c>
      <c r="G2906" t="s">
        <v>154</v>
      </c>
    </row>
    <row r="2907" spans="1:7" hidden="1" x14ac:dyDescent="0.25">
      <c r="A2907">
        <v>50</v>
      </c>
      <c r="B2907">
        <v>1264</v>
      </c>
      <c r="C2907">
        <v>0</v>
      </c>
      <c r="D2907">
        <v>2</v>
      </c>
      <c r="E2907">
        <v>31</v>
      </c>
      <c r="F2907" t="s">
        <v>176</v>
      </c>
      <c r="G2907" t="s">
        <v>154</v>
      </c>
    </row>
    <row r="2908" spans="1:7" hidden="1" x14ac:dyDescent="0.25">
      <c r="A2908">
        <v>50</v>
      </c>
      <c r="B2908">
        <v>4228</v>
      </c>
      <c r="C2908">
        <v>0</v>
      </c>
      <c r="D2908">
        <v>2</v>
      </c>
      <c r="E2908">
        <v>31</v>
      </c>
      <c r="F2908" t="s">
        <v>176</v>
      </c>
      <c r="G2908" t="s">
        <v>154</v>
      </c>
    </row>
    <row r="2909" spans="1:7" hidden="1" x14ac:dyDescent="0.25">
      <c r="A2909">
        <v>50</v>
      </c>
      <c r="B2909">
        <v>5004</v>
      </c>
      <c r="C2909">
        <v>0</v>
      </c>
      <c r="D2909">
        <v>2</v>
      </c>
      <c r="E2909">
        <v>31</v>
      </c>
      <c r="F2909" t="s">
        <v>176</v>
      </c>
      <c r="G2909" t="s">
        <v>154</v>
      </c>
    </row>
    <row r="2910" spans="1:7" hidden="1" x14ac:dyDescent="0.25">
      <c r="A2910">
        <v>50</v>
      </c>
      <c r="B2910">
        <v>7283</v>
      </c>
      <c r="C2910">
        <v>0</v>
      </c>
      <c r="D2910">
        <v>2</v>
      </c>
      <c r="E2910">
        <v>31</v>
      </c>
      <c r="F2910" t="s">
        <v>176</v>
      </c>
      <c r="G2910" t="s">
        <v>154</v>
      </c>
    </row>
    <row r="2911" spans="1:7" hidden="1" x14ac:dyDescent="0.25">
      <c r="A2911">
        <v>50</v>
      </c>
      <c r="B2911">
        <v>7284</v>
      </c>
      <c r="C2911">
        <v>0</v>
      </c>
      <c r="D2911">
        <v>2</v>
      </c>
      <c r="E2911">
        <v>31</v>
      </c>
      <c r="F2911" t="s">
        <v>176</v>
      </c>
      <c r="G2911" t="s">
        <v>154</v>
      </c>
    </row>
    <row r="2912" spans="1:7" hidden="1" x14ac:dyDescent="0.25">
      <c r="A2912">
        <v>50</v>
      </c>
      <c r="B2912">
        <v>9356</v>
      </c>
      <c r="C2912">
        <v>0</v>
      </c>
      <c r="D2912">
        <v>2</v>
      </c>
      <c r="E2912">
        <v>31</v>
      </c>
      <c r="F2912" t="s">
        <v>176</v>
      </c>
      <c r="G2912" t="s">
        <v>154</v>
      </c>
    </row>
    <row r="2913" spans="1:7" hidden="1" x14ac:dyDescent="0.25">
      <c r="A2913">
        <v>50</v>
      </c>
      <c r="B2913">
        <v>10592</v>
      </c>
      <c r="C2913">
        <v>0</v>
      </c>
      <c r="D2913">
        <v>2</v>
      </c>
      <c r="E2913">
        <v>31</v>
      </c>
      <c r="F2913" t="s">
        <v>176</v>
      </c>
      <c r="G2913" t="s">
        <v>154</v>
      </c>
    </row>
    <row r="2914" spans="1:7" hidden="1" x14ac:dyDescent="0.25">
      <c r="A2914">
        <v>99</v>
      </c>
      <c r="B2914">
        <v>2168</v>
      </c>
      <c r="C2914">
        <v>0</v>
      </c>
      <c r="D2914">
        <v>2</v>
      </c>
      <c r="E2914">
        <v>55</v>
      </c>
      <c r="F2914" t="s">
        <v>176</v>
      </c>
      <c r="G2914" t="s">
        <v>154</v>
      </c>
    </row>
    <row r="2915" spans="1:7" hidden="1" x14ac:dyDescent="0.25">
      <c r="A2915">
        <v>99</v>
      </c>
      <c r="B2915">
        <v>2472</v>
      </c>
      <c r="C2915">
        <v>0</v>
      </c>
      <c r="D2915">
        <v>2</v>
      </c>
      <c r="E2915">
        <v>55</v>
      </c>
      <c r="F2915" t="s">
        <v>176</v>
      </c>
      <c r="G2915" t="s">
        <v>154</v>
      </c>
    </row>
    <row r="2916" spans="1:7" hidden="1" x14ac:dyDescent="0.25">
      <c r="A2916">
        <v>99</v>
      </c>
      <c r="B2916">
        <v>3056</v>
      </c>
      <c r="C2916">
        <v>0</v>
      </c>
      <c r="D2916">
        <v>2</v>
      </c>
      <c r="E2916">
        <v>55</v>
      </c>
      <c r="F2916" t="s">
        <v>176</v>
      </c>
      <c r="G2916" t="s">
        <v>154</v>
      </c>
    </row>
    <row r="2917" spans="1:7" hidden="1" x14ac:dyDescent="0.25">
      <c r="A2917">
        <v>99</v>
      </c>
      <c r="B2917">
        <v>3100</v>
      </c>
      <c r="C2917">
        <v>0</v>
      </c>
      <c r="D2917">
        <v>2</v>
      </c>
      <c r="E2917">
        <v>55</v>
      </c>
      <c r="F2917" t="s">
        <v>176</v>
      </c>
      <c r="G2917" t="s">
        <v>154</v>
      </c>
    </row>
    <row r="2918" spans="1:7" x14ac:dyDescent="0.25">
      <c r="A2918">
        <v>99</v>
      </c>
      <c r="B2918">
        <v>4124</v>
      </c>
      <c r="C2918">
        <v>0</v>
      </c>
      <c r="D2918">
        <v>2</v>
      </c>
      <c r="E2918">
        <v>43</v>
      </c>
      <c r="F2918" t="s">
        <v>176</v>
      </c>
      <c r="G2918" t="s">
        <v>154</v>
      </c>
    </row>
    <row r="2919" spans="1:7" hidden="1" x14ac:dyDescent="0.25">
      <c r="A2919">
        <v>99</v>
      </c>
      <c r="B2919">
        <v>5932</v>
      </c>
      <c r="C2919">
        <v>0</v>
      </c>
      <c r="D2919">
        <v>2</v>
      </c>
      <c r="E2919">
        <v>55</v>
      </c>
      <c r="F2919" t="s">
        <v>176</v>
      </c>
      <c r="G2919" t="s">
        <v>154</v>
      </c>
    </row>
    <row r="2920" spans="1:7" hidden="1" x14ac:dyDescent="0.25">
      <c r="A2920">
        <v>99</v>
      </c>
      <c r="B2920">
        <v>5992</v>
      </c>
      <c r="C2920">
        <v>0</v>
      </c>
      <c r="D2920">
        <v>2</v>
      </c>
      <c r="E2920">
        <v>43</v>
      </c>
      <c r="F2920" t="s">
        <v>176</v>
      </c>
      <c r="G2920" t="s">
        <v>154</v>
      </c>
    </row>
    <row r="2921" spans="1:7" hidden="1" x14ac:dyDescent="0.25">
      <c r="A2921">
        <v>99</v>
      </c>
      <c r="B2921">
        <v>7260</v>
      </c>
      <c r="C2921">
        <v>0</v>
      </c>
      <c r="D2921">
        <v>2</v>
      </c>
      <c r="E2921">
        <v>55</v>
      </c>
      <c r="F2921" t="s">
        <v>176</v>
      </c>
      <c r="G2921" t="s">
        <v>154</v>
      </c>
    </row>
    <row r="2922" spans="1:7" hidden="1" x14ac:dyDescent="0.25">
      <c r="A2922">
        <v>99</v>
      </c>
      <c r="B2922">
        <v>8804</v>
      </c>
      <c r="C2922">
        <v>0</v>
      </c>
      <c r="D2922">
        <v>2</v>
      </c>
      <c r="E2922">
        <v>55</v>
      </c>
      <c r="F2922" t="s">
        <v>176</v>
      </c>
      <c r="G2922" t="s">
        <v>154</v>
      </c>
    </row>
    <row r="2923" spans="1:7" hidden="1" x14ac:dyDescent="0.25">
      <c r="A2923">
        <v>99</v>
      </c>
      <c r="B2923">
        <v>9176</v>
      </c>
      <c r="C2923">
        <v>0</v>
      </c>
      <c r="D2923">
        <v>2</v>
      </c>
      <c r="E2923">
        <v>55</v>
      </c>
      <c r="F2923" t="s">
        <v>176</v>
      </c>
      <c r="G2923" t="s">
        <v>154</v>
      </c>
    </row>
    <row r="2924" spans="1:7" hidden="1" x14ac:dyDescent="0.25">
      <c r="A2924">
        <v>99</v>
      </c>
      <c r="B2924">
        <v>9256</v>
      </c>
      <c r="C2924">
        <v>0</v>
      </c>
      <c r="D2924">
        <v>2</v>
      </c>
      <c r="E2924">
        <v>43</v>
      </c>
      <c r="F2924" t="s">
        <v>176</v>
      </c>
      <c r="G2924" t="s">
        <v>154</v>
      </c>
    </row>
    <row r="2925" spans="1:7" hidden="1" x14ac:dyDescent="0.25">
      <c r="A2925">
        <v>99</v>
      </c>
      <c r="B2925">
        <v>9752</v>
      </c>
      <c r="C2925">
        <v>0</v>
      </c>
      <c r="D2925">
        <v>2</v>
      </c>
      <c r="E2925">
        <v>55</v>
      </c>
      <c r="F2925" t="s">
        <v>176</v>
      </c>
      <c r="G2925" t="s">
        <v>154</v>
      </c>
    </row>
    <row r="2926" spans="1:7" hidden="1" x14ac:dyDescent="0.25">
      <c r="A2926">
        <v>99</v>
      </c>
      <c r="B2926">
        <v>10364</v>
      </c>
      <c r="C2926">
        <v>0</v>
      </c>
      <c r="D2926">
        <v>2</v>
      </c>
      <c r="E2926">
        <v>31</v>
      </c>
      <c r="F2926" t="s">
        <v>176</v>
      </c>
      <c r="G2926" t="s">
        <v>154</v>
      </c>
    </row>
    <row r="2927" spans="1:7" hidden="1" x14ac:dyDescent="0.25">
      <c r="A2927">
        <v>50</v>
      </c>
      <c r="B2927">
        <v>476</v>
      </c>
      <c r="C2927">
        <v>0</v>
      </c>
      <c r="D2927">
        <v>2</v>
      </c>
      <c r="E2927">
        <v>32</v>
      </c>
      <c r="F2927" t="s">
        <v>177</v>
      </c>
      <c r="G2927" t="s">
        <v>124</v>
      </c>
    </row>
    <row r="2928" spans="1:7" hidden="1" x14ac:dyDescent="0.25">
      <c r="A2928">
        <v>50</v>
      </c>
      <c r="B2928">
        <v>1264</v>
      </c>
      <c r="C2928">
        <v>0</v>
      </c>
      <c r="D2928">
        <v>2</v>
      </c>
      <c r="E2928">
        <v>32</v>
      </c>
      <c r="F2928" t="s">
        <v>177</v>
      </c>
      <c r="G2928" t="s">
        <v>124</v>
      </c>
    </row>
    <row r="2929" spans="1:7" hidden="1" x14ac:dyDescent="0.25">
      <c r="A2929">
        <v>50</v>
      </c>
      <c r="B2929">
        <v>4228</v>
      </c>
      <c r="C2929">
        <v>0</v>
      </c>
      <c r="D2929">
        <v>2</v>
      </c>
      <c r="E2929">
        <v>32</v>
      </c>
      <c r="F2929" t="s">
        <v>177</v>
      </c>
      <c r="G2929" t="s">
        <v>124</v>
      </c>
    </row>
    <row r="2930" spans="1:7" hidden="1" x14ac:dyDescent="0.25">
      <c r="A2930">
        <v>50</v>
      </c>
      <c r="B2930">
        <v>5004</v>
      </c>
      <c r="C2930">
        <v>0</v>
      </c>
      <c r="D2930">
        <v>2</v>
      </c>
      <c r="E2930">
        <v>32</v>
      </c>
      <c r="F2930" t="s">
        <v>177</v>
      </c>
      <c r="G2930" t="s">
        <v>124</v>
      </c>
    </row>
    <row r="2931" spans="1:7" hidden="1" x14ac:dyDescent="0.25">
      <c r="A2931">
        <v>50</v>
      </c>
      <c r="B2931">
        <v>7283</v>
      </c>
      <c r="C2931">
        <v>0</v>
      </c>
      <c r="D2931">
        <v>2</v>
      </c>
      <c r="E2931">
        <v>32</v>
      </c>
      <c r="F2931" t="s">
        <v>177</v>
      </c>
      <c r="G2931" t="s">
        <v>124</v>
      </c>
    </row>
    <row r="2932" spans="1:7" hidden="1" x14ac:dyDescent="0.25">
      <c r="A2932">
        <v>50</v>
      </c>
      <c r="B2932">
        <v>7284</v>
      </c>
      <c r="C2932">
        <v>0</v>
      </c>
      <c r="D2932">
        <v>2</v>
      </c>
      <c r="E2932">
        <v>32</v>
      </c>
      <c r="F2932" t="s">
        <v>177</v>
      </c>
      <c r="G2932" t="s">
        <v>124</v>
      </c>
    </row>
    <row r="2933" spans="1:7" hidden="1" x14ac:dyDescent="0.25">
      <c r="A2933">
        <v>50</v>
      </c>
      <c r="B2933">
        <v>9356</v>
      </c>
      <c r="C2933">
        <v>0</v>
      </c>
      <c r="D2933">
        <v>2</v>
      </c>
      <c r="E2933">
        <v>32</v>
      </c>
      <c r="F2933" t="s">
        <v>177</v>
      </c>
      <c r="G2933" t="s">
        <v>124</v>
      </c>
    </row>
    <row r="2934" spans="1:7" hidden="1" x14ac:dyDescent="0.25">
      <c r="A2934">
        <v>50</v>
      </c>
      <c r="B2934">
        <v>10592</v>
      </c>
      <c r="C2934">
        <v>0</v>
      </c>
      <c r="D2934">
        <v>2</v>
      </c>
      <c r="E2934">
        <v>32</v>
      </c>
      <c r="F2934" t="s">
        <v>177</v>
      </c>
      <c r="G2934" t="s">
        <v>124</v>
      </c>
    </row>
    <row r="2935" spans="1:7" hidden="1" x14ac:dyDescent="0.25">
      <c r="A2935">
        <v>99</v>
      </c>
      <c r="B2935">
        <v>2168</v>
      </c>
      <c r="C2935">
        <v>0</v>
      </c>
      <c r="D2935">
        <v>2</v>
      </c>
      <c r="E2935">
        <v>56</v>
      </c>
      <c r="F2935" t="s">
        <v>177</v>
      </c>
      <c r="G2935" t="s">
        <v>124</v>
      </c>
    </row>
    <row r="2936" spans="1:7" hidden="1" x14ac:dyDescent="0.25">
      <c r="A2936">
        <v>99</v>
      </c>
      <c r="B2936">
        <v>2472</v>
      </c>
      <c r="C2936">
        <v>0</v>
      </c>
      <c r="D2936">
        <v>2</v>
      </c>
      <c r="E2936">
        <v>56</v>
      </c>
      <c r="F2936" t="s">
        <v>177</v>
      </c>
      <c r="G2936" t="s">
        <v>124</v>
      </c>
    </row>
    <row r="2937" spans="1:7" hidden="1" x14ac:dyDescent="0.25">
      <c r="A2937">
        <v>99</v>
      </c>
      <c r="B2937">
        <v>3056</v>
      </c>
      <c r="C2937">
        <v>0</v>
      </c>
      <c r="D2937">
        <v>2</v>
      </c>
      <c r="E2937">
        <v>56</v>
      </c>
      <c r="F2937" t="s">
        <v>177</v>
      </c>
      <c r="G2937" t="s">
        <v>124</v>
      </c>
    </row>
    <row r="2938" spans="1:7" hidden="1" x14ac:dyDescent="0.25">
      <c r="A2938">
        <v>99</v>
      </c>
      <c r="B2938">
        <v>3100</v>
      </c>
      <c r="C2938">
        <v>0</v>
      </c>
      <c r="D2938">
        <v>2</v>
      </c>
      <c r="E2938">
        <v>56</v>
      </c>
      <c r="F2938" t="s">
        <v>177</v>
      </c>
      <c r="G2938" t="s">
        <v>124</v>
      </c>
    </row>
    <row r="2939" spans="1:7" x14ac:dyDescent="0.25">
      <c r="A2939">
        <v>99</v>
      </c>
      <c r="B2939">
        <v>4124</v>
      </c>
      <c r="C2939">
        <v>0</v>
      </c>
      <c r="D2939">
        <v>2</v>
      </c>
      <c r="E2939">
        <v>44</v>
      </c>
      <c r="F2939" t="s">
        <v>177</v>
      </c>
      <c r="G2939" t="s">
        <v>124</v>
      </c>
    </row>
    <row r="2940" spans="1:7" hidden="1" x14ac:dyDescent="0.25">
      <c r="A2940">
        <v>99</v>
      </c>
      <c r="B2940">
        <v>5932</v>
      </c>
      <c r="C2940">
        <v>0</v>
      </c>
      <c r="D2940">
        <v>2</v>
      </c>
      <c r="E2940">
        <v>56</v>
      </c>
      <c r="F2940" t="s">
        <v>177</v>
      </c>
      <c r="G2940" t="s">
        <v>124</v>
      </c>
    </row>
    <row r="2941" spans="1:7" hidden="1" x14ac:dyDescent="0.25">
      <c r="A2941">
        <v>99</v>
      </c>
      <c r="B2941">
        <v>5992</v>
      </c>
      <c r="C2941">
        <v>0</v>
      </c>
      <c r="D2941">
        <v>2</v>
      </c>
      <c r="E2941">
        <v>44</v>
      </c>
      <c r="F2941" t="s">
        <v>177</v>
      </c>
      <c r="G2941" t="s">
        <v>124</v>
      </c>
    </row>
    <row r="2942" spans="1:7" hidden="1" x14ac:dyDescent="0.25">
      <c r="A2942">
        <v>99</v>
      </c>
      <c r="B2942">
        <v>7260</v>
      </c>
      <c r="C2942">
        <v>0</v>
      </c>
      <c r="D2942">
        <v>2</v>
      </c>
      <c r="E2942">
        <v>56</v>
      </c>
      <c r="F2942" t="s">
        <v>177</v>
      </c>
      <c r="G2942" t="s">
        <v>124</v>
      </c>
    </row>
    <row r="2943" spans="1:7" hidden="1" x14ac:dyDescent="0.25">
      <c r="A2943">
        <v>99</v>
      </c>
      <c r="B2943">
        <v>8804</v>
      </c>
      <c r="C2943">
        <v>0</v>
      </c>
      <c r="D2943">
        <v>2</v>
      </c>
      <c r="E2943">
        <v>56</v>
      </c>
      <c r="F2943" t="s">
        <v>177</v>
      </c>
      <c r="G2943" t="s">
        <v>124</v>
      </c>
    </row>
    <row r="2944" spans="1:7" hidden="1" x14ac:dyDescent="0.25">
      <c r="A2944">
        <v>99</v>
      </c>
      <c r="B2944">
        <v>9176</v>
      </c>
      <c r="C2944">
        <v>0</v>
      </c>
      <c r="D2944">
        <v>2</v>
      </c>
      <c r="E2944">
        <v>56</v>
      </c>
      <c r="F2944" t="s">
        <v>177</v>
      </c>
      <c r="G2944" t="s">
        <v>124</v>
      </c>
    </row>
    <row r="2945" spans="1:7" hidden="1" x14ac:dyDescent="0.25">
      <c r="A2945">
        <v>99</v>
      </c>
      <c r="B2945">
        <v>9256</v>
      </c>
      <c r="C2945">
        <v>0</v>
      </c>
      <c r="D2945">
        <v>2</v>
      </c>
      <c r="E2945">
        <v>44</v>
      </c>
      <c r="F2945" t="s">
        <v>177</v>
      </c>
      <c r="G2945" t="s">
        <v>124</v>
      </c>
    </row>
    <row r="2946" spans="1:7" hidden="1" x14ac:dyDescent="0.25">
      <c r="A2946">
        <v>99</v>
      </c>
      <c r="B2946">
        <v>9752</v>
      </c>
      <c r="C2946">
        <v>0</v>
      </c>
      <c r="D2946">
        <v>2</v>
      </c>
      <c r="E2946">
        <v>56</v>
      </c>
      <c r="F2946" t="s">
        <v>177</v>
      </c>
      <c r="G2946" t="s">
        <v>124</v>
      </c>
    </row>
    <row r="2947" spans="1:7" hidden="1" x14ac:dyDescent="0.25">
      <c r="A2947">
        <v>99</v>
      </c>
      <c r="B2947">
        <v>10364</v>
      </c>
      <c r="C2947">
        <v>0</v>
      </c>
      <c r="D2947">
        <v>2</v>
      </c>
      <c r="E2947">
        <v>32</v>
      </c>
      <c r="F2947" t="s">
        <v>177</v>
      </c>
      <c r="G2947" t="s">
        <v>124</v>
      </c>
    </row>
    <row r="2948" spans="1:7" hidden="1" x14ac:dyDescent="0.25">
      <c r="A2948">
        <v>50</v>
      </c>
      <c r="B2948">
        <v>476</v>
      </c>
      <c r="C2948">
        <v>0</v>
      </c>
      <c r="D2948">
        <v>2</v>
      </c>
      <c r="E2948">
        <v>33</v>
      </c>
      <c r="F2948" t="s">
        <v>178</v>
      </c>
      <c r="G2948" t="s">
        <v>131</v>
      </c>
    </row>
    <row r="2949" spans="1:7" hidden="1" x14ac:dyDescent="0.25">
      <c r="A2949">
        <v>50</v>
      </c>
      <c r="B2949">
        <v>1264</v>
      </c>
      <c r="C2949">
        <v>0</v>
      </c>
      <c r="D2949">
        <v>2</v>
      </c>
      <c r="E2949">
        <v>33</v>
      </c>
      <c r="F2949" t="s">
        <v>178</v>
      </c>
      <c r="G2949" t="s">
        <v>131</v>
      </c>
    </row>
    <row r="2950" spans="1:7" hidden="1" x14ac:dyDescent="0.25">
      <c r="A2950">
        <v>50</v>
      </c>
      <c r="B2950">
        <v>4228</v>
      </c>
      <c r="C2950">
        <v>0</v>
      </c>
      <c r="D2950">
        <v>2</v>
      </c>
      <c r="E2950">
        <v>33</v>
      </c>
      <c r="F2950" t="s">
        <v>178</v>
      </c>
      <c r="G2950" t="s">
        <v>131</v>
      </c>
    </row>
    <row r="2951" spans="1:7" hidden="1" x14ac:dyDescent="0.25">
      <c r="A2951">
        <v>50</v>
      </c>
      <c r="B2951">
        <v>5004</v>
      </c>
      <c r="C2951">
        <v>0</v>
      </c>
      <c r="D2951">
        <v>2</v>
      </c>
      <c r="E2951">
        <v>33</v>
      </c>
      <c r="F2951" t="s">
        <v>178</v>
      </c>
      <c r="G2951" t="s">
        <v>131</v>
      </c>
    </row>
    <row r="2952" spans="1:7" hidden="1" x14ac:dyDescent="0.25">
      <c r="A2952">
        <v>50</v>
      </c>
      <c r="B2952">
        <v>7283</v>
      </c>
      <c r="C2952">
        <v>0</v>
      </c>
      <c r="D2952">
        <v>2</v>
      </c>
      <c r="E2952">
        <v>33</v>
      </c>
      <c r="F2952" t="s">
        <v>178</v>
      </c>
      <c r="G2952" t="s">
        <v>131</v>
      </c>
    </row>
    <row r="2953" spans="1:7" hidden="1" x14ac:dyDescent="0.25">
      <c r="A2953">
        <v>50</v>
      </c>
      <c r="B2953">
        <v>7284</v>
      </c>
      <c r="C2953">
        <v>0</v>
      </c>
      <c r="D2953">
        <v>2</v>
      </c>
      <c r="E2953">
        <v>33</v>
      </c>
      <c r="F2953" t="s">
        <v>178</v>
      </c>
      <c r="G2953" t="s">
        <v>131</v>
      </c>
    </row>
    <row r="2954" spans="1:7" hidden="1" x14ac:dyDescent="0.25">
      <c r="A2954">
        <v>50</v>
      </c>
      <c r="B2954">
        <v>9356</v>
      </c>
      <c r="C2954">
        <v>0</v>
      </c>
      <c r="D2954">
        <v>2</v>
      </c>
      <c r="E2954">
        <v>33</v>
      </c>
      <c r="F2954" t="s">
        <v>178</v>
      </c>
      <c r="G2954" t="s">
        <v>131</v>
      </c>
    </row>
    <row r="2955" spans="1:7" hidden="1" x14ac:dyDescent="0.25">
      <c r="A2955">
        <v>50</v>
      </c>
      <c r="B2955">
        <v>10592</v>
      </c>
      <c r="C2955">
        <v>0</v>
      </c>
      <c r="D2955">
        <v>2</v>
      </c>
      <c r="E2955">
        <v>33</v>
      </c>
      <c r="F2955" t="s">
        <v>178</v>
      </c>
      <c r="G2955" t="s">
        <v>131</v>
      </c>
    </row>
    <row r="2956" spans="1:7" hidden="1" x14ac:dyDescent="0.25">
      <c r="A2956">
        <v>99</v>
      </c>
      <c r="B2956">
        <v>2168</v>
      </c>
      <c r="C2956">
        <v>0</v>
      </c>
      <c r="D2956">
        <v>2</v>
      </c>
      <c r="E2956">
        <v>57</v>
      </c>
      <c r="F2956" t="s">
        <v>178</v>
      </c>
      <c r="G2956" t="s">
        <v>131</v>
      </c>
    </row>
    <row r="2957" spans="1:7" hidden="1" x14ac:dyDescent="0.25">
      <c r="A2957">
        <v>99</v>
      </c>
      <c r="B2957">
        <v>2472</v>
      </c>
      <c r="C2957">
        <v>0</v>
      </c>
      <c r="D2957">
        <v>2</v>
      </c>
      <c r="E2957">
        <v>57</v>
      </c>
      <c r="F2957" t="s">
        <v>178</v>
      </c>
      <c r="G2957" t="s">
        <v>131</v>
      </c>
    </row>
    <row r="2958" spans="1:7" hidden="1" x14ac:dyDescent="0.25">
      <c r="A2958">
        <v>99</v>
      </c>
      <c r="B2958">
        <v>3056</v>
      </c>
      <c r="C2958">
        <v>0</v>
      </c>
      <c r="D2958">
        <v>2</v>
      </c>
      <c r="E2958">
        <v>57</v>
      </c>
      <c r="F2958" t="s">
        <v>178</v>
      </c>
      <c r="G2958" t="s">
        <v>131</v>
      </c>
    </row>
    <row r="2959" spans="1:7" hidden="1" x14ac:dyDescent="0.25">
      <c r="A2959">
        <v>99</v>
      </c>
      <c r="B2959">
        <v>3100</v>
      </c>
      <c r="C2959">
        <v>0</v>
      </c>
      <c r="D2959">
        <v>2</v>
      </c>
      <c r="E2959">
        <v>57</v>
      </c>
      <c r="F2959" t="s">
        <v>178</v>
      </c>
      <c r="G2959" t="s">
        <v>131</v>
      </c>
    </row>
    <row r="2960" spans="1:7" x14ac:dyDescent="0.25">
      <c r="A2960">
        <v>99</v>
      </c>
      <c r="B2960">
        <v>4124</v>
      </c>
      <c r="C2960">
        <v>0</v>
      </c>
      <c r="D2960">
        <v>2</v>
      </c>
      <c r="E2960">
        <v>45</v>
      </c>
      <c r="F2960" t="s">
        <v>178</v>
      </c>
      <c r="G2960" t="s">
        <v>131</v>
      </c>
    </row>
    <row r="2961" spans="1:7" hidden="1" x14ac:dyDescent="0.25">
      <c r="A2961">
        <v>99</v>
      </c>
      <c r="B2961">
        <v>5932</v>
      </c>
      <c r="C2961">
        <v>0</v>
      </c>
      <c r="D2961">
        <v>2</v>
      </c>
      <c r="E2961">
        <v>57</v>
      </c>
      <c r="F2961" t="s">
        <v>178</v>
      </c>
      <c r="G2961" t="s">
        <v>131</v>
      </c>
    </row>
    <row r="2962" spans="1:7" hidden="1" x14ac:dyDescent="0.25">
      <c r="A2962">
        <v>99</v>
      </c>
      <c r="B2962">
        <v>5992</v>
      </c>
      <c r="C2962">
        <v>0</v>
      </c>
      <c r="D2962">
        <v>2</v>
      </c>
      <c r="E2962">
        <v>45</v>
      </c>
      <c r="F2962" t="s">
        <v>178</v>
      </c>
      <c r="G2962" t="s">
        <v>131</v>
      </c>
    </row>
    <row r="2963" spans="1:7" hidden="1" x14ac:dyDescent="0.25">
      <c r="A2963">
        <v>99</v>
      </c>
      <c r="B2963">
        <v>7260</v>
      </c>
      <c r="C2963">
        <v>0</v>
      </c>
      <c r="D2963">
        <v>2</v>
      </c>
      <c r="E2963">
        <v>57</v>
      </c>
      <c r="F2963" t="s">
        <v>178</v>
      </c>
      <c r="G2963" t="s">
        <v>131</v>
      </c>
    </row>
    <row r="2964" spans="1:7" hidden="1" x14ac:dyDescent="0.25">
      <c r="A2964">
        <v>99</v>
      </c>
      <c r="B2964">
        <v>8804</v>
      </c>
      <c r="C2964">
        <v>0</v>
      </c>
      <c r="D2964">
        <v>2</v>
      </c>
      <c r="E2964">
        <v>57</v>
      </c>
      <c r="F2964" t="s">
        <v>178</v>
      </c>
      <c r="G2964" t="s">
        <v>131</v>
      </c>
    </row>
    <row r="2965" spans="1:7" hidden="1" x14ac:dyDescent="0.25">
      <c r="A2965">
        <v>99</v>
      </c>
      <c r="B2965">
        <v>9176</v>
      </c>
      <c r="C2965">
        <v>0</v>
      </c>
      <c r="D2965">
        <v>2</v>
      </c>
      <c r="E2965">
        <v>57</v>
      </c>
      <c r="F2965" t="s">
        <v>178</v>
      </c>
      <c r="G2965" t="s">
        <v>131</v>
      </c>
    </row>
    <row r="2966" spans="1:7" hidden="1" x14ac:dyDescent="0.25">
      <c r="A2966">
        <v>99</v>
      </c>
      <c r="B2966">
        <v>9256</v>
      </c>
      <c r="C2966">
        <v>0</v>
      </c>
      <c r="D2966">
        <v>2</v>
      </c>
      <c r="E2966">
        <v>45</v>
      </c>
      <c r="F2966" t="s">
        <v>178</v>
      </c>
      <c r="G2966" t="s">
        <v>131</v>
      </c>
    </row>
    <row r="2967" spans="1:7" hidden="1" x14ac:dyDescent="0.25">
      <c r="A2967">
        <v>99</v>
      </c>
      <c r="B2967">
        <v>9752</v>
      </c>
      <c r="C2967">
        <v>0</v>
      </c>
      <c r="D2967">
        <v>2</v>
      </c>
      <c r="E2967">
        <v>57</v>
      </c>
      <c r="F2967" t="s">
        <v>178</v>
      </c>
      <c r="G2967" t="s">
        <v>131</v>
      </c>
    </row>
    <row r="2968" spans="1:7" hidden="1" x14ac:dyDescent="0.25">
      <c r="A2968">
        <v>99</v>
      </c>
      <c r="B2968">
        <v>10364</v>
      </c>
      <c r="C2968">
        <v>0</v>
      </c>
      <c r="D2968">
        <v>2</v>
      </c>
      <c r="E2968">
        <v>33</v>
      </c>
      <c r="F2968" t="s">
        <v>178</v>
      </c>
      <c r="G2968" t="s">
        <v>131</v>
      </c>
    </row>
    <row r="2969" spans="1:7" hidden="1" x14ac:dyDescent="0.25">
      <c r="A2969">
        <v>50</v>
      </c>
      <c r="B2969">
        <v>476</v>
      </c>
      <c r="C2969">
        <v>0</v>
      </c>
      <c r="D2969">
        <v>2</v>
      </c>
      <c r="E2969">
        <v>12</v>
      </c>
      <c r="F2969" t="s">
        <v>160</v>
      </c>
      <c r="G2969" t="s">
        <v>192</v>
      </c>
    </row>
    <row r="2970" spans="1:7" hidden="1" x14ac:dyDescent="0.25">
      <c r="A2970">
        <v>50</v>
      </c>
      <c r="B2970">
        <v>1264</v>
      </c>
      <c r="C2970">
        <v>0</v>
      </c>
      <c r="D2970">
        <v>2</v>
      </c>
      <c r="E2970">
        <v>12</v>
      </c>
      <c r="F2970" t="s">
        <v>160</v>
      </c>
      <c r="G2970" t="s">
        <v>192</v>
      </c>
    </row>
    <row r="2971" spans="1:7" hidden="1" x14ac:dyDescent="0.25">
      <c r="A2971">
        <v>50</v>
      </c>
      <c r="B2971">
        <v>4228</v>
      </c>
      <c r="C2971">
        <v>0</v>
      </c>
      <c r="D2971">
        <v>2</v>
      </c>
      <c r="E2971">
        <v>12</v>
      </c>
      <c r="F2971" t="s">
        <v>160</v>
      </c>
      <c r="G2971" t="s">
        <v>192</v>
      </c>
    </row>
    <row r="2972" spans="1:7" hidden="1" x14ac:dyDescent="0.25">
      <c r="A2972">
        <v>50</v>
      </c>
      <c r="B2972">
        <v>5004</v>
      </c>
      <c r="C2972">
        <v>0</v>
      </c>
      <c r="D2972">
        <v>2</v>
      </c>
      <c r="E2972">
        <v>12</v>
      </c>
      <c r="F2972" t="s">
        <v>160</v>
      </c>
      <c r="G2972" t="s">
        <v>192</v>
      </c>
    </row>
    <row r="2973" spans="1:7" hidden="1" x14ac:dyDescent="0.25">
      <c r="A2973">
        <v>50</v>
      </c>
      <c r="B2973">
        <v>7283</v>
      </c>
      <c r="C2973">
        <v>0</v>
      </c>
      <c r="D2973">
        <v>2</v>
      </c>
      <c r="E2973">
        <v>12</v>
      </c>
      <c r="F2973" t="s">
        <v>160</v>
      </c>
      <c r="G2973" t="s">
        <v>192</v>
      </c>
    </row>
    <row r="2974" spans="1:7" hidden="1" x14ac:dyDescent="0.25">
      <c r="A2974">
        <v>50</v>
      </c>
      <c r="B2974">
        <v>7284</v>
      </c>
      <c r="C2974">
        <v>0</v>
      </c>
      <c r="D2974">
        <v>2</v>
      </c>
      <c r="E2974">
        <v>12</v>
      </c>
      <c r="F2974" t="s">
        <v>160</v>
      </c>
      <c r="G2974" t="s">
        <v>192</v>
      </c>
    </row>
    <row r="2975" spans="1:7" hidden="1" x14ac:dyDescent="0.25">
      <c r="A2975">
        <v>50</v>
      </c>
      <c r="B2975">
        <v>9356</v>
      </c>
      <c r="C2975">
        <v>0</v>
      </c>
      <c r="D2975">
        <v>2</v>
      </c>
      <c r="E2975">
        <v>12</v>
      </c>
      <c r="F2975" t="s">
        <v>160</v>
      </c>
      <c r="G2975" t="s">
        <v>192</v>
      </c>
    </row>
    <row r="2976" spans="1:7" hidden="1" x14ac:dyDescent="0.25">
      <c r="A2976">
        <v>50</v>
      </c>
      <c r="B2976">
        <v>10592</v>
      </c>
      <c r="C2976">
        <v>0</v>
      </c>
      <c r="D2976">
        <v>2</v>
      </c>
      <c r="E2976">
        <v>12</v>
      </c>
      <c r="F2976" t="s">
        <v>160</v>
      </c>
      <c r="G2976" t="s">
        <v>192</v>
      </c>
    </row>
    <row r="2977" spans="1:7" hidden="1" x14ac:dyDescent="0.25">
      <c r="A2977">
        <v>99</v>
      </c>
      <c r="B2977">
        <v>2168</v>
      </c>
      <c r="C2977">
        <v>0</v>
      </c>
      <c r="D2977">
        <v>2</v>
      </c>
      <c r="E2977">
        <v>36</v>
      </c>
      <c r="F2977" t="s">
        <v>160</v>
      </c>
      <c r="G2977" t="s">
        <v>192</v>
      </c>
    </row>
    <row r="2978" spans="1:7" hidden="1" x14ac:dyDescent="0.25">
      <c r="A2978">
        <v>99</v>
      </c>
      <c r="B2978">
        <v>2472</v>
      </c>
      <c r="C2978">
        <v>0</v>
      </c>
      <c r="D2978">
        <v>2</v>
      </c>
      <c r="E2978">
        <v>36</v>
      </c>
      <c r="F2978" t="s">
        <v>160</v>
      </c>
      <c r="G2978" t="s">
        <v>192</v>
      </c>
    </row>
    <row r="2979" spans="1:7" hidden="1" x14ac:dyDescent="0.25">
      <c r="A2979">
        <v>99</v>
      </c>
      <c r="B2979">
        <v>3056</v>
      </c>
      <c r="C2979">
        <v>0</v>
      </c>
      <c r="D2979">
        <v>2</v>
      </c>
      <c r="E2979">
        <v>36</v>
      </c>
      <c r="F2979" t="s">
        <v>160</v>
      </c>
      <c r="G2979" t="s">
        <v>192</v>
      </c>
    </row>
    <row r="2980" spans="1:7" hidden="1" x14ac:dyDescent="0.25">
      <c r="A2980">
        <v>99</v>
      </c>
      <c r="B2980">
        <v>3100</v>
      </c>
      <c r="C2980">
        <v>0</v>
      </c>
      <c r="D2980">
        <v>2</v>
      </c>
      <c r="E2980">
        <v>36</v>
      </c>
      <c r="F2980" t="s">
        <v>160</v>
      </c>
      <c r="G2980" t="s">
        <v>192</v>
      </c>
    </row>
    <row r="2981" spans="1:7" x14ac:dyDescent="0.25">
      <c r="A2981">
        <v>99</v>
      </c>
      <c r="B2981">
        <v>4124</v>
      </c>
      <c r="C2981">
        <v>0</v>
      </c>
      <c r="D2981">
        <v>2</v>
      </c>
      <c r="E2981">
        <v>24</v>
      </c>
      <c r="F2981" t="s">
        <v>160</v>
      </c>
      <c r="G2981" t="s">
        <v>192</v>
      </c>
    </row>
    <row r="2982" spans="1:7" hidden="1" x14ac:dyDescent="0.25">
      <c r="A2982">
        <v>99</v>
      </c>
      <c r="B2982">
        <v>5932</v>
      </c>
      <c r="C2982">
        <v>0</v>
      </c>
      <c r="D2982">
        <v>2</v>
      </c>
      <c r="E2982">
        <v>36</v>
      </c>
      <c r="F2982" t="s">
        <v>160</v>
      </c>
      <c r="G2982" t="s">
        <v>192</v>
      </c>
    </row>
    <row r="2983" spans="1:7" hidden="1" x14ac:dyDescent="0.25">
      <c r="A2983">
        <v>99</v>
      </c>
      <c r="B2983">
        <v>5992</v>
      </c>
      <c r="C2983">
        <v>0</v>
      </c>
      <c r="D2983">
        <v>2</v>
      </c>
      <c r="E2983">
        <v>24</v>
      </c>
      <c r="F2983" t="s">
        <v>160</v>
      </c>
      <c r="G2983" t="s">
        <v>192</v>
      </c>
    </row>
    <row r="2984" spans="1:7" hidden="1" x14ac:dyDescent="0.25">
      <c r="A2984">
        <v>99</v>
      </c>
      <c r="B2984">
        <v>7260</v>
      </c>
      <c r="C2984">
        <v>0</v>
      </c>
      <c r="D2984">
        <v>2</v>
      </c>
      <c r="E2984">
        <v>36</v>
      </c>
      <c r="F2984" t="s">
        <v>160</v>
      </c>
      <c r="G2984" t="s">
        <v>192</v>
      </c>
    </row>
    <row r="2985" spans="1:7" hidden="1" x14ac:dyDescent="0.25">
      <c r="A2985">
        <v>99</v>
      </c>
      <c r="B2985">
        <v>8804</v>
      </c>
      <c r="C2985">
        <v>0</v>
      </c>
      <c r="D2985">
        <v>2</v>
      </c>
      <c r="E2985">
        <v>36</v>
      </c>
      <c r="F2985" t="s">
        <v>160</v>
      </c>
      <c r="G2985" t="s">
        <v>192</v>
      </c>
    </row>
    <row r="2986" spans="1:7" hidden="1" x14ac:dyDescent="0.25">
      <c r="A2986">
        <v>99</v>
      </c>
      <c r="B2986">
        <v>9176</v>
      </c>
      <c r="C2986">
        <v>0</v>
      </c>
      <c r="D2986">
        <v>2</v>
      </c>
      <c r="E2986">
        <v>36</v>
      </c>
      <c r="F2986" t="s">
        <v>160</v>
      </c>
      <c r="G2986" t="s">
        <v>192</v>
      </c>
    </row>
    <row r="2987" spans="1:7" hidden="1" x14ac:dyDescent="0.25">
      <c r="A2987">
        <v>99</v>
      </c>
      <c r="B2987">
        <v>9256</v>
      </c>
      <c r="C2987">
        <v>0</v>
      </c>
      <c r="D2987">
        <v>2</v>
      </c>
      <c r="E2987">
        <v>24</v>
      </c>
      <c r="F2987" t="s">
        <v>160</v>
      </c>
      <c r="G2987" t="s">
        <v>192</v>
      </c>
    </row>
    <row r="2988" spans="1:7" hidden="1" x14ac:dyDescent="0.25">
      <c r="A2988">
        <v>99</v>
      </c>
      <c r="B2988">
        <v>9752</v>
      </c>
      <c r="C2988">
        <v>0</v>
      </c>
      <c r="D2988">
        <v>2</v>
      </c>
      <c r="E2988">
        <v>36</v>
      </c>
      <c r="F2988" t="s">
        <v>160</v>
      </c>
      <c r="G2988" t="s">
        <v>192</v>
      </c>
    </row>
    <row r="2989" spans="1:7" hidden="1" x14ac:dyDescent="0.25">
      <c r="A2989">
        <v>99</v>
      </c>
      <c r="B2989">
        <v>10364</v>
      </c>
      <c r="C2989">
        <v>0</v>
      </c>
      <c r="D2989">
        <v>2</v>
      </c>
      <c r="E2989">
        <v>12</v>
      </c>
      <c r="F2989" t="s">
        <v>160</v>
      </c>
      <c r="G2989" t="s">
        <v>192</v>
      </c>
    </row>
    <row r="2990" spans="1:7" hidden="1" x14ac:dyDescent="0.25">
      <c r="A2990">
        <v>50</v>
      </c>
      <c r="B2990">
        <v>476</v>
      </c>
      <c r="C2990">
        <v>0</v>
      </c>
      <c r="D2990">
        <v>2</v>
      </c>
      <c r="E2990">
        <v>16</v>
      </c>
      <c r="F2990" t="s">
        <v>164</v>
      </c>
      <c r="G2990" t="s">
        <v>137</v>
      </c>
    </row>
    <row r="2991" spans="1:7" hidden="1" x14ac:dyDescent="0.25">
      <c r="A2991">
        <v>50</v>
      </c>
      <c r="B2991">
        <v>1264</v>
      </c>
      <c r="C2991">
        <v>0</v>
      </c>
      <c r="D2991">
        <v>2</v>
      </c>
      <c r="E2991">
        <v>16</v>
      </c>
      <c r="F2991" t="s">
        <v>164</v>
      </c>
      <c r="G2991" t="s">
        <v>137</v>
      </c>
    </row>
    <row r="2992" spans="1:7" hidden="1" x14ac:dyDescent="0.25">
      <c r="A2992">
        <v>50</v>
      </c>
      <c r="B2992">
        <v>4228</v>
      </c>
      <c r="C2992">
        <v>0</v>
      </c>
      <c r="D2992">
        <v>2</v>
      </c>
      <c r="E2992">
        <v>16</v>
      </c>
      <c r="F2992" t="s">
        <v>164</v>
      </c>
      <c r="G2992" t="s">
        <v>137</v>
      </c>
    </row>
    <row r="2993" spans="1:7" hidden="1" x14ac:dyDescent="0.25">
      <c r="A2993">
        <v>50</v>
      </c>
      <c r="B2993">
        <v>5004</v>
      </c>
      <c r="C2993">
        <v>0</v>
      </c>
      <c r="D2993">
        <v>2</v>
      </c>
      <c r="E2993">
        <v>16</v>
      </c>
      <c r="F2993" t="s">
        <v>164</v>
      </c>
      <c r="G2993" t="s">
        <v>137</v>
      </c>
    </row>
    <row r="2994" spans="1:7" hidden="1" x14ac:dyDescent="0.25">
      <c r="A2994">
        <v>50</v>
      </c>
      <c r="B2994">
        <v>7283</v>
      </c>
      <c r="C2994">
        <v>0</v>
      </c>
      <c r="D2994">
        <v>2</v>
      </c>
      <c r="E2994">
        <v>16</v>
      </c>
      <c r="F2994" t="s">
        <v>164</v>
      </c>
      <c r="G2994" t="s">
        <v>137</v>
      </c>
    </row>
    <row r="2995" spans="1:7" hidden="1" x14ac:dyDescent="0.25">
      <c r="A2995">
        <v>50</v>
      </c>
      <c r="B2995">
        <v>7284</v>
      </c>
      <c r="C2995">
        <v>0</v>
      </c>
      <c r="D2995">
        <v>2</v>
      </c>
      <c r="E2995">
        <v>16</v>
      </c>
      <c r="F2995" t="s">
        <v>164</v>
      </c>
      <c r="G2995" t="s">
        <v>137</v>
      </c>
    </row>
    <row r="2996" spans="1:7" hidden="1" x14ac:dyDescent="0.25">
      <c r="A2996">
        <v>50</v>
      </c>
      <c r="B2996">
        <v>9356</v>
      </c>
      <c r="C2996">
        <v>0</v>
      </c>
      <c r="D2996">
        <v>2</v>
      </c>
      <c r="E2996">
        <v>16</v>
      </c>
      <c r="F2996" t="s">
        <v>164</v>
      </c>
      <c r="G2996" t="s">
        <v>137</v>
      </c>
    </row>
    <row r="2997" spans="1:7" hidden="1" x14ac:dyDescent="0.25">
      <c r="A2997">
        <v>50</v>
      </c>
      <c r="B2997">
        <v>10592</v>
      </c>
      <c r="C2997">
        <v>0</v>
      </c>
      <c r="D2997">
        <v>2</v>
      </c>
      <c r="E2997">
        <v>16</v>
      </c>
      <c r="F2997" t="s">
        <v>164</v>
      </c>
      <c r="G2997" t="s">
        <v>137</v>
      </c>
    </row>
    <row r="2998" spans="1:7" hidden="1" x14ac:dyDescent="0.25">
      <c r="A2998">
        <v>99</v>
      </c>
      <c r="B2998">
        <v>2168</v>
      </c>
      <c r="C2998">
        <v>0</v>
      </c>
      <c r="D2998">
        <v>2</v>
      </c>
      <c r="E2998">
        <v>40</v>
      </c>
      <c r="F2998" t="s">
        <v>164</v>
      </c>
      <c r="G2998" t="s">
        <v>137</v>
      </c>
    </row>
    <row r="2999" spans="1:7" hidden="1" x14ac:dyDescent="0.25">
      <c r="A2999">
        <v>99</v>
      </c>
      <c r="B2999">
        <v>2472</v>
      </c>
      <c r="C2999">
        <v>0</v>
      </c>
      <c r="D2999">
        <v>2</v>
      </c>
      <c r="E2999">
        <v>40</v>
      </c>
      <c r="F2999" t="s">
        <v>164</v>
      </c>
      <c r="G2999" t="s">
        <v>137</v>
      </c>
    </row>
    <row r="3000" spans="1:7" hidden="1" x14ac:dyDescent="0.25">
      <c r="A3000">
        <v>99</v>
      </c>
      <c r="B3000">
        <v>3056</v>
      </c>
      <c r="C3000">
        <v>0</v>
      </c>
      <c r="D3000">
        <v>2</v>
      </c>
      <c r="E3000">
        <v>40</v>
      </c>
      <c r="F3000" t="s">
        <v>164</v>
      </c>
      <c r="G3000" t="s">
        <v>137</v>
      </c>
    </row>
    <row r="3001" spans="1:7" hidden="1" x14ac:dyDescent="0.25">
      <c r="A3001">
        <v>99</v>
      </c>
      <c r="B3001">
        <v>3100</v>
      </c>
      <c r="C3001">
        <v>0</v>
      </c>
      <c r="D3001">
        <v>2</v>
      </c>
      <c r="E3001">
        <v>40</v>
      </c>
      <c r="F3001" t="s">
        <v>164</v>
      </c>
      <c r="G3001" t="s">
        <v>137</v>
      </c>
    </row>
    <row r="3002" spans="1:7" x14ac:dyDescent="0.25">
      <c r="A3002">
        <v>99</v>
      </c>
      <c r="B3002">
        <v>4124</v>
      </c>
      <c r="C3002">
        <v>0</v>
      </c>
      <c r="D3002">
        <v>2</v>
      </c>
      <c r="E3002">
        <v>28</v>
      </c>
      <c r="F3002" t="s">
        <v>164</v>
      </c>
      <c r="G3002" t="s">
        <v>137</v>
      </c>
    </row>
    <row r="3003" spans="1:7" hidden="1" x14ac:dyDescent="0.25">
      <c r="A3003">
        <v>99</v>
      </c>
      <c r="B3003">
        <v>5932</v>
      </c>
      <c r="C3003">
        <v>0</v>
      </c>
      <c r="D3003">
        <v>2</v>
      </c>
      <c r="E3003">
        <v>40</v>
      </c>
      <c r="F3003" t="s">
        <v>164</v>
      </c>
      <c r="G3003" t="s">
        <v>137</v>
      </c>
    </row>
    <row r="3004" spans="1:7" hidden="1" x14ac:dyDescent="0.25">
      <c r="A3004">
        <v>99</v>
      </c>
      <c r="B3004">
        <v>5992</v>
      </c>
      <c r="C3004">
        <v>0</v>
      </c>
      <c r="D3004">
        <v>2</v>
      </c>
      <c r="E3004">
        <v>28</v>
      </c>
      <c r="F3004" t="s">
        <v>164</v>
      </c>
      <c r="G3004" t="s">
        <v>137</v>
      </c>
    </row>
    <row r="3005" spans="1:7" hidden="1" x14ac:dyDescent="0.25">
      <c r="A3005">
        <v>99</v>
      </c>
      <c r="B3005">
        <v>7260</v>
      </c>
      <c r="C3005">
        <v>0</v>
      </c>
      <c r="D3005">
        <v>2</v>
      </c>
      <c r="E3005">
        <v>40</v>
      </c>
      <c r="F3005" t="s">
        <v>164</v>
      </c>
      <c r="G3005" t="s">
        <v>137</v>
      </c>
    </row>
    <row r="3006" spans="1:7" hidden="1" x14ac:dyDescent="0.25">
      <c r="A3006">
        <v>99</v>
      </c>
      <c r="B3006">
        <v>8804</v>
      </c>
      <c r="C3006">
        <v>0</v>
      </c>
      <c r="D3006">
        <v>2</v>
      </c>
      <c r="E3006">
        <v>40</v>
      </c>
      <c r="F3006" t="s">
        <v>164</v>
      </c>
      <c r="G3006" t="s">
        <v>137</v>
      </c>
    </row>
    <row r="3007" spans="1:7" hidden="1" x14ac:dyDescent="0.25">
      <c r="A3007">
        <v>99</v>
      </c>
      <c r="B3007">
        <v>9176</v>
      </c>
      <c r="C3007">
        <v>0</v>
      </c>
      <c r="D3007">
        <v>2</v>
      </c>
      <c r="E3007">
        <v>40</v>
      </c>
      <c r="F3007" t="s">
        <v>164</v>
      </c>
      <c r="G3007" t="s">
        <v>137</v>
      </c>
    </row>
    <row r="3008" spans="1:7" hidden="1" x14ac:dyDescent="0.25">
      <c r="A3008">
        <v>99</v>
      </c>
      <c r="B3008">
        <v>9256</v>
      </c>
      <c r="C3008">
        <v>0</v>
      </c>
      <c r="D3008">
        <v>2</v>
      </c>
      <c r="E3008">
        <v>28</v>
      </c>
      <c r="F3008" t="s">
        <v>164</v>
      </c>
      <c r="G3008" t="s">
        <v>137</v>
      </c>
    </row>
    <row r="3009" spans="1:7" hidden="1" x14ac:dyDescent="0.25">
      <c r="A3009">
        <v>99</v>
      </c>
      <c r="B3009">
        <v>9752</v>
      </c>
      <c r="C3009">
        <v>0</v>
      </c>
      <c r="D3009">
        <v>2</v>
      </c>
      <c r="E3009">
        <v>40</v>
      </c>
      <c r="F3009" t="s">
        <v>164</v>
      </c>
      <c r="G3009" t="s">
        <v>137</v>
      </c>
    </row>
    <row r="3010" spans="1:7" hidden="1" x14ac:dyDescent="0.25">
      <c r="A3010">
        <v>99</v>
      </c>
      <c r="B3010">
        <v>10364</v>
      </c>
      <c r="C3010">
        <v>0</v>
      </c>
      <c r="D3010">
        <v>2</v>
      </c>
      <c r="E3010">
        <v>16</v>
      </c>
      <c r="F3010" t="s">
        <v>164</v>
      </c>
      <c r="G3010" t="s">
        <v>137</v>
      </c>
    </row>
    <row r="3011" spans="1:7" hidden="1" x14ac:dyDescent="0.25">
      <c r="A3011">
        <v>50</v>
      </c>
      <c r="B3011">
        <v>476</v>
      </c>
      <c r="C3011">
        <v>0</v>
      </c>
      <c r="D3011">
        <v>2</v>
      </c>
      <c r="E3011">
        <v>20</v>
      </c>
      <c r="F3011" t="s">
        <v>168</v>
      </c>
      <c r="G3011" t="s">
        <v>145</v>
      </c>
    </row>
    <row r="3012" spans="1:7" hidden="1" x14ac:dyDescent="0.25">
      <c r="A3012">
        <v>50</v>
      </c>
      <c r="B3012">
        <v>1264</v>
      </c>
      <c r="C3012">
        <v>0</v>
      </c>
      <c r="D3012">
        <v>2</v>
      </c>
      <c r="E3012">
        <v>20</v>
      </c>
      <c r="F3012" t="s">
        <v>168</v>
      </c>
      <c r="G3012" t="s">
        <v>145</v>
      </c>
    </row>
    <row r="3013" spans="1:7" hidden="1" x14ac:dyDescent="0.25">
      <c r="A3013">
        <v>50</v>
      </c>
      <c r="B3013">
        <v>4228</v>
      </c>
      <c r="C3013">
        <v>0</v>
      </c>
      <c r="D3013">
        <v>2</v>
      </c>
      <c r="E3013">
        <v>20</v>
      </c>
      <c r="F3013" t="s">
        <v>168</v>
      </c>
      <c r="G3013" t="s">
        <v>145</v>
      </c>
    </row>
    <row r="3014" spans="1:7" hidden="1" x14ac:dyDescent="0.25">
      <c r="A3014">
        <v>50</v>
      </c>
      <c r="B3014">
        <v>5004</v>
      </c>
      <c r="C3014">
        <v>0</v>
      </c>
      <c r="D3014">
        <v>2</v>
      </c>
      <c r="E3014">
        <v>20</v>
      </c>
      <c r="F3014" t="s">
        <v>168</v>
      </c>
      <c r="G3014" t="s">
        <v>145</v>
      </c>
    </row>
    <row r="3015" spans="1:7" hidden="1" x14ac:dyDescent="0.25">
      <c r="A3015">
        <v>50</v>
      </c>
      <c r="B3015">
        <v>7283</v>
      </c>
      <c r="C3015">
        <v>0</v>
      </c>
      <c r="D3015">
        <v>2</v>
      </c>
      <c r="E3015">
        <v>20</v>
      </c>
      <c r="F3015" t="s">
        <v>168</v>
      </c>
      <c r="G3015" t="s">
        <v>145</v>
      </c>
    </row>
    <row r="3016" spans="1:7" hidden="1" x14ac:dyDescent="0.25">
      <c r="A3016">
        <v>50</v>
      </c>
      <c r="B3016">
        <v>7284</v>
      </c>
      <c r="C3016">
        <v>0</v>
      </c>
      <c r="D3016">
        <v>2</v>
      </c>
      <c r="E3016">
        <v>20</v>
      </c>
      <c r="F3016" t="s">
        <v>168</v>
      </c>
      <c r="G3016" t="s">
        <v>145</v>
      </c>
    </row>
    <row r="3017" spans="1:7" hidden="1" x14ac:dyDescent="0.25">
      <c r="A3017">
        <v>50</v>
      </c>
      <c r="B3017">
        <v>9356</v>
      </c>
      <c r="C3017">
        <v>0</v>
      </c>
      <c r="D3017">
        <v>2</v>
      </c>
      <c r="E3017">
        <v>20</v>
      </c>
      <c r="F3017" t="s">
        <v>168</v>
      </c>
      <c r="G3017" t="s">
        <v>145</v>
      </c>
    </row>
    <row r="3018" spans="1:7" hidden="1" x14ac:dyDescent="0.25">
      <c r="A3018">
        <v>50</v>
      </c>
      <c r="B3018">
        <v>10592</v>
      </c>
      <c r="C3018">
        <v>0</v>
      </c>
      <c r="D3018">
        <v>2</v>
      </c>
      <c r="E3018">
        <v>20</v>
      </c>
      <c r="F3018" t="s">
        <v>168</v>
      </c>
      <c r="G3018" t="s">
        <v>145</v>
      </c>
    </row>
    <row r="3019" spans="1:7" hidden="1" x14ac:dyDescent="0.25">
      <c r="A3019">
        <v>99</v>
      </c>
      <c r="B3019">
        <v>2168</v>
      </c>
      <c r="C3019">
        <v>0</v>
      </c>
      <c r="D3019">
        <v>2</v>
      </c>
      <c r="E3019">
        <v>44</v>
      </c>
      <c r="F3019" t="s">
        <v>168</v>
      </c>
      <c r="G3019" t="s">
        <v>145</v>
      </c>
    </row>
    <row r="3020" spans="1:7" hidden="1" x14ac:dyDescent="0.25">
      <c r="A3020">
        <v>99</v>
      </c>
      <c r="B3020">
        <v>2472</v>
      </c>
      <c r="C3020">
        <v>0</v>
      </c>
      <c r="D3020">
        <v>2</v>
      </c>
      <c r="E3020">
        <v>44</v>
      </c>
      <c r="F3020" t="s">
        <v>168</v>
      </c>
      <c r="G3020" t="s">
        <v>145</v>
      </c>
    </row>
    <row r="3021" spans="1:7" hidden="1" x14ac:dyDescent="0.25">
      <c r="A3021">
        <v>99</v>
      </c>
      <c r="B3021">
        <v>3056</v>
      </c>
      <c r="C3021">
        <v>0</v>
      </c>
      <c r="D3021">
        <v>2</v>
      </c>
      <c r="E3021">
        <v>44</v>
      </c>
      <c r="F3021" t="s">
        <v>168</v>
      </c>
      <c r="G3021" t="s">
        <v>145</v>
      </c>
    </row>
    <row r="3022" spans="1:7" hidden="1" x14ac:dyDescent="0.25">
      <c r="A3022">
        <v>99</v>
      </c>
      <c r="B3022">
        <v>3100</v>
      </c>
      <c r="C3022">
        <v>0</v>
      </c>
      <c r="D3022">
        <v>2</v>
      </c>
      <c r="E3022">
        <v>44</v>
      </c>
      <c r="F3022" t="s">
        <v>168</v>
      </c>
      <c r="G3022" t="s">
        <v>145</v>
      </c>
    </row>
    <row r="3023" spans="1:7" x14ac:dyDescent="0.25">
      <c r="A3023">
        <v>99</v>
      </c>
      <c r="B3023">
        <v>4124</v>
      </c>
      <c r="C3023">
        <v>0</v>
      </c>
      <c r="D3023">
        <v>2</v>
      </c>
      <c r="E3023">
        <v>32</v>
      </c>
      <c r="F3023" t="s">
        <v>168</v>
      </c>
      <c r="G3023" t="s">
        <v>145</v>
      </c>
    </row>
    <row r="3024" spans="1:7" hidden="1" x14ac:dyDescent="0.25">
      <c r="A3024">
        <v>99</v>
      </c>
      <c r="B3024">
        <v>5932</v>
      </c>
      <c r="C3024">
        <v>0</v>
      </c>
      <c r="D3024">
        <v>2</v>
      </c>
      <c r="E3024">
        <v>44</v>
      </c>
      <c r="F3024" t="s">
        <v>168</v>
      </c>
      <c r="G3024" t="s">
        <v>145</v>
      </c>
    </row>
    <row r="3025" spans="1:7" hidden="1" x14ac:dyDescent="0.25">
      <c r="A3025">
        <v>99</v>
      </c>
      <c r="B3025">
        <v>5992</v>
      </c>
      <c r="C3025">
        <v>0</v>
      </c>
      <c r="D3025">
        <v>2</v>
      </c>
      <c r="E3025">
        <v>32</v>
      </c>
      <c r="F3025" t="s">
        <v>168</v>
      </c>
      <c r="G3025" t="s">
        <v>145</v>
      </c>
    </row>
    <row r="3026" spans="1:7" hidden="1" x14ac:dyDescent="0.25">
      <c r="A3026">
        <v>99</v>
      </c>
      <c r="B3026">
        <v>7260</v>
      </c>
      <c r="C3026">
        <v>0</v>
      </c>
      <c r="D3026">
        <v>2</v>
      </c>
      <c r="E3026">
        <v>44</v>
      </c>
      <c r="F3026" t="s">
        <v>168</v>
      </c>
      <c r="G3026" t="s">
        <v>145</v>
      </c>
    </row>
    <row r="3027" spans="1:7" hidden="1" x14ac:dyDescent="0.25">
      <c r="A3027">
        <v>99</v>
      </c>
      <c r="B3027">
        <v>8804</v>
      </c>
      <c r="C3027">
        <v>0</v>
      </c>
      <c r="D3027">
        <v>2</v>
      </c>
      <c r="E3027">
        <v>44</v>
      </c>
      <c r="F3027" t="s">
        <v>168</v>
      </c>
      <c r="G3027" t="s">
        <v>145</v>
      </c>
    </row>
    <row r="3028" spans="1:7" hidden="1" x14ac:dyDescent="0.25">
      <c r="A3028">
        <v>99</v>
      </c>
      <c r="B3028">
        <v>9176</v>
      </c>
      <c r="C3028">
        <v>0</v>
      </c>
      <c r="D3028">
        <v>2</v>
      </c>
      <c r="E3028">
        <v>44</v>
      </c>
      <c r="F3028" t="s">
        <v>168</v>
      </c>
      <c r="G3028" t="s">
        <v>145</v>
      </c>
    </row>
    <row r="3029" spans="1:7" hidden="1" x14ac:dyDescent="0.25">
      <c r="A3029">
        <v>99</v>
      </c>
      <c r="B3029">
        <v>9256</v>
      </c>
      <c r="C3029">
        <v>0</v>
      </c>
      <c r="D3029">
        <v>2</v>
      </c>
      <c r="E3029">
        <v>32</v>
      </c>
      <c r="F3029" t="s">
        <v>168</v>
      </c>
      <c r="G3029" t="s">
        <v>145</v>
      </c>
    </row>
    <row r="3030" spans="1:7" hidden="1" x14ac:dyDescent="0.25">
      <c r="A3030">
        <v>99</v>
      </c>
      <c r="B3030">
        <v>9752</v>
      </c>
      <c r="C3030">
        <v>0</v>
      </c>
      <c r="D3030">
        <v>2</v>
      </c>
      <c r="E3030">
        <v>44</v>
      </c>
      <c r="F3030" t="s">
        <v>168</v>
      </c>
      <c r="G3030" t="s">
        <v>145</v>
      </c>
    </row>
    <row r="3031" spans="1:7" hidden="1" x14ac:dyDescent="0.25">
      <c r="A3031">
        <v>99</v>
      </c>
      <c r="B3031">
        <v>10364</v>
      </c>
      <c r="C3031">
        <v>0</v>
      </c>
      <c r="D3031">
        <v>2</v>
      </c>
      <c r="E3031">
        <v>20</v>
      </c>
      <c r="F3031" t="s">
        <v>168</v>
      </c>
      <c r="G3031" t="s">
        <v>145</v>
      </c>
    </row>
    <row r="3032" spans="1:7" hidden="1" x14ac:dyDescent="0.25">
      <c r="A3032">
        <v>50</v>
      </c>
      <c r="B3032">
        <v>476</v>
      </c>
      <c r="C3032">
        <v>0</v>
      </c>
      <c r="D3032">
        <v>2</v>
      </c>
      <c r="E3032">
        <v>19</v>
      </c>
      <c r="F3032" t="s">
        <v>167</v>
      </c>
      <c r="G3032" t="s">
        <v>143</v>
      </c>
    </row>
    <row r="3033" spans="1:7" hidden="1" x14ac:dyDescent="0.25">
      <c r="A3033">
        <v>50</v>
      </c>
      <c r="B3033">
        <v>1264</v>
      </c>
      <c r="C3033">
        <v>0</v>
      </c>
      <c r="D3033">
        <v>2</v>
      </c>
      <c r="E3033">
        <v>19</v>
      </c>
      <c r="F3033" t="s">
        <v>167</v>
      </c>
      <c r="G3033" t="s">
        <v>143</v>
      </c>
    </row>
    <row r="3034" spans="1:7" hidden="1" x14ac:dyDescent="0.25">
      <c r="A3034">
        <v>50</v>
      </c>
      <c r="B3034">
        <v>4228</v>
      </c>
      <c r="C3034">
        <v>0</v>
      </c>
      <c r="D3034">
        <v>2</v>
      </c>
      <c r="E3034">
        <v>19</v>
      </c>
      <c r="F3034" t="s">
        <v>167</v>
      </c>
      <c r="G3034" t="s">
        <v>143</v>
      </c>
    </row>
    <row r="3035" spans="1:7" hidden="1" x14ac:dyDescent="0.25">
      <c r="A3035">
        <v>50</v>
      </c>
      <c r="B3035">
        <v>5004</v>
      </c>
      <c r="C3035">
        <v>0</v>
      </c>
      <c r="D3035">
        <v>2</v>
      </c>
      <c r="E3035">
        <v>19</v>
      </c>
      <c r="F3035" t="s">
        <v>167</v>
      </c>
      <c r="G3035" t="s">
        <v>143</v>
      </c>
    </row>
    <row r="3036" spans="1:7" hidden="1" x14ac:dyDescent="0.25">
      <c r="A3036">
        <v>50</v>
      </c>
      <c r="B3036">
        <v>7283</v>
      </c>
      <c r="C3036">
        <v>0</v>
      </c>
      <c r="D3036">
        <v>2</v>
      </c>
      <c r="E3036">
        <v>19</v>
      </c>
      <c r="F3036" t="s">
        <v>167</v>
      </c>
      <c r="G3036" t="s">
        <v>143</v>
      </c>
    </row>
    <row r="3037" spans="1:7" hidden="1" x14ac:dyDescent="0.25">
      <c r="A3037">
        <v>50</v>
      </c>
      <c r="B3037">
        <v>7284</v>
      </c>
      <c r="C3037">
        <v>0</v>
      </c>
      <c r="D3037">
        <v>2</v>
      </c>
      <c r="E3037">
        <v>19</v>
      </c>
      <c r="F3037" t="s">
        <v>167</v>
      </c>
      <c r="G3037" t="s">
        <v>143</v>
      </c>
    </row>
    <row r="3038" spans="1:7" hidden="1" x14ac:dyDescent="0.25">
      <c r="A3038">
        <v>50</v>
      </c>
      <c r="B3038">
        <v>9356</v>
      </c>
      <c r="C3038">
        <v>0</v>
      </c>
      <c r="D3038">
        <v>2</v>
      </c>
      <c r="E3038">
        <v>19</v>
      </c>
      <c r="F3038" t="s">
        <v>167</v>
      </c>
      <c r="G3038" t="s">
        <v>143</v>
      </c>
    </row>
    <row r="3039" spans="1:7" hidden="1" x14ac:dyDescent="0.25">
      <c r="A3039">
        <v>50</v>
      </c>
      <c r="B3039">
        <v>10592</v>
      </c>
      <c r="C3039">
        <v>0</v>
      </c>
      <c r="D3039">
        <v>2</v>
      </c>
      <c r="E3039">
        <v>19</v>
      </c>
      <c r="F3039" t="s">
        <v>167</v>
      </c>
      <c r="G3039" t="s">
        <v>143</v>
      </c>
    </row>
    <row r="3040" spans="1:7" hidden="1" x14ac:dyDescent="0.25">
      <c r="A3040">
        <v>99</v>
      </c>
      <c r="B3040">
        <v>2168</v>
      </c>
      <c r="C3040">
        <v>0</v>
      </c>
      <c r="D3040">
        <v>2</v>
      </c>
      <c r="E3040">
        <v>43</v>
      </c>
      <c r="F3040" t="s">
        <v>167</v>
      </c>
      <c r="G3040" t="s">
        <v>143</v>
      </c>
    </row>
    <row r="3041" spans="1:7" hidden="1" x14ac:dyDescent="0.25">
      <c r="A3041">
        <v>99</v>
      </c>
      <c r="B3041">
        <v>2472</v>
      </c>
      <c r="C3041">
        <v>0</v>
      </c>
      <c r="D3041">
        <v>2</v>
      </c>
      <c r="E3041">
        <v>43</v>
      </c>
      <c r="F3041" t="s">
        <v>167</v>
      </c>
      <c r="G3041" t="s">
        <v>143</v>
      </c>
    </row>
    <row r="3042" spans="1:7" hidden="1" x14ac:dyDescent="0.25">
      <c r="A3042">
        <v>99</v>
      </c>
      <c r="B3042">
        <v>3056</v>
      </c>
      <c r="C3042">
        <v>0</v>
      </c>
      <c r="D3042">
        <v>2</v>
      </c>
      <c r="E3042">
        <v>43</v>
      </c>
      <c r="F3042" t="s">
        <v>167</v>
      </c>
      <c r="G3042" t="s">
        <v>143</v>
      </c>
    </row>
    <row r="3043" spans="1:7" hidden="1" x14ac:dyDescent="0.25">
      <c r="A3043">
        <v>99</v>
      </c>
      <c r="B3043">
        <v>3100</v>
      </c>
      <c r="C3043">
        <v>0</v>
      </c>
      <c r="D3043">
        <v>2</v>
      </c>
      <c r="E3043">
        <v>43</v>
      </c>
      <c r="F3043" t="s">
        <v>167</v>
      </c>
      <c r="G3043" t="s">
        <v>143</v>
      </c>
    </row>
    <row r="3044" spans="1:7" x14ac:dyDescent="0.25">
      <c r="A3044">
        <v>99</v>
      </c>
      <c r="B3044">
        <v>4124</v>
      </c>
      <c r="C3044">
        <v>0</v>
      </c>
      <c r="D3044">
        <v>2</v>
      </c>
      <c r="E3044">
        <v>31</v>
      </c>
      <c r="F3044" t="s">
        <v>167</v>
      </c>
      <c r="G3044" t="s">
        <v>143</v>
      </c>
    </row>
    <row r="3045" spans="1:7" hidden="1" x14ac:dyDescent="0.25">
      <c r="A3045">
        <v>99</v>
      </c>
      <c r="B3045">
        <v>5932</v>
      </c>
      <c r="C3045">
        <v>0</v>
      </c>
      <c r="D3045">
        <v>2</v>
      </c>
      <c r="E3045">
        <v>43</v>
      </c>
      <c r="F3045" t="s">
        <v>167</v>
      </c>
      <c r="G3045" t="s">
        <v>143</v>
      </c>
    </row>
    <row r="3046" spans="1:7" hidden="1" x14ac:dyDescent="0.25">
      <c r="A3046">
        <v>99</v>
      </c>
      <c r="B3046">
        <v>5992</v>
      </c>
      <c r="C3046">
        <v>0</v>
      </c>
      <c r="D3046">
        <v>2</v>
      </c>
      <c r="E3046">
        <v>31</v>
      </c>
      <c r="F3046" t="s">
        <v>167</v>
      </c>
      <c r="G3046" t="s">
        <v>143</v>
      </c>
    </row>
    <row r="3047" spans="1:7" hidden="1" x14ac:dyDescent="0.25">
      <c r="A3047">
        <v>99</v>
      </c>
      <c r="B3047">
        <v>7260</v>
      </c>
      <c r="C3047">
        <v>0</v>
      </c>
      <c r="D3047">
        <v>2</v>
      </c>
      <c r="E3047">
        <v>43</v>
      </c>
      <c r="F3047" t="s">
        <v>167</v>
      </c>
      <c r="G3047" t="s">
        <v>143</v>
      </c>
    </row>
    <row r="3048" spans="1:7" hidden="1" x14ac:dyDescent="0.25">
      <c r="A3048">
        <v>99</v>
      </c>
      <c r="B3048">
        <v>8804</v>
      </c>
      <c r="C3048">
        <v>0</v>
      </c>
      <c r="D3048">
        <v>2</v>
      </c>
      <c r="E3048">
        <v>43</v>
      </c>
      <c r="F3048" t="s">
        <v>167</v>
      </c>
      <c r="G3048" t="s">
        <v>143</v>
      </c>
    </row>
    <row r="3049" spans="1:7" hidden="1" x14ac:dyDescent="0.25">
      <c r="A3049">
        <v>99</v>
      </c>
      <c r="B3049">
        <v>9176</v>
      </c>
      <c r="C3049">
        <v>0</v>
      </c>
      <c r="D3049">
        <v>2</v>
      </c>
      <c r="E3049">
        <v>43</v>
      </c>
      <c r="F3049" t="s">
        <v>167</v>
      </c>
      <c r="G3049" t="s">
        <v>143</v>
      </c>
    </row>
    <row r="3050" spans="1:7" hidden="1" x14ac:dyDescent="0.25">
      <c r="A3050">
        <v>99</v>
      </c>
      <c r="B3050">
        <v>9256</v>
      </c>
      <c r="C3050">
        <v>0</v>
      </c>
      <c r="D3050">
        <v>2</v>
      </c>
      <c r="E3050">
        <v>31</v>
      </c>
      <c r="F3050" t="s">
        <v>167</v>
      </c>
      <c r="G3050" t="s">
        <v>143</v>
      </c>
    </row>
    <row r="3051" spans="1:7" hidden="1" x14ac:dyDescent="0.25">
      <c r="A3051">
        <v>99</v>
      </c>
      <c r="B3051">
        <v>9752</v>
      </c>
      <c r="C3051">
        <v>0</v>
      </c>
      <c r="D3051">
        <v>2</v>
      </c>
      <c r="E3051">
        <v>43</v>
      </c>
      <c r="F3051" t="s">
        <v>167</v>
      </c>
      <c r="G3051" t="s">
        <v>143</v>
      </c>
    </row>
    <row r="3052" spans="1:7" hidden="1" x14ac:dyDescent="0.25">
      <c r="A3052">
        <v>99</v>
      </c>
      <c r="B3052">
        <v>10364</v>
      </c>
      <c r="C3052">
        <v>0</v>
      </c>
      <c r="D3052">
        <v>2</v>
      </c>
      <c r="E3052">
        <v>19</v>
      </c>
      <c r="F3052" t="s">
        <v>167</v>
      </c>
      <c r="G3052" t="s">
        <v>143</v>
      </c>
    </row>
    <row r="3053" spans="1:7" hidden="1" x14ac:dyDescent="0.25">
      <c r="A3053">
        <v>50</v>
      </c>
      <c r="B3053">
        <v>476</v>
      </c>
      <c r="C3053">
        <v>0</v>
      </c>
      <c r="D3053">
        <v>2</v>
      </c>
      <c r="E3053">
        <v>17</v>
      </c>
      <c r="F3053" t="s">
        <v>165</v>
      </c>
      <c r="G3053" t="s">
        <v>139</v>
      </c>
    </row>
    <row r="3054" spans="1:7" hidden="1" x14ac:dyDescent="0.25">
      <c r="A3054">
        <v>50</v>
      </c>
      <c r="B3054">
        <v>1264</v>
      </c>
      <c r="C3054">
        <v>0</v>
      </c>
      <c r="D3054">
        <v>2</v>
      </c>
      <c r="E3054">
        <v>17</v>
      </c>
      <c r="F3054" t="s">
        <v>165</v>
      </c>
      <c r="G3054" t="s">
        <v>139</v>
      </c>
    </row>
    <row r="3055" spans="1:7" hidden="1" x14ac:dyDescent="0.25">
      <c r="A3055">
        <v>50</v>
      </c>
      <c r="B3055">
        <v>4228</v>
      </c>
      <c r="C3055">
        <v>0</v>
      </c>
      <c r="D3055">
        <v>2</v>
      </c>
      <c r="E3055">
        <v>17</v>
      </c>
      <c r="F3055" t="s">
        <v>165</v>
      </c>
      <c r="G3055" t="s">
        <v>139</v>
      </c>
    </row>
    <row r="3056" spans="1:7" hidden="1" x14ac:dyDescent="0.25">
      <c r="A3056">
        <v>50</v>
      </c>
      <c r="B3056">
        <v>5004</v>
      </c>
      <c r="C3056">
        <v>0</v>
      </c>
      <c r="D3056">
        <v>2</v>
      </c>
      <c r="E3056">
        <v>17</v>
      </c>
      <c r="F3056" t="s">
        <v>165</v>
      </c>
      <c r="G3056" t="s">
        <v>139</v>
      </c>
    </row>
    <row r="3057" spans="1:7" hidden="1" x14ac:dyDescent="0.25">
      <c r="A3057">
        <v>50</v>
      </c>
      <c r="B3057">
        <v>7283</v>
      </c>
      <c r="C3057">
        <v>0</v>
      </c>
      <c r="D3057">
        <v>2</v>
      </c>
      <c r="E3057">
        <v>17</v>
      </c>
      <c r="F3057" t="s">
        <v>165</v>
      </c>
      <c r="G3057" t="s">
        <v>139</v>
      </c>
    </row>
    <row r="3058" spans="1:7" hidden="1" x14ac:dyDescent="0.25">
      <c r="A3058">
        <v>50</v>
      </c>
      <c r="B3058">
        <v>7284</v>
      </c>
      <c r="C3058">
        <v>0</v>
      </c>
      <c r="D3058">
        <v>2</v>
      </c>
      <c r="E3058">
        <v>17</v>
      </c>
      <c r="F3058" t="s">
        <v>165</v>
      </c>
      <c r="G3058" t="s">
        <v>139</v>
      </c>
    </row>
    <row r="3059" spans="1:7" hidden="1" x14ac:dyDescent="0.25">
      <c r="A3059">
        <v>50</v>
      </c>
      <c r="B3059">
        <v>9356</v>
      </c>
      <c r="C3059">
        <v>0</v>
      </c>
      <c r="D3059">
        <v>2</v>
      </c>
      <c r="E3059">
        <v>17</v>
      </c>
      <c r="F3059" t="s">
        <v>165</v>
      </c>
      <c r="G3059" t="s">
        <v>139</v>
      </c>
    </row>
    <row r="3060" spans="1:7" hidden="1" x14ac:dyDescent="0.25">
      <c r="A3060">
        <v>50</v>
      </c>
      <c r="B3060">
        <v>10592</v>
      </c>
      <c r="C3060">
        <v>0</v>
      </c>
      <c r="D3060">
        <v>2</v>
      </c>
      <c r="E3060">
        <v>17</v>
      </c>
      <c r="F3060" t="s">
        <v>165</v>
      </c>
      <c r="G3060" t="s">
        <v>139</v>
      </c>
    </row>
    <row r="3061" spans="1:7" hidden="1" x14ac:dyDescent="0.25">
      <c r="A3061">
        <v>99</v>
      </c>
      <c r="B3061">
        <v>2168</v>
      </c>
      <c r="C3061">
        <v>0</v>
      </c>
      <c r="D3061">
        <v>2</v>
      </c>
      <c r="E3061">
        <v>41</v>
      </c>
      <c r="F3061" t="s">
        <v>165</v>
      </c>
      <c r="G3061" t="s">
        <v>139</v>
      </c>
    </row>
    <row r="3062" spans="1:7" hidden="1" x14ac:dyDescent="0.25">
      <c r="A3062">
        <v>99</v>
      </c>
      <c r="B3062">
        <v>2472</v>
      </c>
      <c r="C3062">
        <v>0</v>
      </c>
      <c r="D3062">
        <v>2</v>
      </c>
      <c r="E3062">
        <v>41</v>
      </c>
      <c r="F3062" t="s">
        <v>165</v>
      </c>
      <c r="G3062" t="s">
        <v>139</v>
      </c>
    </row>
    <row r="3063" spans="1:7" hidden="1" x14ac:dyDescent="0.25">
      <c r="A3063">
        <v>99</v>
      </c>
      <c r="B3063">
        <v>3056</v>
      </c>
      <c r="C3063">
        <v>0</v>
      </c>
      <c r="D3063">
        <v>2</v>
      </c>
      <c r="E3063">
        <v>41</v>
      </c>
      <c r="F3063" t="s">
        <v>165</v>
      </c>
      <c r="G3063" t="s">
        <v>139</v>
      </c>
    </row>
    <row r="3064" spans="1:7" hidden="1" x14ac:dyDescent="0.25">
      <c r="A3064">
        <v>99</v>
      </c>
      <c r="B3064">
        <v>3100</v>
      </c>
      <c r="C3064">
        <v>0</v>
      </c>
      <c r="D3064">
        <v>2</v>
      </c>
      <c r="E3064">
        <v>41</v>
      </c>
      <c r="F3064" t="s">
        <v>165</v>
      </c>
      <c r="G3064" t="s">
        <v>139</v>
      </c>
    </row>
    <row r="3065" spans="1:7" x14ac:dyDescent="0.25">
      <c r="A3065">
        <v>99</v>
      </c>
      <c r="B3065">
        <v>4124</v>
      </c>
      <c r="C3065">
        <v>0</v>
      </c>
      <c r="D3065">
        <v>2</v>
      </c>
      <c r="E3065">
        <v>29</v>
      </c>
      <c r="F3065" t="s">
        <v>165</v>
      </c>
      <c r="G3065" t="s">
        <v>139</v>
      </c>
    </row>
    <row r="3066" spans="1:7" hidden="1" x14ac:dyDescent="0.25">
      <c r="A3066">
        <v>99</v>
      </c>
      <c r="B3066">
        <v>5932</v>
      </c>
      <c r="C3066">
        <v>0</v>
      </c>
      <c r="D3066">
        <v>2</v>
      </c>
      <c r="E3066">
        <v>41</v>
      </c>
      <c r="F3066" t="s">
        <v>165</v>
      </c>
      <c r="G3066" t="s">
        <v>139</v>
      </c>
    </row>
    <row r="3067" spans="1:7" hidden="1" x14ac:dyDescent="0.25">
      <c r="A3067">
        <v>99</v>
      </c>
      <c r="B3067">
        <v>5992</v>
      </c>
      <c r="C3067">
        <v>0</v>
      </c>
      <c r="D3067">
        <v>2</v>
      </c>
      <c r="E3067">
        <v>29</v>
      </c>
      <c r="F3067" t="s">
        <v>165</v>
      </c>
      <c r="G3067" t="s">
        <v>139</v>
      </c>
    </row>
    <row r="3068" spans="1:7" hidden="1" x14ac:dyDescent="0.25">
      <c r="A3068">
        <v>99</v>
      </c>
      <c r="B3068">
        <v>7260</v>
      </c>
      <c r="C3068">
        <v>0</v>
      </c>
      <c r="D3068">
        <v>2</v>
      </c>
      <c r="E3068">
        <v>41</v>
      </c>
      <c r="F3068" t="s">
        <v>165</v>
      </c>
      <c r="G3068" t="s">
        <v>139</v>
      </c>
    </row>
    <row r="3069" spans="1:7" hidden="1" x14ac:dyDescent="0.25">
      <c r="A3069">
        <v>99</v>
      </c>
      <c r="B3069">
        <v>8804</v>
      </c>
      <c r="C3069">
        <v>0</v>
      </c>
      <c r="D3069">
        <v>2</v>
      </c>
      <c r="E3069">
        <v>41</v>
      </c>
      <c r="F3069" t="s">
        <v>165</v>
      </c>
      <c r="G3069" t="s">
        <v>139</v>
      </c>
    </row>
    <row r="3070" spans="1:7" hidden="1" x14ac:dyDescent="0.25">
      <c r="A3070">
        <v>99</v>
      </c>
      <c r="B3070">
        <v>9176</v>
      </c>
      <c r="C3070">
        <v>0</v>
      </c>
      <c r="D3070">
        <v>2</v>
      </c>
      <c r="E3070">
        <v>41</v>
      </c>
      <c r="F3070" t="s">
        <v>165</v>
      </c>
      <c r="G3070" t="s">
        <v>139</v>
      </c>
    </row>
    <row r="3071" spans="1:7" hidden="1" x14ac:dyDescent="0.25">
      <c r="A3071">
        <v>99</v>
      </c>
      <c r="B3071">
        <v>9256</v>
      </c>
      <c r="C3071">
        <v>0</v>
      </c>
      <c r="D3071">
        <v>2</v>
      </c>
      <c r="E3071">
        <v>29</v>
      </c>
      <c r="F3071" t="s">
        <v>165</v>
      </c>
      <c r="G3071" t="s">
        <v>139</v>
      </c>
    </row>
    <row r="3072" spans="1:7" hidden="1" x14ac:dyDescent="0.25">
      <c r="A3072">
        <v>99</v>
      </c>
      <c r="B3072">
        <v>9752</v>
      </c>
      <c r="C3072">
        <v>0</v>
      </c>
      <c r="D3072">
        <v>2</v>
      </c>
      <c r="E3072">
        <v>41</v>
      </c>
      <c r="F3072" t="s">
        <v>165</v>
      </c>
      <c r="G3072" t="s">
        <v>139</v>
      </c>
    </row>
    <row r="3073" spans="1:7" hidden="1" x14ac:dyDescent="0.25">
      <c r="A3073">
        <v>99</v>
      </c>
      <c r="B3073">
        <v>10364</v>
      </c>
      <c r="C3073">
        <v>0</v>
      </c>
      <c r="D3073">
        <v>2</v>
      </c>
      <c r="E3073">
        <v>17</v>
      </c>
      <c r="F3073" t="s">
        <v>165</v>
      </c>
      <c r="G3073" t="s">
        <v>139</v>
      </c>
    </row>
    <row r="3074" spans="1:7" hidden="1" x14ac:dyDescent="0.25">
      <c r="A3074">
        <v>50</v>
      </c>
      <c r="B3074">
        <v>476</v>
      </c>
      <c r="C3074">
        <v>0</v>
      </c>
      <c r="D3074">
        <v>2</v>
      </c>
      <c r="E3074">
        <v>18</v>
      </c>
      <c r="F3074" t="s">
        <v>166</v>
      </c>
      <c r="G3074" t="s">
        <v>141</v>
      </c>
    </row>
    <row r="3075" spans="1:7" hidden="1" x14ac:dyDescent="0.25">
      <c r="A3075">
        <v>50</v>
      </c>
      <c r="B3075">
        <v>1264</v>
      </c>
      <c r="C3075">
        <v>0</v>
      </c>
      <c r="D3075">
        <v>2</v>
      </c>
      <c r="E3075">
        <v>18</v>
      </c>
      <c r="F3075" t="s">
        <v>166</v>
      </c>
      <c r="G3075" t="s">
        <v>141</v>
      </c>
    </row>
    <row r="3076" spans="1:7" hidden="1" x14ac:dyDescent="0.25">
      <c r="A3076">
        <v>50</v>
      </c>
      <c r="B3076">
        <v>4228</v>
      </c>
      <c r="C3076">
        <v>0</v>
      </c>
      <c r="D3076">
        <v>2</v>
      </c>
      <c r="E3076">
        <v>18</v>
      </c>
      <c r="F3076" t="s">
        <v>166</v>
      </c>
      <c r="G3076" t="s">
        <v>141</v>
      </c>
    </row>
    <row r="3077" spans="1:7" hidden="1" x14ac:dyDescent="0.25">
      <c r="A3077">
        <v>50</v>
      </c>
      <c r="B3077">
        <v>5004</v>
      </c>
      <c r="C3077">
        <v>0</v>
      </c>
      <c r="D3077">
        <v>2</v>
      </c>
      <c r="E3077">
        <v>18</v>
      </c>
      <c r="F3077" t="s">
        <v>166</v>
      </c>
      <c r="G3077" t="s">
        <v>141</v>
      </c>
    </row>
    <row r="3078" spans="1:7" hidden="1" x14ac:dyDescent="0.25">
      <c r="A3078">
        <v>50</v>
      </c>
      <c r="B3078">
        <v>7283</v>
      </c>
      <c r="C3078">
        <v>0</v>
      </c>
      <c r="D3078">
        <v>2</v>
      </c>
      <c r="E3078">
        <v>18</v>
      </c>
      <c r="F3078" t="s">
        <v>166</v>
      </c>
      <c r="G3078" t="s">
        <v>141</v>
      </c>
    </row>
    <row r="3079" spans="1:7" hidden="1" x14ac:dyDescent="0.25">
      <c r="A3079">
        <v>50</v>
      </c>
      <c r="B3079">
        <v>7284</v>
      </c>
      <c r="C3079">
        <v>0</v>
      </c>
      <c r="D3079">
        <v>2</v>
      </c>
      <c r="E3079">
        <v>18</v>
      </c>
      <c r="F3079" t="s">
        <v>166</v>
      </c>
      <c r="G3079" t="s">
        <v>141</v>
      </c>
    </row>
    <row r="3080" spans="1:7" hidden="1" x14ac:dyDescent="0.25">
      <c r="A3080">
        <v>50</v>
      </c>
      <c r="B3080">
        <v>9356</v>
      </c>
      <c r="C3080">
        <v>0</v>
      </c>
      <c r="D3080">
        <v>2</v>
      </c>
      <c r="E3080">
        <v>18</v>
      </c>
      <c r="F3080" t="s">
        <v>166</v>
      </c>
      <c r="G3080" t="s">
        <v>141</v>
      </c>
    </row>
    <row r="3081" spans="1:7" hidden="1" x14ac:dyDescent="0.25">
      <c r="A3081">
        <v>50</v>
      </c>
      <c r="B3081">
        <v>10592</v>
      </c>
      <c r="C3081">
        <v>0</v>
      </c>
      <c r="D3081">
        <v>2</v>
      </c>
      <c r="E3081">
        <v>18</v>
      </c>
      <c r="F3081" t="s">
        <v>166</v>
      </c>
      <c r="G3081" t="s">
        <v>141</v>
      </c>
    </row>
    <row r="3082" spans="1:7" hidden="1" x14ac:dyDescent="0.25">
      <c r="A3082">
        <v>99</v>
      </c>
      <c r="B3082">
        <v>2168</v>
      </c>
      <c r="C3082">
        <v>0</v>
      </c>
      <c r="D3082">
        <v>2</v>
      </c>
      <c r="E3082">
        <v>42</v>
      </c>
      <c r="F3082" t="s">
        <v>166</v>
      </c>
      <c r="G3082" t="s">
        <v>141</v>
      </c>
    </row>
    <row r="3083" spans="1:7" hidden="1" x14ac:dyDescent="0.25">
      <c r="A3083">
        <v>99</v>
      </c>
      <c r="B3083">
        <v>2472</v>
      </c>
      <c r="C3083">
        <v>0</v>
      </c>
      <c r="D3083">
        <v>2</v>
      </c>
      <c r="E3083">
        <v>42</v>
      </c>
      <c r="F3083" t="s">
        <v>166</v>
      </c>
      <c r="G3083" t="s">
        <v>141</v>
      </c>
    </row>
    <row r="3084" spans="1:7" hidden="1" x14ac:dyDescent="0.25">
      <c r="A3084">
        <v>99</v>
      </c>
      <c r="B3084">
        <v>3056</v>
      </c>
      <c r="C3084">
        <v>0</v>
      </c>
      <c r="D3084">
        <v>2</v>
      </c>
      <c r="E3084">
        <v>42</v>
      </c>
      <c r="F3084" t="s">
        <v>166</v>
      </c>
      <c r="G3084" t="s">
        <v>141</v>
      </c>
    </row>
    <row r="3085" spans="1:7" hidden="1" x14ac:dyDescent="0.25">
      <c r="A3085">
        <v>99</v>
      </c>
      <c r="B3085">
        <v>3100</v>
      </c>
      <c r="C3085">
        <v>0</v>
      </c>
      <c r="D3085">
        <v>2</v>
      </c>
      <c r="E3085">
        <v>42</v>
      </c>
      <c r="F3085" t="s">
        <v>166</v>
      </c>
      <c r="G3085" t="s">
        <v>141</v>
      </c>
    </row>
    <row r="3086" spans="1:7" x14ac:dyDescent="0.25">
      <c r="A3086">
        <v>99</v>
      </c>
      <c r="B3086">
        <v>4124</v>
      </c>
      <c r="C3086">
        <v>0</v>
      </c>
      <c r="D3086">
        <v>2</v>
      </c>
      <c r="E3086">
        <v>30</v>
      </c>
      <c r="F3086" t="s">
        <v>166</v>
      </c>
      <c r="G3086" t="s">
        <v>141</v>
      </c>
    </row>
    <row r="3087" spans="1:7" hidden="1" x14ac:dyDescent="0.25">
      <c r="A3087">
        <v>99</v>
      </c>
      <c r="B3087">
        <v>5932</v>
      </c>
      <c r="C3087">
        <v>0</v>
      </c>
      <c r="D3087">
        <v>2</v>
      </c>
      <c r="E3087">
        <v>42</v>
      </c>
      <c r="F3087" t="s">
        <v>166</v>
      </c>
      <c r="G3087" t="s">
        <v>141</v>
      </c>
    </row>
    <row r="3088" spans="1:7" hidden="1" x14ac:dyDescent="0.25">
      <c r="A3088">
        <v>99</v>
      </c>
      <c r="B3088">
        <v>5992</v>
      </c>
      <c r="C3088">
        <v>0</v>
      </c>
      <c r="D3088">
        <v>2</v>
      </c>
      <c r="E3088">
        <v>30</v>
      </c>
      <c r="F3088" t="s">
        <v>166</v>
      </c>
      <c r="G3088" t="s">
        <v>141</v>
      </c>
    </row>
    <row r="3089" spans="1:7" hidden="1" x14ac:dyDescent="0.25">
      <c r="A3089">
        <v>99</v>
      </c>
      <c r="B3089">
        <v>7260</v>
      </c>
      <c r="C3089">
        <v>0</v>
      </c>
      <c r="D3089">
        <v>2</v>
      </c>
      <c r="E3089">
        <v>42</v>
      </c>
      <c r="F3089" t="s">
        <v>166</v>
      </c>
      <c r="G3089" t="s">
        <v>141</v>
      </c>
    </row>
    <row r="3090" spans="1:7" hidden="1" x14ac:dyDescent="0.25">
      <c r="A3090">
        <v>99</v>
      </c>
      <c r="B3090">
        <v>8804</v>
      </c>
      <c r="C3090">
        <v>0</v>
      </c>
      <c r="D3090">
        <v>2</v>
      </c>
      <c r="E3090">
        <v>42</v>
      </c>
      <c r="F3090" t="s">
        <v>166</v>
      </c>
      <c r="G3090" t="s">
        <v>141</v>
      </c>
    </row>
    <row r="3091" spans="1:7" hidden="1" x14ac:dyDescent="0.25">
      <c r="A3091">
        <v>99</v>
      </c>
      <c r="B3091">
        <v>9176</v>
      </c>
      <c r="C3091">
        <v>0</v>
      </c>
      <c r="D3091">
        <v>2</v>
      </c>
      <c r="E3091">
        <v>42</v>
      </c>
      <c r="F3091" t="s">
        <v>166</v>
      </c>
      <c r="G3091" t="s">
        <v>141</v>
      </c>
    </row>
    <row r="3092" spans="1:7" hidden="1" x14ac:dyDescent="0.25">
      <c r="A3092">
        <v>99</v>
      </c>
      <c r="B3092">
        <v>9256</v>
      </c>
      <c r="C3092">
        <v>0</v>
      </c>
      <c r="D3092">
        <v>2</v>
      </c>
      <c r="E3092">
        <v>30</v>
      </c>
      <c r="F3092" t="s">
        <v>166</v>
      </c>
      <c r="G3092" t="s">
        <v>141</v>
      </c>
    </row>
    <row r="3093" spans="1:7" hidden="1" x14ac:dyDescent="0.25">
      <c r="A3093">
        <v>99</v>
      </c>
      <c r="B3093">
        <v>9752</v>
      </c>
      <c r="C3093">
        <v>0</v>
      </c>
      <c r="D3093">
        <v>2</v>
      </c>
      <c r="E3093">
        <v>42</v>
      </c>
      <c r="F3093" t="s">
        <v>166</v>
      </c>
      <c r="G3093" t="s">
        <v>141</v>
      </c>
    </row>
    <row r="3094" spans="1:7" hidden="1" x14ac:dyDescent="0.25">
      <c r="A3094">
        <v>99</v>
      </c>
      <c r="B3094">
        <v>10364</v>
      </c>
      <c r="C3094">
        <v>0</v>
      </c>
      <c r="D3094">
        <v>2</v>
      </c>
      <c r="E3094">
        <v>18</v>
      </c>
      <c r="F3094" t="s">
        <v>166</v>
      </c>
      <c r="G3094" t="s">
        <v>141</v>
      </c>
    </row>
    <row r="3095" spans="1:7" hidden="1" x14ac:dyDescent="0.25">
      <c r="A3095">
        <v>50</v>
      </c>
      <c r="B3095">
        <v>476</v>
      </c>
      <c r="C3095">
        <v>0</v>
      </c>
      <c r="D3095">
        <v>2</v>
      </c>
      <c r="E3095">
        <v>15</v>
      </c>
      <c r="F3095" t="s">
        <v>163</v>
      </c>
      <c r="G3095" t="s">
        <v>118</v>
      </c>
    </row>
    <row r="3096" spans="1:7" hidden="1" x14ac:dyDescent="0.25">
      <c r="A3096">
        <v>50</v>
      </c>
      <c r="B3096">
        <v>1264</v>
      </c>
      <c r="C3096">
        <v>0</v>
      </c>
      <c r="D3096">
        <v>2</v>
      </c>
      <c r="E3096">
        <v>15</v>
      </c>
      <c r="F3096" t="s">
        <v>163</v>
      </c>
      <c r="G3096" t="s">
        <v>118</v>
      </c>
    </row>
    <row r="3097" spans="1:7" hidden="1" x14ac:dyDescent="0.25">
      <c r="A3097">
        <v>50</v>
      </c>
      <c r="B3097">
        <v>4228</v>
      </c>
      <c r="C3097">
        <v>0</v>
      </c>
      <c r="D3097">
        <v>2</v>
      </c>
      <c r="E3097">
        <v>15</v>
      </c>
      <c r="F3097" t="s">
        <v>163</v>
      </c>
      <c r="G3097" t="s">
        <v>118</v>
      </c>
    </row>
    <row r="3098" spans="1:7" hidden="1" x14ac:dyDescent="0.25">
      <c r="A3098">
        <v>50</v>
      </c>
      <c r="B3098">
        <v>5004</v>
      </c>
      <c r="C3098">
        <v>0</v>
      </c>
      <c r="D3098">
        <v>2</v>
      </c>
      <c r="E3098">
        <v>15</v>
      </c>
      <c r="F3098" t="s">
        <v>163</v>
      </c>
      <c r="G3098" t="s">
        <v>118</v>
      </c>
    </row>
    <row r="3099" spans="1:7" hidden="1" x14ac:dyDescent="0.25">
      <c r="A3099">
        <v>50</v>
      </c>
      <c r="B3099">
        <v>7283</v>
      </c>
      <c r="C3099">
        <v>0</v>
      </c>
      <c r="D3099">
        <v>2</v>
      </c>
      <c r="E3099">
        <v>15</v>
      </c>
      <c r="F3099" t="s">
        <v>163</v>
      </c>
      <c r="G3099" t="s">
        <v>118</v>
      </c>
    </row>
    <row r="3100" spans="1:7" hidden="1" x14ac:dyDescent="0.25">
      <c r="A3100">
        <v>50</v>
      </c>
      <c r="B3100">
        <v>7284</v>
      </c>
      <c r="C3100">
        <v>0</v>
      </c>
      <c r="D3100">
        <v>2</v>
      </c>
      <c r="E3100">
        <v>15</v>
      </c>
      <c r="F3100" t="s">
        <v>163</v>
      </c>
      <c r="G3100" t="s">
        <v>118</v>
      </c>
    </row>
    <row r="3101" spans="1:7" hidden="1" x14ac:dyDescent="0.25">
      <c r="A3101">
        <v>50</v>
      </c>
      <c r="B3101">
        <v>9356</v>
      </c>
      <c r="C3101">
        <v>0</v>
      </c>
      <c r="D3101">
        <v>2</v>
      </c>
      <c r="E3101">
        <v>15</v>
      </c>
      <c r="F3101" t="s">
        <v>163</v>
      </c>
      <c r="G3101" t="s">
        <v>118</v>
      </c>
    </row>
    <row r="3102" spans="1:7" hidden="1" x14ac:dyDescent="0.25">
      <c r="A3102">
        <v>50</v>
      </c>
      <c r="B3102">
        <v>10592</v>
      </c>
      <c r="C3102">
        <v>0</v>
      </c>
      <c r="D3102">
        <v>2</v>
      </c>
      <c r="E3102">
        <v>15</v>
      </c>
      <c r="F3102" t="s">
        <v>163</v>
      </c>
      <c r="G3102" t="s">
        <v>118</v>
      </c>
    </row>
    <row r="3103" spans="1:7" hidden="1" x14ac:dyDescent="0.25">
      <c r="A3103">
        <v>99</v>
      </c>
      <c r="B3103">
        <v>2168</v>
      </c>
      <c r="C3103">
        <v>0</v>
      </c>
      <c r="D3103">
        <v>2</v>
      </c>
      <c r="E3103">
        <v>39</v>
      </c>
      <c r="F3103" t="s">
        <v>163</v>
      </c>
      <c r="G3103" t="s">
        <v>118</v>
      </c>
    </row>
    <row r="3104" spans="1:7" hidden="1" x14ac:dyDescent="0.25">
      <c r="A3104">
        <v>99</v>
      </c>
      <c r="B3104">
        <v>2472</v>
      </c>
      <c r="C3104">
        <v>0</v>
      </c>
      <c r="D3104">
        <v>2</v>
      </c>
      <c r="E3104">
        <v>39</v>
      </c>
      <c r="F3104" t="s">
        <v>163</v>
      </c>
      <c r="G3104" t="s">
        <v>118</v>
      </c>
    </row>
    <row r="3105" spans="1:7" hidden="1" x14ac:dyDescent="0.25">
      <c r="A3105">
        <v>99</v>
      </c>
      <c r="B3105">
        <v>3056</v>
      </c>
      <c r="C3105">
        <v>0</v>
      </c>
      <c r="D3105">
        <v>2</v>
      </c>
      <c r="E3105">
        <v>39</v>
      </c>
      <c r="F3105" t="s">
        <v>163</v>
      </c>
      <c r="G3105" t="s">
        <v>118</v>
      </c>
    </row>
    <row r="3106" spans="1:7" hidden="1" x14ac:dyDescent="0.25">
      <c r="A3106">
        <v>99</v>
      </c>
      <c r="B3106">
        <v>3100</v>
      </c>
      <c r="C3106">
        <v>0</v>
      </c>
      <c r="D3106">
        <v>2</v>
      </c>
      <c r="E3106">
        <v>39</v>
      </c>
      <c r="F3106" t="s">
        <v>163</v>
      </c>
      <c r="G3106" t="s">
        <v>118</v>
      </c>
    </row>
    <row r="3107" spans="1:7" x14ac:dyDescent="0.25">
      <c r="A3107">
        <v>99</v>
      </c>
      <c r="B3107">
        <v>4124</v>
      </c>
      <c r="C3107">
        <v>0</v>
      </c>
      <c r="D3107">
        <v>2</v>
      </c>
      <c r="E3107">
        <v>27</v>
      </c>
      <c r="F3107" t="s">
        <v>163</v>
      </c>
      <c r="G3107" t="s">
        <v>118</v>
      </c>
    </row>
    <row r="3108" spans="1:7" hidden="1" x14ac:dyDescent="0.25">
      <c r="A3108">
        <v>99</v>
      </c>
      <c r="B3108">
        <v>5932</v>
      </c>
      <c r="C3108">
        <v>0</v>
      </c>
      <c r="D3108">
        <v>2</v>
      </c>
      <c r="E3108">
        <v>39</v>
      </c>
      <c r="F3108" t="s">
        <v>163</v>
      </c>
      <c r="G3108" t="s">
        <v>118</v>
      </c>
    </row>
    <row r="3109" spans="1:7" hidden="1" x14ac:dyDescent="0.25">
      <c r="A3109">
        <v>99</v>
      </c>
      <c r="B3109">
        <v>5992</v>
      </c>
      <c r="C3109">
        <v>0</v>
      </c>
      <c r="D3109">
        <v>2</v>
      </c>
      <c r="E3109">
        <v>27</v>
      </c>
      <c r="F3109" t="s">
        <v>163</v>
      </c>
      <c r="G3109" t="s">
        <v>118</v>
      </c>
    </row>
    <row r="3110" spans="1:7" hidden="1" x14ac:dyDescent="0.25">
      <c r="A3110">
        <v>99</v>
      </c>
      <c r="B3110">
        <v>7260</v>
      </c>
      <c r="C3110">
        <v>0</v>
      </c>
      <c r="D3110">
        <v>2</v>
      </c>
      <c r="E3110">
        <v>39</v>
      </c>
      <c r="F3110" t="s">
        <v>163</v>
      </c>
      <c r="G3110" t="s">
        <v>118</v>
      </c>
    </row>
    <row r="3111" spans="1:7" hidden="1" x14ac:dyDescent="0.25">
      <c r="A3111">
        <v>99</v>
      </c>
      <c r="B3111">
        <v>8804</v>
      </c>
      <c r="C3111">
        <v>0</v>
      </c>
      <c r="D3111">
        <v>2</v>
      </c>
      <c r="E3111">
        <v>39</v>
      </c>
      <c r="F3111" t="s">
        <v>163</v>
      </c>
      <c r="G3111" t="s">
        <v>118</v>
      </c>
    </row>
    <row r="3112" spans="1:7" hidden="1" x14ac:dyDescent="0.25">
      <c r="A3112">
        <v>99</v>
      </c>
      <c r="B3112">
        <v>9176</v>
      </c>
      <c r="C3112">
        <v>0</v>
      </c>
      <c r="D3112">
        <v>2</v>
      </c>
      <c r="E3112">
        <v>39</v>
      </c>
      <c r="F3112" t="s">
        <v>163</v>
      </c>
      <c r="G3112" t="s">
        <v>118</v>
      </c>
    </row>
    <row r="3113" spans="1:7" hidden="1" x14ac:dyDescent="0.25">
      <c r="A3113">
        <v>99</v>
      </c>
      <c r="B3113">
        <v>9256</v>
      </c>
      <c r="C3113">
        <v>0</v>
      </c>
      <c r="D3113">
        <v>2</v>
      </c>
      <c r="E3113">
        <v>27</v>
      </c>
      <c r="F3113" t="s">
        <v>163</v>
      </c>
      <c r="G3113" t="s">
        <v>118</v>
      </c>
    </row>
    <row r="3114" spans="1:7" hidden="1" x14ac:dyDescent="0.25">
      <c r="A3114">
        <v>99</v>
      </c>
      <c r="B3114">
        <v>9752</v>
      </c>
      <c r="C3114">
        <v>0</v>
      </c>
      <c r="D3114">
        <v>2</v>
      </c>
      <c r="E3114">
        <v>39</v>
      </c>
      <c r="F3114" t="s">
        <v>163</v>
      </c>
      <c r="G3114" t="s">
        <v>118</v>
      </c>
    </row>
    <row r="3115" spans="1:7" hidden="1" x14ac:dyDescent="0.25">
      <c r="A3115">
        <v>99</v>
      </c>
      <c r="B3115">
        <v>10364</v>
      </c>
      <c r="C3115">
        <v>0</v>
      </c>
      <c r="D3115">
        <v>2</v>
      </c>
      <c r="E3115">
        <v>15</v>
      </c>
      <c r="F3115" t="s">
        <v>163</v>
      </c>
      <c r="G3115" t="s">
        <v>118</v>
      </c>
    </row>
    <row r="3116" spans="1:7" hidden="1" x14ac:dyDescent="0.25">
      <c r="A3116">
        <v>50</v>
      </c>
      <c r="B3116">
        <v>476</v>
      </c>
      <c r="C3116">
        <v>0</v>
      </c>
      <c r="D3116">
        <v>2</v>
      </c>
      <c r="E3116">
        <v>14</v>
      </c>
      <c r="F3116" t="s">
        <v>162</v>
      </c>
      <c r="G3116" t="s">
        <v>116</v>
      </c>
    </row>
    <row r="3117" spans="1:7" hidden="1" x14ac:dyDescent="0.25">
      <c r="A3117">
        <v>50</v>
      </c>
      <c r="B3117">
        <v>1264</v>
      </c>
      <c r="C3117">
        <v>0</v>
      </c>
      <c r="D3117">
        <v>2</v>
      </c>
      <c r="E3117">
        <v>14</v>
      </c>
      <c r="F3117" t="s">
        <v>162</v>
      </c>
      <c r="G3117" t="s">
        <v>116</v>
      </c>
    </row>
    <row r="3118" spans="1:7" hidden="1" x14ac:dyDescent="0.25">
      <c r="A3118">
        <v>50</v>
      </c>
      <c r="B3118">
        <v>4228</v>
      </c>
      <c r="C3118">
        <v>0</v>
      </c>
      <c r="D3118">
        <v>2</v>
      </c>
      <c r="E3118">
        <v>14</v>
      </c>
      <c r="F3118" t="s">
        <v>162</v>
      </c>
      <c r="G3118" t="s">
        <v>116</v>
      </c>
    </row>
    <row r="3119" spans="1:7" hidden="1" x14ac:dyDescent="0.25">
      <c r="A3119">
        <v>50</v>
      </c>
      <c r="B3119">
        <v>5004</v>
      </c>
      <c r="C3119">
        <v>0</v>
      </c>
      <c r="D3119">
        <v>2</v>
      </c>
      <c r="E3119">
        <v>14</v>
      </c>
      <c r="F3119" t="s">
        <v>162</v>
      </c>
      <c r="G3119" t="s">
        <v>116</v>
      </c>
    </row>
    <row r="3120" spans="1:7" hidden="1" x14ac:dyDescent="0.25">
      <c r="A3120">
        <v>50</v>
      </c>
      <c r="B3120">
        <v>7283</v>
      </c>
      <c r="C3120">
        <v>0</v>
      </c>
      <c r="D3120">
        <v>2</v>
      </c>
      <c r="E3120">
        <v>14</v>
      </c>
      <c r="F3120" t="s">
        <v>162</v>
      </c>
      <c r="G3120" t="s">
        <v>116</v>
      </c>
    </row>
    <row r="3121" spans="1:7" hidden="1" x14ac:dyDescent="0.25">
      <c r="A3121">
        <v>50</v>
      </c>
      <c r="B3121">
        <v>7284</v>
      </c>
      <c r="C3121">
        <v>0</v>
      </c>
      <c r="D3121">
        <v>2</v>
      </c>
      <c r="E3121">
        <v>14</v>
      </c>
      <c r="F3121" t="s">
        <v>162</v>
      </c>
      <c r="G3121" t="s">
        <v>116</v>
      </c>
    </row>
    <row r="3122" spans="1:7" hidden="1" x14ac:dyDescent="0.25">
      <c r="A3122">
        <v>50</v>
      </c>
      <c r="B3122">
        <v>9356</v>
      </c>
      <c r="C3122">
        <v>0</v>
      </c>
      <c r="D3122">
        <v>2</v>
      </c>
      <c r="E3122">
        <v>14</v>
      </c>
      <c r="F3122" t="s">
        <v>162</v>
      </c>
      <c r="G3122" t="s">
        <v>116</v>
      </c>
    </row>
    <row r="3123" spans="1:7" hidden="1" x14ac:dyDescent="0.25">
      <c r="A3123">
        <v>50</v>
      </c>
      <c r="B3123">
        <v>10592</v>
      </c>
      <c r="C3123">
        <v>0</v>
      </c>
      <c r="D3123">
        <v>2</v>
      </c>
      <c r="E3123">
        <v>14</v>
      </c>
      <c r="F3123" t="s">
        <v>162</v>
      </c>
      <c r="G3123" t="s">
        <v>116</v>
      </c>
    </row>
    <row r="3124" spans="1:7" hidden="1" x14ac:dyDescent="0.25">
      <c r="A3124">
        <v>99</v>
      </c>
      <c r="B3124">
        <v>2168</v>
      </c>
      <c r="C3124">
        <v>0</v>
      </c>
      <c r="D3124">
        <v>2</v>
      </c>
      <c r="E3124">
        <v>38</v>
      </c>
      <c r="F3124" t="s">
        <v>162</v>
      </c>
      <c r="G3124" t="s">
        <v>116</v>
      </c>
    </row>
    <row r="3125" spans="1:7" hidden="1" x14ac:dyDescent="0.25">
      <c r="A3125">
        <v>99</v>
      </c>
      <c r="B3125">
        <v>2472</v>
      </c>
      <c r="C3125">
        <v>0</v>
      </c>
      <c r="D3125">
        <v>2</v>
      </c>
      <c r="E3125">
        <v>38</v>
      </c>
      <c r="F3125" t="s">
        <v>162</v>
      </c>
      <c r="G3125" t="s">
        <v>116</v>
      </c>
    </row>
    <row r="3126" spans="1:7" hidden="1" x14ac:dyDescent="0.25">
      <c r="A3126">
        <v>99</v>
      </c>
      <c r="B3126">
        <v>3056</v>
      </c>
      <c r="C3126">
        <v>0</v>
      </c>
      <c r="D3126">
        <v>2</v>
      </c>
      <c r="E3126">
        <v>38</v>
      </c>
      <c r="F3126" t="s">
        <v>162</v>
      </c>
      <c r="G3126" t="s">
        <v>116</v>
      </c>
    </row>
    <row r="3127" spans="1:7" hidden="1" x14ac:dyDescent="0.25">
      <c r="A3127">
        <v>99</v>
      </c>
      <c r="B3127">
        <v>3100</v>
      </c>
      <c r="C3127">
        <v>0</v>
      </c>
      <c r="D3127">
        <v>2</v>
      </c>
      <c r="E3127">
        <v>38</v>
      </c>
      <c r="F3127" t="s">
        <v>162</v>
      </c>
      <c r="G3127" t="s">
        <v>116</v>
      </c>
    </row>
    <row r="3128" spans="1:7" x14ac:dyDescent="0.25">
      <c r="A3128">
        <v>99</v>
      </c>
      <c r="B3128">
        <v>4124</v>
      </c>
      <c r="C3128">
        <v>0</v>
      </c>
      <c r="D3128">
        <v>2</v>
      </c>
      <c r="E3128">
        <v>26</v>
      </c>
      <c r="F3128" t="s">
        <v>162</v>
      </c>
      <c r="G3128" t="s">
        <v>116</v>
      </c>
    </row>
    <row r="3129" spans="1:7" hidden="1" x14ac:dyDescent="0.25">
      <c r="A3129">
        <v>99</v>
      </c>
      <c r="B3129">
        <v>5932</v>
      </c>
      <c r="C3129">
        <v>0</v>
      </c>
      <c r="D3129">
        <v>2</v>
      </c>
      <c r="E3129">
        <v>38</v>
      </c>
      <c r="F3129" t="s">
        <v>162</v>
      </c>
      <c r="G3129" t="s">
        <v>116</v>
      </c>
    </row>
    <row r="3130" spans="1:7" hidden="1" x14ac:dyDescent="0.25">
      <c r="A3130">
        <v>99</v>
      </c>
      <c r="B3130">
        <v>5992</v>
      </c>
      <c r="C3130">
        <v>0</v>
      </c>
      <c r="D3130">
        <v>2</v>
      </c>
      <c r="E3130">
        <v>26</v>
      </c>
      <c r="F3130" t="s">
        <v>162</v>
      </c>
      <c r="G3130" t="s">
        <v>116</v>
      </c>
    </row>
    <row r="3131" spans="1:7" hidden="1" x14ac:dyDescent="0.25">
      <c r="A3131">
        <v>99</v>
      </c>
      <c r="B3131">
        <v>7260</v>
      </c>
      <c r="C3131">
        <v>0</v>
      </c>
      <c r="D3131">
        <v>2</v>
      </c>
      <c r="E3131">
        <v>38</v>
      </c>
      <c r="F3131" t="s">
        <v>162</v>
      </c>
      <c r="G3131" t="s">
        <v>116</v>
      </c>
    </row>
    <row r="3132" spans="1:7" hidden="1" x14ac:dyDescent="0.25">
      <c r="A3132">
        <v>99</v>
      </c>
      <c r="B3132">
        <v>8804</v>
      </c>
      <c r="C3132">
        <v>0</v>
      </c>
      <c r="D3132">
        <v>2</v>
      </c>
      <c r="E3132">
        <v>38</v>
      </c>
      <c r="F3132" t="s">
        <v>162</v>
      </c>
      <c r="G3132" t="s">
        <v>116</v>
      </c>
    </row>
    <row r="3133" spans="1:7" hidden="1" x14ac:dyDescent="0.25">
      <c r="A3133">
        <v>99</v>
      </c>
      <c r="B3133">
        <v>9176</v>
      </c>
      <c r="C3133">
        <v>0</v>
      </c>
      <c r="D3133">
        <v>2</v>
      </c>
      <c r="E3133">
        <v>38</v>
      </c>
      <c r="F3133" t="s">
        <v>162</v>
      </c>
      <c r="G3133" t="s">
        <v>116</v>
      </c>
    </row>
    <row r="3134" spans="1:7" hidden="1" x14ac:dyDescent="0.25">
      <c r="A3134">
        <v>99</v>
      </c>
      <c r="B3134">
        <v>9256</v>
      </c>
      <c r="C3134">
        <v>0</v>
      </c>
      <c r="D3134">
        <v>2</v>
      </c>
      <c r="E3134">
        <v>26</v>
      </c>
      <c r="F3134" t="s">
        <v>162</v>
      </c>
      <c r="G3134" t="s">
        <v>116</v>
      </c>
    </row>
    <row r="3135" spans="1:7" hidden="1" x14ac:dyDescent="0.25">
      <c r="A3135">
        <v>99</v>
      </c>
      <c r="B3135">
        <v>9752</v>
      </c>
      <c r="C3135">
        <v>0</v>
      </c>
      <c r="D3135">
        <v>2</v>
      </c>
      <c r="E3135">
        <v>38</v>
      </c>
      <c r="F3135" t="s">
        <v>162</v>
      </c>
      <c r="G3135" t="s">
        <v>116</v>
      </c>
    </row>
    <row r="3136" spans="1:7" hidden="1" x14ac:dyDescent="0.25">
      <c r="A3136">
        <v>99</v>
      </c>
      <c r="B3136">
        <v>10364</v>
      </c>
      <c r="C3136">
        <v>0</v>
      </c>
      <c r="D3136">
        <v>2</v>
      </c>
      <c r="E3136">
        <v>14</v>
      </c>
      <c r="F3136" t="s">
        <v>162</v>
      </c>
      <c r="G3136" t="s">
        <v>116</v>
      </c>
    </row>
    <row r="3137" spans="1:7" hidden="1" x14ac:dyDescent="0.25">
      <c r="A3137">
        <v>50</v>
      </c>
      <c r="B3137">
        <v>476</v>
      </c>
      <c r="C3137">
        <v>0</v>
      </c>
      <c r="D3137">
        <v>2</v>
      </c>
      <c r="E3137">
        <v>13</v>
      </c>
      <c r="F3137" t="s">
        <v>161</v>
      </c>
      <c r="G3137" t="s">
        <v>114</v>
      </c>
    </row>
    <row r="3138" spans="1:7" hidden="1" x14ac:dyDescent="0.25">
      <c r="A3138">
        <v>50</v>
      </c>
      <c r="B3138">
        <v>1264</v>
      </c>
      <c r="C3138">
        <v>0</v>
      </c>
      <c r="D3138">
        <v>2</v>
      </c>
      <c r="E3138">
        <v>13</v>
      </c>
      <c r="F3138" t="s">
        <v>161</v>
      </c>
      <c r="G3138" t="s">
        <v>114</v>
      </c>
    </row>
    <row r="3139" spans="1:7" hidden="1" x14ac:dyDescent="0.25">
      <c r="A3139">
        <v>50</v>
      </c>
      <c r="B3139">
        <v>4228</v>
      </c>
      <c r="C3139">
        <v>0</v>
      </c>
      <c r="D3139">
        <v>2</v>
      </c>
      <c r="E3139">
        <v>13</v>
      </c>
      <c r="F3139" t="s">
        <v>161</v>
      </c>
      <c r="G3139" t="s">
        <v>114</v>
      </c>
    </row>
    <row r="3140" spans="1:7" hidden="1" x14ac:dyDescent="0.25">
      <c r="A3140">
        <v>50</v>
      </c>
      <c r="B3140">
        <v>5004</v>
      </c>
      <c r="C3140">
        <v>0</v>
      </c>
      <c r="D3140">
        <v>2</v>
      </c>
      <c r="E3140">
        <v>13</v>
      </c>
      <c r="F3140" t="s">
        <v>161</v>
      </c>
      <c r="G3140" t="s">
        <v>114</v>
      </c>
    </row>
    <row r="3141" spans="1:7" hidden="1" x14ac:dyDescent="0.25">
      <c r="A3141">
        <v>50</v>
      </c>
      <c r="B3141">
        <v>7283</v>
      </c>
      <c r="C3141">
        <v>0</v>
      </c>
      <c r="D3141">
        <v>2</v>
      </c>
      <c r="E3141">
        <v>13</v>
      </c>
      <c r="F3141" t="s">
        <v>161</v>
      </c>
      <c r="G3141" t="s">
        <v>114</v>
      </c>
    </row>
    <row r="3142" spans="1:7" hidden="1" x14ac:dyDescent="0.25">
      <c r="A3142">
        <v>50</v>
      </c>
      <c r="B3142">
        <v>7284</v>
      </c>
      <c r="C3142">
        <v>0</v>
      </c>
      <c r="D3142">
        <v>2</v>
      </c>
      <c r="E3142">
        <v>13</v>
      </c>
      <c r="F3142" t="s">
        <v>161</v>
      </c>
      <c r="G3142" t="s">
        <v>114</v>
      </c>
    </row>
    <row r="3143" spans="1:7" hidden="1" x14ac:dyDescent="0.25">
      <c r="A3143">
        <v>50</v>
      </c>
      <c r="B3143">
        <v>9356</v>
      </c>
      <c r="C3143">
        <v>0</v>
      </c>
      <c r="D3143">
        <v>2</v>
      </c>
      <c r="E3143">
        <v>13</v>
      </c>
      <c r="F3143" t="s">
        <v>161</v>
      </c>
      <c r="G3143" t="s">
        <v>114</v>
      </c>
    </row>
    <row r="3144" spans="1:7" hidden="1" x14ac:dyDescent="0.25">
      <c r="A3144">
        <v>50</v>
      </c>
      <c r="B3144">
        <v>10592</v>
      </c>
      <c r="C3144">
        <v>0</v>
      </c>
      <c r="D3144">
        <v>2</v>
      </c>
      <c r="E3144">
        <v>13</v>
      </c>
      <c r="F3144" t="s">
        <v>161</v>
      </c>
      <c r="G3144" t="s">
        <v>114</v>
      </c>
    </row>
    <row r="3145" spans="1:7" hidden="1" x14ac:dyDescent="0.25">
      <c r="A3145">
        <v>99</v>
      </c>
      <c r="B3145">
        <v>2168</v>
      </c>
      <c r="C3145">
        <v>0</v>
      </c>
      <c r="D3145">
        <v>2</v>
      </c>
      <c r="E3145">
        <v>37</v>
      </c>
      <c r="F3145" t="s">
        <v>161</v>
      </c>
      <c r="G3145" t="s">
        <v>114</v>
      </c>
    </row>
    <row r="3146" spans="1:7" hidden="1" x14ac:dyDescent="0.25">
      <c r="A3146">
        <v>99</v>
      </c>
      <c r="B3146">
        <v>2472</v>
      </c>
      <c r="C3146">
        <v>0</v>
      </c>
      <c r="D3146">
        <v>2</v>
      </c>
      <c r="E3146">
        <v>37</v>
      </c>
      <c r="F3146" t="s">
        <v>161</v>
      </c>
      <c r="G3146" t="s">
        <v>114</v>
      </c>
    </row>
    <row r="3147" spans="1:7" hidden="1" x14ac:dyDescent="0.25">
      <c r="A3147">
        <v>99</v>
      </c>
      <c r="B3147">
        <v>3056</v>
      </c>
      <c r="C3147">
        <v>0</v>
      </c>
      <c r="D3147">
        <v>2</v>
      </c>
      <c r="E3147">
        <v>37</v>
      </c>
      <c r="F3147" t="s">
        <v>161</v>
      </c>
      <c r="G3147" t="s">
        <v>114</v>
      </c>
    </row>
    <row r="3148" spans="1:7" hidden="1" x14ac:dyDescent="0.25">
      <c r="A3148">
        <v>99</v>
      </c>
      <c r="B3148">
        <v>3100</v>
      </c>
      <c r="C3148">
        <v>0</v>
      </c>
      <c r="D3148">
        <v>2</v>
      </c>
      <c r="E3148">
        <v>37</v>
      </c>
      <c r="F3148" t="s">
        <v>161</v>
      </c>
      <c r="G3148" t="s">
        <v>114</v>
      </c>
    </row>
    <row r="3149" spans="1:7" x14ac:dyDescent="0.25">
      <c r="A3149">
        <v>99</v>
      </c>
      <c r="B3149">
        <v>4124</v>
      </c>
      <c r="C3149">
        <v>0</v>
      </c>
      <c r="D3149">
        <v>2</v>
      </c>
      <c r="E3149">
        <v>25</v>
      </c>
      <c r="F3149" t="s">
        <v>161</v>
      </c>
      <c r="G3149" t="s">
        <v>114</v>
      </c>
    </row>
    <row r="3150" spans="1:7" hidden="1" x14ac:dyDescent="0.25">
      <c r="A3150">
        <v>99</v>
      </c>
      <c r="B3150">
        <v>5932</v>
      </c>
      <c r="C3150">
        <v>0</v>
      </c>
      <c r="D3150">
        <v>2</v>
      </c>
      <c r="E3150">
        <v>37</v>
      </c>
      <c r="F3150" t="s">
        <v>161</v>
      </c>
      <c r="G3150" t="s">
        <v>114</v>
      </c>
    </row>
    <row r="3151" spans="1:7" hidden="1" x14ac:dyDescent="0.25">
      <c r="A3151">
        <v>99</v>
      </c>
      <c r="B3151">
        <v>5992</v>
      </c>
      <c r="C3151">
        <v>0</v>
      </c>
      <c r="D3151">
        <v>2</v>
      </c>
      <c r="E3151">
        <v>25</v>
      </c>
      <c r="F3151" t="s">
        <v>161</v>
      </c>
      <c r="G3151" t="s">
        <v>114</v>
      </c>
    </row>
    <row r="3152" spans="1:7" hidden="1" x14ac:dyDescent="0.25">
      <c r="A3152">
        <v>99</v>
      </c>
      <c r="B3152">
        <v>7260</v>
      </c>
      <c r="C3152">
        <v>0</v>
      </c>
      <c r="D3152">
        <v>2</v>
      </c>
      <c r="E3152">
        <v>37</v>
      </c>
      <c r="F3152" t="s">
        <v>161</v>
      </c>
      <c r="G3152" t="s">
        <v>114</v>
      </c>
    </row>
    <row r="3153" spans="1:7" hidden="1" x14ac:dyDescent="0.25">
      <c r="A3153">
        <v>99</v>
      </c>
      <c r="B3153">
        <v>8804</v>
      </c>
      <c r="C3153">
        <v>0</v>
      </c>
      <c r="D3153">
        <v>2</v>
      </c>
      <c r="E3153">
        <v>37</v>
      </c>
      <c r="F3153" t="s">
        <v>161</v>
      </c>
      <c r="G3153" t="s">
        <v>114</v>
      </c>
    </row>
    <row r="3154" spans="1:7" hidden="1" x14ac:dyDescent="0.25">
      <c r="A3154">
        <v>99</v>
      </c>
      <c r="B3154">
        <v>9176</v>
      </c>
      <c r="C3154">
        <v>0</v>
      </c>
      <c r="D3154">
        <v>2</v>
      </c>
      <c r="E3154">
        <v>37</v>
      </c>
      <c r="F3154" t="s">
        <v>161</v>
      </c>
      <c r="G3154" t="s">
        <v>114</v>
      </c>
    </row>
    <row r="3155" spans="1:7" hidden="1" x14ac:dyDescent="0.25">
      <c r="A3155">
        <v>99</v>
      </c>
      <c r="B3155">
        <v>9256</v>
      </c>
      <c r="C3155">
        <v>0</v>
      </c>
      <c r="D3155">
        <v>2</v>
      </c>
      <c r="E3155">
        <v>25</v>
      </c>
      <c r="F3155" t="s">
        <v>161</v>
      </c>
      <c r="G3155" t="s">
        <v>114</v>
      </c>
    </row>
    <row r="3156" spans="1:7" hidden="1" x14ac:dyDescent="0.25">
      <c r="A3156">
        <v>99</v>
      </c>
      <c r="B3156">
        <v>9752</v>
      </c>
      <c r="C3156">
        <v>0</v>
      </c>
      <c r="D3156">
        <v>2</v>
      </c>
      <c r="E3156">
        <v>37</v>
      </c>
      <c r="F3156" t="s">
        <v>161</v>
      </c>
      <c r="G3156" t="s">
        <v>114</v>
      </c>
    </row>
    <row r="3157" spans="1:7" hidden="1" x14ac:dyDescent="0.25">
      <c r="A3157">
        <v>99</v>
      </c>
      <c r="B3157">
        <v>10364</v>
      </c>
      <c r="C3157">
        <v>0</v>
      </c>
      <c r="D3157">
        <v>2</v>
      </c>
      <c r="E3157">
        <v>13</v>
      </c>
      <c r="F3157" t="s">
        <v>161</v>
      </c>
      <c r="G3157" t="s">
        <v>114</v>
      </c>
    </row>
    <row r="3158" spans="1:7" hidden="1" x14ac:dyDescent="0.25">
      <c r="A3158">
        <v>50</v>
      </c>
      <c r="B3158">
        <v>476</v>
      </c>
      <c r="C3158">
        <v>0</v>
      </c>
      <c r="D3158">
        <v>2</v>
      </c>
      <c r="E3158">
        <v>25</v>
      </c>
      <c r="F3158" t="s">
        <v>173</v>
      </c>
      <c r="G3158" t="s">
        <v>120</v>
      </c>
    </row>
    <row r="3159" spans="1:7" hidden="1" x14ac:dyDescent="0.25">
      <c r="A3159">
        <v>50</v>
      </c>
      <c r="B3159">
        <v>1264</v>
      </c>
      <c r="C3159">
        <v>0</v>
      </c>
      <c r="D3159">
        <v>2</v>
      </c>
      <c r="E3159">
        <v>25</v>
      </c>
      <c r="F3159" t="s">
        <v>173</v>
      </c>
      <c r="G3159" t="s">
        <v>120</v>
      </c>
    </row>
    <row r="3160" spans="1:7" hidden="1" x14ac:dyDescent="0.25">
      <c r="A3160">
        <v>50</v>
      </c>
      <c r="B3160">
        <v>4228</v>
      </c>
      <c r="C3160">
        <v>0</v>
      </c>
      <c r="D3160">
        <v>2</v>
      </c>
      <c r="E3160">
        <v>25</v>
      </c>
      <c r="F3160" t="s">
        <v>173</v>
      </c>
      <c r="G3160" t="s">
        <v>120</v>
      </c>
    </row>
    <row r="3161" spans="1:7" hidden="1" x14ac:dyDescent="0.25">
      <c r="A3161">
        <v>50</v>
      </c>
      <c r="B3161">
        <v>5004</v>
      </c>
      <c r="C3161">
        <v>0</v>
      </c>
      <c r="D3161">
        <v>2</v>
      </c>
      <c r="E3161">
        <v>25</v>
      </c>
      <c r="F3161" t="s">
        <v>173</v>
      </c>
      <c r="G3161" t="s">
        <v>120</v>
      </c>
    </row>
    <row r="3162" spans="1:7" hidden="1" x14ac:dyDescent="0.25">
      <c r="A3162">
        <v>50</v>
      </c>
      <c r="B3162">
        <v>7283</v>
      </c>
      <c r="C3162">
        <v>0</v>
      </c>
      <c r="D3162">
        <v>2</v>
      </c>
      <c r="E3162">
        <v>25</v>
      </c>
      <c r="F3162" t="s">
        <v>173</v>
      </c>
      <c r="G3162" t="s">
        <v>120</v>
      </c>
    </row>
    <row r="3163" spans="1:7" hidden="1" x14ac:dyDescent="0.25">
      <c r="A3163">
        <v>50</v>
      </c>
      <c r="B3163">
        <v>7284</v>
      </c>
      <c r="C3163">
        <v>0</v>
      </c>
      <c r="D3163">
        <v>2</v>
      </c>
      <c r="E3163">
        <v>25</v>
      </c>
      <c r="F3163" t="s">
        <v>173</v>
      </c>
      <c r="G3163" t="s">
        <v>120</v>
      </c>
    </row>
    <row r="3164" spans="1:7" hidden="1" x14ac:dyDescent="0.25">
      <c r="A3164">
        <v>50</v>
      </c>
      <c r="B3164">
        <v>9356</v>
      </c>
      <c r="C3164">
        <v>0</v>
      </c>
      <c r="D3164">
        <v>2</v>
      </c>
      <c r="E3164">
        <v>25</v>
      </c>
      <c r="F3164" t="s">
        <v>173</v>
      </c>
      <c r="G3164" t="s">
        <v>120</v>
      </c>
    </row>
    <row r="3165" spans="1:7" hidden="1" x14ac:dyDescent="0.25">
      <c r="A3165">
        <v>50</v>
      </c>
      <c r="B3165">
        <v>10592</v>
      </c>
      <c r="C3165">
        <v>0</v>
      </c>
      <c r="D3165">
        <v>2</v>
      </c>
      <c r="E3165">
        <v>25</v>
      </c>
      <c r="F3165" t="s">
        <v>173</v>
      </c>
      <c r="G3165" t="s">
        <v>120</v>
      </c>
    </row>
    <row r="3166" spans="1:7" hidden="1" x14ac:dyDescent="0.25">
      <c r="A3166">
        <v>99</v>
      </c>
      <c r="B3166">
        <v>2168</v>
      </c>
      <c r="C3166">
        <v>0</v>
      </c>
      <c r="D3166">
        <v>2</v>
      </c>
      <c r="E3166">
        <v>49</v>
      </c>
      <c r="F3166" t="s">
        <v>173</v>
      </c>
      <c r="G3166" t="s">
        <v>120</v>
      </c>
    </row>
    <row r="3167" spans="1:7" hidden="1" x14ac:dyDescent="0.25">
      <c r="A3167">
        <v>99</v>
      </c>
      <c r="B3167">
        <v>2472</v>
      </c>
      <c r="C3167">
        <v>0</v>
      </c>
      <c r="D3167">
        <v>2</v>
      </c>
      <c r="E3167">
        <v>49</v>
      </c>
      <c r="F3167" t="s">
        <v>173</v>
      </c>
      <c r="G3167" t="s">
        <v>120</v>
      </c>
    </row>
    <row r="3168" spans="1:7" hidden="1" x14ac:dyDescent="0.25">
      <c r="A3168">
        <v>99</v>
      </c>
      <c r="B3168">
        <v>3056</v>
      </c>
      <c r="C3168">
        <v>0</v>
      </c>
      <c r="D3168">
        <v>2</v>
      </c>
      <c r="E3168">
        <v>49</v>
      </c>
      <c r="F3168" t="s">
        <v>173</v>
      </c>
      <c r="G3168" t="s">
        <v>120</v>
      </c>
    </row>
    <row r="3169" spans="1:7" hidden="1" x14ac:dyDescent="0.25">
      <c r="A3169">
        <v>99</v>
      </c>
      <c r="B3169">
        <v>3100</v>
      </c>
      <c r="C3169">
        <v>0</v>
      </c>
      <c r="D3169">
        <v>2</v>
      </c>
      <c r="E3169">
        <v>49</v>
      </c>
      <c r="F3169" t="s">
        <v>173</v>
      </c>
      <c r="G3169" t="s">
        <v>120</v>
      </c>
    </row>
    <row r="3170" spans="1:7" x14ac:dyDescent="0.25">
      <c r="A3170">
        <v>99</v>
      </c>
      <c r="B3170">
        <v>4124</v>
      </c>
      <c r="C3170">
        <v>0</v>
      </c>
      <c r="D3170">
        <v>2</v>
      </c>
      <c r="E3170">
        <v>37</v>
      </c>
      <c r="F3170" t="s">
        <v>173</v>
      </c>
      <c r="G3170" t="s">
        <v>120</v>
      </c>
    </row>
    <row r="3171" spans="1:7" hidden="1" x14ac:dyDescent="0.25">
      <c r="A3171">
        <v>99</v>
      </c>
      <c r="B3171">
        <v>5932</v>
      </c>
      <c r="C3171">
        <v>0</v>
      </c>
      <c r="D3171">
        <v>2</v>
      </c>
      <c r="E3171">
        <v>49</v>
      </c>
      <c r="F3171" t="s">
        <v>173</v>
      </c>
      <c r="G3171" t="s">
        <v>120</v>
      </c>
    </row>
    <row r="3172" spans="1:7" hidden="1" x14ac:dyDescent="0.25">
      <c r="A3172">
        <v>99</v>
      </c>
      <c r="B3172">
        <v>5992</v>
      </c>
      <c r="C3172">
        <v>0</v>
      </c>
      <c r="D3172">
        <v>2</v>
      </c>
      <c r="E3172">
        <v>37</v>
      </c>
      <c r="F3172" t="s">
        <v>173</v>
      </c>
      <c r="G3172" t="s">
        <v>120</v>
      </c>
    </row>
    <row r="3173" spans="1:7" hidden="1" x14ac:dyDescent="0.25">
      <c r="A3173">
        <v>99</v>
      </c>
      <c r="B3173">
        <v>7260</v>
      </c>
      <c r="C3173">
        <v>0</v>
      </c>
      <c r="D3173">
        <v>2</v>
      </c>
      <c r="E3173">
        <v>49</v>
      </c>
      <c r="F3173" t="s">
        <v>173</v>
      </c>
      <c r="G3173" t="s">
        <v>120</v>
      </c>
    </row>
    <row r="3174" spans="1:7" hidden="1" x14ac:dyDescent="0.25">
      <c r="A3174">
        <v>99</v>
      </c>
      <c r="B3174">
        <v>8804</v>
      </c>
      <c r="C3174">
        <v>0</v>
      </c>
      <c r="D3174">
        <v>2</v>
      </c>
      <c r="E3174">
        <v>49</v>
      </c>
      <c r="F3174" t="s">
        <v>173</v>
      </c>
      <c r="G3174" t="s">
        <v>120</v>
      </c>
    </row>
    <row r="3175" spans="1:7" hidden="1" x14ac:dyDescent="0.25">
      <c r="A3175">
        <v>99</v>
      </c>
      <c r="B3175">
        <v>9176</v>
      </c>
      <c r="C3175">
        <v>0</v>
      </c>
      <c r="D3175">
        <v>2</v>
      </c>
      <c r="E3175">
        <v>49</v>
      </c>
      <c r="F3175" t="s">
        <v>173</v>
      </c>
      <c r="G3175" t="s">
        <v>120</v>
      </c>
    </row>
    <row r="3176" spans="1:7" hidden="1" x14ac:dyDescent="0.25">
      <c r="A3176">
        <v>99</v>
      </c>
      <c r="B3176">
        <v>9256</v>
      </c>
      <c r="C3176">
        <v>0</v>
      </c>
      <c r="D3176">
        <v>2</v>
      </c>
      <c r="E3176">
        <v>37</v>
      </c>
      <c r="F3176" t="s">
        <v>173</v>
      </c>
      <c r="G3176" t="s">
        <v>120</v>
      </c>
    </row>
    <row r="3177" spans="1:7" hidden="1" x14ac:dyDescent="0.25">
      <c r="A3177">
        <v>99</v>
      </c>
      <c r="B3177">
        <v>9752</v>
      </c>
      <c r="C3177">
        <v>0</v>
      </c>
      <c r="D3177">
        <v>2</v>
      </c>
      <c r="E3177">
        <v>49</v>
      </c>
      <c r="F3177" t="s">
        <v>173</v>
      </c>
      <c r="G3177" t="s">
        <v>120</v>
      </c>
    </row>
    <row r="3178" spans="1:7" hidden="1" x14ac:dyDescent="0.25">
      <c r="A3178">
        <v>99</v>
      </c>
      <c r="B3178">
        <v>10364</v>
      </c>
      <c r="C3178">
        <v>0</v>
      </c>
      <c r="D3178">
        <v>2</v>
      </c>
      <c r="E3178">
        <v>25</v>
      </c>
      <c r="F3178" t="s">
        <v>173</v>
      </c>
      <c r="G3178" t="s">
        <v>120</v>
      </c>
    </row>
    <row r="3179" spans="1:7" hidden="1" x14ac:dyDescent="0.25">
      <c r="A3179">
        <v>50</v>
      </c>
      <c r="B3179">
        <v>476</v>
      </c>
      <c r="C3179">
        <v>0</v>
      </c>
      <c r="D3179">
        <v>2</v>
      </c>
      <c r="E3179">
        <v>24</v>
      </c>
      <c r="F3179" t="s">
        <v>172</v>
      </c>
      <c r="G3179" t="s">
        <v>122</v>
      </c>
    </row>
    <row r="3180" spans="1:7" hidden="1" x14ac:dyDescent="0.25">
      <c r="A3180">
        <v>50</v>
      </c>
      <c r="B3180">
        <v>1264</v>
      </c>
      <c r="C3180">
        <v>0</v>
      </c>
      <c r="D3180">
        <v>2</v>
      </c>
      <c r="E3180">
        <v>24</v>
      </c>
      <c r="F3180" t="s">
        <v>172</v>
      </c>
      <c r="G3180" t="s">
        <v>122</v>
      </c>
    </row>
    <row r="3181" spans="1:7" hidden="1" x14ac:dyDescent="0.25">
      <c r="A3181">
        <v>50</v>
      </c>
      <c r="B3181">
        <v>4228</v>
      </c>
      <c r="C3181">
        <v>0</v>
      </c>
      <c r="D3181">
        <v>2</v>
      </c>
      <c r="E3181">
        <v>24</v>
      </c>
      <c r="F3181" t="s">
        <v>172</v>
      </c>
      <c r="G3181" t="s">
        <v>122</v>
      </c>
    </row>
    <row r="3182" spans="1:7" hidden="1" x14ac:dyDescent="0.25">
      <c r="A3182">
        <v>50</v>
      </c>
      <c r="B3182">
        <v>5004</v>
      </c>
      <c r="C3182">
        <v>0</v>
      </c>
      <c r="D3182">
        <v>2</v>
      </c>
      <c r="E3182">
        <v>24</v>
      </c>
      <c r="F3182" t="s">
        <v>172</v>
      </c>
      <c r="G3182" t="s">
        <v>122</v>
      </c>
    </row>
    <row r="3183" spans="1:7" hidden="1" x14ac:dyDescent="0.25">
      <c r="A3183">
        <v>50</v>
      </c>
      <c r="B3183">
        <v>7283</v>
      </c>
      <c r="C3183">
        <v>0</v>
      </c>
      <c r="D3183">
        <v>2</v>
      </c>
      <c r="E3183">
        <v>24</v>
      </c>
      <c r="F3183" t="s">
        <v>172</v>
      </c>
      <c r="G3183" t="s">
        <v>122</v>
      </c>
    </row>
    <row r="3184" spans="1:7" hidden="1" x14ac:dyDescent="0.25">
      <c r="A3184">
        <v>50</v>
      </c>
      <c r="B3184">
        <v>7284</v>
      </c>
      <c r="C3184">
        <v>0</v>
      </c>
      <c r="D3184">
        <v>2</v>
      </c>
      <c r="E3184">
        <v>24</v>
      </c>
      <c r="F3184" t="s">
        <v>172</v>
      </c>
      <c r="G3184" t="s">
        <v>122</v>
      </c>
    </row>
    <row r="3185" spans="1:7" hidden="1" x14ac:dyDescent="0.25">
      <c r="A3185">
        <v>50</v>
      </c>
      <c r="B3185">
        <v>9356</v>
      </c>
      <c r="C3185">
        <v>0</v>
      </c>
      <c r="D3185">
        <v>2</v>
      </c>
      <c r="E3185">
        <v>24</v>
      </c>
      <c r="F3185" t="s">
        <v>172</v>
      </c>
      <c r="G3185" t="s">
        <v>122</v>
      </c>
    </row>
    <row r="3186" spans="1:7" hidden="1" x14ac:dyDescent="0.25">
      <c r="A3186">
        <v>50</v>
      </c>
      <c r="B3186">
        <v>10592</v>
      </c>
      <c r="C3186">
        <v>0</v>
      </c>
      <c r="D3186">
        <v>2</v>
      </c>
      <c r="E3186">
        <v>24</v>
      </c>
      <c r="F3186" t="s">
        <v>172</v>
      </c>
      <c r="G3186" t="s">
        <v>122</v>
      </c>
    </row>
    <row r="3187" spans="1:7" hidden="1" x14ac:dyDescent="0.25">
      <c r="A3187">
        <v>99</v>
      </c>
      <c r="B3187">
        <v>2168</v>
      </c>
      <c r="C3187">
        <v>0</v>
      </c>
      <c r="D3187">
        <v>2</v>
      </c>
      <c r="E3187">
        <v>48</v>
      </c>
      <c r="F3187" t="s">
        <v>172</v>
      </c>
      <c r="G3187" t="s">
        <v>122</v>
      </c>
    </row>
    <row r="3188" spans="1:7" hidden="1" x14ac:dyDescent="0.25">
      <c r="A3188">
        <v>99</v>
      </c>
      <c r="B3188">
        <v>2472</v>
      </c>
      <c r="C3188">
        <v>0</v>
      </c>
      <c r="D3188">
        <v>2</v>
      </c>
      <c r="E3188">
        <v>48</v>
      </c>
      <c r="F3188" t="s">
        <v>172</v>
      </c>
      <c r="G3188" t="s">
        <v>122</v>
      </c>
    </row>
    <row r="3189" spans="1:7" hidden="1" x14ac:dyDescent="0.25">
      <c r="A3189">
        <v>99</v>
      </c>
      <c r="B3189">
        <v>3056</v>
      </c>
      <c r="C3189">
        <v>0</v>
      </c>
      <c r="D3189">
        <v>2</v>
      </c>
      <c r="E3189">
        <v>48</v>
      </c>
      <c r="F3189" t="s">
        <v>172</v>
      </c>
      <c r="G3189" t="s">
        <v>122</v>
      </c>
    </row>
    <row r="3190" spans="1:7" hidden="1" x14ac:dyDescent="0.25">
      <c r="A3190">
        <v>99</v>
      </c>
      <c r="B3190">
        <v>3100</v>
      </c>
      <c r="C3190">
        <v>0</v>
      </c>
      <c r="D3190">
        <v>2</v>
      </c>
      <c r="E3190">
        <v>48</v>
      </c>
      <c r="F3190" t="s">
        <v>172</v>
      </c>
      <c r="G3190" t="s">
        <v>122</v>
      </c>
    </row>
    <row r="3191" spans="1:7" x14ac:dyDescent="0.25">
      <c r="A3191">
        <v>99</v>
      </c>
      <c r="B3191">
        <v>4124</v>
      </c>
      <c r="C3191">
        <v>0</v>
      </c>
      <c r="D3191">
        <v>2</v>
      </c>
      <c r="E3191">
        <v>36</v>
      </c>
      <c r="F3191" t="s">
        <v>172</v>
      </c>
      <c r="G3191" t="s">
        <v>122</v>
      </c>
    </row>
    <row r="3192" spans="1:7" hidden="1" x14ac:dyDescent="0.25">
      <c r="A3192">
        <v>99</v>
      </c>
      <c r="B3192">
        <v>5932</v>
      </c>
      <c r="C3192">
        <v>0</v>
      </c>
      <c r="D3192">
        <v>2</v>
      </c>
      <c r="E3192">
        <v>48</v>
      </c>
      <c r="F3192" t="s">
        <v>172</v>
      </c>
      <c r="G3192" t="s">
        <v>122</v>
      </c>
    </row>
    <row r="3193" spans="1:7" hidden="1" x14ac:dyDescent="0.25">
      <c r="A3193">
        <v>99</v>
      </c>
      <c r="B3193">
        <v>5992</v>
      </c>
      <c r="C3193">
        <v>0</v>
      </c>
      <c r="D3193">
        <v>2</v>
      </c>
      <c r="E3193">
        <v>36</v>
      </c>
      <c r="F3193" t="s">
        <v>172</v>
      </c>
      <c r="G3193" t="s">
        <v>122</v>
      </c>
    </row>
    <row r="3194" spans="1:7" hidden="1" x14ac:dyDescent="0.25">
      <c r="A3194">
        <v>99</v>
      </c>
      <c r="B3194">
        <v>7260</v>
      </c>
      <c r="C3194">
        <v>0</v>
      </c>
      <c r="D3194">
        <v>2</v>
      </c>
      <c r="E3194">
        <v>48</v>
      </c>
      <c r="F3194" t="s">
        <v>172</v>
      </c>
      <c r="G3194" t="s">
        <v>122</v>
      </c>
    </row>
    <row r="3195" spans="1:7" hidden="1" x14ac:dyDescent="0.25">
      <c r="A3195">
        <v>99</v>
      </c>
      <c r="B3195">
        <v>8804</v>
      </c>
      <c r="C3195">
        <v>0</v>
      </c>
      <c r="D3195">
        <v>2</v>
      </c>
      <c r="E3195">
        <v>48</v>
      </c>
      <c r="F3195" t="s">
        <v>172</v>
      </c>
      <c r="G3195" t="s">
        <v>122</v>
      </c>
    </row>
    <row r="3196" spans="1:7" hidden="1" x14ac:dyDescent="0.25">
      <c r="A3196">
        <v>99</v>
      </c>
      <c r="B3196">
        <v>9176</v>
      </c>
      <c r="C3196">
        <v>0</v>
      </c>
      <c r="D3196">
        <v>2</v>
      </c>
      <c r="E3196">
        <v>48</v>
      </c>
      <c r="F3196" t="s">
        <v>172</v>
      </c>
      <c r="G3196" t="s">
        <v>122</v>
      </c>
    </row>
    <row r="3197" spans="1:7" hidden="1" x14ac:dyDescent="0.25">
      <c r="A3197">
        <v>99</v>
      </c>
      <c r="B3197">
        <v>9256</v>
      </c>
      <c r="C3197">
        <v>0</v>
      </c>
      <c r="D3197">
        <v>2</v>
      </c>
      <c r="E3197">
        <v>36</v>
      </c>
      <c r="F3197" t="s">
        <v>172</v>
      </c>
      <c r="G3197" t="s">
        <v>122</v>
      </c>
    </row>
    <row r="3198" spans="1:7" hidden="1" x14ac:dyDescent="0.25">
      <c r="A3198">
        <v>99</v>
      </c>
      <c r="B3198">
        <v>9752</v>
      </c>
      <c r="C3198">
        <v>0</v>
      </c>
      <c r="D3198">
        <v>2</v>
      </c>
      <c r="E3198">
        <v>48</v>
      </c>
      <c r="F3198" t="s">
        <v>172</v>
      </c>
      <c r="G3198" t="s">
        <v>122</v>
      </c>
    </row>
    <row r="3199" spans="1:7" hidden="1" x14ac:dyDescent="0.25">
      <c r="A3199">
        <v>99</v>
      </c>
      <c r="B3199">
        <v>10364</v>
      </c>
      <c r="C3199">
        <v>0</v>
      </c>
      <c r="D3199">
        <v>2</v>
      </c>
      <c r="E3199">
        <v>24</v>
      </c>
      <c r="F3199" t="s">
        <v>172</v>
      </c>
      <c r="G3199" t="s">
        <v>122</v>
      </c>
    </row>
    <row r="3200" spans="1:7" hidden="1" x14ac:dyDescent="0.25">
      <c r="A3200">
        <v>50</v>
      </c>
      <c r="B3200">
        <v>476</v>
      </c>
      <c r="C3200">
        <v>0</v>
      </c>
      <c r="D3200">
        <v>2</v>
      </c>
      <c r="E3200">
        <v>23</v>
      </c>
      <c r="F3200" t="s">
        <v>171</v>
      </c>
      <c r="G3200" t="s">
        <v>124</v>
      </c>
    </row>
    <row r="3201" spans="1:7" hidden="1" x14ac:dyDescent="0.25">
      <c r="A3201">
        <v>50</v>
      </c>
      <c r="B3201">
        <v>1264</v>
      </c>
      <c r="C3201">
        <v>0</v>
      </c>
      <c r="D3201">
        <v>2</v>
      </c>
      <c r="E3201">
        <v>23</v>
      </c>
      <c r="F3201" t="s">
        <v>171</v>
      </c>
      <c r="G3201" t="s">
        <v>124</v>
      </c>
    </row>
    <row r="3202" spans="1:7" hidden="1" x14ac:dyDescent="0.25">
      <c r="A3202">
        <v>50</v>
      </c>
      <c r="B3202">
        <v>4228</v>
      </c>
      <c r="C3202">
        <v>0</v>
      </c>
      <c r="D3202">
        <v>2</v>
      </c>
      <c r="E3202">
        <v>23</v>
      </c>
      <c r="F3202" t="s">
        <v>171</v>
      </c>
      <c r="G3202" t="s">
        <v>124</v>
      </c>
    </row>
    <row r="3203" spans="1:7" hidden="1" x14ac:dyDescent="0.25">
      <c r="A3203">
        <v>50</v>
      </c>
      <c r="B3203">
        <v>5004</v>
      </c>
      <c r="C3203">
        <v>0</v>
      </c>
      <c r="D3203">
        <v>2</v>
      </c>
      <c r="E3203">
        <v>23</v>
      </c>
      <c r="F3203" t="s">
        <v>171</v>
      </c>
      <c r="G3203" t="s">
        <v>124</v>
      </c>
    </row>
    <row r="3204" spans="1:7" hidden="1" x14ac:dyDescent="0.25">
      <c r="A3204">
        <v>50</v>
      </c>
      <c r="B3204">
        <v>7283</v>
      </c>
      <c r="C3204">
        <v>0</v>
      </c>
      <c r="D3204">
        <v>2</v>
      </c>
      <c r="E3204">
        <v>23</v>
      </c>
      <c r="F3204" t="s">
        <v>171</v>
      </c>
      <c r="G3204" t="s">
        <v>124</v>
      </c>
    </row>
    <row r="3205" spans="1:7" hidden="1" x14ac:dyDescent="0.25">
      <c r="A3205">
        <v>50</v>
      </c>
      <c r="B3205">
        <v>7284</v>
      </c>
      <c r="C3205">
        <v>0</v>
      </c>
      <c r="D3205">
        <v>2</v>
      </c>
      <c r="E3205">
        <v>23</v>
      </c>
      <c r="F3205" t="s">
        <v>171</v>
      </c>
      <c r="G3205" t="s">
        <v>124</v>
      </c>
    </row>
    <row r="3206" spans="1:7" hidden="1" x14ac:dyDescent="0.25">
      <c r="A3206">
        <v>50</v>
      </c>
      <c r="B3206">
        <v>9356</v>
      </c>
      <c r="C3206">
        <v>0</v>
      </c>
      <c r="D3206">
        <v>2</v>
      </c>
      <c r="E3206">
        <v>23</v>
      </c>
      <c r="F3206" t="s">
        <v>171</v>
      </c>
      <c r="G3206" t="s">
        <v>124</v>
      </c>
    </row>
    <row r="3207" spans="1:7" hidden="1" x14ac:dyDescent="0.25">
      <c r="A3207">
        <v>50</v>
      </c>
      <c r="B3207">
        <v>10592</v>
      </c>
      <c r="C3207">
        <v>0</v>
      </c>
      <c r="D3207">
        <v>2</v>
      </c>
      <c r="E3207">
        <v>23</v>
      </c>
      <c r="F3207" t="s">
        <v>171</v>
      </c>
      <c r="G3207" t="s">
        <v>124</v>
      </c>
    </row>
    <row r="3208" spans="1:7" hidden="1" x14ac:dyDescent="0.25">
      <c r="A3208">
        <v>99</v>
      </c>
      <c r="B3208">
        <v>2168</v>
      </c>
      <c r="C3208">
        <v>0</v>
      </c>
      <c r="D3208">
        <v>2</v>
      </c>
      <c r="E3208">
        <v>47</v>
      </c>
      <c r="F3208" t="s">
        <v>171</v>
      </c>
      <c r="G3208" t="s">
        <v>124</v>
      </c>
    </row>
    <row r="3209" spans="1:7" hidden="1" x14ac:dyDescent="0.25">
      <c r="A3209">
        <v>99</v>
      </c>
      <c r="B3209">
        <v>2472</v>
      </c>
      <c r="C3209">
        <v>0</v>
      </c>
      <c r="D3209">
        <v>2</v>
      </c>
      <c r="E3209">
        <v>47</v>
      </c>
      <c r="F3209" t="s">
        <v>171</v>
      </c>
      <c r="G3209" t="s">
        <v>124</v>
      </c>
    </row>
    <row r="3210" spans="1:7" hidden="1" x14ac:dyDescent="0.25">
      <c r="A3210">
        <v>99</v>
      </c>
      <c r="B3210">
        <v>3056</v>
      </c>
      <c r="C3210">
        <v>0</v>
      </c>
      <c r="D3210">
        <v>2</v>
      </c>
      <c r="E3210">
        <v>47</v>
      </c>
      <c r="F3210" t="s">
        <v>171</v>
      </c>
      <c r="G3210" t="s">
        <v>124</v>
      </c>
    </row>
    <row r="3211" spans="1:7" hidden="1" x14ac:dyDescent="0.25">
      <c r="A3211">
        <v>99</v>
      </c>
      <c r="B3211">
        <v>3100</v>
      </c>
      <c r="C3211">
        <v>0</v>
      </c>
      <c r="D3211">
        <v>2</v>
      </c>
      <c r="E3211">
        <v>47</v>
      </c>
      <c r="F3211" t="s">
        <v>171</v>
      </c>
      <c r="G3211" t="s">
        <v>124</v>
      </c>
    </row>
    <row r="3212" spans="1:7" x14ac:dyDescent="0.25">
      <c r="A3212">
        <v>99</v>
      </c>
      <c r="B3212">
        <v>4124</v>
      </c>
      <c r="C3212">
        <v>0</v>
      </c>
      <c r="D3212">
        <v>2</v>
      </c>
      <c r="E3212">
        <v>35</v>
      </c>
      <c r="F3212" t="s">
        <v>171</v>
      </c>
      <c r="G3212" t="s">
        <v>124</v>
      </c>
    </row>
    <row r="3213" spans="1:7" hidden="1" x14ac:dyDescent="0.25">
      <c r="A3213">
        <v>99</v>
      </c>
      <c r="B3213">
        <v>5932</v>
      </c>
      <c r="C3213">
        <v>0</v>
      </c>
      <c r="D3213">
        <v>2</v>
      </c>
      <c r="E3213">
        <v>47</v>
      </c>
      <c r="F3213" t="s">
        <v>171</v>
      </c>
      <c r="G3213" t="s">
        <v>124</v>
      </c>
    </row>
    <row r="3214" spans="1:7" hidden="1" x14ac:dyDescent="0.25">
      <c r="A3214">
        <v>99</v>
      </c>
      <c r="B3214">
        <v>5992</v>
      </c>
      <c r="C3214">
        <v>0</v>
      </c>
      <c r="D3214">
        <v>2</v>
      </c>
      <c r="E3214">
        <v>35</v>
      </c>
      <c r="F3214" t="s">
        <v>171</v>
      </c>
      <c r="G3214" t="s">
        <v>124</v>
      </c>
    </row>
    <row r="3215" spans="1:7" hidden="1" x14ac:dyDescent="0.25">
      <c r="A3215">
        <v>99</v>
      </c>
      <c r="B3215">
        <v>7260</v>
      </c>
      <c r="C3215">
        <v>0</v>
      </c>
      <c r="D3215">
        <v>2</v>
      </c>
      <c r="E3215">
        <v>47</v>
      </c>
      <c r="F3215" t="s">
        <v>171</v>
      </c>
      <c r="G3215" t="s">
        <v>124</v>
      </c>
    </row>
    <row r="3216" spans="1:7" hidden="1" x14ac:dyDescent="0.25">
      <c r="A3216">
        <v>99</v>
      </c>
      <c r="B3216">
        <v>8804</v>
      </c>
      <c r="C3216">
        <v>0</v>
      </c>
      <c r="D3216">
        <v>2</v>
      </c>
      <c r="E3216">
        <v>47</v>
      </c>
      <c r="F3216" t="s">
        <v>171</v>
      </c>
      <c r="G3216" t="s">
        <v>124</v>
      </c>
    </row>
    <row r="3217" spans="1:7" hidden="1" x14ac:dyDescent="0.25">
      <c r="A3217">
        <v>99</v>
      </c>
      <c r="B3217">
        <v>9176</v>
      </c>
      <c r="C3217">
        <v>0</v>
      </c>
      <c r="D3217">
        <v>2</v>
      </c>
      <c r="E3217">
        <v>47</v>
      </c>
      <c r="F3217" t="s">
        <v>171</v>
      </c>
      <c r="G3217" t="s">
        <v>124</v>
      </c>
    </row>
    <row r="3218" spans="1:7" hidden="1" x14ac:dyDescent="0.25">
      <c r="A3218">
        <v>99</v>
      </c>
      <c r="B3218">
        <v>9256</v>
      </c>
      <c r="C3218">
        <v>0</v>
      </c>
      <c r="D3218">
        <v>2</v>
      </c>
      <c r="E3218">
        <v>35</v>
      </c>
      <c r="F3218" t="s">
        <v>171</v>
      </c>
      <c r="G3218" t="s">
        <v>124</v>
      </c>
    </row>
    <row r="3219" spans="1:7" hidden="1" x14ac:dyDescent="0.25">
      <c r="A3219">
        <v>99</v>
      </c>
      <c r="B3219">
        <v>9752</v>
      </c>
      <c r="C3219">
        <v>0</v>
      </c>
      <c r="D3219">
        <v>2</v>
      </c>
      <c r="E3219">
        <v>47</v>
      </c>
      <c r="F3219" t="s">
        <v>171</v>
      </c>
      <c r="G3219" t="s">
        <v>124</v>
      </c>
    </row>
    <row r="3220" spans="1:7" hidden="1" x14ac:dyDescent="0.25">
      <c r="A3220">
        <v>99</v>
      </c>
      <c r="B3220">
        <v>10364</v>
      </c>
      <c r="C3220">
        <v>0</v>
      </c>
      <c r="D3220">
        <v>2</v>
      </c>
      <c r="E3220">
        <v>23</v>
      </c>
      <c r="F3220" t="s">
        <v>171</v>
      </c>
      <c r="G3220" t="s">
        <v>124</v>
      </c>
    </row>
    <row r="3221" spans="1:7" hidden="1" x14ac:dyDescent="0.25">
      <c r="A3221">
        <v>50</v>
      </c>
      <c r="B3221">
        <v>476</v>
      </c>
      <c r="C3221">
        <v>0</v>
      </c>
      <c r="D3221">
        <v>2</v>
      </c>
      <c r="E3221">
        <v>21</v>
      </c>
      <c r="F3221" t="s">
        <v>169</v>
      </c>
      <c r="G3221" t="s">
        <v>122</v>
      </c>
    </row>
    <row r="3222" spans="1:7" hidden="1" x14ac:dyDescent="0.25">
      <c r="A3222">
        <v>50</v>
      </c>
      <c r="B3222">
        <v>1264</v>
      </c>
      <c r="C3222">
        <v>0</v>
      </c>
      <c r="D3222">
        <v>2</v>
      </c>
      <c r="E3222">
        <v>21</v>
      </c>
      <c r="F3222" t="s">
        <v>169</v>
      </c>
      <c r="G3222" t="s">
        <v>122</v>
      </c>
    </row>
    <row r="3223" spans="1:7" hidden="1" x14ac:dyDescent="0.25">
      <c r="A3223">
        <v>50</v>
      </c>
      <c r="B3223">
        <v>4228</v>
      </c>
      <c r="C3223">
        <v>0</v>
      </c>
      <c r="D3223">
        <v>2</v>
      </c>
      <c r="E3223">
        <v>21</v>
      </c>
      <c r="F3223" t="s">
        <v>169</v>
      </c>
      <c r="G3223" t="s">
        <v>122</v>
      </c>
    </row>
    <row r="3224" spans="1:7" hidden="1" x14ac:dyDescent="0.25">
      <c r="A3224">
        <v>50</v>
      </c>
      <c r="B3224">
        <v>5004</v>
      </c>
      <c r="C3224">
        <v>0</v>
      </c>
      <c r="D3224">
        <v>2</v>
      </c>
      <c r="E3224">
        <v>21</v>
      </c>
      <c r="F3224" t="s">
        <v>169</v>
      </c>
      <c r="G3224" t="s">
        <v>122</v>
      </c>
    </row>
    <row r="3225" spans="1:7" hidden="1" x14ac:dyDescent="0.25">
      <c r="A3225">
        <v>50</v>
      </c>
      <c r="B3225">
        <v>7283</v>
      </c>
      <c r="C3225">
        <v>0</v>
      </c>
      <c r="D3225">
        <v>2</v>
      </c>
      <c r="E3225">
        <v>21</v>
      </c>
      <c r="F3225" t="s">
        <v>169</v>
      </c>
      <c r="G3225" t="s">
        <v>122</v>
      </c>
    </row>
    <row r="3226" spans="1:7" hidden="1" x14ac:dyDescent="0.25">
      <c r="A3226">
        <v>50</v>
      </c>
      <c r="B3226">
        <v>7284</v>
      </c>
      <c r="C3226">
        <v>0</v>
      </c>
      <c r="D3226">
        <v>2</v>
      </c>
      <c r="E3226">
        <v>21</v>
      </c>
      <c r="F3226" t="s">
        <v>169</v>
      </c>
      <c r="G3226" t="s">
        <v>122</v>
      </c>
    </row>
    <row r="3227" spans="1:7" hidden="1" x14ac:dyDescent="0.25">
      <c r="A3227">
        <v>50</v>
      </c>
      <c r="B3227">
        <v>9356</v>
      </c>
      <c r="C3227">
        <v>0</v>
      </c>
      <c r="D3227">
        <v>2</v>
      </c>
      <c r="E3227">
        <v>21</v>
      </c>
      <c r="F3227" t="s">
        <v>169</v>
      </c>
      <c r="G3227" t="s">
        <v>122</v>
      </c>
    </row>
    <row r="3228" spans="1:7" hidden="1" x14ac:dyDescent="0.25">
      <c r="A3228">
        <v>50</v>
      </c>
      <c r="B3228">
        <v>10592</v>
      </c>
      <c r="C3228">
        <v>0</v>
      </c>
      <c r="D3228">
        <v>2</v>
      </c>
      <c r="E3228">
        <v>21</v>
      </c>
      <c r="F3228" t="s">
        <v>169</v>
      </c>
      <c r="G3228" t="s">
        <v>122</v>
      </c>
    </row>
    <row r="3229" spans="1:7" hidden="1" x14ac:dyDescent="0.25">
      <c r="A3229">
        <v>99</v>
      </c>
      <c r="B3229">
        <v>2168</v>
      </c>
      <c r="C3229">
        <v>0</v>
      </c>
      <c r="D3229">
        <v>2</v>
      </c>
      <c r="E3229">
        <v>45</v>
      </c>
      <c r="F3229" t="s">
        <v>169</v>
      </c>
      <c r="G3229" t="s">
        <v>122</v>
      </c>
    </row>
    <row r="3230" spans="1:7" hidden="1" x14ac:dyDescent="0.25">
      <c r="A3230">
        <v>99</v>
      </c>
      <c r="B3230">
        <v>2472</v>
      </c>
      <c r="C3230">
        <v>0</v>
      </c>
      <c r="D3230">
        <v>2</v>
      </c>
      <c r="E3230">
        <v>45</v>
      </c>
      <c r="F3230" t="s">
        <v>169</v>
      </c>
      <c r="G3230" t="s">
        <v>122</v>
      </c>
    </row>
    <row r="3231" spans="1:7" hidden="1" x14ac:dyDescent="0.25">
      <c r="A3231">
        <v>99</v>
      </c>
      <c r="B3231">
        <v>3056</v>
      </c>
      <c r="C3231">
        <v>0</v>
      </c>
      <c r="D3231">
        <v>2</v>
      </c>
      <c r="E3231">
        <v>45</v>
      </c>
      <c r="F3231" t="s">
        <v>169</v>
      </c>
      <c r="G3231" t="s">
        <v>122</v>
      </c>
    </row>
    <row r="3232" spans="1:7" hidden="1" x14ac:dyDescent="0.25">
      <c r="A3232">
        <v>99</v>
      </c>
      <c r="B3232">
        <v>3100</v>
      </c>
      <c r="C3232">
        <v>0</v>
      </c>
      <c r="D3232">
        <v>2</v>
      </c>
      <c r="E3232">
        <v>45</v>
      </c>
      <c r="F3232" t="s">
        <v>169</v>
      </c>
      <c r="G3232" t="s">
        <v>122</v>
      </c>
    </row>
    <row r="3233" spans="1:7" x14ac:dyDescent="0.25">
      <c r="A3233">
        <v>99</v>
      </c>
      <c r="B3233">
        <v>4124</v>
      </c>
      <c r="C3233">
        <v>0</v>
      </c>
      <c r="D3233">
        <v>2</v>
      </c>
      <c r="E3233">
        <v>33</v>
      </c>
      <c r="F3233" t="s">
        <v>169</v>
      </c>
      <c r="G3233" t="s">
        <v>122</v>
      </c>
    </row>
    <row r="3234" spans="1:7" hidden="1" x14ac:dyDescent="0.25">
      <c r="A3234">
        <v>99</v>
      </c>
      <c r="B3234">
        <v>5932</v>
      </c>
      <c r="C3234">
        <v>0</v>
      </c>
      <c r="D3234">
        <v>2</v>
      </c>
      <c r="E3234">
        <v>45</v>
      </c>
      <c r="F3234" t="s">
        <v>169</v>
      </c>
      <c r="G3234" t="s">
        <v>122</v>
      </c>
    </row>
    <row r="3235" spans="1:7" hidden="1" x14ac:dyDescent="0.25">
      <c r="A3235">
        <v>99</v>
      </c>
      <c r="B3235">
        <v>5992</v>
      </c>
      <c r="C3235">
        <v>0</v>
      </c>
      <c r="D3235">
        <v>2</v>
      </c>
      <c r="E3235">
        <v>33</v>
      </c>
      <c r="F3235" t="s">
        <v>169</v>
      </c>
      <c r="G3235" t="s">
        <v>122</v>
      </c>
    </row>
    <row r="3236" spans="1:7" hidden="1" x14ac:dyDescent="0.25">
      <c r="A3236">
        <v>99</v>
      </c>
      <c r="B3236">
        <v>7260</v>
      </c>
      <c r="C3236">
        <v>0</v>
      </c>
      <c r="D3236">
        <v>2</v>
      </c>
      <c r="E3236">
        <v>45</v>
      </c>
      <c r="F3236" t="s">
        <v>169</v>
      </c>
      <c r="G3236" t="s">
        <v>122</v>
      </c>
    </row>
    <row r="3237" spans="1:7" hidden="1" x14ac:dyDescent="0.25">
      <c r="A3237">
        <v>99</v>
      </c>
      <c r="B3237">
        <v>8804</v>
      </c>
      <c r="C3237">
        <v>0</v>
      </c>
      <c r="D3237">
        <v>2</v>
      </c>
      <c r="E3237">
        <v>45</v>
      </c>
      <c r="F3237" t="s">
        <v>169</v>
      </c>
      <c r="G3237" t="s">
        <v>122</v>
      </c>
    </row>
    <row r="3238" spans="1:7" hidden="1" x14ac:dyDescent="0.25">
      <c r="A3238">
        <v>99</v>
      </c>
      <c r="B3238">
        <v>9176</v>
      </c>
      <c r="C3238">
        <v>0</v>
      </c>
      <c r="D3238">
        <v>2</v>
      </c>
      <c r="E3238">
        <v>45</v>
      </c>
      <c r="F3238" t="s">
        <v>169</v>
      </c>
      <c r="G3238" t="s">
        <v>122</v>
      </c>
    </row>
    <row r="3239" spans="1:7" hidden="1" x14ac:dyDescent="0.25">
      <c r="A3239">
        <v>99</v>
      </c>
      <c r="B3239">
        <v>9256</v>
      </c>
      <c r="C3239">
        <v>0</v>
      </c>
      <c r="D3239">
        <v>2</v>
      </c>
      <c r="E3239">
        <v>33</v>
      </c>
      <c r="F3239" t="s">
        <v>169</v>
      </c>
      <c r="G3239" t="s">
        <v>122</v>
      </c>
    </row>
    <row r="3240" spans="1:7" hidden="1" x14ac:dyDescent="0.25">
      <c r="A3240">
        <v>99</v>
      </c>
      <c r="B3240">
        <v>9752</v>
      </c>
      <c r="C3240">
        <v>0</v>
      </c>
      <c r="D3240">
        <v>2</v>
      </c>
      <c r="E3240">
        <v>45</v>
      </c>
      <c r="F3240" t="s">
        <v>169</v>
      </c>
      <c r="G3240" t="s">
        <v>122</v>
      </c>
    </row>
    <row r="3241" spans="1:7" hidden="1" x14ac:dyDescent="0.25">
      <c r="A3241">
        <v>99</v>
      </c>
      <c r="B3241">
        <v>10364</v>
      </c>
      <c r="C3241">
        <v>0</v>
      </c>
      <c r="D3241">
        <v>2</v>
      </c>
      <c r="E3241">
        <v>21</v>
      </c>
      <c r="F3241" t="s">
        <v>169</v>
      </c>
      <c r="G3241" t="s">
        <v>122</v>
      </c>
    </row>
    <row r="3242" spans="1:7" hidden="1" x14ac:dyDescent="0.25">
      <c r="A3242">
        <v>50</v>
      </c>
      <c r="B3242">
        <v>476</v>
      </c>
      <c r="C3242">
        <v>0</v>
      </c>
      <c r="D3242">
        <v>2</v>
      </c>
      <c r="E3242">
        <v>22</v>
      </c>
      <c r="F3242" t="s">
        <v>170</v>
      </c>
      <c r="G3242" t="s">
        <v>122</v>
      </c>
    </row>
    <row r="3243" spans="1:7" hidden="1" x14ac:dyDescent="0.25">
      <c r="A3243">
        <v>50</v>
      </c>
      <c r="B3243">
        <v>1264</v>
      </c>
      <c r="C3243">
        <v>0</v>
      </c>
      <c r="D3243">
        <v>2</v>
      </c>
      <c r="E3243">
        <v>22</v>
      </c>
      <c r="F3243" t="s">
        <v>170</v>
      </c>
      <c r="G3243" t="s">
        <v>122</v>
      </c>
    </row>
    <row r="3244" spans="1:7" hidden="1" x14ac:dyDescent="0.25">
      <c r="A3244">
        <v>50</v>
      </c>
      <c r="B3244">
        <v>4228</v>
      </c>
      <c r="C3244">
        <v>0</v>
      </c>
      <c r="D3244">
        <v>2</v>
      </c>
      <c r="E3244">
        <v>22</v>
      </c>
      <c r="F3244" t="s">
        <v>170</v>
      </c>
      <c r="G3244" t="s">
        <v>122</v>
      </c>
    </row>
    <row r="3245" spans="1:7" hidden="1" x14ac:dyDescent="0.25">
      <c r="A3245">
        <v>50</v>
      </c>
      <c r="B3245">
        <v>5004</v>
      </c>
      <c r="C3245">
        <v>0</v>
      </c>
      <c r="D3245">
        <v>2</v>
      </c>
      <c r="E3245">
        <v>22</v>
      </c>
      <c r="F3245" t="s">
        <v>170</v>
      </c>
      <c r="G3245" t="s">
        <v>122</v>
      </c>
    </row>
    <row r="3246" spans="1:7" hidden="1" x14ac:dyDescent="0.25">
      <c r="A3246">
        <v>50</v>
      </c>
      <c r="B3246">
        <v>7283</v>
      </c>
      <c r="C3246">
        <v>0</v>
      </c>
      <c r="D3246">
        <v>2</v>
      </c>
      <c r="E3246">
        <v>22</v>
      </c>
      <c r="F3246" t="s">
        <v>170</v>
      </c>
      <c r="G3246" t="s">
        <v>122</v>
      </c>
    </row>
    <row r="3247" spans="1:7" hidden="1" x14ac:dyDescent="0.25">
      <c r="A3247">
        <v>50</v>
      </c>
      <c r="B3247">
        <v>7284</v>
      </c>
      <c r="C3247">
        <v>0</v>
      </c>
      <c r="D3247">
        <v>2</v>
      </c>
      <c r="E3247">
        <v>22</v>
      </c>
      <c r="F3247" t="s">
        <v>170</v>
      </c>
      <c r="G3247" t="s">
        <v>122</v>
      </c>
    </row>
    <row r="3248" spans="1:7" hidden="1" x14ac:dyDescent="0.25">
      <c r="A3248">
        <v>50</v>
      </c>
      <c r="B3248">
        <v>9356</v>
      </c>
      <c r="C3248">
        <v>0</v>
      </c>
      <c r="D3248">
        <v>2</v>
      </c>
      <c r="E3248">
        <v>22</v>
      </c>
      <c r="F3248" t="s">
        <v>170</v>
      </c>
      <c r="G3248" t="s">
        <v>122</v>
      </c>
    </row>
    <row r="3249" spans="1:7" hidden="1" x14ac:dyDescent="0.25">
      <c r="A3249">
        <v>50</v>
      </c>
      <c r="B3249">
        <v>10592</v>
      </c>
      <c r="C3249">
        <v>0</v>
      </c>
      <c r="D3249">
        <v>2</v>
      </c>
      <c r="E3249">
        <v>22</v>
      </c>
      <c r="F3249" t="s">
        <v>170</v>
      </c>
      <c r="G3249" t="s">
        <v>122</v>
      </c>
    </row>
    <row r="3250" spans="1:7" hidden="1" x14ac:dyDescent="0.25">
      <c r="A3250">
        <v>99</v>
      </c>
      <c r="B3250">
        <v>2168</v>
      </c>
      <c r="C3250">
        <v>0</v>
      </c>
      <c r="D3250">
        <v>2</v>
      </c>
      <c r="E3250">
        <v>46</v>
      </c>
      <c r="F3250" t="s">
        <v>170</v>
      </c>
      <c r="G3250" t="s">
        <v>122</v>
      </c>
    </row>
    <row r="3251" spans="1:7" hidden="1" x14ac:dyDescent="0.25">
      <c r="A3251">
        <v>99</v>
      </c>
      <c r="B3251">
        <v>2472</v>
      </c>
      <c r="C3251">
        <v>0</v>
      </c>
      <c r="D3251">
        <v>2</v>
      </c>
      <c r="E3251">
        <v>46</v>
      </c>
      <c r="F3251" t="s">
        <v>170</v>
      </c>
      <c r="G3251" t="s">
        <v>122</v>
      </c>
    </row>
    <row r="3252" spans="1:7" hidden="1" x14ac:dyDescent="0.25">
      <c r="A3252">
        <v>99</v>
      </c>
      <c r="B3252">
        <v>3056</v>
      </c>
      <c r="C3252">
        <v>0</v>
      </c>
      <c r="D3252">
        <v>2</v>
      </c>
      <c r="E3252">
        <v>46</v>
      </c>
      <c r="F3252" t="s">
        <v>170</v>
      </c>
      <c r="G3252" t="s">
        <v>122</v>
      </c>
    </row>
    <row r="3253" spans="1:7" hidden="1" x14ac:dyDescent="0.25">
      <c r="A3253">
        <v>99</v>
      </c>
      <c r="B3253">
        <v>3100</v>
      </c>
      <c r="C3253">
        <v>0</v>
      </c>
      <c r="D3253">
        <v>2</v>
      </c>
      <c r="E3253">
        <v>46</v>
      </c>
      <c r="F3253" t="s">
        <v>170</v>
      </c>
      <c r="G3253" t="s">
        <v>122</v>
      </c>
    </row>
    <row r="3254" spans="1:7" x14ac:dyDescent="0.25">
      <c r="A3254">
        <v>99</v>
      </c>
      <c r="B3254">
        <v>4124</v>
      </c>
      <c r="C3254">
        <v>0</v>
      </c>
      <c r="D3254">
        <v>2</v>
      </c>
      <c r="E3254">
        <v>34</v>
      </c>
      <c r="F3254" t="s">
        <v>170</v>
      </c>
      <c r="G3254" t="s">
        <v>122</v>
      </c>
    </row>
    <row r="3255" spans="1:7" hidden="1" x14ac:dyDescent="0.25">
      <c r="A3255">
        <v>99</v>
      </c>
      <c r="B3255">
        <v>5932</v>
      </c>
      <c r="C3255">
        <v>0</v>
      </c>
      <c r="D3255">
        <v>2</v>
      </c>
      <c r="E3255">
        <v>46</v>
      </c>
      <c r="F3255" t="s">
        <v>170</v>
      </c>
      <c r="G3255" t="s">
        <v>122</v>
      </c>
    </row>
    <row r="3256" spans="1:7" hidden="1" x14ac:dyDescent="0.25">
      <c r="A3256">
        <v>99</v>
      </c>
      <c r="B3256">
        <v>5992</v>
      </c>
      <c r="C3256">
        <v>0</v>
      </c>
      <c r="D3256">
        <v>2</v>
      </c>
      <c r="E3256">
        <v>34</v>
      </c>
      <c r="F3256" t="s">
        <v>170</v>
      </c>
      <c r="G3256" t="s">
        <v>122</v>
      </c>
    </row>
    <row r="3257" spans="1:7" hidden="1" x14ac:dyDescent="0.25">
      <c r="A3257">
        <v>99</v>
      </c>
      <c r="B3257">
        <v>7260</v>
      </c>
      <c r="C3257">
        <v>0</v>
      </c>
      <c r="D3257">
        <v>2</v>
      </c>
      <c r="E3257">
        <v>46</v>
      </c>
      <c r="F3257" t="s">
        <v>170</v>
      </c>
      <c r="G3257" t="s">
        <v>122</v>
      </c>
    </row>
    <row r="3258" spans="1:7" hidden="1" x14ac:dyDescent="0.25">
      <c r="A3258">
        <v>99</v>
      </c>
      <c r="B3258">
        <v>8804</v>
      </c>
      <c r="C3258">
        <v>0</v>
      </c>
      <c r="D3258">
        <v>2</v>
      </c>
      <c r="E3258">
        <v>46</v>
      </c>
      <c r="F3258" t="s">
        <v>170</v>
      </c>
      <c r="G3258" t="s">
        <v>122</v>
      </c>
    </row>
    <row r="3259" spans="1:7" hidden="1" x14ac:dyDescent="0.25">
      <c r="A3259">
        <v>99</v>
      </c>
      <c r="B3259">
        <v>9176</v>
      </c>
      <c r="C3259">
        <v>0</v>
      </c>
      <c r="D3259">
        <v>2</v>
      </c>
      <c r="E3259">
        <v>46</v>
      </c>
      <c r="F3259" t="s">
        <v>170</v>
      </c>
      <c r="G3259" t="s">
        <v>122</v>
      </c>
    </row>
    <row r="3260" spans="1:7" hidden="1" x14ac:dyDescent="0.25">
      <c r="A3260">
        <v>99</v>
      </c>
      <c r="B3260">
        <v>9256</v>
      </c>
      <c r="C3260">
        <v>0</v>
      </c>
      <c r="D3260">
        <v>2</v>
      </c>
      <c r="E3260">
        <v>34</v>
      </c>
      <c r="F3260" t="s">
        <v>170</v>
      </c>
      <c r="G3260" t="s">
        <v>122</v>
      </c>
    </row>
    <row r="3261" spans="1:7" hidden="1" x14ac:dyDescent="0.25">
      <c r="A3261">
        <v>99</v>
      </c>
      <c r="B3261">
        <v>9752</v>
      </c>
      <c r="C3261">
        <v>0</v>
      </c>
      <c r="D3261">
        <v>2</v>
      </c>
      <c r="E3261">
        <v>46</v>
      </c>
      <c r="F3261" t="s">
        <v>170</v>
      </c>
      <c r="G3261" t="s">
        <v>122</v>
      </c>
    </row>
    <row r="3262" spans="1:7" hidden="1" x14ac:dyDescent="0.25">
      <c r="A3262">
        <v>99</v>
      </c>
      <c r="B3262">
        <v>10364</v>
      </c>
      <c r="C3262">
        <v>0</v>
      </c>
      <c r="D3262">
        <v>2</v>
      </c>
      <c r="E3262">
        <v>22</v>
      </c>
      <c r="F3262" t="s">
        <v>170</v>
      </c>
      <c r="G3262" t="s">
        <v>122</v>
      </c>
    </row>
    <row r="3263" spans="1:7" hidden="1" x14ac:dyDescent="0.25">
      <c r="A3263">
        <v>50</v>
      </c>
      <c r="B3263">
        <v>476</v>
      </c>
      <c r="C3263">
        <v>0</v>
      </c>
      <c r="D3263">
        <v>2</v>
      </c>
      <c r="E3263">
        <v>26</v>
      </c>
      <c r="F3263" t="s">
        <v>174</v>
      </c>
      <c r="G3263" t="s">
        <v>122</v>
      </c>
    </row>
    <row r="3264" spans="1:7" hidden="1" x14ac:dyDescent="0.25">
      <c r="A3264">
        <v>50</v>
      </c>
      <c r="B3264">
        <v>1264</v>
      </c>
      <c r="C3264">
        <v>0</v>
      </c>
      <c r="D3264">
        <v>2</v>
      </c>
      <c r="E3264">
        <v>26</v>
      </c>
      <c r="F3264" t="s">
        <v>174</v>
      </c>
      <c r="G3264" t="s">
        <v>122</v>
      </c>
    </row>
    <row r="3265" spans="1:7" hidden="1" x14ac:dyDescent="0.25">
      <c r="A3265">
        <v>50</v>
      </c>
      <c r="B3265">
        <v>4228</v>
      </c>
      <c r="C3265">
        <v>0</v>
      </c>
      <c r="D3265">
        <v>2</v>
      </c>
      <c r="E3265">
        <v>26</v>
      </c>
      <c r="F3265" t="s">
        <v>174</v>
      </c>
      <c r="G3265" t="s">
        <v>122</v>
      </c>
    </row>
    <row r="3266" spans="1:7" hidden="1" x14ac:dyDescent="0.25">
      <c r="A3266">
        <v>50</v>
      </c>
      <c r="B3266">
        <v>5004</v>
      </c>
      <c r="C3266">
        <v>0</v>
      </c>
      <c r="D3266">
        <v>2</v>
      </c>
      <c r="E3266">
        <v>26</v>
      </c>
      <c r="F3266" t="s">
        <v>174</v>
      </c>
      <c r="G3266" t="s">
        <v>122</v>
      </c>
    </row>
    <row r="3267" spans="1:7" hidden="1" x14ac:dyDescent="0.25">
      <c r="A3267">
        <v>50</v>
      </c>
      <c r="B3267">
        <v>7283</v>
      </c>
      <c r="C3267">
        <v>0</v>
      </c>
      <c r="D3267">
        <v>2</v>
      </c>
      <c r="E3267">
        <v>26</v>
      </c>
      <c r="F3267" t="s">
        <v>174</v>
      </c>
      <c r="G3267" t="s">
        <v>122</v>
      </c>
    </row>
    <row r="3268" spans="1:7" hidden="1" x14ac:dyDescent="0.25">
      <c r="A3268">
        <v>50</v>
      </c>
      <c r="B3268">
        <v>7284</v>
      </c>
      <c r="C3268">
        <v>0</v>
      </c>
      <c r="D3268">
        <v>2</v>
      </c>
      <c r="E3268">
        <v>26</v>
      </c>
      <c r="F3268" t="s">
        <v>174</v>
      </c>
      <c r="G3268" t="s">
        <v>122</v>
      </c>
    </row>
    <row r="3269" spans="1:7" hidden="1" x14ac:dyDescent="0.25">
      <c r="A3269">
        <v>50</v>
      </c>
      <c r="B3269">
        <v>9356</v>
      </c>
      <c r="C3269">
        <v>0</v>
      </c>
      <c r="D3269">
        <v>2</v>
      </c>
      <c r="E3269">
        <v>26</v>
      </c>
      <c r="F3269" t="s">
        <v>174</v>
      </c>
      <c r="G3269" t="s">
        <v>122</v>
      </c>
    </row>
    <row r="3270" spans="1:7" hidden="1" x14ac:dyDescent="0.25">
      <c r="A3270">
        <v>50</v>
      </c>
      <c r="B3270">
        <v>10592</v>
      </c>
      <c r="C3270">
        <v>0</v>
      </c>
      <c r="D3270">
        <v>2</v>
      </c>
      <c r="E3270">
        <v>26</v>
      </c>
      <c r="F3270" t="s">
        <v>174</v>
      </c>
      <c r="G3270" t="s">
        <v>122</v>
      </c>
    </row>
    <row r="3271" spans="1:7" hidden="1" x14ac:dyDescent="0.25">
      <c r="A3271">
        <v>99</v>
      </c>
      <c r="B3271">
        <v>2168</v>
      </c>
      <c r="C3271">
        <v>0</v>
      </c>
      <c r="D3271">
        <v>2</v>
      </c>
      <c r="E3271">
        <v>50</v>
      </c>
      <c r="F3271" t="s">
        <v>174</v>
      </c>
      <c r="G3271" t="s">
        <v>122</v>
      </c>
    </row>
    <row r="3272" spans="1:7" hidden="1" x14ac:dyDescent="0.25">
      <c r="A3272">
        <v>99</v>
      </c>
      <c r="B3272">
        <v>2472</v>
      </c>
      <c r="C3272">
        <v>0</v>
      </c>
      <c r="D3272">
        <v>2</v>
      </c>
      <c r="E3272">
        <v>50</v>
      </c>
      <c r="F3272" t="s">
        <v>174</v>
      </c>
      <c r="G3272" t="s">
        <v>122</v>
      </c>
    </row>
    <row r="3273" spans="1:7" hidden="1" x14ac:dyDescent="0.25">
      <c r="A3273">
        <v>99</v>
      </c>
      <c r="B3273">
        <v>3056</v>
      </c>
      <c r="C3273">
        <v>0</v>
      </c>
      <c r="D3273">
        <v>2</v>
      </c>
      <c r="E3273">
        <v>50</v>
      </c>
      <c r="F3273" t="s">
        <v>174</v>
      </c>
      <c r="G3273" t="s">
        <v>122</v>
      </c>
    </row>
    <row r="3274" spans="1:7" hidden="1" x14ac:dyDescent="0.25">
      <c r="A3274">
        <v>99</v>
      </c>
      <c r="B3274">
        <v>3100</v>
      </c>
      <c r="C3274">
        <v>0</v>
      </c>
      <c r="D3274">
        <v>2</v>
      </c>
      <c r="E3274">
        <v>50</v>
      </c>
      <c r="F3274" t="s">
        <v>174</v>
      </c>
      <c r="G3274" t="s">
        <v>122</v>
      </c>
    </row>
    <row r="3275" spans="1:7" x14ac:dyDescent="0.25">
      <c r="A3275">
        <v>99</v>
      </c>
      <c r="B3275">
        <v>4124</v>
      </c>
      <c r="C3275">
        <v>0</v>
      </c>
      <c r="D3275">
        <v>2</v>
      </c>
      <c r="E3275">
        <v>38</v>
      </c>
      <c r="F3275" t="s">
        <v>174</v>
      </c>
      <c r="G3275" t="s">
        <v>122</v>
      </c>
    </row>
    <row r="3276" spans="1:7" hidden="1" x14ac:dyDescent="0.25">
      <c r="A3276">
        <v>99</v>
      </c>
      <c r="B3276">
        <v>5932</v>
      </c>
      <c r="C3276">
        <v>0</v>
      </c>
      <c r="D3276">
        <v>2</v>
      </c>
      <c r="E3276">
        <v>50</v>
      </c>
      <c r="F3276" t="s">
        <v>174</v>
      </c>
      <c r="G3276" t="s">
        <v>122</v>
      </c>
    </row>
    <row r="3277" spans="1:7" hidden="1" x14ac:dyDescent="0.25">
      <c r="A3277">
        <v>99</v>
      </c>
      <c r="B3277">
        <v>5992</v>
      </c>
      <c r="C3277">
        <v>0</v>
      </c>
      <c r="D3277">
        <v>2</v>
      </c>
      <c r="E3277">
        <v>38</v>
      </c>
      <c r="F3277" t="s">
        <v>174</v>
      </c>
      <c r="G3277" t="s">
        <v>122</v>
      </c>
    </row>
    <row r="3278" spans="1:7" hidden="1" x14ac:dyDescent="0.25">
      <c r="A3278">
        <v>99</v>
      </c>
      <c r="B3278">
        <v>7260</v>
      </c>
      <c r="C3278">
        <v>0</v>
      </c>
      <c r="D3278">
        <v>2</v>
      </c>
      <c r="E3278">
        <v>50</v>
      </c>
      <c r="F3278" t="s">
        <v>174</v>
      </c>
      <c r="G3278" t="s">
        <v>122</v>
      </c>
    </row>
    <row r="3279" spans="1:7" hidden="1" x14ac:dyDescent="0.25">
      <c r="A3279">
        <v>99</v>
      </c>
      <c r="B3279">
        <v>8804</v>
      </c>
      <c r="C3279">
        <v>0</v>
      </c>
      <c r="D3279">
        <v>2</v>
      </c>
      <c r="E3279">
        <v>50</v>
      </c>
      <c r="F3279" t="s">
        <v>174</v>
      </c>
      <c r="G3279" t="s">
        <v>122</v>
      </c>
    </row>
    <row r="3280" spans="1:7" hidden="1" x14ac:dyDescent="0.25">
      <c r="A3280">
        <v>99</v>
      </c>
      <c r="B3280">
        <v>9176</v>
      </c>
      <c r="C3280">
        <v>0</v>
      </c>
      <c r="D3280">
        <v>2</v>
      </c>
      <c r="E3280">
        <v>50</v>
      </c>
      <c r="F3280" t="s">
        <v>174</v>
      </c>
      <c r="G3280" t="s">
        <v>122</v>
      </c>
    </row>
    <row r="3281" spans="1:7" hidden="1" x14ac:dyDescent="0.25">
      <c r="A3281">
        <v>99</v>
      </c>
      <c r="B3281">
        <v>9256</v>
      </c>
      <c r="C3281">
        <v>0</v>
      </c>
      <c r="D3281">
        <v>2</v>
      </c>
      <c r="E3281">
        <v>38</v>
      </c>
      <c r="F3281" t="s">
        <v>174</v>
      </c>
      <c r="G3281" t="s">
        <v>122</v>
      </c>
    </row>
    <row r="3282" spans="1:7" hidden="1" x14ac:dyDescent="0.25">
      <c r="A3282">
        <v>99</v>
      </c>
      <c r="B3282">
        <v>9752</v>
      </c>
      <c r="C3282">
        <v>0</v>
      </c>
      <c r="D3282">
        <v>2</v>
      </c>
      <c r="E3282">
        <v>50</v>
      </c>
      <c r="F3282" t="s">
        <v>174</v>
      </c>
      <c r="G3282" t="s">
        <v>122</v>
      </c>
    </row>
    <row r="3283" spans="1:7" hidden="1" x14ac:dyDescent="0.25">
      <c r="A3283">
        <v>99</v>
      </c>
      <c r="B3283">
        <v>10364</v>
      </c>
      <c r="C3283">
        <v>0</v>
      </c>
      <c r="D3283">
        <v>2</v>
      </c>
      <c r="E3283">
        <v>26</v>
      </c>
      <c r="F3283" t="s">
        <v>174</v>
      </c>
      <c r="G3283" t="s">
        <v>122</v>
      </c>
    </row>
    <row r="3284" spans="1:7" hidden="1" x14ac:dyDescent="0.25">
      <c r="A3284">
        <v>50</v>
      </c>
      <c r="B3284">
        <v>476</v>
      </c>
      <c r="C3284">
        <v>0</v>
      </c>
      <c r="D3284">
        <v>2</v>
      </c>
      <c r="E3284">
        <v>27</v>
      </c>
      <c r="F3284" t="s">
        <v>175</v>
      </c>
      <c r="G3284" t="s">
        <v>124</v>
      </c>
    </row>
    <row r="3285" spans="1:7" hidden="1" x14ac:dyDescent="0.25">
      <c r="A3285">
        <v>50</v>
      </c>
      <c r="B3285">
        <v>1264</v>
      </c>
      <c r="C3285">
        <v>0</v>
      </c>
      <c r="D3285">
        <v>2</v>
      </c>
      <c r="E3285">
        <v>27</v>
      </c>
      <c r="F3285" t="s">
        <v>175</v>
      </c>
      <c r="G3285" t="s">
        <v>124</v>
      </c>
    </row>
    <row r="3286" spans="1:7" hidden="1" x14ac:dyDescent="0.25">
      <c r="A3286">
        <v>50</v>
      </c>
      <c r="B3286">
        <v>4228</v>
      </c>
      <c r="C3286">
        <v>0</v>
      </c>
      <c r="D3286">
        <v>2</v>
      </c>
      <c r="E3286">
        <v>27</v>
      </c>
      <c r="F3286" t="s">
        <v>175</v>
      </c>
      <c r="G3286" t="s">
        <v>124</v>
      </c>
    </row>
    <row r="3287" spans="1:7" hidden="1" x14ac:dyDescent="0.25">
      <c r="A3287">
        <v>50</v>
      </c>
      <c r="B3287">
        <v>5004</v>
      </c>
      <c r="C3287">
        <v>0</v>
      </c>
      <c r="D3287">
        <v>2</v>
      </c>
      <c r="E3287">
        <v>27</v>
      </c>
      <c r="F3287" t="s">
        <v>175</v>
      </c>
      <c r="G3287" t="s">
        <v>124</v>
      </c>
    </row>
    <row r="3288" spans="1:7" hidden="1" x14ac:dyDescent="0.25">
      <c r="A3288">
        <v>50</v>
      </c>
      <c r="B3288">
        <v>7283</v>
      </c>
      <c r="C3288">
        <v>0</v>
      </c>
      <c r="D3288">
        <v>2</v>
      </c>
      <c r="E3288">
        <v>27</v>
      </c>
      <c r="F3288" t="s">
        <v>175</v>
      </c>
      <c r="G3288" t="s">
        <v>124</v>
      </c>
    </row>
    <row r="3289" spans="1:7" hidden="1" x14ac:dyDescent="0.25">
      <c r="A3289">
        <v>50</v>
      </c>
      <c r="B3289">
        <v>7284</v>
      </c>
      <c r="C3289">
        <v>0</v>
      </c>
      <c r="D3289">
        <v>2</v>
      </c>
      <c r="E3289">
        <v>27</v>
      </c>
      <c r="F3289" t="s">
        <v>175</v>
      </c>
      <c r="G3289" t="s">
        <v>124</v>
      </c>
    </row>
    <row r="3290" spans="1:7" hidden="1" x14ac:dyDescent="0.25">
      <c r="A3290">
        <v>50</v>
      </c>
      <c r="B3290">
        <v>9356</v>
      </c>
      <c r="C3290">
        <v>0</v>
      </c>
      <c r="D3290">
        <v>2</v>
      </c>
      <c r="E3290">
        <v>27</v>
      </c>
      <c r="F3290" t="s">
        <v>175</v>
      </c>
      <c r="G3290" t="s">
        <v>124</v>
      </c>
    </row>
    <row r="3291" spans="1:7" hidden="1" x14ac:dyDescent="0.25">
      <c r="A3291">
        <v>50</v>
      </c>
      <c r="B3291">
        <v>10592</v>
      </c>
      <c r="C3291">
        <v>0</v>
      </c>
      <c r="D3291">
        <v>2</v>
      </c>
      <c r="E3291">
        <v>27</v>
      </c>
      <c r="F3291" t="s">
        <v>175</v>
      </c>
      <c r="G3291" t="s">
        <v>124</v>
      </c>
    </row>
    <row r="3292" spans="1:7" hidden="1" x14ac:dyDescent="0.25">
      <c r="A3292">
        <v>99</v>
      </c>
      <c r="B3292">
        <v>2168</v>
      </c>
      <c r="C3292">
        <v>0</v>
      </c>
      <c r="D3292">
        <v>2</v>
      </c>
      <c r="E3292">
        <v>51</v>
      </c>
      <c r="F3292" t="s">
        <v>175</v>
      </c>
      <c r="G3292" t="s">
        <v>124</v>
      </c>
    </row>
    <row r="3293" spans="1:7" hidden="1" x14ac:dyDescent="0.25">
      <c r="A3293">
        <v>99</v>
      </c>
      <c r="B3293">
        <v>2472</v>
      </c>
      <c r="C3293">
        <v>0</v>
      </c>
      <c r="D3293">
        <v>2</v>
      </c>
      <c r="E3293">
        <v>51</v>
      </c>
      <c r="F3293" t="s">
        <v>175</v>
      </c>
      <c r="G3293" t="s">
        <v>124</v>
      </c>
    </row>
    <row r="3294" spans="1:7" hidden="1" x14ac:dyDescent="0.25">
      <c r="A3294">
        <v>99</v>
      </c>
      <c r="B3294">
        <v>3056</v>
      </c>
      <c r="C3294">
        <v>0</v>
      </c>
      <c r="D3294">
        <v>2</v>
      </c>
      <c r="E3294">
        <v>51</v>
      </c>
      <c r="F3294" t="s">
        <v>175</v>
      </c>
      <c r="G3294" t="s">
        <v>124</v>
      </c>
    </row>
    <row r="3295" spans="1:7" hidden="1" x14ac:dyDescent="0.25">
      <c r="A3295">
        <v>99</v>
      </c>
      <c r="B3295">
        <v>3100</v>
      </c>
      <c r="C3295">
        <v>0</v>
      </c>
      <c r="D3295">
        <v>2</v>
      </c>
      <c r="E3295">
        <v>51</v>
      </c>
      <c r="F3295" t="s">
        <v>175</v>
      </c>
      <c r="G3295" t="s">
        <v>124</v>
      </c>
    </row>
    <row r="3296" spans="1:7" x14ac:dyDescent="0.25">
      <c r="A3296">
        <v>99</v>
      </c>
      <c r="B3296">
        <v>4124</v>
      </c>
      <c r="C3296">
        <v>0</v>
      </c>
      <c r="D3296">
        <v>2</v>
      </c>
      <c r="E3296">
        <v>39</v>
      </c>
      <c r="F3296" t="s">
        <v>175</v>
      </c>
      <c r="G3296" t="s">
        <v>124</v>
      </c>
    </row>
    <row r="3297" spans="1:7" hidden="1" x14ac:dyDescent="0.25">
      <c r="A3297">
        <v>99</v>
      </c>
      <c r="B3297">
        <v>5932</v>
      </c>
      <c r="C3297">
        <v>0</v>
      </c>
      <c r="D3297">
        <v>2</v>
      </c>
      <c r="E3297">
        <v>51</v>
      </c>
      <c r="F3297" t="s">
        <v>175</v>
      </c>
      <c r="G3297" t="s">
        <v>124</v>
      </c>
    </row>
    <row r="3298" spans="1:7" hidden="1" x14ac:dyDescent="0.25">
      <c r="A3298">
        <v>99</v>
      </c>
      <c r="B3298">
        <v>5992</v>
      </c>
      <c r="C3298">
        <v>0</v>
      </c>
      <c r="D3298">
        <v>2</v>
      </c>
      <c r="E3298">
        <v>39</v>
      </c>
      <c r="F3298" t="s">
        <v>175</v>
      </c>
      <c r="G3298" t="s">
        <v>124</v>
      </c>
    </row>
    <row r="3299" spans="1:7" hidden="1" x14ac:dyDescent="0.25">
      <c r="A3299">
        <v>99</v>
      </c>
      <c r="B3299">
        <v>7260</v>
      </c>
      <c r="C3299">
        <v>0</v>
      </c>
      <c r="D3299">
        <v>2</v>
      </c>
      <c r="E3299">
        <v>51</v>
      </c>
      <c r="F3299" t="s">
        <v>175</v>
      </c>
      <c r="G3299" t="s">
        <v>124</v>
      </c>
    </row>
    <row r="3300" spans="1:7" hidden="1" x14ac:dyDescent="0.25">
      <c r="A3300">
        <v>99</v>
      </c>
      <c r="B3300">
        <v>8804</v>
      </c>
      <c r="C3300">
        <v>0</v>
      </c>
      <c r="D3300">
        <v>2</v>
      </c>
      <c r="E3300">
        <v>51</v>
      </c>
      <c r="F3300" t="s">
        <v>175</v>
      </c>
      <c r="G3300" t="s">
        <v>124</v>
      </c>
    </row>
    <row r="3301" spans="1:7" hidden="1" x14ac:dyDescent="0.25">
      <c r="A3301">
        <v>99</v>
      </c>
      <c r="B3301">
        <v>9176</v>
      </c>
      <c r="C3301">
        <v>0</v>
      </c>
      <c r="D3301">
        <v>2</v>
      </c>
      <c r="E3301">
        <v>51</v>
      </c>
      <c r="F3301" t="s">
        <v>175</v>
      </c>
      <c r="G3301" t="s">
        <v>124</v>
      </c>
    </row>
    <row r="3302" spans="1:7" hidden="1" x14ac:dyDescent="0.25">
      <c r="A3302">
        <v>99</v>
      </c>
      <c r="B3302">
        <v>9256</v>
      </c>
      <c r="C3302">
        <v>0</v>
      </c>
      <c r="D3302">
        <v>2</v>
      </c>
      <c r="E3302">
        <v>39</v>
      </c>
      <c r="F3302" t="s">
        <v>175</v>
      </c>
      <c r="G3302" t="s">
        <v>124</v>
      </c>
    </row>
    <row r="3303" spans="1:7" hidden="1" x14ac:dyDescent="0.25">
      <c r="A3303">
        <v>99</v>
      </c>
      <c r="B3303">
        <v>9752</v>
      </c>
      <c r="C3303">
        <v>0</v>
      </c>
      <c r="D3303">
        <v>2</v>
      </c>
      <c r="E3303">
        <v>51</v>
      </c>
      <c r="F3303" t="s">
        <v>175</v>
      </c>
      <c r="G3303" t="s">
        <v>124</v>
      </c>
    </row>
    <row r="3304" spans="1:7" hidden="1" x14ac:dyDescent="0.25">
      <c r="A3304">
        <v>99</v>
      </c>
      <c r="B3304">
        <v>10364</v>
      </c>
      <c r="C3304">
        <v>0</v>
      </c>
      <c r="D3304">
        <v>2</v>
      </c>
      <c r="E3304">
        <v>27</v>
      </c>
      <c r="F3304" t="s">
        <v>175</v>
      </c>
      <c r="G3304" t="s">
        <v>124</v>
      </c>
    </row>
    <row r="3305" spans="1:7" hidden="1" x14ac:dyDescent="0.25">
      <c r="A3305">
        <v>50</v>
      </c>
      <c r="B3305">
        <v>476</v>
      </c>
      <c r="C3305">
        <v>0</v>
      </c>
      <c r="D3305">
        <v>2</v>
      </c>
      <c r="E3305">
        <v>30</v>
      </c>
      <c r="F3305" t="s">
        <v>242</v>
      </c>
      <c r="G3305" t="s">
        <v>214</v>
      </c>
    </row>
    <row r="3306" spans="1:7" hidden="1" x14ac:dyDescent="0.25">
      <c r="A3306">
        <v>50</v>
      </c>
      <c r="B3306">
        <v>1264</v>
      </c>
      <c r="C3306">
        <v>0</v>
      </c>
      <c r="D3306">
        <v>2</v>
      </c>
      <c r="E3306">
        <v>30</v>
      </c>
      <c r="F3306" t="s">
        <v>242</v>
      </c>
      <c r="G3306" t="s">
        <v>214</v>
      </c>
    </row>
    <row r="3307" spans="1:7" hidden="1" x14ac:dyDescent="0.25">
      <c r="A3307">
        <v>50</v>
      </c>
      <c r="B3307">
        <v>4228</v>
      </c>
      <c r="C3307">
        <v>0</v>
      </c>
      <c r="D3307">
        <v>2</v>
      </c>
      <c r="E3307">
        <v>30</v>
      </c>
      <c r="F3307" t="s">
        <v>242</v>
      </c>
      <c r="G3307" t="s">
        <v>214</v>
      </c>
    </row>
    <row r="3308" spans="1:7" hidden="1" x14ac:dyDescent="0.25">
      <c r="A3308">
        <v>50</v>
      </c>
      <c r="B3308">
        <v>5004</v>
      </c>
      <c r="C3308">
        <v>0</v>
      </c>
      <c r="D3308">
        <v>2</v>
      </c>
      <c r="E3308">
        <v>30</v>
      </c>
      <c r="F3308" t="s">
        <v>242</v>
      </c>
      <c r="G3308" t="s">
        <v>214</v>
      </c>
    </row>
    <row r="3309" spans="1:7" hidden="1" x14ac:dyDescent="0.25">
      <c r="A3309">
        <v>50</v>
      </c>
      <c r="B3309">
        <v>7283</v>
      </c>
      <c r="C3309">
        <v>0</v>
      </c>
      <c r="D3309">
        <v>2</v>
      </c>
      <c r="E3309">
        <v>30</v>
      </c>
      <c r="F3309" t="s">
        <v>242</v>
      </c>
      <c r="G3309" t="s">
        <v>214</v>
      </c>
    </row>
    <row r="3310" spans="1:7" hidden="1" x14ac:dyDescent="0.25">
      <c r="A3310">
        <v>50</v>
      </c>
      <c r="B3310">
        <v>7284</v>
      </c>
      <c r="C3310">
        <v>0</v>
      </c>
      <c r="D3310">
        <v>2</v>
      </c>
      <c r="E3310">
        <v>30</v>
      </c>
      <c r="F3310" t="s">
        <v>242</v>
      </c>
      <c r="G3310" t="s">
        <v>214</v>
      </c>
    </row>
    <row r="3311" spans="1:7" hidden="1" x14ac:dyDescent="0.25">
      <c r="A3311">
        <v>50</v>
      </c>
      <c r="B3311">
        <v>9356</v>
      </c>
      <c r="C3311">
        <v>0</v>
      </c>
      <c r="D3311">
        <v>2</v>
      </c>
      <c r="E3311">
        <v>30</v>
      </c>
      <c r="F3311" t="s">
        <v>242</v>
      </c>
      <c r="G3311" t="s">
        <v>214</v>
      </c>
    </row>
    <row r="3312" spans="1:7" hidden="1" x14ac:dyDescent="0.25">
      <c r="A3312">
        <v>50</v>
      </c>
      <c r="B3312">
        <v>10592</v>
      </c>
      <c r="C3312">
        <v>0</v>
      </c>
      <c r="D3312">
        <v>2</v>
      </c>
      <c r="E3312">
        <v>30</v>
      </c>
      <c r="F3312" t="s">
        <v>242</v>
      </c>
      <c r="G3312" t="s">
        <v>214</v>
      </c>
    </row>
    <row r="3313" spans="1:7" hidden="1" x14ac:dyDescent="0.25">
      <c r="A3313">
        <v>99</v>
      </c>
      <c r="B3313">
        <v>2168</v>
      </c>
      <c r="C3313">
        <v>0</v>
      </c>
      <c r="D3313">
        <v>2</v>
      </c>
      <c r="E3313">
        <v>54</v>
      </c>
      <c r="F3313" t="s">
        <v>242</v>
      </c>
      <c r="G3313" t="s">
        <v>214</v>
      </c>
    </row>
    <row r="3314" spans="1:7" hidden="1" x14ac:dyDescent="0.25">
      <c r="A3314">
        <v>99</v>
      </c>
      <c r="B3314">
        <v>2472</v>
      </c>
      <c r="C3314">
        <v>0</v>
      </c>
      <c r="D3314">
        <v>2</v>
      </c>
      <c r="E3314">
        <v>54</v>
      </c>
      <c r="F3314" t="s">
        <v>242</v>
      </c>
      <c r="G3314" t="s">
        <v>214</v>
      </c>
    </row>
    <row r="3315" spans="1:7" hidden="1" x14ac:dyDescent="0.25">
      <c r="A3315">
        <v>99</v>
      </c>
      <c r="B3315">
        <v>3056</v>
      </c>
      <c r="C3315">
        <v>0</v>
      </c>
      <c r="D3315">
        <v>2</v>
      </c>
      <c r="E3315">
        <v>54</v>
      </c>
      <c r="F3315" t="s">
        <v>242</v>
      </c>
      <c r="G3315" t="s">
        <v>214</v>
      </c>
    </row>
    <row r="3316" spans="1:7" hidden="1" x14ac:dyDescent="0.25">
      <c r="A3316">
        <v>99</v>
      </c>
      <c r="B3316">
        <v>3100</v>
      </c>
      <c r="C3316">
        <v>0</v>
      </c>
      <c r="D3316">
        <v>2</v>
      </c>
      <c r="E3316">
        <v>54</v>
      </c>
      <c r="F3316" t="s">
        <v>242</v>
      </c>
      <c r="G3316" t="s">
        <v>214</v>
      </c>
    </row>
    <row r="3317" spans="1:7" x14ac:dyDescent="0.25">
      <c r="A3317">
        <v>99</v>
      </c>
      <c r="B3317">
        <v>4124</v>
      </c>
      <c r="C3317">
        <v>0</v>
      </c>
      <c r="D3317">
        <v>2</v>
      </c>
      <c r="E3317">
        <v>42</v>
      </c>
      <c r="F3317" t="s">
        <v>242</v>
      </c>
      <c r="G3317" t="s">
        <v>214</v>
      </c>
    </row>
    <row r="3318" spans="1:7" hidden="1" x14ac:dyDescent="0.25">
      <c r="A3318">
        <v>99</v>
      </c>
      <c r="B3318">
        <v>5932</v>
      </c>
      <c r="C3318">
        <v>0</v>
      </c>
      <c r="D3318">
        <v>2</v>
      </c>
      <c r="E3318">
        <v>54</v>
      </c>
      <c r="F3318" t="s">
        <v>242</v>
      </c>
      <c r="G3318" t="s">
        <v>214</v>
      </c>
    </row>
    <row r="3319" spans="1:7" hidden="1" x14ac:dyDescent="0.25">
      <c r="A3319">
        <v>99</v>
      </c>
      <c r="B3319">
        <v>5992</v>
      </c>
      <c r="C3319">
        <v>0</v>
      </c>
      <c r="D3319">
        <v>2</v>
      </c>
      <c r="E3319">
        <v>42</v>
      </c>
      <c r="F3319" t="s">
        <v>242</v>
      </c>
      <c r="G3319" t="s">
        <v>214</v>
      </c>
    </row>
    <row r="3320" spans="1:7" hidden="1" x14ac:dyDescent="0.25">
      <c r="A3320">
        <v>99</v>
      </c>
      <c r="B3320">
        <v>7260</v>
      </c>
      <c r="C3320">
        <v>0</v>
      </c>
      <c r="D3320">
        <v>2</v>
      </c>
      <c r="E3320">
        <v>54</v>
      </c>
      <c r="F3320" t="s">
        <v>242</v>
      </c>
      <c r="G3320" t="s">
        <v>214</v>
      </c>
    </row>
    <row r="3321" spans="1:7" hidden="1" x14ac:dyDescent="0.25">
      <c r="A3321">
        <v>99</v>
      </c>
      <c r="B3321">
        <v>8804</v>
      </c>
      <c r="C3321">
        <v>0</v>
      </c>
      <c r="D3321">
        <v>2</v>
      </c>
      <c r="E3321">
        <v>54</v>
      </c>
      <c r="F3321" t="s">
        <v>242</v>
      </c>
      <c r="G3321" t="s">
        <v>214</v>
      </c>
    </row>
    <row r="3322" spans="1:7" hidden="1" x14ac:dyDescent="0.25">
      <c r="A3322">
        <v>99</v>
      </c>
      <c r="B3322">
        <v>9176</v>
      </c>
      <c r="C3322">
        <v>0</v>
      </c>
      <c r="D3322">
        <v>2</v>
      </c>
      <c r="E3322">
        <v>54</v>
      </c>
      <c r="F3322" t="s">
        <v>242</v>
      </c>
      <c r="G3322" t="s">
        <v>214</v>
      </c>
    </row>
    <row r="3323" spans="1:7" hidden="1" x14ac:dyDescent="0.25">
      <c r="A3323">
        <v>99</v>
      </c>
      <c r="B3323">
        <v>9256</v>
      </c>
      <c r="C3323">
        <v>0</v>
      </c>
      <c r="D3323">
        <v>2</v>
      </c>
      <c r="E3323">
        <v>42</v>
      </c>
      <c r="F3323" t="s">
        <v>242</v>
      </c>
      <c r="G3323" t="s">
        <v>214</v>
      </c>
    </row>
    <row r="3324" spans="1:7" hidden="1" x14ac:dyDescent="0.25">
      <c r="A3324">
        <v>99</v>
      </c>
      <c r="B3324">
        <v>9752</v>
      </c>
      <c r="C3324">
        <v>0</v>
      </c>
      <c r="D3324">
        <v>2</v>
      </c>
      <c r="E3324">
        <v>54</v>
      </c>
      <c r="F3324" t="s">
        <v>242</v>
      </c>
      <c r="G3324" t="s">
        <v>214</v>
      </c>
    </row>
    <row r="3325" spans="1:7" hidden="1" x14ac:dyDescent="0.25">
      <c r="A3325">
        <v>99</v>
      </c>
      <c r="B3325">
        <v>10364</v>
      </c>
      <c r="C3325">
        <v>0</v>
      </c>
      <c r="D3325">
        <v>2</v>
      </c>
      <c r="E3325">
        <v>30</v>
      </c>
      <c r="F3325" t="s">
        <v>242</v>
      </c>
      <c r="G3325" t="s">
        <v>214</v>
      </c>
    </row>
    <row r="3326" spans="1:7" hidden="1" x14ac:dyDescent="0.25">
      <c r="A3326">
        <v>50</v>
      </c>
      <c r="B3326">
        <v>476</v>
      </c>
      <c r="C3326">
        <v>0</v>
      </c>
      <c r="D3326">
        <v>2</v>
      </c>
      <c r="E3326">
        <v>29</v>
      </c>
      <c r="F3326" t="s">
        <v>241</v>
      </c>
      <c r="G3326" t="s">
        <v>183</v>
      </c>
    </row>
    <row r="3327" spans="1:7" hidden="1" x14ac:dyDescent="0.25">
      <c r="A3327">
        <v>50</v>
      </c>
      <c r="B3327">
        <v>1264</v>
      </c>
      <c r="C3327">
        <v>0</v>
      </c>
      <c r="D3327">
        <v>2</v>
      </c>
      <c r="E3327">
        <v>29</v>
      </c>
      <c r="F3327" t="s">
        <v>241</v>
      </c>
      <c r="G3327" t="s">
        <v>183</v>
      </c>
    </row>
    <row r="3328" spans="1:7" hidden="1" x14ac:dyDescent="0.25">
      <c r="A3328">
        <v>50</v>
      </c>
      <c r="B3328">
        <v>4228</v>
      </c>
      <c r="C3328">
        <v>0</v>
      </c>
      <c r="D3328">
        <v>2</v>
      </c>
      <c r="E3328">
        <v>29</v>
      </c>
      <c r="F3328" t="s">
        <v>241</v>
      </c>
      <c r="G3328" t="s">
        <v>183</v>
      </c>
    </row>
    <row r="3329" spans="1:7" hidden="1" x14ac:dyDescent="0.25">
      <c r="A3329">
        <v>50</v>
      </c>
      <c r="B3329">
        <v>5004</v>
      </c>
      <c r="C3329">
        <v>0</v>
      </c>
      <c r="D3329">
        <v>2</v>
      </c>
      <c r="E3329">
        <v>29</v>
      </c>
      <c r="F3329" t="s">
        <v>241</v>
      </c>
      <c r="G3329" t="s">
        <v>183</v>
      </c>
    </row>
    <row r="3330" spans="1:7" hidden="1" x14ac:dyDescent="0.25">
      <c r="A3330">
        <v>50</v>
      </c>
      <c r="B3330">
        <v>7283</v>
      </c>
      <c r="C3330">
        <v>0</v>
      </c>
      <c r="D3330">
        <v>2</v>
      </c>
      <c r="E3330">
        <v>29</v>
      </c>
      <c r="F3330" t="s">
        <v>241</v>
      </c>
      <c r="G3330" t="s">
        <v>183</v>
      </c>
    </row>
    <row r="3331" spans="1:7" hidden="1" x14ac:dyDescent="0.25">
      <c r="A3331">
        <v>50</v>
      </c>
      <c r="B3331">
        <v>7284</v>
      </c>
      <c r="C3331">
        <v>0</v>
      </c>
      <c r="D3331">
        <v>2</v>
      </c>
      <c r="E3331">
        <v>29</v>
      </c>
      <c r="F3331" t="s">
        <v>241</v>
      </c>
      <c r="G3331" t="s">
        <v>183</v>
      </c>
    </row>
    <row r="3332" spans="1:7" hidden="1" x14ac:dyDescent="0.25">
      <c r="A3332">
        <v>50</v>
      </c>
      <c r="B3332">
        <v>9356</v>
      </c>
      <c r="C3332">
        <v>0</v>
      </c>
      <c r="D3332">
        <v>2</v>
      </c>
      <c r="E3332">
        <v>29</v>
      </c>
      <c r="F3332" t="s">
        <v>241</v>
      </c>
      <c r="G3332" t="s">
        <v>183</v>
      </c>
    </row>
    <row r="3333" spans="1:7" hidden="1" x14ac:dyDescent="0.25">
      <c r="A3333">
        <v>50</v>
      </c>
      <c r="B3333">
        <v>10592</v>
      </c>
      <c r="C3333">
        <v>0</v>
      </c>
      <c r="D3333">
        <v>2</v>
      </c>
      <c r="E3333">
        <v>29</v>
      </c>
      <c r="F3333" t="s">
        <v>241</v>
      </c>
      <c r="G3333" t="s">
        <v>183</v>
      </c>
    </row>
    <row r="3334" spans="1:7" hidden="1" x14ac:dyDescent="0.25">
      <c r="A3334">
        <v>99</v>
      </c>
      <c r="B3334">
        <v>2168</v>
      </c>
      <c r="C3334">
        <v>0</v>
      </c>
      <c r="D3334">
        <v>2</v>
      </c>
      <c r="E3334">
        <v>53</v>
      </c>
      <c r="F3334" t="s">
        <v>241</v>
      </c>
      <c r="G3334" t="s">
        <v>183</v>
      </c>
    </row>
    <row r="3335" spans="1:7" hidden="1" x14ac:dyDescent="0.25">
      <c r="A3335">
        <v>99</v>
      </c>
      <c r="B3335">
        <v>2472</v>
      </c>
      <c r="C3335">
        <v>0</v>
      </c>
      <c r="D3335">
        <v>2</v>
      </c>
      <c r="E3335">
        <v>53</v>
      </c>
      <c r="F3335" t="s">
        <v>241</v>
      </c>
      <c r="G3335" t="s">
        <v>183</v>
      </c>
    </row>
    <row r="3336" spans="1:7" hidden="1" x14ac:dyDescent="0.25">
      <c r="A3336">
        <v>99</v>
      </c>
      <c r="B3336">
        <v>3056</v>
      </c>
      <c r="C3336">
        <v>0</v>
      </c>
      <c r="D3336">
        <v>2</v>
      </c>
      <c r="E3336">
        <v>53</v>
      </c>
      <c r="F3336" t="s">
        <v>241</v>
      </c>
      <c r="G3336" t="s">
        <v>183</v>
      </c>
    </row>
    <row r="3337" spans="1:7" hidden="1" x14ac:dyDescent="0.25">
      <c r="A3337">
        <v>99</v>
      </c>
      <c r="B3337">
        <v>3100</v>
      </c>
      <c r="C3337">
        <v>0</v>
      </c>
      <c r="D3337">
        <v>2</v>
      </c>
      <c r="E3337">
        <v>53</v>
      </c>
      <c r="F3337" t="s">
        <v>241</v>
      </c>
      <c r="G3337" t="s">
        <v>183</v>
      </c>
    </row>
    <row r="3338" spans="1:7" x14ac:dyDescent="0.25">
      <c r="A3338">
        <v>99</v>
      </c>
      <c r="B3338">
        <v>4124</v>
      </c>
      <c r="C3338">
        <v>0</v>
      </c>
      <c r="D3338">
        <v>2</v>
      </c>
      <c r="E3338">
        <v>41</v>
      </c>
      <c r="F3338" t="s">
        <v>241</v>
      </c>
      <c r="G3338" t="s">
        <v>183</v>
      </c>
    </row>
    <row r="3339" spans="1:7" hidden="1" x14ac:dyDescent="0.25">
      <c r="A3339">
        <v>99</v>
      </c>
      <c r="B3339">
        <v>5932</v>
      </c>
      <c r="C3339">
        <v>0</v>
      </c>
      <c r="D3339">
        <v>2</v>
      </c>
      <c r="E3339">
        <v>53</v>
      </c>
      <c r="F3339" t="s">
        <v>241</v>
      </c>
      <c r="G3339" t="s">
        <v>183</v>
      </c>
    </row>
    <row r="3340" spans="1:7" hidden="1" x14ac:dyDescent="0.25">
      <c r="A3340">
        <v>99</v>
      </c>
      <c r="B3340">
        <v>5992</v>
      </c>
      <c r="C3340">
        <v>0</v>
      </c>
      <c r="D3340">
        <v>2</v>
      </c>
      <c r="E3340">
        <v>41</v>
      </c>
      <c r="F3340" t="s">
        <v>241</v>
      </c>
      <c r="G3340" t="s">
        <v>183</v>
      </c>
    </row>
    <row r="3341" spans="1:7" hidden="1" x14ac:dyDescent="0.25">
      <c r="A3341">
        <v>99</v>
      </c>
      <c r="B3341">
        <v>7260</v>
      </c>
      <c r="C3341">
        <v>0</v>
      </c>
      <c r="D3341">
        <v>2</v>
      </c>
      <c r="E3341">
        <v>53</v>
      </c>
      <c r="F3341" t="s">
        <v>241</v>
      </c>
      <c r="G3341" t="s">
        <v>183</v>
      </c>
    </row>
    <row r="3342" spans="1:7" hidden="1" x14ac:dyDescent="0.25">
      <c r="A3342">
        <v>99</v>
      </c>
      <c r="B3342">
        <v>8804</v>
      </c>
      <c r="C3342">
        <v>0</v>
      </c>
      <c r="D3342">
        <v>2</v>
      </c>
      <c r="E3342">
        <v>53</v>
      </c>
      <c r="F3342" t="s">
        <v>241</v>
      </c>
      <c r="G3342" t="s">
        <v>183</v>
      </c>
    </row>
    <row r="3343" spans="1:7" hidden="1" x14ac:dyDescent="0.25">
      <c r="A3343">
        <v>99</v>
      </c>
      <c r="B3343">
        <v>9176</v>
      </c>
      <c r="C3343">
        <v>0</v>
      </c>
      <c r="D3343">
        <v>2</v>
      </c>
      <c r="E3343">
        <v>53</v>
      </c>
      <c r="F3343" t="s">
        <v>241</v>
      </c>
      <c r="G3343" t="s">
        <v>183</v>
      </c>
    </row>
    <row r="3344" spans="1:7" hidden="1" x14ac:dyDescent="0.25">
      <c r="A3344">
        <v>99</v>
      </c>
      <c r="B3344">
        <v>9256</v>
      </c>
      <c r="C3344">
        <v>0</v>
      </c>
      <c r="D3344">
        <v>2</v>
      </c>
      <c r="E3344">
        <v>41</v>
      </c>
      <c r="F3344" t="s">
        <v>241</v>
      </c>
      <c r="G3344" t="s">
        <v>183</v>
      </c>
    </row>
    <row r="3345" spans="1:7" hidden="1" x14ac:dyDescent="0.25">
      <c r="A3345">
        <v>99</v>
      </c>
      <c r="B3345">
        <v>9752</v>
      </c>
      <c r="C3345">
        <v>0</v>
      </c>
      <c r="D3345">
        <v>2</v>
      </c>
      <c r="E3345">
        <v>53</v>
      </c>
      <c r="F3345" t="s">
        <v>241</v>
      </c>
      <c r="G3345" t="s">
        <v>183</v>
      </c>
    </row>
    <row r="3346" spans="1:7" hidden="1" x14ac:dyDescent="0.25">
      <c r="A3346">
        <v>99</v>
      </c>
      <c r="B3346">
        <v>10364</v>
      </c>
      <c r="C3346">
        <v>0</v>
      </c>
      <c r="D3346">
        <v>2</v>
      </c>
      <c r="E3346">
        <v>29</v>
      </c>
      <c r="F3346" t="s">
        <v>241</v>
      </c>
      <c r="G3346" t="s">
        <v>183</v>
      </c>
    </row>
    <row r="3347" spans="1:7" hidden="1" x14ac:dyDescent="0.25">
      <c r="A3347">
        <v>50</v>
      </c>
      <c r="B3347">
        <v>476</v>
      </c>
      <c r="C3347">
        <v>0</v>
      </c>
      <c r="D3347">
        <v>2</v>
      </c>
      <c r="E3347">
        <v>8</v>
      </c>
      <c r="F3347" t="s">
        <v>223</v>
      </c>
      <c r="G3347" t="s">
        <v>130</v>
      </c>
    </row>
    <row r="3348" spans="1:7" hidden="1" x14ac:dyDescent="0.25">
      <c r="A3348">
        <v>50</v>
      </c>
      <c r="B3348">
        <v>1264</v>
      </c>
      <c r="C3348">
        <v>0</v>
      </c>
      <c r="D3348">
        <v>2</v>
      </c>
      <c r="E3348">
        <v>8</v>
      </c>
      <c r="F3348" t="s">
        <v>223</v>
      </c>
      <c r="G3348" t="s">
        <v>342</v>
      </c>
    </row>
    <row r="3349" spans="1:7" hidden="1" x14ac:dyDescent="0.25">
      <c r="A3349">
        <v>50</v>
      </c>
      <c r="B3349">
        <v>4228</v>
      </c>
      <c r="C3349">
        <v>0</v>
      </c>
      <c r="D3349">
        <v>2</v>
      </c>
      <c r="E3349">
        <v>8</v>
      </c>
      <c r="F3349" t="s">
        <v>223</v>
      </c>
      <c r="G3349" t="s">
        <v>130</v>
      </c>
    </row>
    <row r="3350" spans="1:7" hidden="1" x14ac:dyDescent="0.25">
      <c r="A3350">
        <v>50</v>
      </c>
      <c r="B3350">
        <v>5004</v>
      </c>
      <c r="C3350">
        <v>0</v>
      </c>
      <c r="D3350">
        <v>2</v>
      </c>
      <c r="E3350">
        <v>8</v>
      </c>
      <c r="F3350" t="s">
        <v>223</v>
      </c>
      <c r="G3350" t="s">
        <v>130</v>
      </c>
    </row>
    <row r="3351" spans="1:7" hidden="1" x14ac:dyDescent="0.25">
      <c r="A3351">
        <v>50</v>
      </c>
      <c r="B3351">
        <v>7283</v>
      </c>
      <c r="C3351">
        <v>0</v>
      </c>
      <c r="D3351">
        <v>2</v>
      </c>
      <c r="E3351">
        <v>8</v>
      </c>
      <c r="F3351" t="s">
        <v>223</v>
      </c>
      <c r="G3351" t="s">
        <v>130</v>
      </c>
    </row>
    <row r="3352" spans="1:7" hidden="1" x14ac:dyDescent="0.25">
      <c r="A3352">
        <v>50</v>
      </c>
      <c r="B3352">
        <v>7284</v>
      </c>
      <c r="C3352">
        <v>0</v>
      </c>
      <c r="D3352">
        <v>2</v>
      </c>
      <c r="E3352">
        <v>8</v>
      </c>
      <c r="F3352" t="s">
        <v>223</v>
      </c>
      <c r="G3352" t="s">
        <v>130</v>
      </c>
    </row>
    <row r="3353" spans="1:7" hidden="1" x14ac:dyDescent="0.25">
      <c r="A3353">
        <v>50</v>
      </c>
      <c r="B3353">
        <v>9356</v>
      </c>
      <c r="C3353">
        <v>0</v>
      </c>
      <c r="D3353">
        <v>2</v>
      </c>
      <c r="E3353">
        <v>8</v>
      </c>
      <c r="F3353" t="s">
        <v>223</v>
      </c>
      <c r="G3353" t="s">
        <v>130</v>
      </c>
    </row>
    <row r="3354" spans="1:7" hidden="1" x14ac:dyDescent="0.25">
      <c r="A3354">
        <v>50</v>
      </c>
      <c r="B3354">
        <v>10592</v>
      </c>
      <c r="C3354">
        <v>0</v>
      </c>
      <c r="D3354">
        <v>2</v>
      </c>
      <c r="E3354">
        <v>8</v>
      </c>
      <c r="F3354" t="s">
        <v>223</v>
      </c>
      <c r="G3354" t="s">
        <v>342</v>
      </c>
    </row>
    <row r="3355" spans="1:7" hidden="1" x14ac:dyDescent="0.25">
      <c r="A3355">
        <v>99</v>
      </c>
      <c r="B3355">
        <v>2168</v>
      </c>
      <c r="C3355">
        <v>0</v>
      </c>
      <c r="D3355">
        <v>2</v>
      </c>
      <c r="E3355">
        <v>8</v>
      </c>
      <c r="F3355" t="s">
        <v>223</v>
      </c>
      <c r="G3355" t="s">
        <v>130</v>
      </c>
    </row>
    <row r="3356" spans="1:7" hidden="1" x14ac:dyDescent="0.25">
      <c r="A3356">
        <v>99</v>
      </c>
      <c r="B3356">
        <v>2472</v>
      </c>
      <c r="C3356">
        <v>0</v>
      </c>
      <c r="D3356">
        <v>2</v>
      </c>
      <c r="E3356">
        <v>8</v>
      </c>
      <c r="F3356" t="s">
        <v>223</v>
      </c>
      <c r="G3356" t="s">
        <v>130</v>
      </c>
    </row>
    <row r="3357" spans="1:7" hidden="1" x14ac:dyDescent="0.25">
      <c r="A3357">
        <v>99</v>
      </c>
      <c r="B3357">
        <v>3056</v>
      </c>
      <c r="C3357">
        <v>0</v>
      </c>
      <c r="D3357">
        <v>2</v>
      </c>
      <c r="E3357">
        <v>8</v>
      </c>
      <c r="F3357" t="s">
        <v>223</v>
      </c>
      <c r="G3357" t="s">
        <v>130</v>
      </c>
    </row>
    <row r="3358" spans="1:7" hidden="1" x14ac:dyDescent="0.25">
      <c r="A3358">
        <v>99</v>
      </c>
      <c r="B3358">
        <v>3100</v>
      </c>
      <c r="C3358">
        <v>0</v>
      </c>
      <c r="D3358">
        <v>2</v>
      </c>
      <c r="E3358">
        <v>8</v>
      </c>
      <c r="F3358" t="s">
        <v>223</v>
      </c>
      <c r="G3358" t="s">
        <v>130</v>
      </c>
    </row>
    <row r="3359" spans="1:7" x14ac:dyDescent="0.25">
      <c r="A3359">
        <v>99</v>
      </c>
      <c r="B3359">
        <v>4124</v>
      </c>
      <c r="C3359">
        <v>0</v>
      </c>
      <c r="D3359">
        <v>2</v>
      </c>
      <c r="E3359">
        <v>8</v>
      </c>
      <c r="F3359" t="s">
        <v>223</v>
      </c>
      <c r="G3359" t="s">
        <v>130</v>
      </c>
    </row>
    <row r="3360" spans="1:7" hidden="1" x14ac:dyDescent="0.25">
      <c r="A3360">
        <v>99</v>
      </c>
      <c r="B3360">
        <v>5932</v>
      </c>
      <c r="C3360">
        <v>0</v>
      </c>
      <c r="D3360">
        <v>2</v>
      </c>
      <c r="E3360">
        <v>8</v>
      </c>
      <c r="F3360" t="s">
        <v>223</v>
      </c>
      <c r="G3360" t="s">
        <v>130</v>
      </c>
    </row>
    <row r="3361" spans="1:7" hidden="1" x14ac:dyDescent="0.25">
      <c r="A3361">
        <v>99</v>
      </c>
      <c r="B3361">
        <v>5992</v>
      </c>
      <c r="C3361">
        <v>0</v>
      </c>
      <c r="D3361">
        <v>2</v>
      </c>
      <c r="E3361">
        <v>8</v>
      </c>
      <c r="F3361" t="s">
        <v>223</v>
      </c>
      <c r="G3361" t="s">
        <v>130</v>
      </c>
    </row>
    <row r="3362" spans="1:7" hidden="1" x14ac:dyDescent="0.25">
      <c r="A3362">
        <v>99</v>
      </c>
      <c r="B3362">
        <v>7260</v>
      </c>
      <c r="C3362">
        <v>0</v>
      </c>
      <c r="D3362">
        <v>2</v>
      </c>
      <c r="E3362">
        <v>8</v>
      </c>
      <c r="F3362" t="s">
        <v>223</v>
      </c>
      <c r="G3362" t="s">
        <v>130</v>
      </c>
    </row>
    <row r="3363" spans="1:7" hidden="1" x14ac:dyDescent="0.25">
      <c r="A3363">
        <v>99</v>
      </c>
      <c r="B3363">
        <v>8804</v>
      </c>
      <c r="C3363">
        <v>0</v>
      </c>
      <c r="D3363">
        <v>2</v>
      </c>
      <c r="E3363">
        <v>8</v>
      </c>
      <c r="F3363" t="s">
        <v>223</v>
      </c>
      <c r="G3363" t="s">
        <v>130</v>
      </c>
    </row>
    <row r="3364" spans="1:7" hidden="1" x14ac:dyDescent="0.25">
      <c r="A3364">
        <v>99</v>
      </c>
      <c r="B3364">
        <v>9176</v>
      </c>
      <c r="C3364">
        <v>0</v>
      </c>
      <c r="D3364">
        <v>2</v>
      </c>
      <c r="E3364">
        <v>8</v>
      </c>
      <c r="F3364" t="s">
        <v>223</v>
      </c>
      <c r="G3364" t="s">
        <v>130</v>
      </c>
    </row>
    <row r="3365" spans="1:7" hidden="1" x14ac:dyDescent="0.25">
      <c r="A3365">
        <v>99</v>
      </c>
      <c r="B3365">
        <v>9256</v>
      </c>
      <c r="C3365">
        <v>0</v>
      </c>
      <c r="D3365">
        <v>2</v>
      </c>
      <c r="E3365">
        <v>8</v>
      </c>
      <c r="F3365" t="s">
        <v>223</v>
      </c>
      <c r="G3365" t="s">
        <v>130</v>
      </c>
    </row>
    <row r="3366" spans="1:7" hidden="1" x14ac:dyDescent="0.25">
      <c r="A3366">
        <v>99</v>
      </c>
      <c r="B3366">
        <v>9752</v>
      </c>
      <c r="C3366">
        <v>0</v>
      </c>
      <c r="D3366">
        <v>2</v>
      </c>
      <c r="E3366">
        <v>8</v>
      </c>
      <c r="F3366" t="s">
        <v>223</v>
      </c>
      <c r="G3366" t="s">
        <v>130</v>
      </c>
    </row>
    <row r="3367" spans="1:7" hidden="1" x14ac:dyDescent="0.25">
      <c r="A3367">
        <v>99</v>
      </c>
      <c r="B3367">
        <v>10364</v>
      </c>
      <c r="C3367">
        <v>0</v>
      </c>
      <c r="D3367">
        <v>2</v>
      </c>
      <c r="E3367">
        <v>8</v>
      </c>
      <c r="F3367" t="s">
        <v>223</v>
      </c>
      <c r="G3367" t="s">
        <v>130</v>
      </c>
    </row>
    <row r="3368" spans="1:7" hidden="1" x14ac:dyDescent="0.25">
      <c r="A3368">
        <v>50</v>
      </c>
      <c r="B3368">
        <v>476</v>
      </c>
      <c r="C3368">
        <v>0</v>
      </c>
      <c r="D3368">
        <v>2</v>
      </c>
      <c r="E3368">
        <v>7</v>
      </c>
      <c r="F3368" t="s">
        <v>222</v>
      </c>
      <c r="G3368" t="s">
        <v>339</v>
      </c>
    </row>
    <row r="3369" spans="1:7" hidden="1" x14ac:dyDescent="0.25">
      <c r="A3369">
        <v>50</v>
      </c>
      <c r="B3369">
        <v>1264</v>
      </c>
      <c r="C3369">
        <v>0</v>
      </c>
      <c r="D3369">
        <v>2</v>
      </c>
      <c r="E3369">
        <v>7</v>
      </c>
      <c r="F3369" t="s">
        <v>222</v>
      </c>
      <c r="G3369" t="s">
        <v>339</v>
      </c>
    </row>
    <row r="3370" spans="1:7" hidden="1" x14ac:dyDescent="0.25">
      <c r="A3370">
        <v>50</v>
      </c>
      <c r="B3370">
        <v>4228</v>
      </c>
      <c r="C3370">
        <v>0</v>
      </c>
      <c r="D3370">
        <v>2</v>
      </c>
      <c r="E3370">
        <v>7</v>
      </c>
      <c r="F3370" t="s">
        <v>222</v>
      </c>
      <c r="G3370" t="s">
        <v>339</v>
      </c>
    </row>
    <row r="3371" spans="1:7" hidden="1" x14ac:dyDescent="0.25">
      <c r="A3371">
        <v>50</v>
      </c>
      <c r="B3371">
        <v>5004</v>
      </c>
      <c r="C3371">
        <v>0</v>
      </c>
      <c r="D3371">
        <v>2</v>
      </c>
      <c r="E3371">
        <v>7</v>
      </c>
      <c r="F3371" t="s">
        <v>222</v>
      </c>
      <c r="G3371" t="s">
        <v>339</v>
      </c>
    </row>
    <row r="3372" spans="1:7" hidden="1" x14ac:dyDescent="0.25">
      <c r="A3372">
        <v>50</v>
      </c>
      <c r="B3372">
        <v>7283</v>
      </c>
      <c r="C3372">
        <v>0</v>
      </c>
      <c r="D3372">
        <v>2</v>
      </c>
      <c r="E3372">
        <v>7</v>
      </c>
      <c r="F3372" t="s">
        <v>222</v>
      </c>
      <c r="G3372" t="s">
        <v>339</v>
      </c>
    </row>
    <row r="3373" spans="1:7" hidden="1" x14ac:dyDescent="0.25">
      <c r="A3373">
        <v>50</v>
      </c>
      <c r="B3373">
        <v>7284</v>
      </c>
      <c r="C3373">
        <v>0</v>
      </c>
      <c r="D3373">
        <v>2</v>
      </c>
      <c r="E3373">
        <v>7</v>
      </c>
      <c r="F3373" t="s">
        <v>222</v>
      </c>
      <c r="G3373" t="s">
        <v>339</v>
      </c>
    </row>
    <row r="3374" spans="1:7" hidden="1" x14ac:dyDescent="0.25">
      <c r="A3374">
        <v>50</v>
      </c>
      <c r="B3374">
        <v>9356</v>
      </c>
      <c r="C3374">
        <v>0</v>
      </c>
      <c r="D3374">
        <v>2</v>
      </c>
      <c r="E3374">
        <v>7</v>
      </c>
      <c r="F3374" t="s">
        <v>222</v>
      </c>
      <c r="G3374" t="s">
        <v>339</v>
      </c>
    </row>
    <row r="3375" spans="1:7" hidden="1" x14ac:dyDescent="0.25">
      <c r="A3375">
        <v>50</v>
      </c>
      <c r="B3375">
        <v>10592</v>
      </c>
      <c r="C3375">
        <v>0</v>
      </c>
      <c r="D3375">
        <v>2</v>
      </c>
      <c r="E3375">
        <v>7</v>
      </c>
      <c r="F3375" t="s">
        <v>222</v>
      </c>
      <c r="G3375" t="s">
        <v>339</v>
      </c>
    </row>
    <row r="3376" spans="1:7" hidden="1" x14ac:dyDescent="0.25">
      <c r="A3376">
        <v>99</v>
      </c>
      <c r="B3376">
        <v>2168</v>
      </c>
      <c r="C3376">
        <v>0</v>
      </c>
      <c r="D3376">
        <v>2</v>
      </c>
      <c r="E3376">
        <v>7</v>
      </c>
      <c r="F3376" t="s">
        <v>222</v>
      </c>
      <c r="G3376" t="s">
        <v>193</v>
      </c>
    </row>
    <row r="3377" spans="1:7" hidden="1" x14ac:dyDescent="0.25">
      <c r="A3377">
        <v>99</v>
      </c>
      <c r="B3377">
        <v>2472</v>
      </c>
      <c r="C3377">
        <v>0</v>
      </c>
      <c r="D3377">
        <v>2</v>
      </c>
      <c r="E3377">
        <v>7</v>
      </c>
      <c r="F3377" t="s">
        <v>222</v>
      </c>
      <c r="G3377" t="s">
        <v>193</v>
      </c>
    </row>
    <row r="3378" spans="1:7" hidden="1" x14ac:dyDescent="0.25">
      <c r="A3378">
        <v>99</v>
      </c>
      <c r="B3378">
        <v>3056</v>
      </c>
      <c r="C3378">
        <v>0</v>
      </c>
      <c r="D3378">
        <v>2</v>
      </c>
      <c r="E3378">
        <v>7</v>
      </c>
      <c r="F3378" t="s">
        <v>222</v>
      </c>
      <c r="G3378" t="s">
        <v>193</v>
      </c>
    </row>
    <row r="3379" spans="1:7" hidden="1" x14ac:dyDescent="0.25">
      <c r="A3379">
        <v>99</v>
      </c>
      <c r="B3379">
        <v>3100</v>
      </c>
      <c r="C3379">
        <v>0</v>
      </c>
      <c r="D3379">
        <v>2</v>
      </c>
      <c r="E3379">
        <v>7</v>
      </c>
      <c r="F3379" t="s">
        <v>222</v>
      </c>
      <c r="G3379" t="s">
        <v>193</v>
      </c>
    </row>
    <row r="3380" spans="1:7" x14ac:dyDescent="0.25">
      <c r="A3380">
        <v>99</v>
      </c>
      <c r="B3380">
        <v>4124</v>
      </c>
      <c r="C3380">
        <v>0</v>
      </c>
      <c r="D3380">
        <v>2</v>
      </c>
      <c r="E3380">
        <v>7</v>
      </c>
      <c r="F3380" t="s">
        <v>222</v>
      </c>
      <c r="G3380" t="s">
        <v>349</v>
      </c>
    </row>
    <row r="3381" spans="1:7" hidden="1" x14ac:dyDescent="0.25">
      <c r="A3381">
        <v>99</v>
      </c>
      <c r="B3381">
        <v>5932</v>
      </c>
      <c r="C3381">
        <v>0</v>
      </c>
      <c r="D3381">
        <v>2</v>
      </c>
      <c r="E3381">
        <v>7</v>
      </c>
      <c r="F3381" t="s">
        <v>222</v>
      </c>
      <c r="G3381" t="s">
        <v>193</v>
      </c>
    </row>
    <row r="3382" spans="1:7" hidden="1" x14ac:dyDescent="0.25">
      <c r="A3382">
        <v>99</v>
      </c>
      <c r="B3382">
        <v>5992</v>
      </c>
      <c r="C3382">
        <v>0</v>
      </c>
      <c r="D3382">
        <v>2</v>
      </c>
      <c r="E3382">
        <v>7</v>
      </c>
      <c r="F3382" t="s">
        <v>222</v>
      </c>
      <c r="G3382" t="s">
        <v>349</v>
      </c>
    </row>
    <row r="3383" spans="1:7" hidden="1" x14ac:dyDescent="0.25">
      <c r="A3383">
        <v>99</v>
      </c>
      <c r="B3383">
        <v>7260</v>
      </c>
      <c r="C3383">
        <v>0</v>
      </c>
      <c r="D3383">
        <v>2</v>
      </c>
      <c r="E3383">
        <v>7</v>
      </c>
      <c r="F3383" t="s">
        <v>222</v>
      </c>
      <c r="G3383" t="s">
        <v>349</v>
      </c>
    </row>
    <row r="3384" spans="1:7" hidden="1" x14ac:dyDescent="0.25">
      <c r="A3384">
        <v>99</v>
      </c>
      <c r="B3384">
        <v>8804</v>
      </c>
      <c r="C3384">
        <v>0</v>
      </c>
      <c r="D3384">
        <v>2</v>
      </c>
      <c r="E3384">
        <v>7</v>
      </c>
      <c r="F3384" t="s">
        <v>222</v>
      </c>
      <c r="G3384" t="s">
        <v>349</v>
      </c>
    </row>
    <row r="3385" spans="1:7" hidden="1" x14ac:dyDescent="0.25">
      <c r="A3385">
        <v>99</v>
      </c>
      <c r="B3385">
        <v>9176</v>
      </c>
      <c r="C3385">
        <v>0</v>
      </c>
      <c r="D3385">
        <v>2</v>
      </c>
      <c r="E3385">
        <v>7</v>
      </c>
      <c r="F3385" t="s">
        <v>222</v>
      </c>
      <c r="G3385" t="s">
        <v>193</v>
      </c>
    </row>
    <row r="3386" spans="1:7" hidden="1" x14ac:dyDescent="0.25">
      <c r="A3386">
        <v>99</v>
      </c>
      <c r="B3386">
        <v>9256</v>
      </c>
      <c r="C3386">
        <v>0</v>
      </c>
      <c r="D3386">
        <v>2</v>
      </c>
      <c r="E3386">
        <v>7</v>
      </c>
      <c r="F3386" t="s">
        <v>222</v>
      </c>
      <c r="G3386" t="s">
        <v>349</v>
      </c>
    </row>
    <row r="3387" spans="1:7" hidden="1" x14ac:dyDescent="0.25">
      <c r="A3387">
        <v>99</v>
      </c>
      <c r="B3387">
        <v>9752</v>
      </c>
      <c r="C3387">
        <v>0</v>
      </c>
      <c r="D3387">
        <v>2</v>
      </c>
      <c r="E3387">
        <v>7</v>
      </c>
      <c r="F3387" t="s">
        <v>222</v>
      </c>
      <c r="G3387" t="s">
        <v>193</v>
      </c>
    </row>
    <row r="3388" spans="1:7" hidden="1" x14ac:dyDescent="0.25">
      <c r="A3388">
        <v>99</v>
      </c>
      <c r="B3388">
        <v>10364</v>
      </c>
      <c r="C3388">
        <v>0</v>
      </c>
      <c r="D3388">
        <v>2</v>
      </c>
      <c r="E3388">
        <v>7</v>
      </c>
      <c r="F3388" t="s">
        <v>222</v>
      </c>
      <c r="G3388" t="s">
        <v>349</v>
      </c>
    </row>
    <row r="3389" spans="1:7" hidden="1" x14ac:dyDescent="0.25">
      <c r="A3389">
        <v>50</v>
      </c>
      <c r="B3389">
        <v>476</v>
      </c>
      <c r="C3389">
        <v>0</v>
      </c>
      <c r="D3389">
        <v>2</v>
      </c>
      <c r="E3389">
        <v>9</v>
      </c>
      <c r="F3389" t="s">
        <v>224</v>
      </c>
      <c r="G3389" t="s">
        <v>124</v>
      </c>
    </row>
    <row r="3390" spans="1:7" hidden="1" x14ac:dyDescent="0.25">
      <c r="A3390">
        <v>50</v>
      </c>
      <c r="B3390">
        <v>1264</v>
      </c>
      <c r="C3390">
        <v>0</v>
      </c>
      <c r="D3390">
        <v>2</v>
      </c>
      <c r="E3390">
        <v>9</v>
      </c>
      <c r="F3390" t="s">
        <v>224</v>
      </c>
      <c r="G3390" t="s">
        <v>124</v>
      </c>
    </row>
    <row r="3391" spans="1:7" hidden="1" x14ac:dyDescent="0.25">
      <c r="A3391">
        <v>50</v>
      </c>
      <c r="B3391">
        <v>4228</v>
      </c>
      <c r="C3391">
        <v>0</v>
      </c>
      <c r="D3391">
        <v>2</v>
      </c>
      <c r="E3391">
        <v>9</v>
      </c>
      <c r="F3391" t="s">
        <v>224</v>
      </c>
      <c r="G3391" t="s">
        <v>124</v>
      </c>
    </row>
    <row r="3392" spans="1:7" hidden="1" x14ac:dyDescent="0.25">
      <c r="A3392">
        <v>50</v>
      </c>
      <c r="B3392">
        <v>5004</v>
      </c>
      <c r="C3392">
        <v>0</v>
      </c>
      <c r="D3392">
        <v>2</v>
      </c>
      <c r="E3392">
        <v>9</v>
      </c>
      <c r="F3392" t="s">
        <v>224</v>
      </c>
      <c r="G3392" t="s">
        <v>124</v>
      </c>
    </row>
    <row r="3393" spans="1:7" hidden="1" x14ac:dyDescent="0.25">
      <c r="A3393">
        <v>50</v>
      </c>
      <c r="B3393">
        <v>7283</v>
      </c>
      <c r="C3393">
        <v>0</v>
      </c>
      <c r="D3393">
        <v>2</v>
      </c>
      <c r="E3393">
        <v>9</v>
      </c>
      <c r="F3393" t="s">
        <v>224</v>
      </c>
      <c r="G3393" t="s">
        <v>124</v>
      </c>
    </row>
    <row r="3394" spans="1:7" hidden="1" x14ac:dyDescent="0.25">
      <c r="A3394">
        <v>50</v>
      </c>
      <c r="B3394">
        <v>7284</v>
      </c>
      <c r="C3394">
        <v>0</v>
      </c>
      <c r="D3394">
        <v>2</v>
      </c>
      <c r="E3394">
        <v>9</v>
      </c>
      <c r="F3394" t="s">
        <v>224</v>
      </c>
      <c r="G3394" t="s">
        <v>124</v>
      </c>
    </row>
    <row r="3395" spans="1:7" hidden="1" x14ac:dyDescent="0.25">
      <c r="A3395">
        <v>50</v>
      </c>
      <c r="B3395">
        <v>9356</v>
      </c>
      <c r="C3395">
        <v>0</v>
      </c>
      <c r="D3395">
        <v>2</v>
      </c>
      <c r="E3395">
        <v>9</v>
      </c>
      <c r="F3395" t="s">
        <v>224</v>
      </c>
      <c r="G3395" t="s">
        <v>124</v>
      </c>
    </row>
    <row r="3396" spans="1:7" hidden="1" x14ac:dyDescent="0.25">
      <c r="A3396">
        <v>50</v>
      </c>
      <c r="B3396">
        <v>10592</v>
      </c>
      <c r="C3396">
        <v>0</v>
      </c>
      <c r="D3396">
        <v>2</v>
      </c>
      <c r="E3396">
        <v>9</v>
      </c>
      <c r="F3396" t="s">
        <v>224</v>
      </c>
      <c r="G3396" t="s">
        <v>124</v>
      </c>
    </row>
    <row r="3397" spans="1:7" hidden="1" x14ac:dyDescent="0.25">
      <c r="A3397">
        <v>99</v>
      </c>
      <c r="B3397">
        <v>2168</v>
      </c>
      <c r="C3397">
        <v>0</v>
      </c>
      <c r="D3397">
        <v>2</v>
      </c>
      <c r="E3397">
        <v>9</v>
      </c>
      <c r="F3397" t="s">
        <v>224</v>
      </c>
      <c r="G3397" t="s">
        <v>124</v>
      </c>
    </row>
    <row r="3398" spans="1:7" hidden="1" x14ac:dyDescent="0.25">
      <c r="A3398">
        <v>99</v>
      </c>
      <c r="B3398">
        <v>2472</v>
      </c>
      <c r="C3398">
        <v>0</v>
      </c>
      <c r="D3398">
        <v>2</v>
      </c>
      <c r="E3398">
        <v>9</v>
      </c>
      <c r="F3398" t="s">
        <v>224</v>
      </c>
      <c r="G3398" t="s">
        <v>124</v>
      </c>
    </row>
    <row r="3399" spans="1:7" hidden="1" x14ac:dyDescent="0.25">
      <c r="A3399">
        <v>99</v>
      </c>
      <c r="B3399">
        <v>3056</v>
      </c>
      <c r="C3399">
        <v>0</v>
      </c>
      <c r="D3399">
        <v>2</v>
      </c>
      <c r="E3399">
        <v>9</v>
      </c>
      <c r="F3399" t="s">
        <v>224</v>
      </c>
      <c r="G3399" t="s">
        <v>124</v>
      </c>
    </row>
    <row r="3400" spans="1:7" hidden="1" x14ac:dyDescent="0.25">
      <c r="A3400">
        <v>99</v>
      </c>
      <c r="B3400">
        <v>3100</v>
      </c>
      <c r="C3400">
        <v>0</v>
      </c>
      <c r="D3400">
        <v>2</v>
      </c>
      <c r="E3400">
        <v>9</v>
      </c>
      <c r="F3400" t="s">
        <v>224</v>
      </c>
      <c r="G3400" t="s">
        <v>124</v>
      </c>
    </row>
    <row r="3401" spans="1:7" x14ac:dyDescent="0.25">
      <c r="A3401">
        <v>99</v>
      </c>
      <c r="B3401">
        <v>4124</v>
      </c>
      <c r="C3401">
        <v>0</v>
      </c>
      <c r="D3401">
        <v>2</v>
      </c>
      <c r="E3401">
        <v>9</v>
      </c>
      <c r="F3401" t="s">
        <v>224</v>
      </c>
      <c r="G3401" t="s">
        <v>124</v>
      </c>
    </row>
    <row r="3402" spans="1:7" hidden="1" x14ac:dyDescent="0.25">
      <c r="A3402">
        <v>99</v>
      </c>
      <c r="B3402">
        <v>5932</v>
      </c>
      <c r="C3402">
        <v>0</v>
      </c>
      <c r="D3402">
        <v>2</v>
      </c>
      <c r="E3402">
        <v>9</v>
      </c>
      <c r="F3402" t="s">
        <v>224</v>
      </c>
      <c r="G3402" t="s">
        <v>124</v>
      </c>
    </row>
    <row r="3403" spans="1:7" hidden="1" x14ac:dyDescent="0.25">
      <c r="A3403">
        <v>99</v>
      </c>
      <c r="B3403">
        <v>5992</v>
      </c>
      <c r="C3403">
        <v>0</v>
      </c>
      <c r="D3403">
        <v>2</v>
      </c>
      <c r="E3403">
        <v>9</v>
      </c>
      <c r="F3403" t="s">
        <v>224</v>
      </c>
      <c r="G3403" t="s">
        <v>124</v>
      </c>
    </row>
    <row r="3404" spans="1:7" hidden="1" x14ac:dyDescent="0.25">
      <c r="A3404">
        <v>99</v>
      </c>
      <c r="B3404">
        <v>7260</v>
      </c>
      <c r="C3404">
        <v>0</v>
      </c>
      <c r="D3404">
        <v>2</v>
      </c>
      <c r="E3404">
        <v>9</v>
      </c>
      <c r="F3404" t="s">
        <v>224</v>
      </c>
      <c r="G3404" t="s">
        <v>124</v>
      </c>
    </row>
    <row r="3405" spans="1:7" hidden="1" x14ac:dyDescent="0.25">
      <c r="A3405">
        <v>99</v>
      </c>
      <c r="B3405">
        <v>8804</v>
      </c>
      <c r="C3405">
        <v>0</v>
      </c>
      <c r="D3405">
        <v>2</v>
      </c>
      <c r="E3405">
        <v>9</v>
      </c>
      <c r="F3405" t="s">
        <v>224</v>
      </c>
      <c r="G3405" t="s">
        <v>124</v>
      </c>
    </row>
    <row r="3406" spans="1:7" hidden="1" x14ac:dyDescent="0.25">
      <c r="A3406">
        <v>99</v>
      </c>
      <c r="B3406">
        <v>9176</v>
      </c>
      <c r="C3406">
        <v>0</v>
      </c>
      <c r="D3406">
        <v>2</v>
      </c>
      <c r="E3406">
        <v>9</v>
      </c>
      <c r="F3406" t="s">
        <v>224</v>
      </c>
      <c r="G3406" t="s">
        <v>124</v>
      </c>
    </row>
    <row r="3407" spans="1:7" hidden="1" x14ac:dyDescent="0.25">
      <c r="A3407">
        <v>99</v>
      </c>
      <c r="B3407">
        <v>9256</v>
      </c>
      <c r="C3407">
        <v>0</v>
      </c>
      <c r="D3407">
        <v>2</v>
      </c>
      <c r="E3407">
        <v>9</v>
      </c>
      <c r="F3407" t="s">
        <v>224</v>
      </c>
      <c r="G3407" t="s">
        <v>124</v>
      </c>
    </row>
    <row r="3408" spans="1:7" hidden="1" x14ac:dyDescent="0.25">
      <c r="A3408">
        <v>99</v>
      </c>
      <c r="B3408">
        <v>9752</v>
      </c>
      <c r="C3408">
        <v>0</v>
      </c>
      <c r="D3408">
        <v>2</v>
      </c>
      <c r="E3408">
        <v>9</v>
      </c>
      <c r="F3408" t="s">
        <v>224</v>
      </c>
      <c r="G3408" t="s">
        <v>124</v>
      </c>
    </row>
    <row r="3409" spans="1:7" hidden="1" x14ac:dyDescent="0.25">
      <c r="A3409">
        <v>99</v>
      </c>
      <c r="B3409">
        <v>10364</v>
      </c>
      <c r="C3409">
        <v>0</v>
      </c>
      <c r="D3409">
        <v>2</v>
      </c>
      <c r="E3409">
        <v>9</v>
      </c>
      <c r="F3409" t="s">
        <v>224</v>
      </c>
      <c r="G3409" t="s">
        <v>124</v>
      </c>
    </row>
    <row r="3410" spans="1:7" hidden="1" x14ac:dyDescent="0.25">
      <c r="A3410">
        <v>50</v>
      </c>
      <c r="B3410">
        <v>476</v>
      </c>
      <c r="C3410">
        <v>0</v>
      </c>
      <c r="D3410">
        <v>2</v>
      </c>
      <c r="E3410">
        <v>10</v>
      </c>
      <c r="F3410" t="s">
        <v>225</v>
      </c>
      <c r="G3410" t="s">
        <v>131</v>
      </c>
    </row>
    <row r="3411" spans="1:7" hidden="1" x14ac:dyDescent="0.25">
      <c r="A3411">
        <v>50</v>
      </c>
      <c r="B3411">
        <v>1264</v>
      </c>
      <c r="C3411">
        <v>0</v>
      </c>
      <c r="D3411">
        <v>2</v>
      </c>
      <c r="E3411">
        <v>10</v>
      </c>
      <c r="F3411" t="s">
        <v>225</v>
      </c>
      <c r="G3411" t="s">
        <v>131</v>
      </c>
    </row>
    <row r="3412" spans="1:7" hidden="1" x14ac:dyDescent="0.25">
      <c r="A3412">
        <v>50</v>
      </c>
      <c r="B3412">
        <v>4228</v>
      </c>
      <c r="C3412">
        <v>0</v>
      </c>
      <c r="D3412">
        <v>2</v>
      </c>
      <c r="E3412">
        <v>10</v>
      </c>
      <c r="F3412" t="s">
        <v>225</v>
      </c>
      <c r="G3412" t="s">
        <v>131</v>
      </c>
    </row>
    <row r="3413" spans="1:7" hidden="1" x14ac:dyDescent="0.25">
      <c r="A3413">
        <v>50</v>
      </c>
      <c r="B3413">
        <v>5004</v>
      </c>
      <c r="C3413">
        <v>0</v>
      </c>
      <c r="D3413">
        <v>2</v>
      </c>
      <c r="E3413">
        <v>10</v>
      </c>
      <c r="F3413" t="s">
        <v>225</v>
      </c>
      <c r="G3413" t="s">
        <v>131</v>
      </c>
    </row>
    <row r="3414" spans="1:7" hidden="1" x14ac:dyDescent="0.25">
      <c r="A3414">
        <v>50</v>
      </c>
      <c r="B3414">
        <v>7283</v>
      </c>
      <c r="C3414">
        <v>0</v>
      </c>
      <c r="D3414">
        <v>2</v>
      </c>
      <c r="E3414">
        <v>10</v>
      </c>
      <c r="F3414" t="s">
        <v>225</v>
      </c>
      <c r="G3414" t="s">
        <v>131</v>
      </c>
    </row>
    <row r="3415" spans="1:7" hidden="1" x14ac:dyDescent="0.25">
      <c r="A3415">
        <v>50</v>
      </c>
      <c r="B3415">
        <v>7284</v>
      </c>
      <c r="C3415">
        <v>0</v>
      </c>
      <c r="D3415">
        <v>2</v>
      </c>
      <c r="E3415">
        <v>10</v>
      </c>
      <c r="F3415" t="s">
        <v>225</v>
      </c>
      <c r="G3415" t="s">
        <v>131</v>
      </c>
    </row>
    <row r="3416" spans="1:7" hidden="1" x14ac:dyDescent="0.25">
      <c r="A3416">
        <v>50</v>
      </c>
      <c r="B3416">
        <v>9356</v>
      </c>
      <c r="C3416">
        <v>0</v>
      </c>
      <c r="D3416">
        <v>2</v>
      </c>
      <c r="E3416">
        <v>10</v>
      </c>
      <c r="F3416" t="s">
        <v>225</v>
      </c>
      <c r="G3416" t="s">
        <v>131</v>
      </c>
    </row>
    <row r="3417" spans="1:7" hidden="1" x14ac:dyDescent="0.25">
      <c r="A3417">
        <v>50</v>
      </c>
      <c r="B3417">
        <v>10592</v>
      </c>
      <c r="C3417">
        <v>0</v>
      </c>
      <c r="D3417">
        <v>2</v>
      </c>
      <c r="E3417">
        <v>10</v>
      </c>
      <c r="F3417" t="s">
        <v>225</v>
      </c>
      <c r="G3417" t="s">
        <v>131</v>
      </c>
    </row>
    <row r="3418" spans="1:7" hidden="1" x14ac:dyDescent="0.25">
      <c r="A3418">
        <v>99</v>
      </c>
      <c r="B3418">
        <v>2168</v>
      </c>
      <c r="C3418">
        <v>0</v>
      </c>
      <c r="D3418">
        <v>2</v>
      </c>
      <c r="E3418">
        <v>10</v>
      </c>
      <c r="F3418" t="s">
        <v>225</v>
      </c>
      <c r="G3418" t="s">
        <v>131</v>
      </c>
    </row>
    <row r="3419" spans="1:7" hidden="1" x14ac:dyDescent="0.25">
      <c r="A3419">
        <v>99</v>
      </c>
      <c r="B3419">
        <v>2472</v>
      </c>
      <c r="C3419">
        <v>0</v>
      </c>
      <c r="D3419">
        <v>2</v>
      </c>
      <c r="E3419">
        <v>10</v>
      </c>
      <c r="F3419" t="s">
        <v>225</v>
      </c>
      <c r="G3419" t="s">
        <v>131</v>
      </c>
    </row>
    <row r="3420" spans="1:7" hidden="1" x14ac:dyDescent="0.25">
      <c r="A3420">
        <v>99</v>
      </c>
      <c r="B3420">
        <v>3056</v>
      </c>
      <c r="C3420">
        <v>0</v>
      </c>
      <c r="D3420">
        <v>2</v>
      </c>
      <c r="E3420">
        <v>10</v>
      </c>
      <c r="F3420" t="s">
        <v>225</v>
      </c>
      <c r="G3420" t="s">
        <v>131</v>
      </c>
    </row>
    <row r="3421" spans="1:7" hidden="1" x14ac:dyDescent="0.25">
      <c r="A3421">
        <v>99</v>
      </c>
      <c r="B3421">
        <v>3100</v>
      </c>
      <c r="C3421">
        <v>0</v>
      </c>
      <c r="D3421">
        <v>2</v>
      </c>
      <c r="E3421">
        <v>10</v>
      </c>
      <c r="F3421" t="s">
        <v>225</v>
      </c>
      <c r="G3421" t="s">
        <v>131</v>
      </c>
    </row>
    <row r="3422" spans="1:7" x14ac:dyDescent="0.25">
      <c r="A3422">
        <v>99</v>
      </c>
      <c r="B3422">
        <v>4124</v>
      </c>
      <c r="C3422">
        <v>0</v>
      </c>
      <c r="D3422">
        <v>2</v>
      </c>
      <c r="E3422">
        <v>10</v>
      </c>
      <c r="F3422" t="s">
        <v>225</v>
      </c>
      <c r="G3422" t="s">
        <v>131</v>
      </c>
    </row>
    <row r="3423" spans="1:7" hidden="1" x14ac:dyDescent="0.25">
      <c r="A3423">
        <v>99</v>
      </c>
      <c r="B3423">
        <v>5932</v>
      </c>
      <c r="C3423">
        <v>0</v>
      </c>
      <c r="D3423">
        <v>2</v>
      </c>
      <c r="E3423">
        <v>10</v>
      </c>
      <c r="F3423" t="s">
        <v>225</v>
      </c>
      <c r="G3423" t="s">
        <v>131</v>
      </c>
    </row>
    <row r="3424" spans="1:7" hidden="1" x14ac:dyDescent="0.25">
      <c r="A3424">
        <v>99</v>
      </c>
      <c r="B3424">
        <v>5992</v>
      </c>
      <c r="C3424">
        <v>0</v>
      </c>
      <c r="D3424">
        <v>2</v>
      </c>
      <c r="E3424">
        <v>10</v>
      </c>
      <c r="F3424" t="s">
        <v>225</v>
      </c>
      <c r="G3424" t="s">
        <v>131</v>
      </c>
    </row>
    <row r="3425" spans="1:7" hidden="1" x14ac:dyDescent="0.25">
      <c r="A3425">
        <v>99</v>
      </c>
      <c r="B3425">
        <v>7260</v>
      </c>
      <c r="C3425">
        <v>0</v>
      </c>
      <c r="D3425">
        <v>2</v>
      </c>
      <c r="E3425">
        <v>10</v>
      </c>
      <c r="F3425" t="s">
        <v>225</v>
      </c>
      <c r="G3425" t="s">
        <v>131</v>
      </c>
    </row>
    <row r="3426" spans="1:7" hidden="1" x14ac:dyDescent="0.25">
      <c r="A3426">
        <v>99</v>
      </c>
      <c r="B3426">
        <v>8804</v>
      </c>
      <c r="C3426">
        <v>0</v>
      </c>
      <c r="D3426">
        <v>2</v>
      </c>
      <c r="E3426">
        <v>10</v>
      </c>
      <c r="F3426" t="s">
        <v>225</v>
      </c>
      <c r="G3426" t="s">
        <v>131</v>
      </c>
    </row>
    <row r="3427" spans="1:7" hidden="1" x14ac:dyDescent="0.25">
      <c r="A3427">
        <v>99</v>
      </c>
      <c r="B3427">
        <v>9176</v>
      </c>
      <c r="C3427">
        <v>0</v>
      </c>
      <c r="D3427">
        <v>2</v>
      </c>
      <c r="E3427">
        <v>10</v>
      </c>
      <c r="F3427" t="s">
        <v>225</v>
      </c>
      <c r="G3427" t="s">
        <v>131</v>
      </c>
    </row>
    <row r="3428" spans="1:7" hidden="1" x14ac:dyDescent="0.25">
      <c r="A3428">
        <v>99</v>
      </c>
      <c r="B3428">
        <v>9256</v>
      </c>
      <c r="C3428">
        <v>0</v>
      </c>
      <c r="D3428">
        <v>2</v>
      </c>
      <c r="E3428">
        <v>10</v>
      </c>
      <c r="F3428" t="s">
        <v>225</v>
      </c>
      <c r="G3428" t="s">
        <v>131</v>
      </c>
    </row>
    <row r="3429" spans="1:7" hidden="1" x14ac:dyDescent="0.25">
      <c r="A3429">
        <v>99</v>
      </c>
      <c r="B3429">
        <v>9752</v>
      </c>
      <c r="C3429">
        <v>0</v>
      </c>
      <c r="D3429">
        <v>2</v>
      </c>
      <c r="E3429">
        <v>10</v>
      </c>
      <c r="F3429" t="s">
        <v>225</v>
      </c>
      <c r="G3429" t="s">
        <v>131</v>
      </c>
    </row>
    <row r="3430" spans="1:7" hidden="1" x14ac:dyDescent="0.25">
      <c r="A3430">
        <v>99</v>
      </c>
      <c r="B3430">
        <v>10364</v>
      </c>
      <c r="C3430">
        <v>0</v>
      </c>
      <c r="D3430">
        <v>2</v>
      </c>
      <c r="E3430">
        <v>10</v>
      </c>
      <c r="F3430" t="s">
        <v>225</v>
      </c>
      <c r="G3430" t="s">
        <v>131</v>
      </c>
    </row>
    <row r="3431" spans="1:7" hidden="1" x14ac:dyDescent="0.25">
      <c r="A3431">
        <v>50</v>
      </c>
      <c r="B3431">
        <v>476</v>
      </c>
      <c r="C3431">
        <v>0</v>
      </c>
      <c r="D3431">
        <v>2</v>
      </c>
      <c r="E3431">
        <v>2</v>
      </c>
      <c r="F3431" t="s">
        <v>217</v>
      </c>
      <c r="G3431" t="s">
        <v>118</v>
      </c>
    </row>
    <row r="3432" spans="1:7" hidden="1" x14ac:dyDescent="0.25">
      <c r="A3432">
        <v>50</v>
      </c>
      <c r="B3432">
        <v>1264</v>
      </c>
      <c r="C3432">
        <v>0</v>
      </c>
      <c r="D3432">
        <v>2</v>
      </c>
      <c r="E3432">
        <v>2</v>
      </c>
      <c r="F3432" t="s">
        <v>217</v>
      </c>
      <c r="G3432" t="s">
        <v>118</v>
      </c>
    </row>
    <row r="3433" spans="1:7" hidden="1" x14ac:dyDescent="0.25">
      <c r="A3433">
        <v>50</v>
      </c>
      <c r="B3433">
        <v>4228</v>
      </c>
      <c r="C3433">
        <v>0</v>
      </c>
      <c r="D3433">
        <v>2</v>
      </c>
      <c r="E3433">
        <v>2</v>
      </c>
      <c r="F3433" t="s">
        <v>217</v>
      </c>
      <c r="G3433" t="s">
        <v>118</v>
      </c>
    </row>
    <row r="3434" spans="1:7" hidden="1" x14ac:dyDescent="0.25">
      <c r="A3434">
        <v>50</v>
      </c>
      <c r="B3434">
        <v>5004</v>
      </c>
      <c r="C3434">
        <v>0</v>
      </c>
      <c r="D3434">
        <v>2</v>
      </c>
      <c r="E3434">
        <v>2</v>
      </c>
      <c r="F3434" t="s">
        <v>217</v>
      </c>
      <c r="G3434" t="s">
        <v>118</v>
      </c>
    </row>
    <row r="3435" spans="1:7" hidden="1" x14ac:dyDescent="0.25">
      <c r="A3435">
        <v>50</v>
      </c>
      <c r="B3435">
        <v>7283</v>
      </c>
      <c r="C3435">
        <v>0</v>
      </c>
      <c r="D3435">
        <v>2</v>
      </c>
      <c r="E3435">
        <v>2</v>
      </c>
      <c r="F3435" t="s">
        <v>217</v>
      </c>
      <c r="G3435" t="s">
        <v>118</v>
      </c>
    </row>
    <row r="3436" spans="1:7" hidden="1" x14ac:dyDescent="0.25">
      <c r="A3436">
        <v>50</v>
      </c>
      <c r="B3436">
        <v>7284</v>
      </c>
      <c r="C3436">
        <v>0</v>
      </c>
      <c r="D3436">
        <v>2</v>
      </c>
      <c r="E3436">
        <v>2</v>
      </c>
      <c r="F3436" t="s">
        <v>217</v>
      </c>
      <c r="G3436" t="s">
        <v>118</v>
      </c>
    </row>
    <row r="3437" spans="1:7" hidden="1" x14ac:dyDescent="0.25">
      <c r="A3437">
        <v>50</v>
      </c>
      <c r="B3437">
        <v>9356</v>
      </c>
      <c r="C3437">
        <v>0</v>
      </c>
      <c r="D3437">
        <v>2</v>
      </c>
      <c r="E3437">
        <v>2</v>
      </c>
      <c r="F3437" t="s">
        <v>217</v>
      </c>
      <c r="G3437" t="s">
        <v>118</v>
      </c>
    </row>
    <row r="3438" spans="1:7" hidden="1" x14ac:dyDescent="0.25">
      <c r="A3438">
        <v>50</v>
      </c>
      <c r="B3438">
        <v>10592</v>
      </c>
      <c r="C3438">
        <v>0</v>
      </c>
      <c r="D3438">
        <v>2</v>
      </c>
      <c r="E3438">
        <v>2</v>
      </c>
      <c r="F3438" t="s">
        <v>217</v>
      </c>
      <c r="G3438" t="s">
        <v>118</v>
      </c>
    </row>
    <row r="3439" spans="1:7" hidden="1" x14ac:dyDescent="0.25">
      <c r="A3439">
        <v>99</v>
      </c>
      <c r="B3439">
        <v>2168</v>
      </c>
      <c r="C3439">
        <v>0</v>
      </c>
      <c r="D3439">
        <v>2</v>
      </c>
      <c r="E3439">
        <v>2</v>
      </c>
      <c r="F3439" t="s">
        <v>217</v>
      </c>
      <c r="G3439" t="s">
        <v>118</v>
      </c>
    </row>
    <row r="3440" spans="1:7" hidden="1" x14ac:dyDescent="0.25">
      <c r="A3440">
        <v>99</v>
      </c>
      <c r="B3440">
        <v>2472</v>
      </c>
      <c r="C3440">
        <v>0</v>
      </c>
      <c r="D3440">
        <v>2</v>
      </c>
      <c r="E3440">
        <v>2</v>
      </c>
      <c r="F3440" t="s">
        <v>217</v>
      </c>
      <c r="G3440" t="s">
        <v>118</v>
      </c>
    </row>
    <row r="3441" spans="1:7" hidden="1" x14ac:dyDescent="0.25">
      <c r="A3441">
        <v>99</v>
      </c>
      <c r="B3441">
        <v>3056</v>
      </c>
      <c r="C3441">
        <v>0</v>
      </c>
      <c r="D3441">
        <v>2</v>
      </c>
      <c r="E3441">
        <v>2</v>
      </c>
      <c r="F3441" t="s">
        <v>217</v>
      </c>
      <c r="G3441" t="s">
        <v>118</v>
      </c>
    </row>
    <row r="3442" spans="1:7" hidden="1" x14ac:dyDescent="0.25">
      <c r="A3442">
        <v>99</v>
      </c>
      <c r="B3442">
        <v>3100</v>
      </c>
      <c r="C3442">
        <v>0</v>
      </c>
      <c r="D3442">
        <v>2</v>
      </c>
      <c r="E3442">
        <v>2</v>
      </c>
      <c r="F3442" t="s">
        <v>217</v>
      </c>
      <c r="G3442" t="s">
        <v>118</v>
      </c>
    </row>
    <row r="3443" spans="1:7" x14ac:dyDescent="0.25">
      <c r="A3443">
        <v>99</v>
      </c>
      <c r="B3443">
        <v>4124</v>
      </c>
      <c r="C3443">
        <v>0</v>
      </c>
      <c r="D3443">
        <v>2</v>
      </c>
      <c r="E3443">
        <v>2</v>
      </c>
      <c r="F3443" t="s">
        <v>217</v>
      </c>
      <c r="G3443" t="s">
        <v>118</v>
      </c>
    </row>
    <row r="3444" spans="1:7" hidden="1" x14ac:dyDescent="0.25">
      <c r="A3444">
        <v>99</v>
      </c>
      <c r="B3444">
        <v>5932</v>
      </c>
      <c r="C3444">
        <v>0</v>
      </c>
      <c r="D3444">
        <v>2</v>
      </c>
      <c r="E3444">
        <v>2</v>
      </c>
      <c r="F3444" t="s">
        <v>217</v>
      </c>
      <c r="G3444" t="s">
        <v>118</v>
      </c>
    </row>
    <row r="3445" spans="1:7" hidden="1" x14ac:dyDescent="0.25">
      <c r="A3445">
        <v>99</v>
      </c>
      <c r="B3445">
        <v>5992</v>
      </c>
      <c r="C3445">
        <v>0</v>
      </c>
      <c r="D3445">
        <v>2</v>
      </c>
      <c r="E3445">
        <v>2</v>
      </c>
      <c r="F3445" t="s">
        <v>217</v>
      </c>
      <c r="G3445" t="s">
        <v>118</v>
      </c>
    </row>
    <row r="3446" spans="1:7" hidden="1" x14ac:dyDescent="0.25">
      <c r="A3446">
        <v>99</v>
      </c>
      <c r="B3446">
        <v>7260</v>
      </c>
      <c r="C3446">
        <v>0</v>
      </c>
      <c r="D3446">
        <v>2</v>
      </c>
      <c r="E3446">
        <v>2</v>
      </c>
      <c r="F3446" t="s">
        <v>217</v>
      </c>
      <c r="G3446" t="s">
        <v>118</v>
      </c>
    </row>
    <row r="3447" spans="1:7" hidden="1" x14ac:dyDescent="0.25">
      <c r="A3447">
        <v>99</v>
      </c>
      <c r="B3447">
        <v>8804</v>
      </c>
      <c r="C3447">
        <v>0</v>
      </c>
      <c r="D3447">
        <v>2</v>
      </c>
      <c r="E3447">
        <v>2</v>
      </c>
      <c r="F3447" t="s">
        <v>217</v>
      </c>
      <c r="G3447" t="s">
        <v>118</v>
      </c>
    </row>
    <row r="3448" spans="1:7" hidden="1" x14ac:dyDescent="0.25">
      <c r="A3448">
        <v>99</v>
      </c>
      <c r="B3448">
        <v>9176</v>
      </c>
      <c r="C3448">
        <v>0</v>
      </c>
      <c r="D3448">
        <v>2</v>
      </c>
      <c r="E3448">
        <v>2</v>
      </c>
      <c r="F3448" t="s">
        <v>217</v>
      </c>
      <c r="G3448" t="s">
        <v>118</v>
      </c>
    </row>
    <row r="3449" spans="1:7" hidden="1" x14ac:dyDescent="0.25">
      <c r="A3449">
        <v>99</v>
      </c>
      <c r="B3449">
        <v>9256</v>
      </c>
      <c r="C3449">
        <v>0</v>
      </c>
      <c r="D3449">
        <v>2</v>
      </c>
      <c r="E3449">
        <v>2</v>
      </c>
      <c r="F3449" t="s">
        <v>217</v>
      </c>
      <c r="G3449" t="s">
        <v>118</v>
      </c>
    </row>
    <row r="3450" spans="1:7" hidden="1" x14ac:dyDescent="0.25">
      <c r="A3450">
        <v>99</v>
      </c>
      <c r="B3450">
        <v>9752</v>
      </c>
      <c r="C3450">
        <v>0</v>
      </c>
      <c r="D3450">
        <v>2</v>
      </c>
      <c r="E3450">
        <v>2</v>
      </c>
      <c r="F3450" t="s">
        <v>217</v>
      </c>
      <c r="G3450" t="s">
        <v>118</v>
      </c>
    </row>
    <row r="3451" spans="1:7" hidden="1" x14ac:dyDescent="0.25">
      <c r="A3451">
        <v>99</v>
      </c>
      <c r="B3451">
        <v>10364</v>
      </c>
      <c r="C3451">
        <v>0</v>
      </c>
      <c r="D3451">
        <v>2</v>
      </c>
      <c r="E3451">
        <v>2</v>
      </c>
      <c r="F3451" t="s">
        <v>217</v>
      </c>
      <c r="G3451" t="s">
        <v>118</v>
      </c>
    </row>
    <row r="3452" spans="1:7" hidden="1" x14ac:dyDescent="0.25">
      <c r="A3452">
        <v>50</v>
      </c>
      <c r="B3452">
        <v>476</v>
      </c>
      <c r="C3452">
        <v>0</v>
      </c>
      <c r="D3452">
        <v>2</v>
      </c>
      <c r="E3452">
        <v>1</v>
      </c>
      <c r="F3452" t="s">
        <v>216</v>
      </c>
      <c r="G3452" t="s">
        <v>127</v>
      </c>
    </row>
    <row r="3453" spans="1:7" hidden="1" x14ac:dyDescent="0.25">
      <c r="A3453">
        <v>50</v>
      </c>
      <c r="B3453">
        <v>1264</v>
      </c>
      <c r="C3453">
        <v>0</v>
      </c>
      <c r="D3453">
        <v>2</v>
      </c>
      <c r="E3453">
        <v>1</v>
      </c>
      <c r="F3453" t="s">
        <v>216</v>
      </c>
      <c r="G3453" t="s">
        <v>127</v>
      </c>
    </row>
    <row r="3454" spans="1:7" hidden="1" x14ac:dyDescent="0.25">
      <c r="A3454">
        <v>50</v>
      </c>
      <c r="B3454">
        <v>4228</v>
      </c>
      <c r="C3454">
        <v>0</v>
      </c>
      <c r="D3454">
        <v>2</v>
      </c>
      <c r="E3454">
        <v>1</v>
      </c>
      <c r="F3454" t="s">
        <v>216</v>
      </c>
      <c r="G3454" t="s">
        <v>127</v>
      </c>
    </row>
    <row r="3455" spans="1:7" hidden="1" x14ac:dyDescent="0.25">
      <c r="A3455">
        <v>50</v>
      </c>
      <c r="B3455">
        <v>5004</v>
      </c>
      <c r="C3455">
        <v>0</v>
      </c>
      <c r="D3455">
        <v>2</v>
      </c>
      <c r="E3455">
        <v>1</v>
      </c>
      <c r="F3455" t="s">
        <v>216</v>
      </c>
      <c r="G3455" t="s">
        <v>127</v>
      </c>
    </row>
    <row r="3456" spans="1:7" hidden="1" x14ac:dyDescent="0.25">
      <c r="A3456">
        <v>50</v>
      </c>
      <c r="B3456">
        <v>7283</v>
      </c>
      <c r="C3456">
        <v>0</v>
      </c>
      <c r="D3456">
        <v>2</v>
      </c>
      <c r="E3456">
        <v>1</v>
      </c>
      <c r="F3456" t="s">
        <v>216</v>
      </c>
      <c r="G3456" t="s">
        <v>127</v>
      </c>
    </row>
    <row r="3457" spans="1:7" hidden="1" x14ac:dyDescent="0.25">
      <c r="A3457">
        <v>50</v>
      </c>
      <c r="B3457">
        <v>7284</v>
      </c>
      <c r="C3457">
        <v>0</v>
      </c>
      <c r="D3457">
        <v>2</v>
      </c>
      <c r="E3457">
        <v>1</v>
      </c>
      <c r="F3457" t="s">
        <v>216</v>
      </c>
      <c r="G3457" t="s">
        <v>127</v>
      </c>
    </row>
    <row r="3458" spans="1:7" hidden="1" x14ac:dyDescent="0.25">
      <c r="A3458">
        <v>50</v>
      </c>
      <c r="B3458">
        <v>9356</v>
      </c>
      <c r="C3458">
        <v>0</v>
      </c>
      <c r="D3458">
        <v>2</v>
      </c>
      <c r="E3458">
        <v>1</v>
      </c>
      <c r="F3458" t="s">
        <v>216</v>
      </c>
      <c r="G3458" t="s">
        <v>127</v>
      </c>
    </row>
    <row r="3459" spans="1:7" hidden="1" x14ac:dyDescent="0.25">
      <c r="A3459">
        <v>50</v>
      </c>
      <c r="B3459">
        <v>10592</v>
      </c>
      <c r="C3459">
        <v>0</v>
      </c>
      <c r="D3459">
        <v>2</v>
      </c>
      <c r="E3459">
        <v>1</v>
      </c>
      <c r="F3459" t="s">
        <v>216</v>
      </c>
      <c r="G3459" t="s">
        <v>127</v>
      </c>
    </row>
    <row r="3460" spans="1:7" hidden="1" x14ac:dyDescent="0.25">
      <c r="A3460">
        <v>99</v>
      </c>
      <c r="B3460">
        <v>2168</v>
      </c>
      <c r="C3460">
        <v>0</v>
      </c>
      <c r="D3460">
        <v>2</v>
      </c>
      <c r="E3460">
        <v>1</v>
      </c>
      <c r="F3460" t="s">
        <v>216</v>
      </c>
      <c r="G3460" t="s">
        <v>127</v>
      </c>
    </row>
    <row r="3461" spans="1:7" hidden="1" x14ac:dyDescent="0.25">
      <c r="A3461">
        <v>99</v>
      </c>
      <c r="B3461">
        <v>2472</v>
      </c>
      <c r="C3461">
        <v>0</v>
      </c>
      <c r="D3461">
        <v>2</v>
      </c>
      <c r="E3461">
        <v>1</v>
      </c>
      <c r="F3461" t="s">
        <v>216</v>
      </c>
      <c r="G3461" t="s">
        <v>127</v>
      </c>
    </row>
    <row r="3462" spans="1:7" hidden="1" x14ac:dyDescent="0.25">
      <c r="A3462">
        <v>99</v>
      </c>
      <c r="B3462">
        <v>3056</v>
      </c>
      <c r="C3462">
        <v>0</v>
      </c>
      <c r="D3462">
        <v>2</v>
      </c>
      <c r="E3462">
        <v>1</v>
      </c>
      <c r="F3462" t="s">
        <v>216</v>
      </c>
      <c r="G3462" t="s">
        <v>127</v>
      </c>
    </row>
    <row r="3463" spans="1:7" hidden="1" x14ac:dyDescent="0.25">
      <c r="A3463">
        <v>99</v>
      </c>
      <c r="B3463">
        <v>3100</v>
      </c>
      <c r="C3463">
        <v>0</v>
      </c>
      <c r="D3463">
        <v>2</v>
      </c>
      <c r="E3463">
        <v>1</v>
      </c>
      <c r="F3463" t="s">
        <v>216</v>
      </c>
      <c r="G3463" t="s">
        <v>127</v>
      </c>
    </row>
    <row r="3464" spans="1:7" x14ac:dyDescent="0.25">
      <c r="A3464">
        <v>99</v>
      </c>
      <c r="B3464">
        <v>4124</v>
      </c>
      <c r="C3464">
        <v>0</v>
      </c>
      <c r="D3464">
        <v>2</v>
      </c>
      <c r="E3464">
        <v>1</v>
      </c>
      <c r="F3464" t="s">
        <v>216</v>
      </c>
      <c r="G3464" t="s">
        <v>127</v>
      </c>
    </row>
    <row r="3465" spans="1:7" hidden="1" x14ac:dyDescent="0.25">
      <c r="A3465">
        <v>99</v>
      </c>
      <c r="B3465">
        <v>5932</v>
      </c>
      <c r="C3465">
        <v>0</v>
      </c>
      <c r="D3465">
        <v>2</v>
      </c>
      <c r="E3465">
        <v>1</v>
      </c>
      <c r="F3465" t="s">
        <v>216</v>
      </c>
      <c r="G3465" t="s">
        <v>127</v>
      </c>
    </row>
    <row r="3466" spans="1:7" hidden="1" x14ac:dyDescent="0.25">
      <c r="A3466">
        <v>99</v>
      </c>
      <c r="B3466">
        <v>5992</v>
      </c>
      <c r="C3466">
        <v>0</v>
      </c>
      <c r="D3466">
        <v>2</v>
      </c>
      <c r="E3466">
        <v>1</v>
      </c>
      <c r="F3466" t="s">
        <v>216</v>
      </c>
      <c r="G3466" t="s">
        <v>127</v>
      </c>
    </row>
    <row r="3467" spans="1:7" hidden="1" x14ac:dyDescent="0.25">
      <c r="A3467">
        <v>99</v>
      </c>
      <c r="B3467">
        <v>7260</v>
      </c>
      <c r="C3467">
        <v>0</v>
      </c>
      <c r="D3467">
        <v>2</v>
      </c>
      <c r="E3467">
        <v>1</v>
      </c>
      <c r="F3467" t="s">
        <v>216</v>
      </c>
      <c r="G3467" t="s">
        <v>127</v>
      </c>
    </row>
    <row r="3468" spans="1:7" hidden="1" x14ac:dyDescent="0.25">
      <c r="A3468">
        <v>99</v>
      </c>
      <c r="B3468">
        <v>8804</v>
      </c>
      <c r="C3468">
        <v>0</v>
      </c>
      <c r="D3468">
        <v>2</v>
      </c>
      <c r="E3468">
        <v>1</v>
      </c>
      <c r="F3468" t="s">
        <v>216</v>
      </c>
      <c r="G3468" t="s">
        <v>127</v>
      </c>
    </row>
    <row r="3469" spans="1:7" hidden="1" x14ac:dyDescent="0.25">
      <c r="A3469">
        <v>99</v>
      </c>
      <c r="B3469">
        <v>9176</v>
      </c>
      <c r="C3469">
        <v>0</v>
      </c>
      <c r="D3469">
        <v>2</v>
      </c>
      <c r="E3469">
        <v>1</v>
      </c>
      <c r="F3469" t="s">
        <v>216</v>
      </c>
      <c r="G3469" t="s">
        <v>127</v>
      </c>
    </row>
    <row r="3470" spans="1:7" hidden="1" x14ac:dyDescent="0.25">
      <c r="A3470">
        <v>99</v>
      </c>
      <c r="B3470">
        <v>9256</v>
      </c>
      <c r="C3470">
        <v>0</v>
      </c>
      <c r="D3470">
        <v>2</v>
      </c>
      <c r="E3470">
        <v>1</v>
      </c>
      <c r="F3470" t="s">
        <v>216</v>
      </c>
      <c r="G3470" t="s">
        <v>127</v>
      </c>
    </row>
    <row r="3471" spans="1:7" hidden="1" x14ac:dyDescent="0.25">
      <c r="A3471">
        <v>99</v>
      </c>
      <c r="B3471">
        <v>9752</v>
      </c>
      <c r="C3471">
        <v>0</v>
      </c>
      <c r="D3471">
        <v>2</v>
      </c>
      <c r="E3471">
        <v>1</v>
      </c>
      <c r="F3471" t="s">
        <v>216</v>
      </c>
      <c r="G3471" t="s">
        <v>127</v>
      </c>
    </row>
    <row r="3472" spans="1:7" hidden="1" x14ac:dyDescent="0.25">
      <c r="A3472">
        <v>99</v>
      </c>
      <c r="B3472">
        <v>10364</v>
      </c>
      <c r="C3472">
        <v>0</v>
      </c>
      <c r="D3472">
        <v>2</v>
      </c>
      <c r="E3472">
        <v>1</v>
      </c>
      <c r="F3472" t="s">
        <v>216</v>
      </c>
      <c r="G3472" t="s">
        <v>127</v>
      </c>
    </row>
    <row r="3473" spans="1:7" hidden="1" x14ac:dyDescent="0.25">
      <c r="A3473">
        <v>50</v>
      </c>
      <c r="B3473">
        <v>476</v>
      </c>
      <c r="C3473">
        <v>0</v>
      </c>
      <c r="D3473">
        <v>2</v>
      </c>
      <c r="E3473">
        <v>0</v>
      </c>
      <c r="F3473" t="s">
        <v>215</v>
      </c>
      <c r="G3473" t="s">
        <v>337</v>
      </c>
    </row>
    <row r="3474" spans="1:7" hidden="1" x14ac:dyDescent="0.25">
      <c r="A3474">
        <v>50</v>
      </c>
      <c r="B3474">
        <v>1264</v>
      </c>
      <c r="C3474">
        <v>0</v>
      </c>
      <c r="D3474">
        <v>2</v>
      </c>
      <c r="E3474">
        <v>0</v>
      </c>
      <c r="F3474" t="s">
        <v>215</v>
      </c>
      <c r="G3474" t="s">
        <v>337</v>
      </c>
    </row>
    <row r="3475" spans="1:7" hidden="1" x14ac:dyDescent="0.25">
      <c r="A3475">
        <v>50</v>
      </c>
      <c r="B3475">
        <v>4228</v>
      </c>
      <c r="C3475">
        <v>0</v>
      </c>
      <c r="D3475">
        <v>2</v>
      </c>
      <c r="E3475">
        <v>0</v>
      </c>
      <c r="F3475" t="s">
        <v>215</v>
      </c>
      <c r="G3475" t="s">
        <v>337</v>
      </c>
    </row>
    <row r="3476" spans="1:7" hidden="1" x14ac:dyDescent="0.25">
      <c r="A3476">
        <v>50</v>
      </c>
      <c r="B3476">
        <v>5004</v>
      </c>
      <c r="C3476">
        <v>0</v>
      </c>
      <c r="D3476">
        <v>2</v>
      </c>
      <c r="E3476">
        <v>0</v>
      </c>
      <c r="F3476" t="s">
        <v>215</v>
      </c>
      <c r="G3476" t="s">
        <v>337</v>
      </c>
    </row>
    <row r="3477" spans="1:7" hidden="1" x14ac:dyDescent="0.25">
      <c r="A3477">
        <v>50</v>
      </c>
      <c r="B3477">
        <v>7283</v>
      </c>
      <c r="C3477">
        <v>0</v>
      </c>
      <c r="D3477">
        <v>2</v>
      </c>
      <c r="E3477">
        <v>0</v>
      </c>
      <c r="F3477" t="s">
        <v>215</v>
      </c>
      <c r="G3477" t="s">
        <v>337</v>
      </c>
    </row>
    <row r="3478" spans="1:7" hidden="1" x14ac:dyDescent="0.25">
      <c r="A3478">
        <v>50</v>
      </c>
      <c r="B3478">
        <v>7284</v>
      </c>
      <c r="C3478">
        <v>0</v>
      </c>
      <c r="D3478">
        <v>2</v>
      </c>
      <c r="E3478">
        <v>0</v>
      </c>
      <c r="F3478" t="s">
        <v>215</v>
      </c>
      <c r="G3478" t="s">
        <v>337</v>
      </c>
    </row>
    <row r="3479" spans="1:7" hidden="1" x14ac:dyDescent="0.25">
      <c r="A3479">
        <v>50</v>
      </c>
      <c r="B3479">
        <v>9356</v>
      </c>
      <c r="C3479">
        <v>0</v>
      </c>
      <c r="D3479">
        <v>2</v>
      </c>
      <c r="E3479">
        <v>0</v>
      </c>
      <c r="F3479" t="s">
        <v>215</v>
      </c>
      <c r="G3479" t="s">
        <v>337</v>
      </c>
    </row>
    <row r="3480" spans="1:7" hidden="1" x14ac:dyDescent="0.25">
      <c r="A3480">
        <v>50</v>
      </c>
      <c r="B3480">
        <v>10592</v>
      </c>
      <c r="C3480">
        <v>0</v>
      </c>
      <c r="D3480">
        <v>2</v>
      </c>
      <c r="E3480">
        <v>0</v>
      </c>
      <c r="F3480" t="s">
        <v>215</v>
      </c>
      <c r="G3480" t="s">
        <v>337</v>
      </c>
    </row>
    <row r="3481" spans="1:7" hidden="1" x14ac:dyDescent="0.25">
      <c r="A3481">
        <v>99</v>
      </c>
      <c r="B3481">
        <v>2168</v>
      </c>
      <c r="C3481">
        <v>0</v>
      </c>
      <c r="D3481">
        <v>2</v>
      </c>
      <c r="E3481">
        <v>0</v>
      </c>
      <c r="F3481" t="s">
        <v>215</v>
      </c>
      <c r="G3481" t="s">
        <v>126</v>
      </c>
    </row>
    <row r="3482" spans="1:7" hidden="1" x14ac:dyDescent="0.25">
      <c r="A3482">
        <v>99</v>
      </c>
      <c r="B3482">
        <v>2472</v>
      </c>
      <c r="C3482">
        <v>0</v>
      </c>
      <c r="D3482">
        <v>2</v>
      </c>
      <c r="E3482">
        <v>0</v>
      </c>
      <c r="F3482" t="s">
        <v>215</v>
      </c>
      <c r="G3482" t="s">
        <v>126</v>
      </c>
    </row>
    <row r="3483" spans="1:7" hidden="1" x14ac:dyDescent="0.25">
      <c r="A3483">
        <v>99</v>
      </c>
      <c r="B3483">
        <v>3056</v>
      </c>
      <c r="C3483">
        <v>0</v>
      </c>
      <c r="D3483">
        <v>2</v>
      </c>
      <c r="E3483">
        <v>0</v>
      </c>
      <c r="F3483" t="s">
        <v>215</v>
      </c>
      <c r="G3483" t="s">
        <v>126</v>
      </c>
    </row>
    <row r="3484" spans="1:7" hidden="1" x14ac:dyDescent="0.25">
      <c r="A3484">
        <v>99</v>
      </c>
      <c r="B3484">
        <v>3100</v>
      </c>
      <c r="C3484">
        <v>0</v>
      </c>
      <c r="D3484">
        <v>2</v>
      </c>
      <c r="E3484">
        <v>0</v>
      </c>
      <c r="F3484" t="s">
        <v>215</v>
      </c>
      <c r="G3484" t="s">
        <v>126</v>
      </c>
    </row>
    <row r="3485" spans="1:7" x14ac:dyDescent="0.25">
      <c r="A3485">
        <v>99</v>
      </c>
      <c r="B3485">
        <v>4124</v>
      </c>
      <c r="C3485">
        <v>0</v>
      </c>
      <c r="D3485">
        <v>2</v>
      </c>
      <c r="E3485">
        <v>0</v>
      </c>
      <c r="F3485" t="s">
        <v>215</v>
      </c>
      <c r="G3485" t="s">
        <v>126</v>
      </c>
    </row>
    <row r="3486" spans="1:7" hidden="1" x14ac:dyDescent="0.25">
      <c r="A3486">
        <v>99</v>
      </c>
      <c r="B3486">
        <v>5932</v>
      </c>
      <c r="C3486">
        <v>0</v>
      </c>
      <c r="D3486">
        <v>2</v>
      </c>
      <c r="E3486">
        <v>0</v>
      </c>
      <c r="F3486" t="s">
        <v>215</v>
      </c>
      <c r="G3486" t="s">
        <v>126</v>
      </c>
    </row>
    <row r="3487" spans="1:7" hidden="1" x14ac:dyDescent="0.25">
      <c r="A3487">
        <v>99</v>
      </c>
      <c r="B3487">
        <v>5992</v>
      </c>
      <c r="C3487">
        <v>0</v>
      </c>
      <c r="D3487">
        <v>2</v>
      </c>
      <c r="E3487">
        <v>0</v>
      </c>
      <c r="F3487" t="s">
        <v>215</v>
      </c>
      <c r="G3487" t="s">
        <v>126</v>
      </c>
    </row>
    <row r="3488" spans="1:7" hidden="1" x14ac:dyDescent="0.25">
      <c r="A3488">
        <v>99</v>
      </c>
      <c r="B3488">
        <v>7260</v>
      </c>
      <c r="C3488">
        <v>0</v>
      </c>
      <c r="D3488">
        <v>2</v>
      </c>
      <c r="E3488">
        <v>0</v>
      </c>
      <c r="F3488" t="s">
        <v>215</v>
      </c>
      <c r="G3488" t="s">
        <v>126</v>
      </c>
    </row>
    <row r="3489" spans="1:7" hidden="1" x14ac:dyDescent="0.25">
      <c r="A3489">
        <v>99</v>
      </c>
      <c r="B3489">
        <v>8804</v>
      </c>
      <c r="C3489">
        <v>0</v>
      </c>
      <c r="D3489">
        <v>2</v>
      </c>
      <c r="E3489">
        <v>0</v>
      </c>
      <c r="F3489" t="s">
        <v>215</v>
      </c>
      <c r="G3489" t="s">
        <v>126</v>
      </c>
    </row>
    <row r="3490" spans="1:7" hidden="1" x14ac:dyDescent="0.25">
      <c r="A3490">
        <v>99</v>
      </c>
      <c r="B3490">
        <v>9176</v>
      </c>
      <c r="C3490">
        <v>0</v>
      </c>
      <c r="D3490">
        <v>2</v>
      </c>
      <c r="E3490">
        <v>0</v>
      </c>
      <c r="F3490" t="s">
        <v>215</v>
      </c>
      <c r="G3490" t="s">
        <v>126</v>
      </c>
    </row>
    <row r="3491" spans="1:7" hidden="1" x14ac:dyDescent="0.25">
      <c r="A3491">
        <v>99</v>
      </c>
      <c r="B3491">
        <v>9256</v>
      </c>
      <c r="C3491">
        <v>0</v>
      </c>
      <c r="D3491">
        <v>2</v>
      </c>
      <c r="E3491">
        <v>0</v>
      </c>
      <c r="F3491" t="s">
        <v>215</v>
      </c>
      <c r="G3491" t="s">
        <v>126</v>
      </c>
    </row>
    <row r="3492" spans="1:7" hidden="1" x14ac:dyDescent="0.25">
      <c r="A3492">
        <v>99</v>
      </c>
      <c r="B3492">
        <v>9752</v>
      </c>
      <c r="C3492">
        <v>0</v>
      </c>
      <c r="D3492">
        <v>2</v>
      </c>
      <c r="E3492">
        <v>0</v>
      </c>
      <c r="F3492" t="s">
        <v>215</v>
      </c>
      <c r="G3492" t="s">
        <v>126</v>
      </c>
    </row>
    <row r="3493" spans="1:7" hidden="1" x14ac:dyDescent="0.25">
      <c r="A3493">
        <v>99</v>
      </c>
      <c r="B3493">
        <v>10364</v>
      </c>
      <c r="C3493">
        <v>0</v>
      </c>
      <c r="D3493">
        <v>2</v>
      </c>
      <c r="E3493">
        <v>0</v>
      </c>
      <c r="F3493" t="s">
        <v>215</v>
      </c>
      <c r="G3493" t="s">
        <v>126</v>
      </c>
    </row>
    <row r="3494" spans="1:7" hidden="1" x14ac:dyDescent="0.25">
      <c r="A3494">
        <v>50</v>
      </c>
      <c r="B3494">
        <v>476</v>
      </c>
      <c r="C3494">
        <v>0</v>
      </c>
      <c r="D3494">
        <v>2</v>
      </c>
      <c r="E3494">
        <v>5</v>
      </c>
      <c r="F3494" t="s">
        <v>220</v>
      </c>
      <c r="G3494" t="s">
        <v>124</v>
      </c>
    </row>
    <row r="3495" spans="1:7" hidden="1" x14ac:dyDescent="0.25">
      <c r="A3495">
        <v>50</v>
      </c>
      <c r="B3495">
        <v>1264</v>
      </c>
      <c r="C3495">
        <v>0</v>
      </c>
      <c r="D3495">
        <v>2</v>
      </c>
      <c r="E3495">
        <v>5</v>
      </c>
      <c r="F3495" t="s">
        <v>220</v>
      </c>
      <c r="G3495" t="s">
        <v>124</v>
      </c>
    </row>
    <row r="3496" spans="1:7" hidden="1" x14ac:dyDescent="0.25">
      <c r="A3496">
        <v>50</v>
      </c>
      <c r="B3496">
        <v>4228</v>
      </c>
      <c r="C3496">
        <v>0</v>
      </c>
      <c r="D3496">
        <v>2</v>
      </c>
      <c r="E3496">
        <v>5</v>
      </c>
      <c r="F3496" t="s">
        <v>220</v>
      </c>
      <c r="G3496" t="s">
        <v>124</v>
      </c>
    </row>
    <row r="3497" spans="1:7" hidden="1" x14ac:dyDescent="0.25">
      <c r="A3497">
        <v>50</v>
      </c>
      <c r="B3497">
        <v>5004</v>
      </c>
      <c r="C3497">
        <v>0</v>
      </c>
      <c r="D3497">
        <v>2</v>
      </c>
      <c r="E3497">
        <v>5</v>
      </c>
      <c r="F3497" t="s">
        <v>220</v>
      </c>
      <c r="G3497" t="s">
        <v>124</v>
      </c>
    </row>
    <row r="3498" spans="1:7" hidden="1" x14ac:dyDescent="0.25">
      <c r="A3498">
        <v>50</v>
      </c>
      <c r="B3498">
        <v>7283</v>
      </c>
      <c r="C3498">
        <v>0</v>
      </c>
      <c r="D3498">
        <v>2</v>
      </c>
      <c r="E3498">
        <v>5</v>
      </c>
      <c r="F3498" t="s">
        <v>220</v>
      </c>
      <c r="G3498" t="s">
        <v>124</v>
      </c>
    </row>
    <row r="3499" spans="1:7" hidden="1" x14ac:dyDescent="0.25">
      <c r="A3499">
        <v>50</v>
      </c>
      <c r="B3499">
        <v>7284</v>
      </c>
      <c r="C3499">
        <v>0</v>
      </c>
      <c r="D3499">
        <v>2</v>
      </c>
      <c r="E3499">
        <v>5</v>
      </c>
      <c r="F3499" t="s">
        <v>220</v>
      </c>
      <c r="G3499" t="s">
        <v>124</v>
      </c>
    </row>
    <row r="3500" spans="1:7" hidden="1" x14ac:dyDescent="0.25">
      <c r="A3500">
        <v>50</v>
      </c>
      <c r="B3500">
        <v>9356</v>
      </c>
      <c r="C3500">
        <v>0</v>
      </c>
      <c r="D3500">
        <v>2</v>
      </c>
      <c r="E3500">
        <v>5</v>
      </c>
      <c r="F3500" t="s">
        <v>220</v>
      </c>
      <c r="G3500" t="s">
        <v>124</v>
      </c>
    </row>
    <row r="3501" spans="1:7" hidden="1" x14ac:dyDescent="0.25">
      <c r="A3501">
        <v>50</v>
      </c>
      <c r="B3501">
        <v>10592</v>
      </c>
      <c r="C3501">
        <v>0</v>
      </c>
      <c r="D3501">
        <v>2</v>
      </c>
      <c r="E3501">
        <v>5</v>
      </c>
      <c r="F3501" t="s">
        <v>220</v>
      </c>
      <c r="G3501" t="s">
        <v>124</v>
      </c>
    </row>
    <row r="3502" spans="1:7" hidden="1" x14ac:dyDescent="0.25">
      <c r="A3502">
        <v>99</v>
      </c>
      <c r="B3502">
        <v>2168</v>
      </c>
      <c r="C3502">
        <v>0</v>
      </c>
      <c r="D3502">
        <v>2</v>
      </c>
      <c r="E3502">
        <v>5</v>
      </c>
      <c r="F3502" t="s">
        <v>220</v>
      </c>
      <c r="G3502" t="s">
        <v>124</v>
      </c>
    </row>
    <row r="3503" spans="1:7" hidden="1" x14ac:dyDescent="0.25">
      <c r="A3503">
        <v>99</v>
      </c>
      <c r="B3503">
        <v>2472</v>
      </c>
      <c r="C3503">
        <v>0</v>
      </c>
      <c r="D3503">
        <v>2</v>
      </c>
      <c r="E3503">
        <v>5</v>
      </c>
      <c r="F3503" t="s">
        <v>220</v>
      </c>
      <c r="G3503" t="s">
        <v>124</v>
      </c>
    </row>
    <row r="3504" spans="1:7" hidden="1" x14ac:dyDescent="0.25">
      <c r="A3504">
        <v>99</v>
      </c>
      <c r="B3504">
        <v>3056</v>
      </c>
      <c r="C3504">
        <v>0</v>
      </c>
      <c r="D3504">
        <v>2</v>
      </c>
      <c r="E3504">
        <v>5</v>
      </c>
      <c r="F3504" t="s">
        <v>220</v>
      </c>
      <c r="G3504" t="s">
        <v>124</v>
      </c>
    </row>
    <row r="3505" spans="1:7" hidden="1" x14ac:dyDescent="0.25">
      <c r="A3505">
        <v>99</v>
      </c>
      <c r="B3505">
        <v>3100</v>
      </c>
      <c r="C3505">
        <v>0</v>
      </c>
      <c r="D3505">
        <v>2</v>
      </c>
      <c r="E3505">
        <v>5</v>
      </c>
      <c r="F3505" t="s">
        <v>220</v>
      </c>
      <c r="G3505" t="s">
        <v>124</v>
      </c>
    </row>
    <row r="3506" spans="1:7" x14ac:dyDescent="0.25">
      <c r="A3506">
        <v>99</v>
      </c>
      <c r="B3506">
        <v>4124</v>
      </c>
      <c r="C3506">
        <v>0</v>
      </c>
      <c r="D3506">
        <v>2</v>
      </c>
      <c r="E3506">
        <v>5</v>
      </c>
      <c r="F3506" t="s">
        <v>220</v>
      </c>
      <c r="G3506" t="s">
        <v>124</v>
      </c>
    </row>
    <row r="3507" spans="1:7" hidden="1" x14ac:dyDescent="0.25">
      <c r="A3507">
        <v>99</v>
      </c>
      <c r="B3507">
        <v>5932</v>
      </c>
      <c r="C3507">
        <v>0</v>
      </c>
      <c r="D3507">
        <v>2</v>
      </c>
      <c r="E3507">
        <v>5</v>
      </c>
      <c r="F3507" t="s">
        <v>220</v>
      </c>
      <c r="G3507" t="s">
        <v>124</v>
      </c>
    </row>
    <row r="3508" spans="1:7" hidden="1" x14ac:dyDescent="0.25">
      <c r="A3508">
        <v>99</v>
      </c>
      <c r="B3508">
        <v>5992</v>
      </c>
      <c r="C3508">
        <v>0</v>
      </c>
      <c r="D3508">
        <v>2</v>
      </c>
      <c r="E3508">
        <v>5</v>
      </c>
      <c r="F3508" t="s">
        <v>220</v>
      </c>
      <c r="G3508" t="s">
        <v>124</v>
      </c>
    </row>
    <row r="3509" spans="1:7" hidden="1" x14ac:dyDescent="0.25">
      <c r="A3509">
        <v>99</v>
      </c>
      <c r="B3509">
        <v>7260</v>
      </c>
      <c r="C3509">
        <v>0</v>
      </c>
      <c r="D3509">
        <v>2</v>
      </c>
      <c r="E3509">
        <v>5</v>
      </c>
      <c r="F3509" t="s">
        <v>220</v>
      </c>
      <c r="G3509" t="s">
        <v>124</v>
      </c>
    </row>
    <row r="3510" spans="1:7" hidden="1" x14ac:dyDescent="0.25">
      <c r="A3510">
        <v>99</v>
      </c>
      <c r="B3510">
        <v>8804</v>
      </c>
      <c r="C3510">
        <v>0</v>
      </c>
      <c r="D3510">
        <v>2</v>
      </c>
      <c r="E3510">
        <v>5</v>
      </c>
      <c r="F3510" t="s">
        <v>220</v>
      </c>
      <c r="G3510" t="s">
        <v>124</v>
      </c>
    </row>
    <row r="3511" spans="1:7" hidden="1" x14ac:dyDescent="0.25">
      <c r="A3511">
        <v>99</v>
      </c>
      <c r="B3511">
        <v>9176</v>
      </c>
      <c r="C3511">
        <v>0</v>
      </c>
      <c r="D3511">
        <v>2</v>
      </c>
      <c r="E3511">
        <v>5</v>
      </c>
      <c r="F3511" t="s">
        <v>220</v>
      </c>
      <c r="G3511" t="s">
        <v>124</v>
      </c>
    </row>
    <row r="3512" spans="1:7" hidden="1" x14ac:dyDescent="0.25">
      <c r="A3512">
        <v>99</v>
      </c>
      <c r="B3512">
        <v>9256</v>
      </c>
      <c r="C3512">
        <v>0</v>
      </c>
      <c r="D3512">
        <v>2</v>
      </c>
      <c r="E3512">
        <v>5</v>
      </c>
      <c r="F3512" t="s">
        <v>220</v>
      </c>
      <c r="G3512" t="s">
        <v>124</v>
      </c>
    </row>
    <row r="3513" spans="1:7" hidden="1" x14ac:dyDescent="0.25">
      <c r="A3513">
        <v>99</v>
      </c>
      <c r="B3513">
        <v>9752</v>
      </c>
      <c r="C3513">
        <v>0</v>
      </c>
      <c r="D3513">
        <v>2</v>
      </c>
      <c r="E3513">
        <v>5</v>
      </c>
      <c r="F3513" t="s">
        <v>220</v>
      </c>
      <c r="G3513" t="s">
        <v>124</v>
      </c>
    </row>
    <row r="3514" spans="1:7" hidden="1" x14ac:dyDescent="0.25">
      <c r="A3514">
        <v>99</v>
      </c>
      <c r="B3514">
        <v>10364</v>
      </c>
      <c r="C3514">
        <v>0</v>
      </c>
      <c r="D3514">
        <v>2</v>
      </c>
      <c r="E3514">
        <v>5</v>
      </c>
      <c r="F3514" t="s">
        <v>220</v>
      </c>
      <c r="G3514" t="s">
        <v>124</v>
      </c>
    </row>
    <row r="3515" spans="1:7" hidden="1" x14ac:dyDescent="0.25">
      <c r="A3515">
        <v>50</v>
      </c>
      <c r="B3515">
        <v>476</v>
      </c>
      <c r="C3515">
        <v>0</v>
      </c>
      <c r="D3515">
        <v>2</v>
      </c>
      <c r="E3515">
        <v>3</v>
      </c>
      <c r="F3515" t="s">
        <v>218</v>
      </c>
      <c r="G3515" t="s">
        <v>128</v>
      </c>
    </row>
    <row r="3516" spans="1:7" hidden="1" x14ac:dyDescent="0.25">
      <c r="A3516">
        <v>50</v>
      </c>
      <c r="B3516">
        <v>1264</v>
      </c>
      <c r="C3516">
        <v>0</v>
      </c>
      <c r="D3516">
        <v>2</v>
      </c>
      <c r="E3516">
        <v>3</v>
      </c>
      <c r="F3516" t="s">
        <v>218</v>
      </c>
      <c r="G3516" t="s">
        <v>128</v>
      </c>
    </row>
    <row r="3517" spans="1:7" hidden="1" x14ac:dyDescent="0.25">
      <c r="A3517">
        <v>50</v>
      </c>
      <c r="B3517">
        <v>4228</v>
      </c>
      <c r="C3517">
        <v>0</v>
      </c>
      <c r="D3517">
        <v>2</v>
      </c>
      <c r="E3517">
        <v>3</v>
      </c>
      <c r="F3517" t="s">
        <v>218</v>
      </c>
      <c r="G3517" t="s">
        <v>128</v>
      </c>
    </row>
    <row r="3518" spans="1:7" hidden="1" x14ac:dyDescent="0.25">
      <c r="A3518">
        <v>50</v>
      </c>
      <c r="B3518">
        <v>5004</v>
      </c>
      <c r="C3518">
        <v>0</v>
      </c>
      <c r="D3518">
        <v>2</v>
      </c>
      <c r="E3518">
        <v>3</v>
      </c>
      <c r="F3518" t="s">
        <v>218</v>
      </c>
      <c r="G3518" t="s">
        <v>128</v>
      </c>
    </row>
    <row r="3519" spans="1:7" hidden="1" x14ac:dyDescent="0.25">
      <c r="A3519">
        <v>50</v>
      </c>
      <c r="B3519">
        <v>7283</v>
      </c>
      <c r="C3519">
        <v>0</v>
      </c>
      <c r="D3519">
        <v>2</v>
      </c>
      <c r="E3519">
        <v>3</v>
      </c>
      <c r="F3519" t="s">
        <v>218</v>
      </c>
      <c r="G3519" t="s">
        <v>128</v>
      </c>
    </row>
    <row r="3520" spans="1:7" hidden="1" x14ac:dyDescent="0.25">
      <c r="A3520">
        <v>50</v>
      </c>
      <c r="B3520">
        <v>7284</v>
      </c>
      <c r="C3520">
        <v>0</v>
      </c>
      <c r="D3520">
        <v>2</v>
      </c>
      <c r="E3520">
        <v>3</v>
      </c>
      <c r="F3520" t="s">
        <v>218</v>
      </c>
      <c r="G3520" t="s">
        <v>128</v>
      </c>
    </row>
    <row r="3521" spans="1:7" hidden="1" x14ac:dyDescent="0.25">
      <c r="A3521">
        <v>50</v>
      </c>
      <c r="B3521">
        <v>9356</v>
      </c>
      <c r="C3521">
        <v>0</v>
      </c>
      <c r="D3521">
        <v>2</v>
      </c>
      <c r="E3521">
        <v>3</v>
      </c>
      <c r="F3521" t="s">
        <v>218</v>
      </c>
      <c r="G3521" t="s">
        <v>128</v>
      </c>
    </row>
    <row r="3522" spans="1:7" hidden="1" x14ac:dyDescent="0.25">
      <c r="A3522">
        <v>50</v>
      </c>
      <c r="B3522">
        <v>10592</v>
      </c>
      <c r="C3522">
        <v>0</v>
      </c>
      <c r="D3522">
        <v>2</v>
      </c>
      <c r="E3522">
        <v>3</v>
      </c>
      <c r="F3522" t="s">
        <v>218</v>
      </c>
      <c r="G3522" t="s">
        <v>128</v>
      </c>
    </row>
    <row r="3523" spans="1:7" hidden="1" x14ac:dyDescent="0.25">
      <c r="A3523">
        <v>99</v>
      </c>
      <c r="B3523">
        <v>2168</v>
      </c>
      <c r="C3523">
        <v>0</v>
      </c>
      <c r="D3523">
        <v>2</v>
      </c>
      <c r="E3523">
        <v>3</v>
      </c>
      <c r="F3523" t="s">
        <v>218</v>
      </c>
      <c r="G3523" t="s">
        <v>128</v>
      </c>
    </row>
    <row r="3524" spans="1:7" hidden="1" x14ac:dyDescent="0.25">
      <c r="A3524">
        <v>99</v>
      </c>
      <c r="B3524">
        <v>2472</v>
      </c>
      <c r="C3524">
        <v>0</v>
      </c>
      <c r="D3524">
        <v>2</v>
      </c>
      <c r="E3524">
        <v>3</v>
      </c>
      <c r="F3524" t="s">
        <v>218</v>
      </c>
      <c r="G3524" t="s">
        <v>128</v>
      </c>
    </row>
    <row r="3525" spans="1:7" hidden="1" x14ac:dyDescent="0.25">
      <c r="A3525">
        <v>99</v>
      </c>
      <c r="B3525">
        <v>3056</v>
      </c>
      <c r="C3525">
        <v>0</v>
      </c>
      <c r="D3525">
        <v>2</v>
      </c>
      <c r="E3525">
        <v>3</v>
      </c>
      <c r="F3525" t="s">
        <v>218</v>
      </c>
      <c r="G3525" t="s">
        <v>128</v>
      </c>
    </row>
    <row r="3526" spans="1:7" hidden="1" x14ac:dyDescent="0.25">
      <c r="A3526">
        <v>99</v>
      </c>
      <c r="B3526">
        <v>3100</v>
      </c>
      <c r="C3526">
        <v>0</v>
      </c>
      <c r="D3526">
        <v>2</v>
      </c>
      <c r="E3526">
        <v>3</v>
      </c>
      <c r="F3526" t="s">
        <v>218</v>
      </c>
      <c r="G3526" t="s">
        <v>128</v>
      </c>
    </row>
    <row r="3527" spans="1:7" x14ac:dyDescent="0.25">
      <c r="A3527">
        <v>99</v>
      </c>
      <c r="B3527">
        <v>4124</v>
      </c>
      <c r="C3527">
        <v>0</v>
      </c>
      <c r="D3527">
        <v>2</v>
      </c>
      <c r="E3527">
        <v>3</v>
      </c>
      <c r="F3527" t="s">
        <v>218</v>
      </c>
      <c r="G3527" t="s">
        <v>128</v>
      </c>
    </row>
    <row r="3528" spans="1:7" hidden="1" x14ac:dyDescent="0.25">
      <c r="A3528">
        <v>99</v>
      </c>
      <c r="B3528">
        <v>5932</v>
      </c>
      <c r="C3528">
        <v>0</v>
      </c>
      <c r="D3528">
        <v>2</v>
      </c>
      <c r="E3528">
        <v>3</v>
      </c>
      <c r="F3528" t="s">
        <v>218</v>
      </c>
      <c r="G3528" t="s">
        <v>128</v>
      </c>
    </row>
    <row r="3529" spans="1:7" hidden="1" x14ac:dyDescent="0.25">
      <c r="A3529">
        <v>99</v>
      </c>
      <c r="B3529">
        <v>5992</v>
      </c>
      <c r="C3529">
        <v>0</v>
      </c>
      <c r="D3529">
        <v>2</v>
      </c>
      <c r="E3529">
        <v>3</v>
      </c>
      <c r="F3529" t="s">
        <v>218</v>
      </c>
      <c r="G3529" t="s">
        <v>128</v>
      </c>
    </row>
    <row r="3530" spans="1:7" hidden="1" x14ac:dyDescent="0.25">
      <c r="A3530">
        <v>99</v>
      </c>
      <c r="B3530">
        <v>7260</v>
      </c>
      <c r="C3530">
        <v>0</v>
      </c>
      <c r="D3530">
        <v>2</v>
      </c>
      <c r="E3530">
        <v>3</v>
      </c>
      <c r="F3530" t="s">
        <v>218</v>
      </c>
      <c r="G3530" t="s">
        <v>128</v>
      </c>
    </row>
    <row r="3531" spans="1:7" hidden="1" x14ac:dyDescent="0.25">
      <c r="A3531">
        <v>99</v>
      </c>
      <c r="B3531">
        <v>8804</v>
      </c>
      <c r="C3531">
        <v>0</v>
      </c>
      <c r="D3531">
        <v>2</v>
      </c>
      <c r="E3531">
        <v>3</v>
      </c>
      <c r="F3531" t="s">
        <v>218</v>
      </c>
      <c r="G3531" t="s">
        <v>128</v>
      </c>
    </row>
    <row r="3532" spans="1:7" hidden="1" x14ac:dyDescent="0.25">
      <c r="A3532">
        <v>99</v>
      </c>
      <c r="B3532">
        <v>9176</v>
      </c>
      <c r="C3532">
        <v>0</v>
      </c>
      <c r="D3532">
        <v>2</v>
      </c>
      <c r="E3532">
        <v>3</v>
      </c>
      <c r="F3532" t="s">
        <v>218</v>
      </c>
      <c r="G3532" t="s">
        <v>128</v>
      </c>
    </row>
    <row r="3533" spans="1:7" hidden="1" x14ac:dyDescent="0.25">
      <c r="A3533">
        <v>99</v>
      </c>
      <c r="B3533">
        <v>9256</v>
      </c>
      <c r="C3533">
        <v>0</v>
      </c>
      <c r="D3533">
        <v>2</v>
      </c>
      <c r="E3533">
        <v>3</v>
      </c>
      <c r="F3533" t="s">
        <v>218</v>
      </c>
      <c r="G3533" t="s">
        <v>128</v>
      </c>
    </row>
    <row r="3534" spans="1:7" hidden="1" x14ac:dyDescent="0.25">
      <c r="A3534">
        <v>99</v>
      </c>
      <c r="B3534">
        <v>9752</v>
      </c>
      <c r="C3534">
        <v>0</v>
      </c>
      <c r="D3534">
        <v>2</v>
      </c>
      <c r="E3534">
        <v>3</v>
      </c>
      <c r="F3534" t="s">
        <v>218</v>
      </c>
      <c r="G3534" t="s">
        <v>128</v>
      </c>
    </row>
    <row r="3535" spans="1:7" hidden="1" x14ac:dyDescent="0.25">
      <c r="A3535">
        <v>99</v>
      </c>
      <c r="B3535">
        <v>10364</v>
      </c>
      <c r="C3535">
        <v>0</v>
      </c>
      <c r="D3535">
        <v>2</v>
      </c>
      <c r="E3535">
        <v>3</v>
      </c>
      <c r="F3535" t="s">
        <v>218</v>
      </c>
      <c r="G3535" t="s">
        <v>128</v>
      </c>
    </row>
    <row r="3536" spans="1:7" hidden="1" x14ac:dyDescent="0.25">
      <c r="A3536">
        <v>50</v>
      </c>
      <c r="B3536">
        <v>476</v>
      </c>
      <c r="C3536">
        <v>0</v>
      </c>
      <c r="D3536">
        <v>2</v>
      </c>
      <c r="E3536">
        <v>4</v>
      </c>
      <c r="F3536" t="s">
        <v>219</v>
      </c>
      <c r="G3536" t="s">
        <v>129</v>
      </c>
    </row>
    <row r="3537" spans="1:7" hidden="1" x14ac:dyDescent="0.25">
      <c r="A3537">
        <v>50</v>
      </c>
      <c r="B3537">
        <v>1264</v>
      </c>
      <c r="C3537">
        <v>0</v>
      </c>
      <c r="D3537">
        <v>2</v>
      </c>
      <c r="E3537">
        <v>4</v>
      </c>
      <c r="F3537" t="s">
        <v>219</v>
      </c>
      <c r="G3537" t="s">
        <v>129</v>
      </c>
    </row>
    <row r="3538" spans="1:7" hidden="1" x14ac:dyDescent="0.25">
      <c r="A3538">
        <v>50</v>
      </c>
      <c r="B3538">
        <v>4228</v>
      </c>
      <c r="C3538">
        <v>0</v>
      </c>
      <c r="D3538">
        <v>2</v>
      </c>
      <c r="E3538">
        <v>4</v>
      </c>
      <c r="F3538" t="s">
        <v>219</v>
      </c>
      <c r="G3538" t="s">
        <v>129</v>
      </c>
    </row>
    <row r="3539" spans="1:7" hidden="1" x14ac:dyDescent="0.25">
      <c r="A3539">
        <v>50</v>
      </c>
      <c r="B3539">
        <v>5004</v>
      </c>
      <c r="C3539">
        <v>0</v>
      </c>
      <c r="D3539">
        <v>2</v>
      </c>
      <c r="E3539">
        <v>4</v>
      </c>
      <c r="F3539" t="s">
        <v>219</v>
      </c>
      <c r="G3539" t="s">
        <v>129</v>
      </c>
    </row>
    <row r="3540" spans="1:7" hidden="1" x14ac:dyDescent="0.25">
      <c r="A3540">
        <v>50</v>
      </c>
      <c r="B3540">
        <v>7283</v>
      </c>
      <c r="C3540">
        <v>0</v>
      </c>
      <c r="D3540">
        <v>2</v>
      </c>
      <c r="E3540">
        <v>4</v>
      </c>
      <c r="F3540" t="s">
        <v>219</v>
      </c>
      <c r="G3540" t="s">
        <v>129</v>
      </c>
    </row>
    <row r="3541" spans="1:7" hidden="1" x14ac:dyDescent="0.25">
      <c r="A3541">
        <v>50</v>
      </c>
      <c r="B3541">
        <v>7284</v>
      </c>
      <c r="C3541">
        <v>0</v>
      </c>
      <c r="D3541">
        <v>2</v>
      </c>
      <c r="E3541">
        <v>4</v>
      </c>
      <c r="F3541" t="s">
        <v>219</v>
      </c>
      <c r="G3541" t="s">
        <v>129</v>
      </c>
    </row>
    <row r="3542" spans="1:7" hidden="1" x14ac:dyDescent="0.25">
      <c r="A3542">
        <v>50</v>
      </c>
      <c r="B3542">
        <v>9356</v>
      </c>
      <c r="C3542">
        <v>0</v>
      </c>
      <c r="D3542">
        <v>2</v>
      </c>
      <c r="E3542">
        <v>4</v>
      </c>
      <c r="F3542" t="s">
        <v>219</v>
      </c>
      <c r="G3542" t="s">
        <v>129</v>
      </c>
    </row>
    <row r="3543" spans="1:7" hidden="1" x14ac:dyDescent="0.25">
      <c r="A3543">
        <v>50</v>
      </c>
      <c r="B3543">
        <v>10592</v>
      </c>
      <c r="C3543">
        <v>0</v>
      </c>
      <c r="D3543">
        <v>2</v>
      </c>
      <c r="E3543">
        <v>4</v>
      </c>
      <c r="F3543" t="s">
        <v>219</v>
      </c>
      <c r="G3543" t="s">
        <v>129</v>
      </c>
    </row>
    <row r="3544" spans="1:7" hidden="1" x14ac:dyDescent="0.25">
      <c r="A3544">
        <v>99</v>
      </c>
      <c r="B3544">
        <v>2168</v>
      </c>
      <c r="C3544">
        <v>0</v>
      </c>
      <c r="D3544">
        <v>2</v>
      </c>
      <c r="E3544">
        <v>4</v>
      </c>
      <c r="F3544" t="s">
        <v>219</v>
      </c>
      <c r="G3544" t="s">
        <v>129</v>
      </c>
    </row>
    <row r="3545" spans="1:7" hidden="1" x14ac:dyDescent="0.25">
      <c r="A3545">
        <v>99</v>
      </c>
      <c r="B3545">
        <v>2472</v>
      </c>
      <c r="C3545">
        <v>0</v>
      </c>
      <c r="D3545">
        <v>2</v>
      </c>
      <c r="E3545">
        <v>4</v>
      </c>
      <c r="F3545" t="s">
        <v>219</v>
      </c>
      <c r="G3545" t="s">
        <v>129</v>
      </c>
    </row>
    <row r="3546" spans="1:7" hidden="1" x14ac:dyDescent="0.25">
      <c r="A3546">
        <v>99</v>
      </c>
      <c r="B3546">
        <v>3056</v>
      </c>
      <c r="C3546">
        <v>0</v>
      </c>
      <c r="D3546">
        <v>2</v>
      </c>
      <c r="E3546">
        <v>4</v>
      </c>
      <c r="F3546" t="s">
        <v>219</v>
      </c>
      <c r="G3546" t="s">
        <v>129</v>
      </c>
    </row>
    <row r="3547" spans="1:7" hidden="1" x14ac:dyDescent="0.25">
      <c r="A3547">
        <v>99</v>
      </c>
      <c r="B3547">
        <v>3100</v>
      </c>
      <c r="C3547">
        <v>0</v>
      </c>
      <c r="D3547">
        <v>2</v>
      </c>
      <c r="E3547">
        <v>4</v>
      </c>
      <c r="F3547" t="s">
        <v>219</v>
      </c>
      <c r="G3547" t="s">
        <v>129</v>
      </c>
    </row>
    <row r="3548" spans="1:7" x14ac:dyDescent="0.25">
      <c r="A3548">
        <v>99</v>
      </c>
      <c r="B3548">
        <v>4124</v>
      </c>
      <c r="C3548">
        <v>0</v>
      </c>
      <c r="D3548">
        <v>2</v>
      </c>
      <c r="E3548">
        <v>4</v>
      </c>
      <c r="F3548" t="s">
        <v>219</v>
      </c>
      <c r="G3548" t="s">
        <v>129</v>
      </c>
    </row>
    <row r="3549" spans="1:7" hidden="1" x14ac:dyDescent="0.25">
      <c r="A3549">
        <v>99</v>
      </c>
      <c r="B3549">
        <v>5932</v>
      </c>
      <c r="C3549">
        <v>0</v>
      </c>
      <c r="D3549">
        <v>2</v>
      </c>
      <c r="E3549">
        <v>4</v>
      </c>
      <c r="F3549" t="s">
        <v>219</v>
      </c>
      <c r="G3549" t="s">
        <v>129</v>
      </c>
    </row>
    <row r="3550" spans="1:7" hidden="1" x14ac:dyDescent="0.25">
      <c r="A3550">
        <v>99</v>
      </c>
      <c r="B3550">
        <v>5992</v>
      </c>
      <c r="C3550">
        <v>0</v>
      </c>
      <c r="D3550">
        <v>2</v>
      </c>
      <c r="E3550">
        <v>4</v>
      </c>
      <c r="F3550" t="s">
        <v>219</v>
      </c>
      <c r="G3550" t="s">
        <v>129</v>
      </c>
    </row>
    <row r="3551" spans="1:7" hidden="1" x14ac:dyDescent="0.25">
      <c r="A3551">
        <v>99</v>
      </c>
      <c r="B3551">
        <v>7260</v>
      </c>
      <c r="C3551">
        <v>0</v>
      </c>
      <c r="D3551">
        <v>2</v>
      </c>
      <c r="E3551">
        <v>4</v>
      </c>
      <c r="F3551" t="s">
        <v>219</v>
      </c>
      <c r="G3551" t="s">
        <v>129</v>
      </c>
    </row>
    <row r="3552" spans="1:7" hidden="1" x14ac:dyDescent="0.25">
      <c r="A3552">
        <v>99</v>
      </c>
      <c r="B3552">
        <v>8804</v>
      </c>
      <c r="C3552">
        <v>0</v>
      </c>
      <c r="D3552">
        <v>2</v>
      </c>
      <c r="E3552">
        <v>4</v>
      </c>
      <c r="F3552" t="s">
        <v>219</v>
      </c>
      <c r="G3552" t="s">
        <v>129</v>
      </c>
    </row>
    <row r="3553" spans="1:7" hidden="1" x14ac:dyDescent="0.25">
      <c r="A3553">
        <v>99</v>
      </c>
      <c r="B3553">
        <v>9176</v>
      </c>
      <c r="C3553">
        <v>0</v>
      </c>
      <c r="D3553">
        <v>2</v>
      </c>
      <c r="E3553">
        <v>4</v>
      </c>
      <c r="F3553" t="s">
        <v>219</v>
      </c>
      <c r="G3553" t="s">
        <v>129</v>
      </c>
    </row>
    <row r="3554" spans="1:7" hidden="1" x14ac:dyDescent="0.25">
      <c r="A3554">
        <v>99</v>
      </c>
      <c r="B3554">
        <v>9256</v>
      </c>
      <c r="C3554">
        <v>0</v>
      </c>
      <c r="D3554">
        <v>2</v>
      </c>
      <c r="E3554">
        <v>4</v>
      </c>
      <c r="F3554" t="s">
        <v>219</v>
      </c>
      <c r="G3554" t="s">
        <v>129</v>
      </c>
    </row>
    <row r="3555" spans="1:7" hidden="1" x14ac:dyDescent="0.25">
      <c r="A3555">
        <v>99</v>
      </c>
      <c r="B3555">
        <v>9752</v>
      </c>
      <c r="C3555">
        <v>0</v>
      </c>
      <c r="D3555">
        <v>2</v>
      </c>
      <c r="E3555">
        <v>4</v>
      </c>
      <c r="F3555" t="s">
        <v>219</v>
      </c>
      <c r="G3555" t="s">
        <v>129</v>
      </c>
    </row>
    <row r="3556" spans="1:7" hidden="1" x14ac:dyDescent="0.25">
      <c r="A3556">
        <v>99</v>
      </c>
      <c r="B3556">
        <v>10364</v>
      </c>
      <c r="C3556">
        <v>0</v>
      </c>
      <c r="D3556">
        <v>2</v>
      </c>
      <c r="E3556">
        <v>4</v>
      </c>
      <c r="F3556" t="s">
        <v>219</v>
      </c>
      <c r="G3556" t="s">
        <v>129</v>
      </c>
    </row>
    <row r="3557" spans="1:7" hidden="1" x14ac:dyDescent="0.25">
      <c r="A3557">
        <v>50</v>
      </c>
      <c r="B3557">
        <v>476</v>
      </c>
      <c r="C3557">
        <v>0</v>
      </c>
      <c r="D3557">
        <v>2</v>
      </c>
      <c r="E3557">
        <v>6</v>
      </c>
      <c r="F3557" t="s">
        <v>221</v>
      </c>
      <c r="G3557" t="s">
        <v>338</v>
      </c>
    </row>
    <row r="3558" spans="1:7" hidden="1" x14ac:dyDescent="0.25">
      <c r="A3558">
        <v>50</v>
      </c>
      <c r="B3558">
        <v>1264</v>
      </c>
      <c r="C3558">
        <v>0</v>
      </c>
      <c r="D3558">
        <v>2</v>
      </c>
      <c r="E3558">
        <v>6</v>
      </c>
      <c r="F3558" t="s">
        <v>221</v>
      </c>
      <c r="G3558" t="s">
        <v>338</v>
      </c>
    </row>
    <row r="3559" spans="1:7" hidden="1" x14ac:dyDescent="0.25">
      <c r="A3559">
        <v>50</v>
      </c>
      <c r="B3559">
        <v>4228</v>
      </c>
      <c r="C3559">
        <v>0</v>
      </c>
      <c r="D3559">
        <v>2</v>
      </c>
      <c r="E3559">
        <v>6</v>
      </c>
      <c r="F3559" t="s">
        <v>221</v>
      </c>
      <c r="G3559" t="s">
        <v>338</v>
      </c>
    </row>
    <row r="3560" spans="1:7" hidden="1" x14ac:dyDescent="0.25">
      <c r="A3560">
        <v>50</v>
      </c>
      <c r="B3560">
        <v>5004</v>
      </c>
      <c r="C3560">
        <v>0</v>
      </c>
      <c r="D3560">
        <v>2</v>
      </c>
      <c r="E3560">
        <v>6</v>
      </c>
      <c r="F3560" t="s">
        <v>221</v>
      </c>
      <c r="G3560" t="s">
        <v>338</v>
      </c>
    </row>
    <row r="3561" spans="1:7" hidden="1" x14ac:dyDescent="0.25">
      <c r="A3561">
        <v>50</v>
      </c>
      <c r="B3561">
        <v>7283</v>
      </c>
      <c r="C3561">
        <v>0</v>
      </c>
      <c r="D3561">
        <v>2</v>
      </c>
      <c r="E3561">
        <v>6</v>
      </c>
      <c r="F3561" t="s">
        <v>221</v>
      </c>
      <c r="G3561" t="s">
        <v>338</v>
      </c>
    </row>
    <row r="3562" spans="1:7" hidden="1" x14ac:dyDescent="0.25">
      <c r="A3562">
        <v>50</v>
      </c>
      <c r="B3562">
        <v>7284</v>
      </c>
      <c r="C3562">
        <v>0</v>
      </c>
      <c r="D3562">
        <v>2</v>
      </c>
      <c r="E3562">
        <v>6</v>
      </c>
      <c r="F3562" t="s">
        <v>221</v>
      </c>
      <c r="G3562" t="s">
        <v>338</v>
      </c>
    </row>
    <row r="3563" spans="1:7" hidden="1" x14ac:dyDescent="0.25">
      <c r="A3563">
        <v>50</v>
      </c>
      <c r="B3563">
        <v>9356</v>
      </c>
      <c r="C3563">
        <v>0</v>
      </c>
      <c r="D3563">
        <v>2</v>
      </c>
      <c r="E3563">
        <v>6</v>
      </c>
      <c r="F3563" t="s">
        <v>221</v>
      </c>
      <c r="G3563" t="s">
        <v>338</v>
      </c>
    </row>
    <row r="3564" spans="1:7" hidden="1" x14ac:dyDescent="0.25">
      <c r="A3564">
        <v>50</v>
      </c>
      <c r="B3564">
        <v>10592</v>
      </c>
      <c r="C3564">
        <v>0</v>
      </c>
      <c r="D3564">
        <v>2</v>
      </c>
      <c r="E3564">
        <v>6</v>
      </c>
      <c r="F3564" t="s">
        <v>221</v>
      </c>
      <c r="G3564" t="s">
        <v>338</v>
      </c>
    </row>
    <row r="3565" spans="1:7" hidden="1" x14ac:dyDescent="0.25">
      <c r="A3565">
        <v>99</v>
      </c>
      <c r="B3565">
        <v>2168</v>
      </c>
      <c r="C3565">
        <v>0</v>
      </c>
      <c r="D3565">
        <v>2</v>
      </c>
      <c r="E3565">
        <v>6</v>
      </c>
      <c r="F3565" t="s">
        <v>221</v>
      </c>
      <c r="G3565" t="s">
        <v>317</v>
      </c>
    </row>
    <row r="3566" spans="1:7" hidden="1" x14ac:dyDescent="0.25">
      <c r="A3566">
        <v>99</v>
      </c>
      <c r="B3566">
        <v>2472</v>
      </c>
      <c r="C3566">
        <v>0</v>
      </c>
      <c r="D3566">
        <v>2</v>
      </c>
      <c r="E3566">
        <v>6</v>
      </c>
      <c r="F3566" t="s">
        <v>221</v>
      </c>
      <c r="G3566" t="s">
        <v>317</v>
      </c>
    </row>
    <row r="3567" spans="1:7" hidden="1" x14ac:dyDescent="0.25">
      <c r="A3567">
        <v>99</v>
      </c>
      <c r="B3567">
        <v>3056</v>
      </c>
      <c r="C3567">
        <v>0</v>
      </c>
      <c r="D3567">
        <v>2</v>
      </c>
      <c r="E3567">
        <v>6</v>
      </c>
      <c r="F3567" t="s">
        <v>221</v>
      </c>
      <c r="G3567" t="s">
        <v>317</v>
      </c>
    </row>
    <row r="3568" spans="1:7" hidden="1" x14ac:dyDescent="0.25">
      <c r="A3568">
        <v>99</v>
      </c>
      <c r="B3568">
        <v>3100</v>
      </c>
      <c r="C3568">
        <v>0</v>
      </c>
      <c r="D3568">
        <v>2</v>
      </c>
      <c r="E3568">
        <v>6</v>
      </c>
      <c r="F3568" t="s">
        <v>221</v>
      </c>
      <c r="G3568" t="s">
        <v>317</v>
      </c>
    </row>
    <row r="3569" spans="1:7" x14ac:dyDescent="0.25">
      <c r="A3569">
        <v>99</v>
      </c>
      <c r="B3569">
        <v>4124</v>
      </c>
      <c r="C3569">
        <v>0</v>
      </c>
      <c r="D3569">
        <v>2</v>
      </c>
      <c r="E3569">
        <v>6</v>
      </c>
      <c r="F3569" t="s">
        <v>221</v>
      </c>
      <c r="G3569" t="s">
        <v>317</v>
      </c>
    </row>
    <row r="3570" spans="1:7" hidden="1" x14ac:dyDescent="0.25">
      <c r="A3570">
        <v>99</v>
      </c>
      <c r="B3570">
        <v>5932</v>
      </c>
      <c r="C3570">
        <v>0</v>
      </c>
      <c r="D3570">
        <v>2</v>
      </c>
      <c r="E3570">
        <v>6</v>
      </c>
      <c r="F3570" t="s">
        <v>221</v>
      </c>
      <c r="G3570" t="s">
        <v>318</v>
      </c>
    </row>
    <row r="3571" spans="1:7" hidden="1" x14ac:dyDescent="0.25">
      <c r="A3571">
        <v>99</v>
      </c>
      <c r="B3571">
        <v>5992</v>
      </c>
      <c r="C3571">
        <v>0</v>
      </c>
      <c r="D3571">
        <v>2</v>
      </c>
      <c r="E3571">
        <v>6</v>
      </c>
      <c r="F3571" t="s">
        <v>221</v>
      </c>
      <c r="G3571" t="s">
        <v>317</v>
      </c>
    </row>
    <row r="3572" spans="1:7" hidden="1" x14ac:dyDescent="0.25">
      <c r="A3572">
        <v>99</v>
      </c>
      <c r="B3572">
        <v>7260</v>
      </c>
      <c r="C3572">
        <v>0</v>
      </c>
      <c r="D3572">
        <v>2</v>
      </c>
      <c r="E3572">
        <v>6</v>
      </c>
      <c r="F3572" t="s">
        <v>221</v>
      </c>
      <c r="G3572" t="s">
        <v>317</v>
      </c>
    </row>
    <row r="3573" spans="1:7" hidden="1" x14ac:dyDescent="0.25">
      <c r="A3573">
        <v>99</v>
      </c>
      <c r="B3573">
        <v>8804</v>
      </c>
      <c r="C3573">
        <v>0</v>
      </c>
      <c r="D3573">
        <v>2</v>
      </c>
      <c r="E3573">
        <v>6</v>
      </c>
      <c r="F3573" t="s">
        <v>221</v>
      </c>
      <c r="G3573" t="s">
        <v>317</v>
      </c>
    </row>
    <row r="3574" spans="1:7" hidden="1" x14ac:dyDescent="0.25">
      <c r="A3574">
        <v>99</v>
      </c>
      <c r="B3574">
        <v>9176</v>
      </c>
      <c r="C3574">
        <v>0</v>
      </c>
      <c r="D3574">
        <v>2</v>
      </c>
      <c r="E3574">
        <v>6</v>
      </c>
      <c r="F3574" t="s">
        <v>221</v>
      </c>
      <c r="G3574" t="s">
        <v>318</v>
      </c>
    </row>
    <row r="3575" spans="1:7" hidden="1" x14ac:dyDescent="0.25">
      <c r="A3575">
        <v>99</v>
      </c>
      <c r="B3575">
        <v>9256</v>
      </c>
      <c r="C3575">
        <v>0</v>
      </c>
      <c r="D3575">
        <v>2</v>
      </c>
      <c r="E3575">
        <v>6</v>
      </c>
      <c r="F3575" t="s">
        <v>221</v>
      </c>
      <c r="G3575" t="s">
        <v>317</v>
      </c>
    </row>
    <row r="3576" spans="1:7" hidden="1" x14ac:dyDescent="0.25">
      <c r="A3576">
        <v>99</v>
      </c>
      <c r="B3576">
        <v>9752</v>
      </c>
      <c r="C3576">
        <v>0</v>
      </c>
      <c r="D3576">
        <v>2</v>
      </c>
      <c r="E3576">
        <v>6</v>
      </c>
      <c r="F3576" t="s">
        <v>221</v>
      </c>
      <c r="G3576" t="s">
        <v>318</v>
      </c>
    </row>
    <row r="3577" spans="1:7" hidden="1" x14ac:dyDescent="0.25">
      <c r="A3577">
        <v>99</v>
      </c>
      <c r="B3577">
        <v>10364</v>
      </c>
      <c r="C3577">
        <v>0</v>
      </c>
      <c r="D3577">
        <v>2</v>
      </c>
      <c r="E3577">
        <v>6</v>
      </c>
      <c r="F3577" t="s">
        <v>221</v>
      </c>
      <c r="G3577" t="s">
        <v>317</v>
      </c>
    </row>
    <row r="3578" spans="1:7" hidden="1" x14ac:dyDescent="0.25">
      <c r="A3578">
        <v>50</v>
      </c>
      <c r="B3578">
        <v>476</v>
      </c>
      <c r="C3578">
        <v>0</v>
      </c>
      <c r="D3578">
        <v>2</v>
      </c>
      <c r="E3578">
        <v>11</v>
      </c>
      <c r="F3578" t="s">
        <v>226</v>
      </c>
      <c r="G3578" t="s">
        <v>155</v>
      </c>
    </row>
    <row r="3579" spans="1:7" hidden="1" x14ac:dyDescent="0.25">
      <c r="A3579">
        <v>50</v>
      </c>
      <c r="B3579">
        <v>1264</v>
      </c>
      <c r="C3579">
        <v>0</v>
      </c>
      <c r="D3579">
        <v>2</v>
      </c>
      <c r="E3579">
        <v>11</v>
      </c>
      <c r="F3579" t="s">
        <v>226</v>
      </c>
      <c r="G3579" t="s">
        <v>155</v>
      </c>
    </row>
    <row r="3580" spans="1:7" hidden="1" x14ac:dyDescent="0.25">
      <c r="A3580">
        <v>50</v>
      </c>
      <c r="B3580">
        <v>4228</v>
      </c>
      <c r="C3580">
        <v>0</v>
      </c>
      <c r="D3580">
        <v>2</v>
      </c>
      <c r="E3580">
        <v>11</v>
      </c>
      <c r="F3580" t="s">
        <v>226</v>
      </c>
      <c r="G3580" t="s">
        <v>155</v>
      </c>
    </row>
    <row r="3581" spans="1:7" hidden="1" x14ac:dyDescent="0.25">
      <c r="A3581">
        <v>50</v>
      </c>
      <c r="B3581">
        <v>5004</v>
      </c>
      <c r="C3581">
        <v>0</v>
      </c>
      <c r="D3581">
        <v>2</v>
      </c>
      <c r="E3581">
        <v>11</v>
      </c>
      <c r="F3581" t="s">
        <v>226</v>
      </c>
      <c r="G3581" t="s">
        <v>155</v>
      </c>
    </row>
    <row r="3582" spans="1:7" hidden="1" x14ac:dyDescent="0.25">
      <c r="A3582">
        <v>50</v>
      </c>
      <c r="B3582">
        <v>7283</v>
      </c>
      <c r="C3582">
        <v>0</v>
      </c>
      <c r="D3582">
        <v>2</v>
      </c>
      <c r="E3582">
        <v>11</v>
      </c>
      <c r="F3582" t="s">
        <v>226</v>
      </c>
      <c r="G3582" t="s">
        <v>155</v>
      </c>
    </row>
    <row r="3583" spans="1:7" hidden="1" x14ac:dyDescent="0.25">
      <c r="A3583">
        <v>50</v>
      </c>
      <c r="B3583">
        <v>7284</v>
      </c>
      <c r="C3583">
        <v>0</v>
      </c>
      <c r="D3583">
        <v>2</v>
      </c>
      <c r="E3583">
        <v>11</v>
      </c>
      <c r="F3583" t="s">
        <v>226</v>
      </c>
      <c r="G3583" t="s">
        <v>155</v>
      </c>
    </row>
    <row r="3584" spans="1:7" hidden="1" x14ac:dyDescent="0.25">
      <c r="A3584">
        <v>50</v>
      </c>
      <c r="B3584">
        <v>9356</v>
      </c>
      <c r="C3584">
        <v>0</v>
      </c>
      <c r="D3584">
        <v>2</v>
      </c>
      <c r="E3584">
        <v>11</v>
      </c>
      <c r="F3584" t="s">
        <v>226</v>
      </c>
      <c r="G3584" t="s">
        <v>155</v>
      </c>
    </row>
    <row r="3585" spans="1:7" hidden="1" x14ac:dyDescent="0.25">
      <c r="A3585">
        <v>50</v>
      </c>
      <c r="B3585">
        <v>10592</v>
      </c>
      <c r="C3585">
        <v>0</v>
      </c>
      <c r="D3585">
        <v>2</v>
      </c>
      <c r="E3585">
        <v>11</v>
      </c>
      <c r="F3585" t="s">
        <v>226</v>
      </c>
      <c r="G3585" t="s">
        <v>155</v>
      </c>
    </row>
    <row r="3586" spans="1:7" hidden="1" x14ac:dyDescent="0.25">
      <c r="A3586">
        <v>99</v>
      </c>
      <c r="B3586">
        <v>2168</v>
      </c>
      <c r="C3586">
        <v>0</v>
      </c>
      <c r="D3586">
        <v>2</v>
      </c>
      <c r="E3586">
        <v>11</v>
      </c>
      <c r="F3586" t="s">
        <v>226</v>
      </c>
      <c r="G3586" t="s">
        <v>155</v>
      </c>
    </row>
    <row r="3587" spans="1:7" hidden="1" x14ac:dyDescent="0.25">
      <c r="A3587">
        <v>99</v>
      </c>
      <c r="B3587">
        <v>2472</v>
      </c>
      <c r="C3587">
        <v>0</v>
      </c>
      <c r="D3587">
        <v>2</v>
      </c>
      <c r="E3587">
        <v>11</v>
      </c>
      <c r="F3587" t="s">
        <v>226</v>
      </c>
      <c r="G3587" t="s">
        <v>155</v>
      </c>
    </row>
    <row r="3588" spans="1:7" hidden="1" x14ac:dyDescent="0.25">
      <c r="A3588">
        <v>99</v>
      </c>
      <c r="B3588">
        <v>3056</v>
      </c>
      <c r="C3588">
        <v>0</v>
      </c>
      <c r="D3588">
        <v>2</v>
      </c>
      <c r="E3588">
        <v>11</v>
      </c>
      <c r="F3588" t="s">
        <v>226</v>
      </c>
      <c r="G3588" t="s">
        <v>155</v>
      </c>
    </row>
    <row r="3589" spans="1:7" hidden="1" x14ac:dyDescent="0.25">
      <c r="A3589">
        <v>99</v>
      </c>
      <c r="B3589">
        <v>3100</v>
      </c>
      <c r="C3589">
        <v>0</v>
      </c>
      <c r="D3589">
        <v>2</v>
      </c>
      <c r="E3589">
        <v>11</v>
      </c>
      <c r="F3589" t="s">
        <v>226</v>
      </c>
      <c r="G3589" t="s">
        <v>155</v>
      </c>
    </row>
    <row r="3590" spans="1:7" x14ac:dyDescent="0.25">
      <c r="A3590">
        <v>99</v>
      </c>
      <c r="B3590">
        <v>4124</v>
      </c>
      <c r="C3590">
        <v>0</v>
      </c>
      <c r="D3590">
        <v>2</v>
      </c>
      <c r="E3590">
        <v>11</v>
      </c>
      <c r="F3590" t="s">
        <v>226</v>
      </c>
      <c r="G3590" t="s">
        <v>155</v>
      </c>
    </row>
    <row r="3591" spans="1:7" hidden="1" x14ac:dyDescent="0.25">
      <c r="A3591">
        <v>99</v>
      </c>
      <c r="B3591">
        <v>5932</v>
      </c>
      <c r="C3591">
        <v>0</v>
      </c>
      <c r="D3591">
        <v>2</v>
      </c>
      <c r="E3591">
        <v>11</v>
      </c>
      <c r="F3591" t="s">
        <v>226</v>
      </c>
      <c r="G3591" t="s">
        <v>155</v>
      </c>
    </row>
    <row r="3592" spans="1:7" hidden="1" x14ac:dyDescent="0.25">
      <c r="A3592">
        <v>99</v>
      </c>
      <c r="B3592">
        <v>5992</v>
      </c>
      <c r="C3592">
        <v>0</v>
      </c>
      <c r="D3592">
        <v>2</v>
      </c>
      <c r="E3592">
        <v>11</v>
      </c>
      <c r="F3592" t="s">
        <v>226</v>
      </c>
      <c r="G3592" t="s">
        <v>155</v>
      </c>
    </row>
    <row r="3593" spans="1:7" hidden="1" x14ac:dyDescent="0.25">
      <c r="A3593">
        <v>99</v>
      </c>
      <c r="B3593">
        <v>7260</v>
      </c>
      <c r="C3593">
        <v>0</v>
      </c>
      <c r="D3593">
        <v>2</v>
      </c>
      <c r="E3593">
        <v>11</v>
      </c>
      <c r="F3593" t="s">
        <v>226</v>
      </c>
      <c r="G3593" t="s">
        <v>155</v>
      </c>
    </row>
    <row r="3594" spans="1:7" hidden="1" x14ac:dyDescent="0.25">
      <c r="A3594">
        <v>99</v>
      </c>
      <c r="B3594">
        <v>8804</v>
      </c>
      <c r="C3594">
        <v>0</v>
      </c>
      <c r="D3594">
        <v>2</v>
      </c>
      <c r="E3594">
        <v>11</v>
      </c>
      <c r="F3594" t="s">
        <v>226</v>
      </c>
      <c r="G3594" t="s">
        <v>155</v>
      </c>
    </row>
    <row r="3595" spans="1:7" hidden="1" x14ac:dyDescent="0.25">
      <c r="A3595">
        <v>99</v>
      </c>
      <c r="B3595">
        <v>9176</v>
      </c>
      <c r="C3595">
        <v>0</v>
      </c>
      <c r="D3595">
        <v>2</v>
      </c>
      <c r="E3595">
        <v>11</v>
      </c>
      <c r="F3595" t="s">
        <v>226</v>
      </c>
      <c r="G3595" t="s">
        <v>155</v>
      </c>
    </row>
    <row r="3596" spans="1:7" hidden="1" x14ac:dyDescent="0.25">
      <c r="A3596">
        <v>99</v>
      </c>
      <c r="B3596">
        <v>9256</v>
      </c>
      <c r="C3596">
        <v>0</v>
      </c>
      <c r="D3596">
        <v>2</v>
      </c>
      <c r="E3596">
        <v>11</v>
      </c>
      <c r="F3596" t="s">
        <v>226</v>
      </c>
      <c r="G3596" t="s">
        <v>155</v>
      </c>
    </row>
    <row r="3597" spans="1:7" hidden="1" x14ac:dyDescent="0.25">
      <c r="A3597">
        <v>99</v>
      </c>
      <c r="B3597">
        <v>9752</v>
      </c>
      <c r="C3597">
        <v>0</v>
      </c>
      <c r="D3597">
        <v>2</v>
      </c>
      <c r="E3597">
        <v>11</v>
      </c>
      <c r="F3597" t="s">
        <v>226</v>
      </c>
      <c r="G3597" t="s">
        <v>155</v>
      </c>
    </row>
    <row r="3598" spans="1:7" hidden="1" x14ac:dyDescent="0.25">
      <c r="A3598">
        <v>99</v>
      </c>
      <c r="B3598">
        <v>10364</v>
      </c>
      <c r="C3598">
        <v>0</v>
      </c>
      <c r="D3598">
        <v>2</v>
      </c>
      <c r="E3598">
        <v>11</v>
      </c>
      <c r="F3598" t="s">
        <v>226</v>
      </c>
      <c r="G3598" t="s">
        <v>155</v>
      </c>
    </row>
    <row r="3599" spans="1:7" hidden="1" x14ac:dyDescent="0.25">
      <c r="A3599">
        <v>99</v>
      </c>
      <c r="B3599">
        <v>2168</v>
      </c>
      <c r="C3599">
        <v>0</v>
      </c>
      <c r="D3599">
        <v>2</v>
      </c>
      <c r="E3599">
        <v>20</v>
      </c>
      <c r="F3599" t="s">
        <v>236</v>
      </c>
      <c r="G3599" t="s">
        <v>130</v>
      </c>
    </row>
    <row r="3600" spans="1:7" hidden="1" x14ac:dyDescent="0.25">
      <c r="A3600">
        <v>99</v>
      </c>
      <c r="B3600">
        <v>2472</v>
      </c>
      <c r="C3600">
        <v>0</v>
      </c>
      <c r="D3600">
        <v>2</v>
      </c>
      <c r="E3600">
        <v>20</v>
      </c>
      <c r="F3600" t="s">
        <v>236</v>
      </c>
      <c r="G3600" t="s">
        <v>130</v>
      </c>
    </row>
    <row r="3601" spans="1:7" hidden="1" x14ac:dyDescent="0.25">
      <c r="A3601">
        <v>99</v>
      </c>
      <c r="B3601">
        <v>3056</v>
      </c>
      <c r="C3601">
        <v>0</v>
      </c>
      <c r="D3601">
        <v>2</v>
      </c>
      <c r="E3601">
        <v>20</v>
      </c>
      <c r="F3601" t="s">
        <v>236</v>
      </c>
      <c r="G3601" t="s">
        <v>130</v>
      </c>
    </row>
    <row r="3602" spans="1:7" hidden="1" x14ac:dyDescent="0.25">
      <c r="A3602">
        <v>99</v>
      </c>
      <c r="B3602">
        <v>3100</v>
      </c>
      <c r="C3602">
        <v>0</v>
      </c>
      <c r="D3602">
        <v>2</v>
      </c>
      <c r="E3602">
        <v>20</v>
      </c>
      <c r="F3602" t="s">
        <v>236</v>
      </c>
      <c r="G3602" t="s">
        <v>130</v>
      </c>
    </row>
    <row r="3603" spans="1:7" x14ac:dyDescent="0.25">
      <c r="A3603">
        <v>99</v>
      </c>
      <c r="B3603">
        <v>4124</v>
      </c>
      <c r="C3603">
        <v>0</v>
      </c>
      <c r="D3603">
        <v>2</v>
      </c>
      <c r="E3603">
        <v>20</v>
      </c>
      <c r="F3603" t="s">
        <v>236</v>
      </c>
      <c r="G3603" t="s">
        <v>130</v>
      </c>
    </row>
    <row r="3604" spans="1:7" hidden="1" x14ac:dyDescent="0.25">
      <c r="A3604">
        <v>99</v>
      </c>
      <c r="B3604">
        <v>5932</v>
      </c>
      <c r="C3604">
        <v>0</v>
      </c>
      <c r="D3604">
        <v>2</v>
      </c>
      <c r="E3604">
        <v>20</v>
      </c>
      <c r="F3604" t="s">
        <v>236</v>
      </c>
      <c r="G3604" t="s">
        <v>130</v>
      </c>
    </row>
    <row r="3605" spans="1:7" hidden="1" x14ac:dyDescent="0.25">
      <c r="A3605">
        <v>99</v>
      </c>
      <c r="B3605">
        <v>5992</v>
      </c>
      <c r="C3605">
        <v>0</v>
      </c>
      <c r="D3605">
        <v>2</v>
      </c>
      <c r="E3605">
        <v>20</v>
      </c>
      <c r="F3605" t="s">
        <v>236</v>
      </c>
      <c r="G3605" t="s">
        <v>130</v>
      </c>
    </row>
    <row r="3606" spans="1:7" hidden="1" x14ac:dyDescent="0.25">
      <c r="A3606">
        <v>99</v>
      </c>
      <c r="B3606">
        <v>7260</v>
      </c>
      <c r="C3606">
        <v>0</v>
      </c>
      <c r="D3606">
        <v>2</v>
      </c>
      <c r="E3606">
        <v>20</v>
      </c>
      <c r="F3606" t="s">
        <v>236</v>
      </c>
      <c r="G3606" t="s">
        <v>130</v>
      </c>
    </row>
    <row r="3607" spans="1:7" hidden="1" x14ac:dyDescent="0.25">
      <c r="A3607">
        <v>99</v>
      </c>
      <c r="B3607">
        <v>8804</v>
      </c>
      <c r="C3607">
        <v>0</v>
      </c>
      <c r="D3607">
        <v>2</v>
      </c>
      <c r="E3607">
        <v>20</v>
      </c>
      <c r="F3607" t="s">
        <v>236</v>
      </c>
      <c r="G3607" t="s">
        <v>130</v>
      </c>
    </row>
    <row r="3608" spans="1:7" hidden="1" x14ac:dyDescent="0.25">
      <c r="A3608">
        <v>99</v>
      </c>
      <c r="B3608">
        <v>9176</v>
      </c>
      <c r="C3608">
        <v>0</v>
      </c>
      <c r="D3608">
        <v>2</v>
      </c>
      <c r="E3608">
        <v>20</v>
      </c>
      <c r="F3608" t="s">
        <v>236</v>
      </c>
      <c r="G3608" t="s">
        <v>130</v>
      </c>
    </row>
    <row r="3609" spans="1:7" hidden="1" x14ac:dyDescent="0.25">
      <c r="A3609">
        <v>99</v>
      </c>
      <c r="B3609">
        <v>9256</v>
      </c>
      <c r="C3609">
        <v>0</v>
      </c>
      <c r="D3609">
        <v>2</v>
      </c>
      <c r="E3609">
        <v>20</v>
      </c>
      <c r="F3609" t="s">
        <v>236</v>
      </c>
      <c r="G3609" t="s">
        <v>130</v>
      </c>
    </row>
    <row r="3610" spans="1:7" hidden="1" x14ac:dyDescent="0.25">
      <c r="A3610">
        <v>99</v>
      </c>
      <c r="B3610">
        <v>9752</v>
      </c>
      <c r="C3610">
        <v>0</v>
      </c>
      <c r="D3610">
        <v>2</v>
      </c>
      <c r="E3610">
        <v>20</v>
      </c>
      <c r="F3610" t="s">
        <v>236</v>
      </c>
      <c r="G3610" t="s">
        <v>130</v>
      </c>
    </row>
    <row r="3611" spans="1:7" hidden="1" x14ac:dyDescent="0.25">
      <c r="A3611">
        <v>99</v>
      </c>
      <c r="B3611">
        <v>2168</v>
      </c>
      <c r="C3611">
        <v>0</v>
      </c>
      <c r="D3611">
        <v>2</v>
      </c>
      <c r="E3611">
        <v>19</v>
      </c>
      <c r="F3611" t="s">
        <v>235</v>
      </c>
      <c r="G3611" t="s">
        <v>193</v>
      </c>
    </row>
    <row r="3612" spans="1:7" hidden="1" x14ac:dyDescent="0.25">
      <c r="A3612">
        <v>99</v>
      </c>
      <c r="B3612">
        <v>2472</v>
      </c>
      <c r="C3612">
        <v>0</v>
      </c>
      <c r="D3612">
        <v>2</v>
      </c>
      <c r="E3612">
        <v>19</v>
      </c>
      <c r="F3612" t="s">
        <v>235</v>
      </c>
      <c r="G3612" t="s">
        <v>193</v>
      </c>
    </row>
    <row r="3613" spans="1:7" hidden="1" x14ac:dyDescent="0.25">
      <c r="A3613">
        <v>99</v>
      </c>
      <c r="B3613">
        <v>3056</v>
      </c>
      <c r="C3613">
        <v>0</v>
      </c>
      <c r="D3613">
        <v>2</v>
      </c>
      <c r="E3613">
        <v>19</v>
      </c>
      <c r="F3613" t="s">
        <v>235</v>
      </c>
      <c r="G3613" t="s">
        <v>193</v>
      </c>
    </row>
    <row r="3614" spans="1:7" hidden="1" x14ac:dyDescent="0.25">
      <c r="A3614">
        <v>99</v>
      </c>
      <c r="B3614">
        <v>3100</v>
      </c>
      <c r="C3614">
        <v>0</v>
      </c>
      <c r="D3614">
        <v>2</v>
      </c>
      <c r="E3614">
        <v>19</v>
      </c>
      <c r="F3614" t="s">
        <v>235</v>
      </c>
      <c r="G3614" t="s">
        <v>193</v>
      </c>
    </row>
    <row r="3615" spans="1:7" x14ac:dyDescent="0.25">
      <c r="A3615">
        <v>99</v>
      </c>
      <c r="B3615">
        <v>4124</v>
      </c>
      <c r="C3615">
        <v>0</v>
      </c>
      <c r="D3615">
        <v>2</v>
      </c>
      <c r="E3615">
        <v>19</v>
      </c>
      <c r="F3615" t="s">
        <v>235</v>
      </c>
      <c r="G3615" t="s">
        <v>349</v>
      </c>
    </row>
    <row r="3616" spans="1:7" hidden="1" x14ac:dyDescent="0.25">
      <c r="A3616">
        <v>99</v>
      </c>
      <c r="B3616">
        <v>5932</v>
      </c>
      <c r="C3616">
        <v>0</v>
      </c>
      <c r="D3616">
        <v>2</v>
      </c>
      <c r="E3616">
        <v>19</v>
      </c>
      <c r="F3616" t="s">
        <v>235</v>
      </c>
      <c r="G3616" t="s">
        <v>193</v>
      </c>
    </row>
    <row r="3617" spans="1:7" hidden="1" x14ac:dyDescent="0.25">
      <c r="A3617">
        <v>99</v>
      </c>
      <c r="B3617">
        <v>5992</v>
      </c>
      <c r="C3617">
        <v>0</v>
      </c>
      <c r="D3617">
        <v>2</v>
      </c>
      <c r="E3617">
        <v>19</v>
      </c>
      <c r="F3617" t="s">
        <v>235</v>
      </c>
      <c r="G3617" t="s">
        <v>349</v>
      </c>
    </row>
    <row r="3618" spans="1:7" hidden="1" x14ac:dyDescent="0.25">
      <c r="A3618">
        <v>99</v>
      </c>
      <c r="B3618">
        <v>7260</v>
      </c>
      <c r="C3618">
        <v>0</v>
      </c>
      <c r="D3618">
        <v>2</v>
      </c>
      <c r="E3618">
        <v>19</v>
      </c>
      <c r="F3618" t="s">
        <v>235</v>
      </c>
      <c r="G3618" t="s">
        <v>349</v>
      </c>
    </row>
    <row r="3619" spans="1:7" hidden="1" x14ac:dyDescent="0.25">
      <c r="A3619">
        <v>99</v>
      </c>
      <c r="B3619">
        <v>8804</v>
      </c>
      <c r="C3619">
        <v>0</v>
      </c>
      <c r="D3619">
        <v>2</v>
      </c>
      <c r="E3619">
        <v>19</v>
      </c>
      <c r="F3619" t="s">
        <v>235</v>
      </c>
      <c r="G3619" t="s">
        <v>349</v>
      </c>
    </row>
    <row r="3620" spans="1:7" hidden="1" x14ac:dyDescent="0.25">
      <c r="A3620">
        <v>99</v>
      </c>
      <c r="B3620">
        <v>9176</v>
      </c>
      <c r="C3620">
        <v>0</v>
      </c>
      <c r="D3620">
        <v>2</v>
      </c>
      <c r="E3620">
        <v>19</v>
      </c>
      <c r="F3620" t="s">
        <v>235</v>
      </c>
      <c r="G3620" t="s">
        <v>193</v>
      </c>
    </row>
    <row r="3621" spans="1:7" hidden="1" x14ac:dyDescent="0.25">
      <c r="A3621">
        <v>99</v>
      </c>
      <c r="B3621">
        <v>9256</v>
      </c>
      <c r="C3621">
        <v>0</v>
      </c>
      <c r="D3621">
        <v>2</v>
      </c>
      <c r="E3621">
        <v>19</v>
      </c>
      <c r="F3621" t="s">
        <v>235</v>
      </c>
      <c r="G3621" t="s">
        <v>349</v>
      </c>
    </row>
    <row r="3622" spans="1:7" hidden="1" x14ac:dyDescent="0.25">
      <c r="A3622">
        <v>99</v>
      </c>
      <c r="B3622">
        <v>9752</v>
      </c>
      <c r="C3622">
        <v>0</v>
      </c>
      <c r="D3622">
        <v>2</v>
      </c>
      <c r="E3622">
        <v>19</v>
      </c>
      <c r="F3622" t="s">
        <v>235</v>
      </c>
      <c r="G3622" t="s">
        <v>193</v>
      </c>
    </row>
    <row r="3623" spans="1:7" hidden="1" x14ac:dyDescent="0.25">
      <c r="A3623">
        <v>99</v>
      </c>
      <c r="B3623">
        <v>2168</v>
      </c>
      <c r="C3623">
        <v>0</v>
      </c>
      <c r="D3623">
        <v>2</v>
      </c>
      <c r="E3623">
        <v>21</v>
      </c>
      <c r="F3623" t="s">
        <v>237</v>
      </c>
      <c r="G3623" t="s">
        <v>124</v>
      </c>
    </row>
    <row r="3624" spans="1:7" hidden="1" x14ac:dyDescent="0.25">
      <c r="A3624">
        <v>99</v>
      </c>
      <c r="B3624">
        <v>2472</v>
      </c>
      <c r="C3624">
        <v>0</v>
      </c>
      <c r="D3624">
        <v>2</v>
      </c>
      <c r="E3624">
        <v>21</v>
      </c>
      <c r="F3624" t="s">
        <v>237</v>
      </c>
      <c r="G3624" t="s">
        <v>124</v>
      </c>
    </row>
    <row r="3625" spans="1:7" hidden="1" x14ac:dyDescent="0.25">
      <c r="A3625">
        <v>99</v>
      </c>
      <c r="B3625">
        <v>3056</v>
      </c>
      <c r="C3625">
        <v>0</v>
      </c>
      <c r="D3625">
        <v>2</v>
      </c>
      <c r="E3625">
        <v>21</v>
      </c>
      <c r="F3625" t="s">
        <v>237</v>
      </c>
      <c r="G3625" t="s">
        <v>124</v>
      </c>
    </row>
    <row r="3626" spans="1:7" hidden="1" x14ac:dyDescent="0.25">
      <c r="A3626">
        <v>99</v>
      </c>
      <c r="B3626">
        <v>3100</v>
      </c>
      <c r="C3626">
        <v>0</v>
      </c>
      <c r="D3626">
        <v>2</v>
      </c>
      <c r="E3626">
        <v>21</v>
      </c>
      <c r="F3626" t="s">
        <v>237</v>
      </c>
      <c r="G3626" t="s">
        <v>124</v>
      </c>
    </row>
    <row r="3627" spans="1:7" x14ac:dyDescent="0.25">
      <c r="A3627">
        <v>99</v>
      </c>
      <c r="B3627">
        <v>4124</v>
      </c>
      <c r="C3627">
        <v>0</v>
      </c>
      <c r="D3627">
        <v>2</v>
      </c>
      <c r="E3627">
        <v>21</v>
      </c>
      <c r="F3627" t="s">
        <v>237</v>
      </c>
      <c r="G3627" t="s">
        <v>124</v>
      </c>
    </row>
    <row r="3628" spans="1:7" hidden="1" x14ac:dyDescent="0.25">
      <c r="A3628">
        <v>99</v>
      </c>
      <c r="B3628">
        <v>5932</v>
      </c>
      <c r="C3628">
        <v>0</v>
      </c>
      <c r="D3628">
        <v>2</v>
      </c>
      <c r="E3628">
        <v>21</v>
      </c>
      <c r="F3628" t="s">
        <v>237</v>
      </c>
      <c r="G3628" t="s">
        <v>124</v>
      </c>
    </row>
    <row r="3629" spans="1:7" hidden="1" x14ac:dyDescent="0.25">
      <c r="A3629">
        <v>99</v>
      </c>
      <c r="B3629">
        <v>5992</v>
      </c>
      <c r="C3629">
        <v>0</v>
      </c>
      <c r="D3629">
        <v>2</v>
      </c>
      <c r="E3629">
        <v>21</v>
      </c>
      <c r="F3629" t="s">
        <v>237</v>
      </c>
      <c r="G3629" t="s">
        <v>124</v>
      </c>
    </row>
    <row r="3630" spans="1:7" hidden="1" x14ac:dyDescent="0.25">
      <c r="A3630">
        <v>99</v>
      </c>
      <c r="B3630">
        <v>7260</v>
      </c>
      <c r="C3630">
        <v>0</v>
      </c>
      <c r="D3630">
        <v>2</v>
      </c>
      <c r="E3630">
        <v>21</v>
      </c>
      <c r="F3630" t="s">
        <v>237</v>
      </c>
      <c r="G3630" t="s">
        <v>124</v>
      </c>
    </row>
    <row r="3631" spans="1:7" hidden="1" x14ac:dyDescent="0.25">
      <c r="A3631">
        <v>99</v>
      </c>
      <c r="B3631">
        <v>8804</v>
      </c>
      <c r="C3631">
        <v>0</v>
      </c>
      <c r="D3631">
        <v>2</v>
      </c>
      <c r="E3631">
        <v>21</v>
      </c>
      <c r="F3631" t="s">
        <v>237</v>
      </c>
      <c r="G3631" t="s">
        <v>124</v>
      </c>
    </row>
    <row r="3632" spans="1:7" hidden="1" x14ac:dyDescent="0.25">
      <c r="A3632">
        <v>99</v>
      </c>
      <c r="B3632">
        <v>9176</v>
      </c>
      <c r="C3632">
        <v>0</v>
      </c>
      <c r="D3632">
        <v>2</v>
      </c>
      <c r="E3632">
        <v>21</v>
      </c>
      <c r="F3632" t="s">
        <v>237</v>
      </c>
      <c r="G3632" t="s">
        <v>124</v>
      </c>
    </row>
    <row r="3633" spans="1:7" hidden="1" x14ac:dyDescent="0.25">
      <c r="A3633">
        <v>99</v>
      </c>
      <c r="B3633">
        <v>9256</v>
      </c>
      <c r="C3633">
        <v>0</v>
      </c>
      <c r="D3633">
        <v>2</v>
      </c>
      <c r="E3633">
        <v>21</v>
      </c>
      <c r="F3633" t="s">
        <v>237</v>
      </c>
      <c r="G3633" t="s">
        <v>124</v>
      </c>
    </row>
    <row r="3634" spans="1:7" hidden="1" x14ac:dyDescent="0.25">
      <c r="A3634">
        <v>99</v>
      </c>
      <c r="B3634">
        <v>9752</v>
      </c>
      <c r="C3634">
        <v>0</v>
      </c>
      <c r="D3634">
        <v>2</v>
      </c>
      <c r="E3634">
        <v>21</v>
      </c>
      <c r="F3634" t="s">
        <v>237</v>
      </c>
      <c r="G3634" t="s">
        <v>124</v>
      </c>
    </row>
    <row r="3635" spans="1:7" hidden="1" x14ac:dyDescent="0.25">
      <c r="A3635">
        <v>99</v>
      </c>
      <c r="B3635">
        <v>2168</v>
      </c>
      <c r="C3635">
        <v>0</v>
      </c>
      <c r="D3635">
        <v>2</v>
      </c>
      <c r="E3635">
        <v>22</v>
      </c>
      <c r="F3635" t="s">
        <v>238</v>
      </c>
      <c r="G3635" t="s">
        <v>131</v>
      </c>
    </row>
    <row r="3636" spans="1:7" hidden="1" x14ac:dyDescent="0.25">
      <c r="A3636">
        <v>99</v>
      </c>
      <c r="B3636">
        <v>2472</v>
      </c>
      <c r="C3636">
        <v>0</v>
      </c>
      <c r="D3636">
        <v>2</v>
      </c>
      <c r="E3636">
        <v>22</v>
      </c>
      <c r="F3636" t="s">
        <v>238</v>
      </c>
      <c r="G3636" t="s">
        <v>131</v>
      </c>
    </row>
    <row r="3637" spans="1:7" hidden="1" x14ac:dyDescent="0.25">
      <c r="A3637">
        <v>99</v>
      </c>
      <c r="B3637">
        <v>3056</v>
      </c>
      <c r="C3637">
        <v>0</v>
      </c>
      <c r="D3637">
        <v>2</v>
      </c>
      <c r="E3637">
        <v>22</v>
      </c>
      <c r="F3637" t="s">
        <v>238</v>
      </c>
      <c r="G3637" t="s">
        <v>131</v>
      </c>
    </row>
    <row r="3638" spans="1:7" hidden="1" x14ac:dyDescent="0.25">
      <c r="A3638">
        <v>99</v>
      </c>
      <c r="B3638">
        <v>3100</v>
      </c>
      <c r="C3638">
        <v>0</v>
      </c>
      <c r="D3638">
        <v>2</v>
      </c>
      <c r="E3638">
        <v>22</v>
      </c>
      <c r="F3638" t="s">
        <v>238</v>
      </c>
      <c r="G3638" t="s">
        <v>131</v>
      </c>
    </row>
    <row r="3639" spans="1:7" x14ac:dyDescent="0.25">
      <c r="A3639">
        <v>99</v>
      </c>
      <c r="B3639">
        <v>4124</v>
      </c>
      <c r="C3639">
        <v>0</v>
      </c>
      <c r="D3639">
        <v>2</v>
      </c>
      <c r="E3639">
        <v>22</v>
      </c>
      <c r="F3639" t="s">
        <v>238</v>
      </c>
      <c r="G3639" t="s">
        <v>131</v>
      </c>
    </row>
    <row r="3640" spans="1:7" hidden="1" x14ac:dyDescent="0.25">
      <c r="A3640">
        <v>99</v>
      </c>
      <c r="B3640">
        <v>5932</v>
      </c>
      <c r="C3640">
        <v>0</v>
      </c>
      <c r="D3640">
        <v>2</v>
      </c>
      <c r="E3640">
        <v>22</v>
      </c>
      <c r="F3640" t="s">
        <v>238</v>
      </c>
      <c r="G3640" t="s">
        <v>131</v>
      </c>
    </row>
    <row r="3641" spans="1:7" hidden="1" x14ac:dyDescent="0.25">
      <c r="A3641">
        <v>99</v>
      </c>
      <c r="B3641">
        <v>5992</v>
      </c>
      <c r="C3641">
        <v>0</v>
      </c>
      <c r="D3641">
        <v>2</v>
      </c>
      <c r="E3641">
        <v>22</v>
      </c>
      <c r="F3641" t="s">
        <v>238</v>
      </c>
      <c r="G3641" t="s">
        <v>131</v>
      </c>
    </row>
    <row r="3642" spans="1:7" hidden="1" x14ac:dyDescent="0.25">
      <c r="A3642">
        <v>99</v>
      </c>
      <c r="B3642">
        <v>7260</v>
      </c>
      <c r="C3642">
        <v>0</v>
      </c>
      <c r="D3642">
        <v>2</v>
      </c>
      <c r="E3642">
        <v>22</v>
      </c>
      <c r="F3642" t="s">
        <v>238</v>
      </c>
      <c r="G3642" t="s">
        <v>131</v>
      </c>
    </row>
    <row r="3643" spans="1:7" hidden="1" x14ac:dyDescent="0.25">
      <c r="A3643">
        <v>99</v>
      </c>
      <c r="B3643">
        <v>8804</v>
      </c>
      <c r="C3643">
        <v>0</v>
      </c>
      <c r="D3643">
        <v>2</v>
      </c>
      <c r="E3643">
        <v>22</v>
      </c>
      <c r="F3643" t="s">
        <v>238</v>
      </c>
      <c r="G3643" t="s">
        <v>131</v>
      </c>
    </row>
    <row r="3644" spans="1:7" hidden="1" x14ac:dyDescent="0.25">
      <c r="A3644">
        <v>99</v>
      </c>
      <c r="B3644">
        <v>9176</v>
      </c>
      <c r="C3644">
        <v>0</v>
      </c>
      <c r="D3644">
        <v>2</v>
      </c>
      <c r="E3644">
        <v>22</v>
      </c>
      <c r="F3644" t="s">
        <v>238</v>
      </c>
      <c r="G3644" t="s">
        <v>131</v>
      </c>
    </row>
    <row r="3645" spans="1:7" hidden="1" x14ac:dyDescent="0.25">
      <c r="A3645">
        <v>99</v>
      </c>
      <c r="B3645">
        <v>9256</v>
      </c>
      <c r="C3645">
        <v>0</v>
      </c>
      <c r="D3645">
        <v>2</v>
      </c>
      <c r="E3645">
        <v>22</v>
      </c>
      <c r="F3645" t="s">
        <v>238</v>
      </c>
      <c r="G3645" t="s">
        <v>131</v>
      </c>
    </row>
    <row r="3646" spans="1:7" hidden="1" x14ac:dyDescent="0.25">
      <c r="A3646">
        <v>99</v>
      </c>
      <c r="B3646">
        <v>9752</v>
      </c>
      <c r="C3646">
        <v>0</v>
      </c>
      <c r="D3646">
        <v>2</v>
      </c>
      <c r="E3646">
        <v>22</v>
      </c>
      <c r="F3646" t="s">
        <v>238</v>
      </c>
      <c r="G3646" t="s">
        <v>131</v>
      </c>
    </row>
    <row r="3647" spans="1:7" hidden="1" x14ac:dyDescent="0.25">
      <c r="A3647">
        <v>99</v>
      </c>
      <c r="B3647">
        <v>2168</v>
      </c>
      <c r="C3647">
        <v>0</v>
      </c>
      <c r="D3647">
        <v>2</v>
      </c>
      <c r="E3647">
        <v>14</v>
      </c>
      <c r="F3647" t="s">
        <v>229</v>
      </c>
      <c r="G3647" t="s">
        <v>118</v>
      </c>
    </row>
    <row r="3648" spans="1:7" hidden="1" x14ac:dyDescent="0.25">
      <c r="A3648">
        <v>99</v>
      </c>
      <c r="B3648">
        <v>2472</v>
      </c>
      <c r="C3648">
        <v>0</v>
      </c>
      <c r="D3648">
        <v>2</v>
      </c>
      <c r="E3648">
        <v>14</v>
      </c>
      <c r="F3648" t="s">
        <v>229</v>
      </c>
      <c r="G3648" t="s">
        <v>118</v>
      </c>
    </row>
    <row r="3649" spans="1:7" hidden="1" x14ac:dyDescent="0.25">
      <c r="A3649">
        <v>99</v>
      </c>
      <c r="B3649">
        <v>3056</v>
      </c>
      <c r="C3649">
        <v>0</v>
      </c>
      <c r="D3649">
        <v>2</v>
      </c>
      <c r="E3649">
        <v>14</v>
      </c>
      <c r="F3649" t="s">
        <v>229</v>
      </c>
      <c r="G3649" t="s">
        <v>118</v>
      </c>
    </row>
    <row r="3650" spans="1:7" hidden="1" x14ac:dyDescent="0.25">
      <c r="A3650">
        <v>99</v>
      </c>
      <c r="B3650">
        <v>3100</v>
      </c>
      <c r="C3650">
        <v>0</v>
      </c>
      <c r="D3650">
        <v>2</v>
      </c>
      <c r="E3650">
        <v>14</v>
      </c>
      <c r="F3650" t="s">
        <v>229</v>
      </c>
      <c r="G3650" t="s">
        <v>118</v>
      </c>
    </row>
    <row r="3651" spans="1:7" x14ac:dyDescent="0.25">
      <c r="A3651">
        <v>99</v>
      </c>
      <c r="B3651">
        <v>4124</v>
      </c>
      <c r="C3651">
        <v>0</v>
      </c>
      <c r="D3651">
        <v>2</v>
      </c>
      <c r="E3651">
        <v>14</v>
      </c>
      <c r="F3651" t="s">
        <v>229</v>
      </c>
      <c r="G3651" t="s">
        <v>118</v>
      </c>
    </row>
    <row r="3652" spans="1:7" hidden="1" x14ac:dyDescent="0.25">
      <c r="A3652">
        <v>99</v>
      </c>
      <c r="B3652">
        <v>5932</v>
      </c>
      <c r="C3652">
        <v>0</v>
      </c>
      <c r="D3652">
        <v>2</v>
      </c>
      <c r="E3652">
        <v>14</v>
      </c>
      <c r="F3652" t="s">
        <v>229</v>
      </c>
      <c r="G3652" t="s">
        <v>118</v>
      </c>
    </row>
    <row r="3653" spans="1:7" hidden="1" x14ac:dyDescent="0.25">
      <c r="A3653">
        <v>99</v>
      </c>
      <c r="B3653">
        <v>5992</v>
      </c>
      <c r="C3653">
        <v>0</v>
      </c>
      <c r="D3653">
        <v>2</v>
      </c>
      <c r="E3653">
        <v>14</v>
      </c>
      <c r="F3653" t="s">
        <v>229</v>
      </c>
      <c r="G3653" t="s">
        <v>118</v>
      </c>
    </row>
    <row r="3654" spans="1:7" hidden="1" x14ac:dyDescent="0.25">
      <c r="A3654">
        <v>99</v>
      </c>
      <c r="B3654">
        <v>7260</v>
      </c>
      <c r="C3654">
        <v>0</v>
      </c>
      <c r="D3654">
        <v>2</v>
      </c>
      <c r="E3654">
        <v>14</v>
      </c>
      <c r="F3654" t="s">
        <v>229</v>
      </c>
      <c r="G3654" t="s">
        <v>118</v>
      </c>
    </row>
    <row r="3655" spans="1:7" hidden="1" x14ac:dyDescent="0.25">
      <c r="A3655">
        <v>99</v>
      </c>
      <c r="B3655">
        <v>8804</v>
      </c>
      <c r="C3655">
        <v>0</v>
      </c>
      <c r="D3655">
        <v>2</v>
      </c>
      <c r="E3655">
        <v>14</v>
      </c>
      <c r="F3655" t="s">
        <v>229</v>
      </c>
      <c r="G3655" t="s">
        <v>118</v>
      </c>
    </row>
    <row r="3656" spans="1:7" hidden="1" x14ac:dyDescent="0.25">
      <c r="A3656">
        <v>99</v>
      </c>
      <c r="B3656">
        <v>9176</v>
      </c>
      <c r="C3656">
        <v>0</v>
      </c>
      <c r="D3656">
        <v>2</v>
      </c>
      <c r="E3656">
        <v>14</v>
      </c>
      <c r="F3656" t="s">
        <v>229</v>
      </c>
      <c r="G3656" t="s">
        <v>118</v>
      </c>
    </row>
    <row r="3657" spans="1:7" hidden="1" x14ac:dyDescent="0.25">
      <c r="A3657">
        <v>99</v>
      </c>
      <c r="B3657">
        <v>9256</v>
      </c>
      <c r="C3657">
        <v>0</v>
      </c>
      <c r="D3657">
        <v>2</v>
      </c>
      <c r="E3657">
        <v>14</v>
      </c>
      <c r="F3657" t="s">
        <v>229</v>
      </c>
      <c r="G3657" t="s">
        <v>118</v>
      </c>
    </row>
    <row r="3658" spans="1:7" hidden="1" x14ac:dyDescent="0.25">
      <c r="A3658">
        <v>99</v>
      </c>
      <c r="B3658">
        <v>9752</v>
      </c>
      <c r="C3658">
        <v>0</v>
      </c>
      <c r="D3658">
        <v>2</v>
      </c>
      <c r="E3658">
        <v>14</v>
      </c>
      <c r="F3658" t="s">
        <v>229</v>
      </c>
      <c r="G3658" t="s">
        <v>118</v>
      </c>
    </row>
    <row r="3659" spans="1:7" hidden="1" x14ac:dyDescent="0.25">
      <c r="A3659">
        <v>99</v>
      </c>
      <c r="B3659">
        <v>2168</v>
      </c>
      <c r="C3659">
        <v>0</v>
      </c>
      <c r="D3659">
        <v>2</v>
      </c>
      <c r="E3659">
        <v>13</v>
      </c>
      <c r="F3659" t="s">
        <v>228</v>
      </c>
      <c r="G3659" t="s">
        <v>127</v>
      </c>
    </row>
    <row r="3660" spans="1:7" hidden="1" x14ac:dyDescent="0.25">
      <c r="A3660">
        <v>99</v>
      </c>
      <c r="B3660">
        <v>2472</v>
      </c>
      <c r="C3660">
        <v>0</v>
      </c>
      <c r="D3660">
        <v>2</v>
      </c>
      <c r="E3660">
        <v>13</v>
      </c>
      <c r="F3660" t="s">
        <v>228</v>
      </c>
      <c r="G3660" t="s">
        <v>127</v>
      </c>
    </row>
    <row r="3661" spans="1:7" hidden="1" x14ac:dyDescent="0.25">
      <c r="A3661">
        <v>99</v>
      </c>
      <c r="B3661">
        <v>3056</v>
      </c>
      <c r="C3661">
        <v>0</v>
      </c>
      <c r="D3661">
        <v>2</v>
      </c>
      <c r="E3661">
        <v>13</v>
      </c>
      <c r="F3661" t="s">
        <v>228</v>
      </c>
      <c r="G3661" t="s">
        <v>127</v>
      </c>
    </row>
    <row r="3662" spans="1:7" hidden="1" x14ac:dyDescent="0.25">
      <c r="A3662">
        <v>99</v>
      </c>
      <c r="B3662">
        <v>3100</v>
      </c>
      <c r="C3662">
        <v>0</v>
      </c>
      <c r="D3662">
        <v>2</v>
      </c>
      <c r="E3662">
        <v>13</v>
      </c>
      <c r="F3662" t="s">
        <v>228</v>
      </c>
      <c r="G3662" t="s">
        <v>127</v>
      </c>
    </row>
    <row r="3663" spans="1:7" x14ac:dyDescent="0.25">
      <c r="A3663">
        <v>99</v>
      </c>
      <c r="B3663">
        <v>4124</v>
      </c>
      <c r="C3663">
        <v>0</v>
      </c>
      <c r="D3663">
        <v>2</v>
      </c>
      <c r="E3663">
        <v>13</v>
      </c>
      <c r="F3663" t="s">
        <v>228</v>
      </c>
      <c r="G3663" t="s">
        <v>127</v>
      </c>
    </row>
    <row r="3664" spans="1:7" hidden="1" x14ac:dyDescent="0.25">
      <c r="A3664">
        <v>99</v>
      </c>
      <c r="B3664">
        <v>5932</v>
      </c>
      <c r="C3664">
        <v>0</v>
      </c>
      <c r="D3664">
        <v>2</v>
      </c>
      <c r="E3664">
        <v>13</v>
      </c>
      <c r="F3664" t="s">
        <v>228</v>
      </c>
      <c r="G3664" t="s">
        <v>127</v>
      </c>
    </row>
    <row r="3665" spans="1:7" hidden="1" x14ac:dyDescent="0.25">
      <c r="A3665">
        <v>99</v>
      </c>
      <c r="B3665">
        <v>5992</v>
      </c>
      <c r="C3665">
        <v>0</v>
      </c>
      <c r="D3665">
        <v>2</v>
      </c>
      <c r="E3665">
        <v>13</v>
      </c>
      <c r="F3665" t="s">
        <v>228</v>
      </c>
      <c r="G3665" t="s">
        <v>127</v>
      </c>
    </row>
    <row r="3666" spans="1:7" hidden="1" x14ac:dyDescent="0.25">
      <c r="A3666">
        <v>99</v>
      </c>
      <c r="B3666">
        <v>7260</v>
      </c>
      <c r="C3666">
        <v>0</v>
      </c>
      <c r="D3666">
        <v>2</v>
      </c>
      <c r="E3666">
        <v>13</v>
      </c>
      <c r="F3666" t="s">
        <v>228</v>
      </c>
      <c r="G3666" t="s">
        <v>127</v>
      </c>
    </row>
    <row r="3667" spans="1:7" hidden="1" x14ac:dyDescent="0.25">
      <c r="A3667">
        <v>99</v>
      </c>
      <c r="B3667">
        <v>8804</v>
      </c>
      <c r="C3667">
        <v>0</v>
      </c>
      <c r="D3667">
        <v>2</v>
      </c>
      <c r="E3667">
        <v>13</v>
      </c>
      <c r="F3667" t="s">
        <v>228</v>
      </c>
      <c r="G3667" t="s">
        <v>127</v>
      </c>
    </row>
    <row r="3668" spans="1:7" hidden="1" x14ac:dyDescent="0.25">
      <c r="A3668">
        <v>99</v>
      </c>
      <c r="B3668">
        <v>9176</v>
      </c>
      <c r="C3668">
        <v>0</v>
      </c>
      <c r="D3668">
        <v>2</v>
      </c>
      <c r="E3668">
        <v>13</v>
      </c>
      <c r="F3668" t="s">
        <v>228</v>
      </c>
      <c r="G3668" t="s">
        <v>127</v>
      </c>
    </row>
    <row r="3669" spans="1:7" hidden="1" x14ac:dyDescent="0.25">
      <c r="A3669">
        <v>99</v>
      </c>
      <c r="B3669">
        <v>9256</v>
      </c>
      <c r="C3669">
        <v>0</v>
      </c>
      <c r="D3669">
        <v>2</v>
      </c>
      <c r="E3669">
        <v>13</v>
      </c>
      <c r="F3669" t="s">
        <v>228</v>
      </c>
      <c r="G3669" t="s">
        <v>127</v>
      </c>
    </row>
    <row r="3670" spans="1:7" hidden="1" x14ac:dyDescent="0.25">
      <c r="A3670">
        <v>99</v>
      </c>
      <c r="B3670">
        <v>9752</v>
      </c>
      <c r="C3670">
        <v>0</v>
      </c>
      <c r="D3670">
        <v>2</v>
      </c>
      <c r="E3670">
        <v>13</v>
      </c>
      <c r="F3670" t="s">
        <v>228</v>
      </c>
      <c r="G3670" t="s">
        <v>127</v>
      </c>
    </row>
    <row r="3671" spans="1:7" hidden="1" x14ac:dyDescent="0.25">
      <c r="A3671">
        <v>99</v>
      </c>
      <c r="B3671">
        <v>2168</v>
      </c>
      <c r="C3671">
        <v>0</v>
      </c>
      <c r="D3671">
        <v>2</v>
      </c>
      <c r="E3671">
        <v>12</v>
      </c>
      <c r="F3671" t="s">
        <v>227</v>
      </c>
      <c r="G3671" t="s">
        <v>126</v>
      </c>
    </row>
    <row r="3672" spans="1:7" hidden="1" x14ac:dyDescent="0.25">
      <c r="A3672">
        <v>99</v>
      </c>
      <c r="B3672">
        <v>2472</v>
      </c>
      <c r="C3672">
        <v>0</v>
      </c>
      <c r="D3672">
        <v>2</v>
      </c>
      <c r="E3672">
        <v>12</v>
      </c>
      <c r="F3672" t="s">
        <v>227</v>
      </c>
      <c r="G3672" t="s">
        <v>126</v>
      </c>
    </row>
    <row r="3673" spans="1:7" hidden="1" x14ac:dyDescent="0.25">
      <c r="A3673">
        <v>99</v>
      </c>
      <c r="B3673">
        <v>3056</v>
      </c>
      <c r="C3673">
        <v>0</v>
      </c>
      <c r="D3673">
        <v>2</v>
      </c>
      <c r="E3673">
        <v>12</v>
      </c>
      <c r="F3673" t="s">
        <v>227</v>
      </c>
      <c r="G3673" t="s">
        <v>126</v>
      </c>
    </row>
    <row r="3674" spans="1:7" hidden="1" x14ac:dyDescent="0.25">
      <c r="A3674">
        <v>99</v>
      </c>
      <c r="B3674">
        <v>3100</v>
      </c>
      <c r="C3674">
        <v>0</v>
      </c>
      <c r="D3674">
        <v>2</v>
      </c>
      <c r="E3674">
        <v>12</v>
      </c>
      <c r="F3674" t="s">
        <v>227</v>
      </c>
      <c r="G3674" t="s">
        <v>126</v>
      </c>
    </row>
    <row r="3675" spans="1:7" x14ac:dyDescent="0.25">
      <c r="A3675">
        <v>99</v>
      </c>
      <c r="B3675">
        <v>4124</v>
      </c>
      <c r="C3675">
        <v>0</v>
      </c>
      <c r="D3675">
        <v>2</v>
      </c>
      <c r="E3675">
        <v>12</v>
      </c>
      <c r="F3675" t="s">
        <v>227</v>
      </c>
      <c r="G3675" t="s">
        <v>126</v>
      </c>
    </row>
    <row r="3676" spans="1:7" hidden="1" x14ac:dyDescent="0.25">
      <c r="A3676">
        <v>99</v>
      </c>
      <c r="B3676">
        <v>5932</v>
      </c>
      <c r="C3676">
        <v>0</v>
      </c>
      <c r="D3676">
        <v>2</v>
      </c>
      <c r="E3676">
        <v>12</v>
      </c>
      <c r="F3676" t="s">
        <v>227</v>
      </c>
      <c r="G3676" t="s">
        <v>126</v>
      </c>
    </row>
    <row r="3677" spans="1:7" hidden="1" x14ac:dyDescent="0.25">
      <c r="A3677">
        <v>99</v>
      </c>
      <c r="B3677">
        <v>5992</v>
      </c>
      <c r="C3677">
        <v>0</v>
      </c>
      <c r="D3677">
        <v>2</v>
      </c>
      <c r="E3677">
        <v>12</v>
      </c>
      <c r="F3677" t="s">
        <v>227</v>
      </c>
      <c r="G3677" t="s">
        <v>126</v>
      </c>
    </row>
    <row r="3678" spans="1:7" hidden="1" x14ac:dyDescent="0.25">
      <c r="A3678">
        <v>99</v>
      </c>
      <c r="B3678">
        <v>7260</v>
      </c>
      <c r="C3678">
        <v>0</v>
      </c>
      <c r="D3678">
        <v>2</v>
      </c>
      <c r="E3678">
        <v>12</v>
      </c>
      <c r="F3678" t="s">
        <v>227</v>
      </c>
      <c r="G3678" t="s">
        <v>126</v>
      </c>
    </row>
    <row r="3679" spans="1:7" hidden="1" x14ac:dyDescent="0.25">
      <c r="A3679">
        <v>99</v>
      </c>
      <c r="B3679">
        <v>8804</v>
      </c>
      <c r="C3679">
        <v>0</v>
      </c>
      <c r="D3679">
        <v>2</v>
      </c>
      <c r="E3679">
        <v>12</v>
      </c>
      <c r="F3679" t="s">
        <v>227</v>
      </c>
      <c r="G3679" t="s">
        <v>126</v>
      </c>
    </row>
    <row r="3680" spans="1:7" hidden="1" x14ac:dyDescent="0.25">
      <c r="A3680">
        <v>99</v>
      </c>
      <c r="B3680">
        <v>9176</v>
      </c>
      <c r="C3680">
        <v>0</v>
      </c>
      <c r="D3680">
        <v>2</v>
      </c>
      <c r="E3680">
        <v>12</v>
      </c>
      <c r="F3680" t="s">
        <v>227</v>
      </c>
      <c r="G3680" t="s">
        <v>126</v>
      </c>
    </row>
    <row r="3681" spans="1:7" hidden="1" x14ac:dyDescent="0.25">
      <c r="A3681">
        <v>99</v>
      </c>
      <c r="B3681">
        <v>9256</v>
      </c>
      <c r="C3681">
        <v>0</v>
      </c>
      <c r="D3681">
        <v>2</v>
      </c>
      <c r="E3681">
        <v>12</v>
      </c>
      <c r="F3681" t="s">
        <v>227</v>
      </c>
      <c r="G3681" t="s">
        <v>126</v>
      </c>
    </row>
    <row r="3682" spans="1:7" hidden="1" x14ac:dyDescent="0.25">
      <c r="A3682">
        <v>99</v>
      </c>
      <c r="B3682">
        <v>9752</v>
      </c>
      <c r="C3682">
        <v>0</v>
      </c>
      <c r="D3682">
        <v>2</v>
      </c>
      <c r="E3682">
        <v>12</v>
      </c>
      <c r="F3682" t="s">
        <v>227</v>
      </c>
      <c r="G3682" t="s">
        <v>126</v>
      </c>
    </row>
    <row r="3683" spans="1:7" hidden="1" x14ac:dyDescent="0.25">
      <c r="A3683">
        <v>99</v>
      </c>
      <c r="B3683">
        <v>2168</v>
      </c>
      <c r="C3683">
        <v>0</v>
      </c>
      <c r="D3683">
        <v>2</v>
      </c>
      <c r="E3683">
        <v>17</v>
      </c>
      <c r="F3683" t="s">
        <v>233</v>
      </c>
      <c r="G3683" t="s">
        <v>124</v>
      </c>
    </row>
    <row r="3684" spans="1:7" hidden="1" x14ac:dyDescent="0.25">
      <c r="A3684">
        <v>99</v>
      </c>
      <c r="B3684">
        <v>2472</v>
      </c>
      <c r="C3684">
        <v>0</v>
      </c>
      <c r="D3684">
        <v>2</v>
      </c>
      <c r="E3684">
        <v>17</v>
      </c>
      <c r="F3684" t="s">
        <v>233</v>
      </c>
      <c r="G3684" t="s">
        <v>124</v>
      </c>
    </row>
    <row r="3685" spans="1:7" hidden="1" x14ac:dyDescent="0.25">
      <c r="A3685">
        <v>99</v>
      </c>
      <c r="B3685">
        <v>3056</v>
      </c>
      <c r="C3685">
        <v>0</v>
      </c>
      <c r="D3685">
        <v>2</v>
      </c>
      <c r="E3685">
        <v>17</v>
      </c>
      <c r="F3685" t="s">
        <v>233</v>
      </c>
      <c r="G3685" t="s">
        <v>124</v>
      </c>
    </row>
    <row r="3686" spans="1:7" hidden="1" x14ac:dyDescent="0.25">
      <c r="A3686">
        <v>99</v>
      </c>
      <c r="B3686">
        <v>3100</v>
      </c>
      <c r="C3686">
        <v>0</v>
      </c>
      <c r="D3686">
        <v>2</v>
      </c>
      <c r="E3686">
        <v>17</v>
      </c>
      <c r="F3686" t="s">
        <v>233</v>
      </c>
      <c r="G3686" t="s">
        <v>124</v>
      </c>
    </row>
    <row r="3687" spans="1:7" x14ac:dyDescent="0.25">
      <c r="A3687">
        <v>99</v>
      </c>
      <c r="B3687">
        <v>4124</v>
      </c>
      <c r="C3687">
        <v>0</v>
      </c>
      <c r="D3687">
        <v>2</v>
      </c>
      <c r="E3687">
        <v>17</v>
      </c>
      <c r="F3687" t="s">
        <v>233</v>
      </c>
      <c r="G3687" t="s">
        <v>124</v>
      </c>
    </row>
    <row r="3688" spans="1:7" hidden="1" x14ac:dyDescent="0.25">
      <c r="A3688">
        <v>99</v>
      </c>
      <c r="B3688">
        <v>5932</v>
      </c>
      <c r="C3688">
        <v>0</v>
      </c>
      <c r="D3688">
        <v>2</v>
      </c>
      <c r="E3688">
        <v>17</v>
      </c>
      <c r="F3688" t="s">
        <v>233</v>
      </c>
      <c r="G3688" t="s">
        <v>124</v>
      </c>
    </row>
    <row r="3689" spans="1:7" hidden="1" x14ac:dyDescent="0.25">
      <c r="A3689">
        <v>99</v>
      </c>
      <c r="B3689">
        <v>5992</v>
      </c>
      <c r="C3689">
        <v>0</v>
      </c>
      <c r="D3689">
        <v>2</v>
      </c>
      <c r="E3689">
        <v>17</v>
      </c>
      <c r="F3689" t="s">
        <v>233</v>
      </c>
      <c r="G3689" t="s">
        <v>124</v>
      </c>
    </row>
    <row r="3690" spans="1:7" hidden="1" x14ac:dyDescent="0.25">
      <c r="A3690">
        <v>99</v>
      </c>
      <c r="B3690">
        <v>7260</v>
      </c>
      <c r="C3690">
        <v>0</v>
      </c>
      <c r="D3690">
        <v>2</v>
      </c>
      <c r="E3690">
        <v>17</v>
      </c>
      <c r="F3690" t="s">
        <v>233</v>
      </c>
      <c r="G3690" t="s">
        <v>124</v>
      </c>
    </row>
    <row r="3691" spans="1:7" hidden="1" x14ac:dyDescent="0.25">
      <c r="A3691">
        <v>99</v>
      </c>
      <c r="B3691">
        <v>8804</v>
      </c>
      <c r="C3691">
        <v>0</v>
      </c>
      <c r="D3691">
        <v>2</v>
      </c>
      <c r="E3691">
        <v>17</v>
      </c>
      <c r="F3691" t="s">
        <v>233</v>
      </c>
      <c r="G3691" t="s">
        <v>124</v>
      </c>
    </row>
    <row r="3692" spans="1:7" hidden="1" x14ac:dyDescent="0.25">
      <c r="A3692">
        <v>99</v>
      </c>
      <c r="B3692">
        <v>9176</v>
      </c>
      <c r="C3692">
        <v>0</v>
      </c>
      <c r="D3692">
        <v>2</v>
      </c>
      <c r="E3692">
        <v>17</v>
      </c>
      <c r="F3692" t="s">
        <v>233</v>
      </c>
      <c r="G3692" t="s">
        <v>124</v>
      </c>
    </row>
    <row r="3693" spans="1:7" hidden="1" x14ac:dyDescent="0.25">
      <c r="A3693">
        <v>99</v>
      </c>
      <c r="B3693">
        <v>9256</v>
      </c>
      <c r="C3693">
        <v>0</v>
      </c>
      <c r="D3693">
        <v>2</v>
      </c>
      <c r="E3693">
        <v>17</v>
      </c>
      <c r="F3693" t="s">
        <v>233</v>
      </c>
      <c r="G3693" t="s">
        <v>124</v>
      </c>
    </row>
    <row r="3694" spans="1:7" hidden="1" x14ac:dyDescent="0.25">
      <c r="A3694">
        <v>99</v>
      </c>
      <c r="B3694">
        <v>9752</v>
      </c>
      <c r="C3694">
        <v>0</v>
      </c>
      <c r="D3694">
        <v>2</v>
      </c>
      <c r="E3694">
        <v>17</v>
      </c>
      <c r="F3694" t="s">
        <v>233</v>
      </c>
      <c r="G3694" t="s">
        <v>124</v>
      </c>
    </row>
    <row r="3695" spans="1:7" hidden="1" x14ac:dyDescent="0.25">
      <c r="A3695">
        <v>99</v>
      </c>
      <c r="B3695">
        <v>2168</v>
      </c>
      <c r="C3695">
        <v>0</v>
      </c>
      <c r="D3695">
        <v>2</v>
      </c>
      <c r="E3695">
        <v>15</v>
      </c>
      <c r="F3695" t="s">
        <v>230</v>
      </c>
      <c r="G3695" t="s">
        <v>203</v>
      </c>
    </row>
    <row r="3696" spans="1:7" hidden="1" x14ac:dyDescent="0.25">
      <c r="A3696">
        <v>99</v>
      </c>
      <c r="B3696">
        <v>2472</v>
      </c>
      <c r="C3696">
        <v>0</v>
      </c>
      <c r="D3696">
        <v>2</v>
      </c>
      <c r="E3696">
        <v>15</v>
      </c>
      <c r="F3696" t="s">
        <v>230</v>
      </c>
      <c r="G3696" t="s">
        <v>203</v>
      </c>
    </row>
    <row r="3697" spans="1:7" hidden="1" x14ac:dyDescent="0.25">
      <c r="A3697">
        <v>99</v>
      </c>
      <c r="B3697">
        <v>3056</v>
      </c>
      <c r="C3697">
        <v>0</v>
      </c>
      <c r="D3697">
        <v>2</v>
      </c>
      <c r="E3697">
        <v>15</v>
      </c>
      <c r="F3697" t="s">
        <v>230</v>
      </c>
      <c r="G3697" t="s">
        <v>203</v>
      </c>
    </row>
    <row r="3698" spans="1:7" hidden="1" x14ac:dyDescent="0.25">
      <c r="A3698">
        <v>99</v>
      </c>
      <c r="B3698">
        <v>3100</v>
      </c>
      <c r="C3698">
        <v>0</v>
      </c>
      <c r="D3698">
        <v>2</v>
      </c>
      <c r="E3698">
        <v>15</v>
      </c>
      <c r="F3698" t="s">
        <v>230</v>
      </c>
      <c r="G3698" t="s">
        <v>203</v>
      </c>
    </row>
    <row r="3699" spans="1:7" x14ac:dyDescent="0.25">
      <c r="A3699">
        <v>99</v>
      </c>
      <c r="B3699">
        <v>4124</v>
      </c>
      <c r="C3699">
        <v>0</v>
      </c>
      <c r="D3699">
        <v>2</v>
      </c>
      <c r="E3699">
        <v>15</v>
      </c>
      <c r="F3699" t="s">
        <v>230</v>
      </c>
      <c r="G3699" t="s">
        <v>231</v>
      </c>
    </row>
    <row r="3700" spans="1:7" hidden="1" x14ac:dyDescent="0.25">
      <c r="A3700">
        <v>99</v>
      </c>
      <c r="B3700">
        <v>5932</v>
      </c>
      <c r="C3700">
        <v>0</v>
      </c>
      <c r="D3700">
        <v>2</v>
      </c>
      <c r="E3700">
        <v>15</v>
      </c>
      <c r="F3700" t="s">
        <v>230</v>
      </c>
      <c r="G3700" t="s">
        <v>203</v>
      </c>
    </row>
    <row r="3701" spans="1:7" hidden="1" x14ac:dyDescent="0.25">
      <c r="A3701">
        <v>99</v>
      </c>
      <c r="B3701">
        <v>5992</v>
      </c>
      <c r="C3701">
        <v>0</v>
      </c>
      <c r="D3701">
        <v>2</v>
      </c>
      <c r="E3701">
        <v>15</v>
      </c>
      <c r="F3701" t="s">
        <v>230</v>
      </c>
      <c r="G3701" t="s">
        <v>231</v>
      </c>
    </row>
    <row r="3702" spans="1:7" hidden="1" x14ac:dyDescent="0.25">
      <c r="A3702">
        <v>99</v>
      </c>
      <c r="B3702">
        <v>7260</v>
      </c>
      <c r="C3702">
        <v>0</v>
      </c>
      <c r="D3702">
        <v>2</v>
      </c>
      <c r="E3702">
        <v>15</v>
      </c>
      <c r="F3702" t="s">
        <v>230</v>
      </c>
      <c r="G3702" t="s">
        <v>203</v>
      </c>
    </row>
    <row r="3703" spans="1:7" hidden="1" x14ac:dyDescent="0.25">
      <c r="A3703">
        <v>99</v>
      </c>
      <c r="B3703">
        <v>8804</v>
      </c>
      <c r="C3703">
        <v>0</v>
      </c>
      <c r="D3703">
        <v>2</v>
      </c>
      <c r="E3703">
        <v>15</v>
      </c>
      <c r="F3703" t="s">
        <v>230</v>
      </c>
      <c r="G3703" t="s">
        <v>203</v>
      </c>
    </row>
    <row r="3704" spans="1:7" hidden="1" x14ac:dyDescent="0.25">
      <c r="A3704">
        <v>99</v>
      </c>
      <c r="B3704">
        <v>9176</v>
      </c>
      <c r="C3704">
        <v>0</v>
      </c>
      <c r="D3704">
        <v>2</v>
      </c>
      <c r="E3704">
        <v>15</v>
      </c>
      <c r="F3704" t="s">
        <v>230</v>
      </c>
      <c r="G3704" t="s">
        <v>203</v>
      </c>
    </row>
    <row r="3705" spans="1:7" hidden="1" x14ac:dyDescent="0.25">
      <c r="A3705">
        <v>99</v>
      </c>
      <c r="B3705">
        <v>9256</v>
      </c>
      <c r="C3705">
        <v>0</v>
      </c>
      <c r="D3705">
        <v>2</v>
      </c>
      <c r="E3705">
        <v>15</v>
      </c>
      <c r="F3705" t="s">
        <v>230</v>
      </c>
      <c r="G3705" t="s">
        <v>231</v>
      </c>
    </row>
    <row r="3706" spans="1:7" hidden="1" x14ac:dyDescent="0.25">
      <c r="A3706">
        <v>99</v>
      </c>
      <c r="B3706">
        <v>9752</v>
      </c>
      <c r="C3706">
        <v>0</v>
      </c>
      <c r="D3706">
        <v>2</v>
      </c>
      <c r="E3706">
        <v>15</v>
      </c>
      <c r="F3706" t="s">
        <v>230</v>
      </c>
      <c r="G3706" t="s">
        <v>203</v>
      </c>
    </row>
    <row r="3707" spans="1:7" hidden="1" x14ac:dyDescent="0.25">
      <c r="A3707">
        <v>99</v>
      </c>
      <c r="B3707">
        <v>2168</v>
      </c>
      <c r="C3707">
        <v>0</v>
      </c>
      <c r="D3707">
        <v>2</v>
      </c>
      <c r="E3707">
        <v>16</v>
      </c>
      <c r="F3707" t="s">
        <v>232</v>
      </c>
      <c r="G3707" t="s">
        <v>129</v>
      </c>
    </row>
    <row r="3708" spans="1:7" hidden="1" x14ac:dyDescent="0.25">
      <c r="A3708">
        <v>99</v>
      </c>
      <c r="B3708">
        <v>2472</v>
      </c>
      <c r="C3708">
        <v>0</v>
      </c>
      <c r="D3708">
        <v>2</v>
      </c>
      <c r="E3708">
        <v>16</v>
      </c>
      <c r="F3708" t="s">
        <v>232</v>
      </c>
      <c r="G3708" t="s">
        <v>129</v>
      </c>
    </row>
    <row r="3709" spans="1:7" hidden="1" x14ac:dyDescent="0.25">
      <c r="A3709">
        <v>99</v>
      </c>
      <c r="B3709">
        <v>3056</v>
      </c>
      <c r="C3709">
        <v>0</v>
      </c>
      <c r="D3709">
        <v>2</v>
      </c>
      <c r="E3709">
        <v>16</v>
      </c>
      <c r="F3709" t="s">
        <v>232</v>
      </c>
      <c r="G3709" t="s">
        <v>129</v>
      </c>
    </row>
    <row r="3710" spans="1:7" hidden="1" x14ac:dyDescent="0.25">
      <c r="A3710">
        <v>99</v>
      </c>
      <c r="B3710">
        <v>3100</v>
      </c>
      <c r="C3710">
        <v>0</v>
      </c>
      <c r="D3710">
        <v>2</v>
      </c>
      <c r="E3710">
        <v>16</v>
      </c>
      <c r="F3710" t="s">
        <v>232</v>
      </c>
      <c r="G3710" t="s">
        <v>129</v>
      </c>
    </row>
    <row r="3711" spans="1:7" x14ac:dyDescent="0.25">
      <c r="A3711">
        <v>99</v>
      </c>
      <c r="B3711">
        <v>4124</v>
      </c>
      <c r="C3711">
        <v>0</v>
      </c>
      <c r="D3711">
        <v>2</v>
      </c>
      <c r="E3711">
        <v>16</v>
      </c>
      <c r="F3711" t="s">
        <v>232</v>
      </c>
      <c r="G3711" t="s">
        <v>129</v>
      </c>
    </row>
    <row r="3712" spans="1:7" hidden="1" x14ac:dyDescent="0.25">
      <c r="A3712">
        <v>99</v>
      </c>
      <c r="B3712">
        <v>5932</v>
      </c>
      <c r="C3712">
        <v>0</v>
      </c>
      <c r="D3712">
        <v>2</v>
      </c>
      <c r="E3712">
        <v>16</v>
      </c>
      <c r="F3712" t="s">
        <v>232</v>
      </c>
      <c r="G3712" t="s">
        <v>129</v>
      </c>
    </row>
    <row r="3713" spans="1:7" hidden="1" x14ac:dyDescent="0.25">
      <c r="A3713">
        <v>99</v>
      </c>
      <c r="B3713">
        <v>5992</v>
      </c>
      <c r="C3713">
        <v>0</v>
      </c>
      <c r="D3713">
        <v>2</v>
      </c>
      <c r="E3713">
        <v>16</v>
      </c>
      <c r="F3713" t="s">
        <v>232</v>
      </c>
      <c r="G3713" t="s">
        <v>129</v>
      </c>
    </row>
    <row r="3714" spans="1:7" hidden="1" x14ac:dyDescent="0.25">
      <c r="A3714">
        <v>99</v>
      </c>
      <c r="B3714">
        <v>7260</v>
      </c>
      <c r="C3714">
        <v>0</v>
      </c>
      <c r="D3714">
        <v>2</v>
      </c>
      <c r="E3714">
        <v>16</v>
      </c>
      <c r="F3714" t="s">
        <v>232</v>
      </c>
      <c r="G3714" t="s">
        <v>129</v>
      </c>
    </row>
    <row r="3715" spans="1:7" hidden="1" x14ac:dyDescent="0.25">
      <c r="A3715">
        <v>99</v>
      </c>
      <c r="B3715">
        <v>8804</v>
      </c>
      <c r="C3715">
        <v>0</v>
      </c>
      <c r="D3715">
        <v>2</v>
      </c>
      <c r="E3715">
        <v>16</v>
      </c>
      <c r="F3715" t="s">
        <v>232</v>
      </c>
      <c r="G3715" t="s">
        <v>129</v>
      </c>
    </row>
    <row r="3716" spans="1:7" hidden="1" x14ac:dyDescent="0.25">
      <c r="A3716">
        <v>99</v>
      </c>
      <c r="B3716">
        <v>9176</v>
      </c>
      <c r="C3716">
        <v>0</v>
      </c>
      <c r="D3716">
        <v>2</v>
      </c>
      <c r="E3716">
        <v>16</v>
      </c>
      <c r="F3716" t="s">
        <v>232</v>
      </c>
      <c r="G3716" t="s">
        <v>129</v>
      </c>
    </row>
    <row r="3717" spans="1:7" hidden="1" x14ac:dyDescent="0.25">
      <c r="A3717">
        <v>99</v>
      </c>
      <c r="B3717">
        <v>9256</v>
      </c>
      <c r="C3717">
        <v>0</v>
      </c>
      <c r="D3717">
        <v>2</v>
      </c>
      <c r="E3717">
        <v>16</v>
      </c>
      <c r="F3717" t="s">
        <v>232</v>
      </c>
      <c r="G3717" t="s">
        <v>129</v>
      </c>
    </row>
    <row r="3718" spans="1:7" hidden="1" x14ac:dyDescent="0.25">
      <c r="A3718">
        <v>99</v>
      </c>
      <c r="B3718">
        <v>9752</v>
      </c>
      <c r="C3718">
        <v>0</v>
      </c>
      <c r="D3718">
        <v>2</v>
      </c>
      <c r="E3718">
        <v>16</v>
      </c>
      <c r="F3718" t="s">
        <v>232</v>
      </c>
      <c r="G3718" t="s">
        <v>129</v>
      </c>
    </row>
    <row r="3719" spans="1:7" hidden="1" x14ac:dyDescent="0.25">
      <c r="A3719">
        <v>99</v>
      </c>
      <c r="B3719">
        <v>2168</v>
      </c>
      <c r="C3719">
        <v>0</v>
      </c>
      <c r="D3719">
        <v>2</v>
      </c>
      <c r="E3719">
        <v>18</v>
      </c>
      <c r="F3719" t="s">
        <v>234</v>
      </c>
      <c r="G3719" t="s">
        <v>318</v>
      </c>
    </row>
    <row r="3720" spans="1:7" hidden="1" x14ac:dyDescent="0.25">
      <c r="A3720">
        <v>99</v>
      </c>
      <c r="B3720">
        <v>2472</v>
      </c>
      <c r="C3720">
        <v>0</v>
      </c>
      <c r="D3720">
        <v>2</v>
      </c>
      <c r="E3720">
        <v>18</v>
      </c>
      <c r="F3720" t="s">
        <v>234</v>
      </c>
      <c r="G3720" t="s">
        <v>318</v>
      </c>
    </row>
    <row r="3721" spans="1:7" hidden="1" x14ac:dyDescent="0.25">
      <c r="A3721">
        <v>99</v>
      </c>
      <c r="B3721">
        <v>3056</v>
      </c>
      <c r="C3721">
        <v>0</v>
      </c>
      <c r="D3721">
        <v>2</v>
      </c>
      <c r="E3721">
        <v>18</v>
      </c>
      <c r="F3721" t="s">
        <v>234</v>
      </c>
      <c r="G3721" t="s">
        <v>318</v>
      </c>
    </row>
    <row r="3722" spans="1:7" hidden="1" x14ac:dyDescent="0.25">
      <c r="A3722">
        <v>99</v>
      </c>
      <c r="B3722">
        <v>3100</v>
      </c>
      <c r="C3722">
        <v>0</v>
      </c>
      <c r="D3722">
        <v>2</v>
      </c>
      <c r="E3722">
        <v>18</v>
      </c>
      <c r="F3722" t="s">
        <v>234</v>
      </c>
      <c r="G3722" t="s">
        <v>318</v>
      </c>
    </row>
    <row r="3723" spans="1:7" x14ac:dyDescent="0.25">
      <c r="A3723">
        <v>99</v>
      </c>
      <c r="B3723">
        <v>4124</v>
      </c>
      <c r="C3723">
        <v>0</v>
      </c>
      <c r="D3723">
        <v>2</v>
      </c>
      <c r="E3723">
        <v>18</v>
      </c>
      <c r="F3723" t="s">
        <v>234</v>
      </c>
      <c r="G3723" t="s">
        <v>317</v>
      </c>
    </row>
    <row r="3724" spans="1:7" hidden="1" x14ac:dyDescent="0.25">
      <c r="A3724">
        <v>99</v>
      </c>
      <c r="B3724">
        <v>5932</v>
      </c>
      <c r="C3724">
        <v>0</v>
      </c>
      <c r="D3724">
        <v>2</v>
      </c>
      <c r="E3724">
        <v>18</v>
      </c>
      <c r="F3724" t="s">
        <v>234</v>
      </c>
      <c r="G3724" t="s">
        <v>318</v>
      </c>
    </row>
    <row r="3725" spans="1:7" hidden="1" x14ac:dyDescent="0.25">
      <c r="A3725">
        <v>99</v>
      </c>
      <c r="B3725">
        <v>5992</v>
      </c>
      <c r="C3725">
        <v>0</v>
      </c>
      <c r="D3725">
        <v>2</v>
      </c>
      <c r="E3725">
        <v>18</v>
      </c>
      <c r="F3725" t="s">
        <v>234</v>
      </c>
      <c r="G3725" t="s">
        <v>317</v>
      </c>
    </row>
    <row r="3726" spans="1:7" hidden="1" x14ac:dyDescent="0.25">
      <c r="A3726">
        <v>99</v>
      </c>
      <c r="B3726">
        <v>7260</v>
      </c>
      <c r="C3726">
        <v>0</v>
      </c>
      <c r="D3726">
        <v>2</v>
      </c>
      <c r="E3726">
        <v>18</v>
      </c>
      <c r="F3726" t="s">
        <v>234</v>
      </c>
      <c r="G3726" t="s">
        <v>317</v>
      </c>
    </row>
    <row r="3727" spans="1:7" hidden="1" x14ac:dyDescent="0.25">
      <c r="A3727">
        <v>99</v>
      </c>
      <c r="B3727">
        <v>8804</v>
      </c>
      <c r="C3727">
        <v>0</v>
      </c>
      <c r="D3727">
        <v>2</v>
      </c>
      <c r="E3727">
        <v>18</v>
      </c>
      <c r="F3727" t="s">
        <v>234</v>
      </c>
      <c r="G3727" t="s">
        <v>317</v>
      </c>
    </row>
    <row r="3728" spans="1:7" hidden="1" x14ac:dyDescent="0.25">
      <c r="A3728">
        <v>99</v>
      </c>
      <c r="B3728">
        <v>9176</v>
      </c>
      <c r="C3728">
        <v>0</v>
      </c>
      <c r="D3728">
        <v>2</v>
      </c>
      <c r="E3728">
        <v>18</v>
      </c>
      <c r="F3728" t="s">
        <v>234</v>
      </c>
      <c r="G3728" t="s">
        <v>318</v>
      </c>
    </row>
    <row r="3729" spans="1:7" hidden="1" x14ac:dyDescent="0.25">
      <c r="A3729">
        <v>99</v>
      </c>
      <c r="B3729">
        <v>9256</v>
      </c>
      <c r="C3729">
        <v>0</v>
      </c>
      <c r="D3729">
        <v>2</v>
      </c>
      <c r="E3729">
        <v>18</v>
      </c>
      <c r="F3729" t="s">
        <v>234</v>
      </c>
      <c r="G3729" t="s">
        <v>317</v>
      </c>
    </row>
    <row r="3730" spans="1:7" hidden="1" x14ac:dyDescent="0.25">
      <c r="A3730">
        <v>99</v>
      </c>
      <c r="B3730">
        <v>9752</v>
      </c>
      <c r="C3730">
        <v>0</v>
      </c>
      <c r="D3730">
        <v>2</v>
      </c>
      <c r="E3730">
        <v>18</v>
      </c>
      <c r="F3730" t="s">
        <v>234</v>
      </c>
      <c r="G3730" t="s">
        <v>318</v>
      </c>
    </row>
    <row r="3731" spans="1:7" hidden="1" x14ac:dyDescent="0.25">
      <c r="A3731">
        <v>99</v>
      </c>
      <c r="B3731">
        <v>2168</v>
      </c>
      <c r="C3731">
        <v>0</v>
      </c>
      <c r="D3731">
        <v>2</v>
      </c>
      <c r="E3731">
        <v>23</v>
      </c>
      <c r="F3731" t="s">
        <v>239</v>
      </c>
      <c r="G3731" t="s">
        <v>206</v>
      </c>
    </row>
    <row r="3732" spans="1:7" hidden="1" x14ac:dyDescent="0.25">
      <c r="A3732">
        <v>99</v>
      </c>
      <c r="B3732">
        <v>2472</v>
      </c>
      <c r="C3732">
        <v>0</v>
      </c>
      <c r="D3732">
        <v>2</v>
      </c>
      <c r="E3732">
        <v>23</v>
      </c>
      <c r="F3732" t="s">
        <v>239</v>
      </c>
      <c r="G3732" t="s">
        <v>206</v>
      </c>
    </row>
    <row r="3733" spans="1:7" hidden="1" x14ac:dyDescent="0.25">
      <c r="A3733">
        <v>99</v>
      </c>
      <c r="B3733">
        <v>3056</v>
      </c>
      <c r="C3733">
        <v>0</v>
      </c>
      <c r="D3733">
        <v>2</v>
      </c>
      <c r="E3733">
        <v>23</v>
      </c>
      <c r="F3733" t="s">
        <v>239</v>
      </c>
      <c r="G3733" t="s">
        <v>206</v>
      </c>
    </row>
    <row r="3734" spans="1:7" hidden="1" x14ac:dyDescent="0.25">
      <c r="A3734">
        <v>99</v>
      </c>
      <c r="B3734">
        <v>3100</v>
      </c>
      <c r="C3734">
        <v>0</v>
      </c>
      <c r="D3734">
        <v>2</v>
      </c>
      <c r="E3734">
        <v>23</v>
      </c>
      <c r="F3734" t="s">
        <v>239</v>
      </c>
      <c r="G3734" t="s">
        <v>206</v>
      </c>
    </row>
    <row r="3735" spans="1:7" x14ac:dyDescent="0.25">
      <c r="A3735">
        <v>99</v>
      </c>
      <c r="B3735">
        <v>4124</v>
      </c>
      <c r="C3735">
        <v>0</v>
      </c>
      <c r="D3735">
        <v>2</v>
      </c>
      <c r="E3735">
        <v>23</v>
      </c>
      <c r="F3735" t="s">
        <v>239</v>
      </c>
      <c r="G3735" t="s">
        <v>155</v>
      </c>
    </row>
    <row r="3736" spans="1:7" hidden="1" x14ac:dyDescent="0.25">
      <c r="A3736">
        <v>99</v>
      </c>
      <c r="B3736">
        <v>5932</v>
      </c>
      <c r="C3736">
        <v>0</v>
      </c>
      <c r="D3736">
        <v>2</v>
      </c>
      <c r="E3736">
        <v>23</v>
      </c>
      <c r="F3736" t="s">
        <v>239</v>
      </c>
      <c r="G3736" t="s">
        <v>206</v>
      </c>
    </row>
    <row r="3737" spans="1:7" hidden="1" x14ac:dyDescent="0.25">
      <c r="A3737">
        <v>99</v>
      </c>
      <c r="B3737">
        <v>5992</v>
      </c>
      <c r="C3737">
        <v>0</v>
      </c>
      <c r="D3737">
        <v>2</v>
      </c>
      <c r="E3737">
        <v>23</v>
      </c>
      <c r="F3737" t="s">
        <v>239</v>
      </c>
      <c r="G3737" t="s">
        <v>155</v>
      </c>
    </row>
    <row r="3738" spans="1:7" hidden="1" x14ac:dyDescent="0.25">
      <c r="A3738">
        <v>99</v>
      </c>
      <c r="B3738">
        <v>7260</v>
      </c>
      <c r="C3738">
        <v>0</v>
      </c>
      <c r="D3738">
        <v>2</v>
      </c>
      <c r="E3738">
        <v>23</v>
      </c>
      <c r="F3738" t="s">
        <v>239</v>
      </c>
      <c r="G3738" t="s">
        <v>206</v>
      </c>
    </row>
    <row r="3739" spans="1:7" hidden="1" x14ac:dyDescent="0.25">
      <c r="A3739">
        <v>99</v>
      </c>
      <c r="B3739">
        <v>8804</v>
      </c>
      <c r="C3739">
        <v>0</v>
      </c>
      <c r="D3739">
        <v>2</v>
      </c>
      <c r="E3739">
        <v>23</v>
      </c>
      <c r="F3739" t="s">
        <v>239</v>
      </c>
      <c r="G3739" t="s">
        <v>206</v>
      </c>
    </row>
    <row r="3740" spans="1:7" hidden="1" x14ac:dyDescent="0.25">
      <c r="A3740">
        <v>99</v>
      </c>
      <c r="B3740">
        <v>9176</v>
      </c>
      <c r="C3740">
        <v>0</v>
      </c>
      <c r="D3740">
        <v>2</v>
      </c>
      <c r="E3740">
        <v>23</v>
      </c>
      <c r="F3740" t="s">
        <v>239</v>
      </c>
      <c r="G3740" t="s">
        <v>206</v>
      </c>
    </row>
    <row r="3741" spans="1:7" hidden="1" x14ac:dyDescent="0.25">
      <c r="A3741">
        <v>99</v>
      </c>
      <c r="B3741">
        <v>9256</v>
      </c>
      <c r="C3741">
        <v>0</v>
      </c>
      <c r="D3741">
        <v>2</v>
      </c>
      <c r="E3741">
        <v>23</v>
      </c>
      <c r="F3741" t="s">
        <v>239</v>
      </c>
      <c r="G3741" t="s">
        <v>155</v>
      </c>
    </row>
    <row r="3742" spans="1:7" hidden="1" x14ac:dyDescent="0.25">
      <c r="A3742">
        <v>99</v>
      </c>
      <c r="B3742">
        <v>9752</v>
      </c>
      <c r="C3742">
        <v>0</v>
      </c>
      <c r="D3742">
        <v>2</v>
      </c>
      <c r="E3742">
        <v>23</v>
      </c>
      <c r="F3742" t="s">
        <v>239</v>
      </c>
      <c r="G3742" t="s">
        <v>206</v>
      </c>
    </row>
    <row r="3743" spans="1:7" hidden="1" x14ac:dyDescent="0.25">
      <c r="A3743">
        <v>99</v>
      </c>
      <c r="B3743">
        <v>2168</v>
      </c>
      <c r="C3743">
        <v>0</v>
      </c>
      <c r="D3743">
        <v>2</v>
      </c>
      <c r="E3743">
        <v>32</v>
      </c>
      <c r="F3743" t="s">
        <v>327</v>
      </c>
      <c r="G3743" t="s">
        <v>130</v>
      </c>
    </row>
    <row r="3744" spans="1:7" hidden="1" x14ac:dyDescent="0.25">
      <c r="A3744">
        <v>99</v>
      </c>
      <c r="B3744">
        <v>2472</v>
      </c>
      <c r="C3744">
        <v>0</v>
      </c>
      <c r="D3744">
        <v>2</v>
      </c>
      <c r="E3744">
        <v>32</v>
      </c>
      <c r="F3744" t="s">
        <v>327</v>
      </c>
      <c r="G3744" t="s">
        <v>130</v>
      </c>
    </row>
    <row r="3745" spans="1:7" hidden="1" x14ac:dyDescent="0.25">
      <c r="A3745">
        <v>99</v>
      </c>
      <c r="B3745">
        <v>3056</v>
      </c>
      <c r="C3745">
        <v>0</v>
      </c>
      <c r="D3745">
        <v>2</v>
      </c>
      <c r="E3745">
        <v>32</v>
      </c>
      <c r="F3745" t="s">
        <v>327</v>
      </c>
      <c r="G3745" t="s">
        <v>130</v>
      </c>
    </row>
    <row r="3746" spans="1:7" hidden="1" x14ac:dyDescent="0.25">
      <c r="A3746">
        <v>99</v>
      </c>
      <c r="B3746">
        <v>3100</v>
      </c>
      <c r="C3746">
        <v>0</v>
      </c>
      <c r="D3746">
        <v>2</v>
      </c>
      <c r="E3746">
        <v>32</v>
      </c>
      <c r="F3746" t="s">
        <v>327</v>
      </c>
      <c r="G3746" t="s">
        <v>130</v>
      </c>
    </row>
    <row r="3747" spans="1:7" hidden="1" x14ac:dyDescent="0.25">
      <c r="A3747">
        <v>99</v>
      </c>
      <c r="B3747">
        <v>5932</v>
      </c>
      <c r="C3747">
        <v>0</v>
      </c>
      <c r="D3747">
        <v>2</v>
      </c>
      <c r="E3747">
        <v>32</v>
      </c>
      <c r="F3747" t="s">
        <v>327</v>
      </c>
      <c r="G3747" t="s">
        <v>130</v>
      </c>
    </row>
    <row r="3748" spans="1:7" hidden="1" x14ac:dyDescent="0.25">
      <c r="A3748">
        <v>99</v>
      </c>
      <c r="B3748">
        <v>7260</v>
      </c>
      <c r="C3748">
        <v>0</v>
      </c>
      <c r="D3748">
        <v>2</v>
      </c>
      <c r="E3748">
        <v>32</v>
      </c>
      <c r="F3748" t="s">
        <v>327</v>
      </c>
      <c r="G3748" t="s">
        <v>130</v>
      </c>
    </row>
    <row r="3749" spans="1:7" hidden="1" x14ac:dyDescent="0.25">
      <c r="A3749">
        <v>99</v>
      </c>
      <c r="B3749">
        <v>8804</v>
      </c>
      <c r="C3749">
        <v>0</v>
      </c>
      <c r="D3749">
        <v>2</v>
      </c>
      <c r="E3749">
        <v>32</v>
      </c>
      <c r="F3749" t="s">
        <v>327</v>
      </c>
      <c r="G3749" t="s">
        <v>130</v>
      </c>
    </row>
    <row r="3750" spans="1:7" hidden="1" x14ac:dyDescent="0.25">
      <c r="A3750">
        <v>99</v>
      </c>
      <c r="B3750">
        <v>9176</v>
      </c>
      <c r="C3750">
        <v>0</v>
      </c>
      <c r="D3750">
        <v>2</v>
      </c>
      <c r="E3750">
        <v>32</v>
      </c>
      <c r="F3750" t="s">
        <v>327</v>
      </c>
      <c r="G3750" t="s">
        <v>130</v>
      </c>
    </row>
    <row r="3751" spans="1:7" hidden="1" x14ac:dyDescent="0.25">
      <c r="A3751">
        <v>99</v>
      </c>
      <c r="B3751">
        <v>9752</v>
      </c>
      <c r="C3751">
        <v>0</v>
      </c>
      <c r="D3751">
        <v>2</v>
      </c>
      <c r="E3751">
        <v>32</v>
      </c>
      <c r="F3751" t="s">
        <v>327</v>
      </c>
      <c r="G3751" t="s">
        <v>130</v>
      </c>
    </row>
    <row r="3752" spans="1:7" hidden="1" x14ac:dyDescent="0.25">
      <c r="A3752">
        <v>99</v>
      </c>
      <c r="B3752">
        <v>2168</v>
      </c>
      <c r="C3752">
        <v>0</v>
      </c>
      <c r="D3752">
        <v>2</v>
      </c>
      <c r="E3752">
        <v>31</v>
      </c>
      <c r="F3752" t="s">
        <v>326</v>
      </c>
      <c r="G3752" t="s">
        <v>193</v>
      </c>
    </row>
    <row r="3753" spans="1:7" hidden="1" x14ac:dyDescent="0.25">
      <c r="A3753">
        <v>99</v>
      </c>
      <c r="B3753">
        <v>2472</v>
      </c>
      <c r="C3753">
        <v>0</v>
      </c>
      <c r="D3753">
        <v>2</v>
      </c>
      <c r="E3753">
        <v>31</v>
      </c>
      <c r="F3753" t="s">
        <v>326</v>
      </c>
      <c r="G3753" t="s">
        <v>193</v>
      </c>
    </row>
    <row r="3754" spans="1:7" hidden="1" x14ac:dyDescent="0.25">
      <c r="A3754">
        <v>99</v>
      </c>
      <c r="B3754">
        <v>3056</v>
      </c>
      <c r="C3754">
        <v>0</v>
      </c>
      <c r="D3754">
        <v>2</v>
      </c>
      <c r="E3754">
        <v>31</v>
      </c>
      <c r="F3754" t="s">
        <v>326</v>
      </c>
      <c r="G3754" t="s">
        <v>193</v>
      </c>
    </row>
    <row r="3755" spans="1:7" hidden="1" x14ac:dyDescent="0.25">
      <c r="A3755">
        <v>99</v>
      </c>
      <c r="B3755">
        <v>3100</v>
      </c>
      <c r="C3755">
        <v>0</v>
      </c>
      <c r="D3755">
        <v>2</v>
      </c>
      <c r="E3755">
        <v>31</v>
      </c>
      <c r="F3755" t="s">
        <v>326</v>
      </c>
      <c r="G3755" t="s">
        <v>193</v>
      </c>
    </row>
    <row r="3756" spans="1:7" hidden="1" x14ac:dyDescent="0.25">
      <c r="A3756">
        <v>99</v>
      </c>
      <c r="B3756">
        <v>5932</v>
      </c>
      <c r="C3756">
        <v>0</v>
      </c>
      <c r="D3756">
        <v>2</v>
      </c>
      <c r="E3756">
        <v>31</v>
      </c>
      <c r="F3756" t="s">
        <v>326</v>
      </c>
      <c r="G3756" t="s">
        <v>193</v>
      </c>
    </row>
    <row r="3757" spans="1:7" hidden="1" x14ac:dyDescent="0.25">
      <c r="A3757">
        <v>99</v>
      </c>
      <c r="B3757">
        <v>7260</v>
      </c>
      <c r="C3757">
        <v>0</v>
      </c>
      <c r="D3757">
        <v>2</v>
      </c>
      <c r="E3757">
        <v>31</v>
      </c>
      <c r="F3757" t="s">
        <v>326</v>
      </c>
      <c r="G3757" t="s">
        <v>349</v>
      </c>
    </row>
    <row r="3758" spans="1:7" hidden="1" x14ac:dyDescent="0.25">
      <c r="A3758">
        <v>99</v>
      </c>
      <c r="B3758">
        <v>8804</v>
      </c>
      <c r="C3758">
        <v>0</v>
      </c>
      <c r="D3758">
        <v>2</v>
      </c>
      <c r="E3758">
        <v>31</v>
      </c>
      <c r="F3758" t="s">
        <v>326</v>
      </c>
      <c r="G3758" t="s">
        <v>349</v>
      </c>
    </row>
    <row r="3759" spans="1:7" hidden="1" x14ac:dyDescent="0.25">
      <c r="A3759">
        <v>99</v>
      </c>
      <c r="B3759">
        <v>9176</v>
      </c>
      <c r="C3759">
        <v>0</v>
      </c>
      <c r="D3759">
        <v>2</v>
      </c>
      <c r="E3759">
        <v>31</v>
      </c>
      <c r="F3759" t="s">
        <v>326</v>
      </c>
      <c r="G3759" t="s">
        <v>193</v>
      </c>
    </row>
    <row r="3760" spans="1:7" hidden="1" x14ac:dyDescent="0.25">
      <c r="A3760">
        <v>99</v>
      </c>
      <c r="B3760">
        <v>9752</v>
      </c>
      <c r="C3760">
        <v>0</v>
      </c>
      <c r="D3760">
        <v>2</v>
      </c>
      <c r="E3760">
        <v>31</v>
      </c>
      <c r="F3760" t="s">
        <v>326</v>
      </c>
      <c r="G3760" t="s">
        <v>193</v>
      </c>
    </row>
    <row r="3761" spans="1:7" hidden="1" x14ac:dyDescent="0.25">
      <c r="A3761">
        <v>99</v>
      </c>
      <c r="B3761">
        <v>2168</v>
      </c>
      <c r="C3761">
        <v>0</v>
      </c>
      <c r="D3761">
        <v>2</v>
      </c>
      <c r="E3761">
        <v>33</v>
      </c>
      <c r="F3761" t="s">
        <v>328</v>
      </c>
      <c r="G3761" t="s">
        <v>124</v>
      </c>
    </row>
    <row r="3762" spans="1:7" hidden="1" x14ac:dyDescent="0.25">
      <c r="A3762">
        <v>99</v>
      </c>
      <c r="B3762">
        <v>2472</v>
      </c>
      <c r="C3762">
        <v>0</v>
      </c>
      <c r="D3762">
        <v>2</v>
      </c>
      <c r="E3762">
        <v>33</v>
      </c>
      <c r="F3762" t="s">
        <v>328</v>
      </c>
      <c r="G3762" t="s">
        <v>124</v>
      </c>
    </row>
    <row r="3763" spans="1:7" hidden="1" x14ac:dyDescent="0.25">
      <c r="A3763">
        <v>99</v>
      </c>
      <c r="B3763">
        <v>3056</v>
      </c>
      <c r="C3763">
        <v>0</v>
      </c>
      <c r="D3763">
        <v>2</v>
      </c>
      <c r="E3763">
        <v>33</v>
      </c>
      <c r="F3763" t="s">
        <v>328</v>
      </c>
      <c r="G3763" t="s">
        <v>124</v>
      </c>
    </row>
    <row r="3764" spans="1:7" hidden="1" x14ac:dyDescent="0.25">
      <c r="A3764">
        <v>99</v>
      </c>
      <c r="B3764">
        <v>3100</v>
      </c>
      <c r="C3764">
        <v>0</v>
      </c>
      <c r="D3764">
        <v>2</v>
      </c>
      <c r="E3764">
        <v>33</v>
      </c>
      <c r="F3764" t="s">
        <v>328</v>
      </c>
      <c r="G3764" t="s">
        <v>124</v>
      </c>
    </row>
    <row r="3765" spans="1:7" hidden="1" x14ac:dyDescent="0.25">
      <c r="A3765">
        <v>99</v>
      </c>
      <c r="B3765">
        <v>5932</v>
      </c>
      <c r="C3765">
        <v>0</v>
      </c>
      <c r="D3765">
        <v>2</v>
      </c>
      <c r="E3765">
        <v>33</v>
      </c>
      <c r="F3765" t="s">
        <v>328</v>
      </c>
      <c r="G3765" t="s">
        <v>124</v>
      </c>
    </row>
    <row r="3766" spans="1:7" hidden="1" x14ac:dyDescent="0.25">
      <c r="A3766">
        <v>99</v>
      </c>
      <c r="B3766">
        <v>7260</v>
      </c>
      <c r="C3766">
        <v>0</v>
      </c>
      <c r="D3766">
        <v>2</v>
      </c>
      <c r="E3766">
        <v>33</v>
      </c>
      <c r="F3766" t="s">
        <v>328</v>
      </c>
      <c r="G3766" t="s">
        <v>124</v>
      </c>
    </row>
    <row r="3767" spans="1:7" hidden="1" x14ac:dyDescent="0.25">
      <c r="A3767">
        <v>99</v>
      </c>
      <c r="B3767">
        <v>8804</v>
      </c>
      <c r="C3767">
        <v>0</v>
      </c>
      <c r="D3767">
        <v>2</v>
      </c>
      <c r="E3767">
        <v>33</v>
      </c>
      <c r="F3767" t="s">
        <v>328</v>
      </c>
      <c r="G3767" t="s">
        <v>124</v>
      </c>
    </row>
    <row r="3768" spans="1:7" hidden="1" x14ac:dyDescent="0.25">
      <c r="A3768">
        <v>99</v>
      </c>
      <c r="B3768">
        <v>9176</v>
      </c>
      <c r="C3768">
        <v>0</v>
      </c>
      <c r="D3768">
        <v>2</v>
      </c>
      <c r="E3768">
        <v>33</v>
      </c>
      <c r="F3768" t="s">
        <v>328</v>
      </c>
      <c r="G3768" t="s">
        <v>124</v>
      </c>
    </row>
    <row r="3769" spans="1:7" hidden="1" x14ac:dyDescent="0.25">
      <c r="A3769">
        <v>99</v>
      </c>
      <c r="B3769">
        <v>9752</v>
      </c>
      <c r="C3769">
        <v>0</v>
      </c>
      <c r="D3769">
        <v>2</v>
      </c>
      <c r="E3769">
        <v>33</v>
      </c>
      <c r="F3769" t="s">
        <v>328</v>
      </c>
      <c r="G3769" t="s">
        <v>124</v>
      </c>
    </row>
    <row r="3770" spans="1:7" hidden="1" x14ac:dyDescent="0.25">
      <c r="A3770">
        <v>99</v>
      </c>
      <c r="B3770">
        <v>2168</v>
      </c>
      <c r="C3770">
        <v>0</v>
      </c>
      <c r="D3770">
        <v>2</v>
      </c>
      <c r="E3770">
        <v>34</v>
      </c>
      <c r="F3770" t="s">
        <v>329</v>
      </c>
      <c r="G3770" t="s">
        <v>131</v>
      </c>
    </row>
    <row r="3771" spans="1:7" hidden="1" x14ac:dyDescent="0.25">
      <c r="A3771">
        <v>99</v>
      </c>
      <c r="B3771">
        <v>2472</v>
      </c>
      <c r="C3771">
        <v>0</v>
      </c>
      <c r="D3771">
        <v>2</v>
      </c>
      <c r="E3771">
        <v>34</v>
      </c>
      <c r="F3771" t="s">
        <v>329</v>
      </c>
      <c r="G3771" t="s">
        <v>131</v>
      </c>
    </row>
    <row r="3772" spans="1:7" hidden="1" x14ac:dyDescent="0.25">
      <c r="A3772">
        <v>99</v>
      </c>
      <c r="B3772">
        <v>3056</v>
      </c>
      <c r="C3772">
        <v>0</v>
      </c>
      <c r="D3772">
        <v>2</v>
      </c>
      <c r="E3772">
        <v>34</v>
      </c>
      <c r="F3772" t="s">
        <v>329</v>
      </c>
      <c r="G3772" t="s">
        <v>131</v>
      </c>
    </row>
    <row r="3773" spans="1:7" hidden="1" x14ac:dyDescent="0.25">
      <c r="A3773">
        <v>99</v>
      </c>
      <c r="B3773">
        <v>3100</v>
      </c>
      <c r="C3773">
        <v>0</v>
      </c>
      <c r="D3773">
        <v>2</v>
      </c>
      <c r="E3773">
        <v>34</v>
      </c>
      <c r="F3773" t="s">
        <v>329</v>
      </c>
      <c r="G3773" t="s">
        <v>131</v>
      </c>
    </row>
    <row r="3774" spans="1:7" hidden="1" x14ac:dyDescent="0.25">
      <c r="A3774">
        <v>99</v>
      </c>
      <c r="B3774">
        <v>5932</v>
      </c>
      <c r="C3774">
        <v>0</v>
      </c>
      <c r="D3774">
        <v>2</v>
      </c>
      <c r="E3774">
        <v>34</v>
      </c>
      <c r="F3774" t="s">
        <v>329</v>
      </c>
      <c r="G3774" t="s">
        <v>131</v>
      </c>
    </row>
    <row r="3775" spans="1:7" hidden="1" x14ac:dyDescent="0.25">
      <c r="A3775">
        <v>99</v>
      </c>
      <c r="B3775">
        <v>7260</v>
      </c>
      <c r="C3775">
        <v>0</v>
      </c>
      <c r="D3775">
        <v>2</v>
      </c>
      <c r="E3775">
        <v>34</v>
      </c>
      <c r="F3775" t="s">
        <v>329</v>
      </c>
      <c r="G3775" t="s">
        <v>131</v>
      </c>
    </row>
    <row r="3776" spans="1:7" hidden="1" x14ac:dyDescent="0.25">
      <c r="A3776">
        <v>99</v>
      </c>
      <c r="B3776">
        <v>8804</v>
      </c>
      <c r="C3776">
        <v>0</v>
      </c>
      <c r="D3776">
        <v>2</v>
      </c>
      <c r="E3776">
        <v>34</v>
      </c>
      <c r="F3776" t="s">
        <v>329</v>
      </c>
      <c r="G3776" t="s">
        <v>131</v>
      </c>
    </row>
    <row r="3777" spans="1:7" hidden="1" x14ac:dyDescent="0.25">
      <c r="A3777">
        <v>99</v>
      </c>
      <c r="B3777">
        <v>9176</v>
      </c>
      <c r="C3777">
        <v>0</v>
      </c>
      <c r="D3777">
        <v>2</v>
      </c>
      <c r="E3777">
        <v>34</v>
      </c>
      <c r="F3777" t="s">
        <v>329</v>
      </c>
      <c r="G3777" t="s">
        <v>131</v>
      </c>
    </row>
    <row r="3778" spans="1:7" hidden="1" x14ac:dyDescent="0.25">
      <c r="A3778">
        <v>99</v>
      </c>
      <c r="B3778">
        <v>9752</v>
      </c>
      <c r="C3778">
        <v>0</v>
      </c>
      <c r="D3778">
        <v>2</v>
      </c>
      <c r="E3778">
        <v>34</v>
      </c>
      <c r="F3778" t="s">
        <v>329</v>
      </c>
      <c r="G3778" t="s">
        <v>131</v>
      </c>
    </row>
    <row r="3779" spans="1:7" hidden="1" x14ac:dyDescent="0.25">
      <c r="A3779">
        <v>99</v>
      </c>
      <c r="B3779">
        <v>2168</v>
      </c>
      <c r="C3779">
        <v>0</v>
      </c>
      <c r="D3779">
        <v>2</v>
      </c>
      <c r="E3779">
        <v>26</v>
      </c>
      <c r="F3779" t="s">
        <v>321</v>
      </c>
      <c r="G3779" t="s">
        <v>118</v>
      </c>
    </row>
    <row r="3780" spans="1:7" hidden="1" x14ac:dyDescent="0.25">
      <c r="A3780">
        <v>99</v>
      </c>
      <c r="B3780">
        <v>2472</v>
      </c>
      <c r="C3780">
        <v>0</v>
      </c>
      <c r="D3780">
        <v>2</v>
      </c>
      <c r="E3780">
        <v>26</v>
      </c>
      <c r="F3780" t="s">
        <v>321</v>
      </c>
      <c r="G3780" t="s">
        <v>118</v>
      </c>
    </row>
    <row r="3781" spans="1:7" hidden="1" x14ac:dyDescent="0.25">
      <c r="A3781">
        <v>99</v>
      </c>
      <c r="B3781">
        <v>3056</v>
      </c>
      <c r="C3781">
        <v>0</v>
      </c>
      <c r="D3781">
        <v>2</v>
      </c>
      <c r="E3781">
        <v>26</v>
      </c>
      <c r="F3781" t="s">
        <v>321</v>
      </c>
      <c r="G3781" t="s">
        <v>118</v>
      </c>
    </row>
    <row r="3782" spans="1:7" hidden="1" x14ac:dyDescent="0.25">
      <c r="A3782">
        <v>99</v>
      </c>
      <c r="B3782">
        <v>3100</v>
      </c>
      <c r="C3782">
        <v>0</v>
      </c>
      <c r="D3782">
        <v>2</v>
      </c>
      <c r="E3782">
        <v>26</v>
      </c>
      <c r="F3782" t="s">
        <v>321</v>
      </c>
      <c r="G3782" t="s">
        <v>118</v>
      </c>
    </row>
    <row r="3783" spans="1:7" hidden="1" x14ac:dyDescent="0.25">
      <c r="A3783">
        <v>99</v>
      </c>
      <c r="B3783">
        <v>5932</v>
      </c>
      <c r="C3783">
        <v>0</v>
      </c>
      <c r="D3783">
        <v>2</v>
      </c>
      <c r="E3783">
        <v>26</v>
      </c>
      <c r="F3783" t="s">
        <v>321</v>
      </c>
      <c r="G3783" t="s">
        <v>118</v>
      </c>
    </row>
    <row r="3784" spans="1:7" hidden="1" x14ac:dyDescent="0.25">
      <c r="A3784">
        <v>99</v>
      </c>
      <c r="B3784">
        <v>7260</v>
      </c>
      <c r="C3784">
        <v>0</v>
      </c>
      <c r="D3784">
        <v>2</v>
      </c>
      <c r="E3784">
        <v>26</v>
      </c>
      <c r="F3784" t="s">
        <v>321</v>
      </c>
      <c r="G3784" t="s">
        <v>118</v>
      </c>
    </row>
    <row r="3785" spans="1:7" hidden="1" x14ac:dyDescent="0.25">
      <c r="A3785">
        <v>99</v>
      </c>
      <c r="B3785">
        <v>8804</v>
      </c>
      <c r="C3785">
        <v>0</v>
      </c>
      <c r="D3785">
        <v>2</v>
      </c>
      <c r="E3785">
        <v>26</v>
      </c>
      <c r="F3785" t="s">
        <v>321</v>
      </c>
      <c r="G3785" t="s">
        <v>118</v>
      </c>
    </row>
    <row r="3786" spans="1:7" hidden="1" x14ac:dyDescent="0.25">
      <c r="A3786">
        <v>99</v>
      </c>
      <c r="B3786">
        <v>9176</v>
      </c>
      <c r="C3786">
        <v>0</v>
      </c>
      <c r="D3786">
        <v>2</v>
      </c>
      <c r="E3786">
        <v>26</v>
      </c>
      <c r="F3786" t="s">
        <v>321</v>
      </c>
      <c r="G3786" t="s">
        <v>118</v>
      </c>
    </row>
    <row r="3787" spans="1:7" hidden="1" x14ac:dyDescent="0.25">
      <c r="A3787">
        <v>99</v>
      </c>
      <c r="B3787">
        <v>9752</v>
      </c>
      <c r="C3787">
        <v>0</v>
      </c>
      <c r="D3787">
        <v>2</v>
      </c>
      <c r="E3787">
        <v>26</v>
      </c>
      <c r="F3787" t="s">
        <v>321</v>
      </c>
      <c r="G3787" t="s">
        <v>118</v>
      </c>
    </row>
    <row r="3788" spans="1:7" hidden="1" x14ac:dyDescent="0.25">
      <c r="A3788">
        <v>99</v>
      </c>
      <c r="B3788">
        <v>2168</v>
      </c>
      <c r="C3788">
        <v>0</v>
      </c>
      <c r="D3788">
        <v>2</v>
      </c>
      <c r="E3788">
        <v>25</v>
      </c>
      <c r="F3788" t="s">
        <v>320</v>
      </c>
      <c r="G3788" t="s">
        <v>127</v>
      </c>
    </row>
    <row r="3789" spans="1:7" hidden="1" x14ac:dyDescent="0.25">
      <c r="A3789">
        <v>99</v>
      </c>
      <c r="B3789">
        <v>2472</v>
      </c>
      <c r="C3789">
        <v>0</v>
      </c>
      <c r="D3789">
        <v>2</v>
      </c>
      <c r="E3789">
        <v>25</v>
      </c>
      <c r="F3789" t="s">
        <v>320</v>
      </c>
      <c r="G3789" t="s">
        <v>127</v>
      </c>
    </row>
    <row r="3790" spans="1:7" hidden="1" x14ac:dyDescent="0.25">
      <c r="A3790">
        <v>99</v>
      </c>
      <c r="B3790">
        <v>3056</v>
      </c>
      <c r="C3790">
        <v>0</v>
      </c>
      <c r="D3790">
        <v>2</v>
      </c>
      <c r="E3790">
        <v>25</v>
      </c>
      <c r="F3790" t="s">
        <v>320</v>
      </c>
      <c r="G3790" t="s">
        <v>127</v>
      </c>
    </row>
    <row r="3791" spans="1:7" hidden="1" x14ac:dyDescent="0.25">
      <c r="A3791">
        <v>99</v>
      </c>
      <c r="B3791">
        <v>3100</v>
      </c>
      <c r="C3791">
        <v>0</v>
      </c>
      <c r="D3791">
        <v>2</v>
      </c>
      <c r="E3791">
        <v>25</v>
      </c>
      <c r="F3791" t="s">
        <v>320</v>
      </c>
      <c r="G3791" t="s">
        <v>127</v>
      </c>
    </row>
    <row r="3792" spans="1:7" hidden="1" x14ac:dyDescent="0.25">
      <c r="A3792">
        <v>99</v>
      </c>
      <c r="B3792">
        <v>5932</v>
      </c>
      <c r="C3792">
        <v>0</v>
      </c>
      <c r="D3792">
        <v>2</v>
      </c>
      <c r="E3792">
        <v>25</v>
      </c>
      <c r="F3792" t="s">
        <v>320</v>
      </c>
      <c r="G3792" t="s">
        <v>127</v>
      </c>
    </row>
    <row r="3793" spans="1:7" hidden="1" x14ac:dyDescent="0.25">
      <c r="A3793">
        <v>99</v>
      </c>
      <c r="B3793">
        <v>7260</v>
      </c>
      <c r="C3793">
        <v>0</v>
      </c>
      <c r="D3793">
        <v>2</v>
      </c>
      <c r="E3793">
        <v>25</v>
      </c>
      <c r="F3793" t="s">
        <v>320</v>
      </c>
      <c r="G3793" t="s">
        <v>127</v>
      </c>
    </row>
    <row r="3794" spans="1:7" hidden="1" x14ac:dyDescent="0.25">
      <c r="A3794">
        <v>99</v>
      </c>
      <c r="B3794">
        <v>8804</v>
      </c>
      <c r="C3794">
        <v>0</v>
      </c>
      <c r="D3794">
        <v>2</v>
      </c>
      <c r="E3794">
        <v>25</v>
      </c>
      <c r="F3794" t="s">
        <v>320</v>
      </c>
      <c r="G3794" t="s">
        <v>127</v>
      </c>
    </row>
    <row r="3795" spans="1:7" hidden="1" x14ac:dyDescent="0.25">
      <c r="A3795">
        <v>99</v>
      </c>
      <c r="B3795">
        <v>9176</v>
      </c>
      <c r="C3795">
        <v>0</v>
      </c>
      <c r="D3795">
        <v>2</v>
      </c>
      <c r="E3795">
        <v>25</v>
      </c>
      <c r="F3795" t="s">
        <v>320</v>
      </c>
      <c r="G3795" t="s">
        <v>127</v>
      </c>
    </row>
    <row r="3796" spans="1:7" hidden="1" x14ac:dyDescent="0.25">
      <c r="A3796">
        <v>99</v>
      </c>
      <c r="B3796">
        <v>9752</v>
      </c>
      <c r="C3796">
        <v>0</v>
      </c>
      <c r="D3796">
        <v>2</v>
      </c>
      <c r="E3796">
        <v>25</v>
      </c>
      <c r="F3796" t="s">
        <v>320</v>
      </c>
      <c r="G3796" t="s">
        <v>127</v>
      </c>
    </row>
    <row r="3797" spans="1:7" hidden="1" x14ac:dyDescent="0.25">
      <c r="A3797">
        <v>99</v>
      </c>
      <c r="B3797">
        <v>2168</v>
      </c>
      <c r="C3797">
        <v>0</v>
      </c>
      <c r="D3797">
        <v>2</v>
      </c>
      <c r="E3797">
        <v>24</v>
      </c>
      <c r="F3797" t="s">
        <v>319</v>
      </c>
      <c r="G3797" t="s">
        <v>126</v>
      </c>
    </row>
    <row r="3798" spans="1:7" hidden="1" x14ac:dyDescent="0.25">
      <c r="A3798">
        <v>99</v>
      </c>
      <c r="B3798">
        <v>2472</v>
      </c>
      <c r="C3798">
        <v>0</v>
      </c>
      <c r="D3798">
        <v>2</v>
      </c>
      <c r="E3798">
        <v>24</v>
      </c>
      <c r="F3798" t="s">
        <v>319</v>
      </c>
      <c r="G3798" t="s">
        <v>126</v>
      </c>
    </row>
    <row r="3799" spans="1:7" hidden="1" x14ac:dyDescent="0.25">
      <c r="A3799">
        <v>99</v>
      </c>
      <c r="B3799">
        <v>3056</v>
      </c>
      <c r="C3799">
        <v>0</v>
      </c>
      <c r="D3799">
        <v>2</v>
      </c>
      <c r="E3799">
        <v>24</v>
      </c>
      <c r="F3799" t="s">
        <v>319</v>
      </c>
      <c r="G3799" t="s">
        <v>126</v>
      </c>
    </row>
    <row r="3800" spans="1:7" hidden="1" x14ac:dyDescent="0.25">
      <c r="A3800">
        <v>99</v>
      </c>
      <c r="B3800">
        <v>3100</v>
      </c>
      <c r="C3800">
        <v>0</v>
      </c>
      <c r="D3800">
        <v>2</v>
      </c>
      <c r="E3800">
        <v>24</v>
      </c>
      <c r="F3800" t="s">
        <v>319</v>
      </c>
      <c r="G3800" t="s">
        <v>126</v>
      </c>
    </row>
    <row r="3801" spans="1:7" hidden="1" x14ac:dyDescent="0.25">
      <c r="A3801">
        <v>99</v>
      </c>
      <c r="B3801">
        <v>5932</v>
      </c>
      <c r="C3801">
        <v>0</v>
      </c>
      <c r="D3801">
        <v>2</v>
      </c>
      <c r="E3801">
        <v>24</v>
      </c>
      <c r="F3801" t="s">
        <v>319</v>
      </c>
      <c r="G3801" t="s">
        <v>126</v>
      </c>
    </row>
    <row r="3802" spans="1:7" hidden="1" x14ac:dyDescent="0.25">
      <c r="A3802">
        <v>99</v>
      </c>
      <c r="B3802">
        <v>7260</v>
      </c>
      <c r="C3802">
        <v>0</v>
      </c>
      <c r="D3802">
        <v>2</v>
      </c>
      <c r="E3802">
        <v>24</v>
      </c>
      <c r="F3802" t="s">
        <v>319</v>
      </c>
      <c r="G3802" t="s">
        <v>126</v>
      </c>
    </row>
    <row r="3803" spans="1:7" hidden="1" x14ac:dyDescent="0.25">
      <c r="A3803">
        <v>99</v>
      </c>
      <c r="B3803">
        <v>8804</v>
      </c>
      <c r="C3803">
        <v>0</v>
      </c>
      <c r="D3803">
        <v>2</v>
      </c>
      <c r="E3803">
        <v>24</v>
      </c>
      <c r="F3803" t="s">
        <v>319</v>
      </c>
      <c r="G3803" t="s">
        <v>126</v>
      </c>
    </row>
    <row r="3804" spans="1:7" hidden="1" x14ac:dyDescent="0.25">
      <c r="A3804">
        <v>99</v>
      </c>
      <c r="B3804">
        <v>9176</v>
      </c>
      <c r="C3804">
        <v>0</v>
      </c>
      <c r="D3804">
        <v>2</v>
      </c>
      <c r="E3804">
        <v>24</v>
      </c>
      <c r="F3804" t="s">
        <v>319</v>
      </c>
      <c r="G3804" t="s">
        <v>126</v>
      </c>
    </row>
    <row r="3805" spans="1:7" hidden="1" x14ac:dyDescent="0.25">
      <c r="A3805">
        <v>99</v>
      </c>
      <c r="B3805">
        <v>9752</v>
      </c>
      <c r="C3805">
        <v>0</v>
      </c>
      <c r="D3805">
        <v>2</v>
      </c>
      <c r="E3805">
        <v>24</v>
      </c>
      <c r="F3805" t="s">
        <v>319</v>
      </c>
      <c r="G3805" t="s">
        <v>126</v>
      </c>
    </row>
    <row r="3806" spans="1:7" hidden="1" x14ac:dyDescent="0.25">
      <c r="A3806">
        <v>99</v>
      </c>
      <c r="B3806">
        <v>2168</v>
      </c>
      <c r="C3806">
        <v>0</v>
      </c>
      <c r="D3806">
        <v>2</v>
      </c>
      <c r="E3806">
        <v>29</v>
      </c>
      <c r="F3806" t="s">
        <v>324</v>
      </c>
      <c r="G3806" t="s">
        <v>124</v>
      </c>
    </row>
    <row r="3807" spans="1:7" hidden="1" x14ac:dyDescent="0.25">
      <c r="A3807">
        <v>99</v>
      </c>
      <c r="B3807">
        <v>2472</v>
      </c>
      <c r="C3807">
        <v>0</v>
      </c>
      <c r="D3807">
        <v>2</v>
      </c>
      <c r="E3807">
        <v>29</v>
      </c>
      <c r="F3807" t="s">
        <v>324</v>
      </c>
      <c r="G3807" t="s">
        <v>124</v>
      </c>
    </row>
    <row r="3808" spans="1:7" hidden="1" x14ac:dyDescent="0.25">
      <c r="A3808">
        <v>99</v>
      </c>
      <c r="B3808">
        <v>3056</v>
      </c>
      <c r="C3808">
        <v>0</v>
      </c>
      <c r="D3808">
        <v>2</v>
      </c>
      <c r="E3808">
        <v>29</v>
      </c>
      <c r="F3808" t="s">
        <v>324</v>
      </c>
      <c r="G3808" t="s">
        <v>124</v>
      </c>
    </row>
    <row r="3809" spans="1:7" hidden="1" x14ac:dyDescent="0.25">
      <c r="A3809">
        <v>99</v>
      </c>
      <c r="B3809">
        <v>3100</v>
      </c>
      <c r="C3809">
        <v>0</v>
      </c>
      <c r="D3809">
        <v>2</v>
      </c>
      <c r="E3809">
        <v>29</v>
      </c>
      <c r="F3809" t="s">
        <v>324</v>
      </c>
      <c r="G3809" t="s">
        <v>124</v>
      </c>
    </row>
    <row r="3810" spans="1:7" hidden="1" x14ac:dyDescent="0.25">
      <c r="A3810">
        <v>99</v>
      </c>
      <c r="B3810">
        <v>5932</v>
      </c>
      <c r="C3810">
        <v>0</v>
      </c>
      <c r="D3810">
        <v>2</v>
      </c>
      <c r="E3810">
        <v>29</v>
      </c>
      <c r="F3810" t="s">
        <v>324</v>
      </c>
      <c r="G3810" t="s">
        <v>124</v>
      </c>
    </row>
    <row r="3811" spans="1:7" hidden="1" x14ac:dyDescent="0.25">
      <c r="A3811">
        <v>99</v>
      </c>
      <c r="B3811">
        <v>7260</v>
      </c>
      <c r="C3811">
        <v>0</v>
      </c>
      <c r="D3811">
        <v>2</v>
      </c>
      <c r="E3811">
        <v>29</v>
      </c>
      <c r="F3811" t="s">
        <v>324</v>
      </c>
      <c r="G3811" t="s">
        <v>124</v>
      </c>
    </row>
    <row r="3812" spans="1:7" hidden="1" x14ac:dyDescent="0.25">
      <c r="A3812">
        <v>99</v>
      </c>
      <c r="B3812">
        <v>8804</v>
      </c>
      <c r="C3812">
        <v>0</v>
      </c>
      <c r="D3812">
        <v>2</v>
      </c>
      <c r="E3812">
        <v>29</v>
      </c>
      <c r="F3812" t="s">
        <v>324</v>
      </c>
      <c r="G3812" t="s">
        <v>124</v>
      </c>
    </row>
    <row r="3813" spans="1:7" hidden="1" x14ac:dyDescent="0.25">
      <c r="A3813">
        <v>99</v>
      </c>
      <c r="B3813">
        <v>9176</v>
      </c>
      <c r="C3813">
        <v>0</v>
      </c>
      <c r="D3813">
        <v>2</v>
      </c>
      <c r="E3813">
        <v>29</v>
      </c>
      <c r="F3813" t="s">
        <v>324</v>
      </c>
      <c r="G3813" t="s">
        <v>124</v>
      </c>
    </row>
    <row r="3814" spans="1:7" hidden="1" x14ac:dyDescent="0.25">
      <c r="A3814">
        <v>99</v>
      </c>
      <c r="B3814">
        <v>9752</v>
      </c>
      <c r="C3814">
        <v>0</v>
      </c>
      <c r="D3814">
        <v>2</v>
      </c>
      <c r="E3814">
        <v>29</v>
      </c>
      <c r="F3814" t="s">
        <v>324</v>
      </c>
      <c r="G3814" t="s">
        <v>124</v>
      </c>
    </row>
    <row r="3815" spans="1:7" hidden="1" x14ac:dyDescent="0.25">
      <c r="A3815">
        <v>99</v>
      </c>
      <c r="B3815">
        <v>2168</v>
      </c>
      <c r="C3815">
        <v>0</v>
      </c>
      <c r="D3815">
        <v>2</v>
      </c>
      <c r="E3815">
        <v>27</v>
      </c>
      <c r="F3815" t="s">
        <v>322</v>
      </c>
      <c r="G3815" t="s">
        <v>231</v>
      </c>
    </row>
    <row r="3816" spans="1:7" hidden="1" x14ac:dyDescent="0.25">
      <c r="A3816">
        <v>99</v>
      </c>
      <c r="B3816">
        <v>2472</v>
      </c>
      <c r="C3816">
        <v>0</v>
      </c>
      <c r="D3816">
        <v>2</v>
      </c>
      <c r="E3816">
        <v>27</v>
      </c>
      <c r="F3816" t="s">
        <v>322</v>
      </c>
      <c r="G3816" t="s">
        <v>231</v>
      </c>
    </row>
    <row r="3817" spans="1:7" hidden="1" x14ac:dyDescent="0.25">
      <c r="A3817">
        <v>99</v>
      </c>
      <c r="B3817">
        <v>3056</v>
      </c>
      <c r="C3817">
        <v>0</v>
      </c>
      <c r="D3817">
        <v>2</v>
      </c>
      <c r="E3817">
        <v>27</v>
      </c>
      <c r="F3817" t="s">
        <v>322</v>
      </c>
      <c r="G3817" t="s">
        <v>231</v>
      </c>
    </row>
    <row r="3818" spans="1:7" hidden="1" x14ac:dyDescent="0.25">
      <c r="A3818">
        <v>99</v>
      </c>
      <c r="B3818">
        <v>3100</v>
      </c>
      <c r="C3818">
        <v>0</v>
      </c>
      <c r="D3818">
        <v>2</v>
      </c>
      <c r="E3818">
        <v>27</v>
      </c>
      <c r="F3818" t="s">
        <v>322</v>
      </c>
      <c r="G3818" t="s">
        <v>231</v>
      </c>
    </row>
    <row r="3819" spans="1:7" hidden="1" x14ac:dyDescent="0.25">
      <c r="A3819">
        <v>99</v>
      </c>
      <c r="B3819">
        <v>5932</v>
      </c>
      <c r="C3819">
        <v>0</v>
      </c>
      <c r="D3819">
        <v>2</v>
      </c>
      <c r="E3819">
        <v>27</v>
      </c>
      <c r="F3819" t="s">
        <v>322</v>
      </c>
      <c r="G3819" t="s">
        <v>231</v>
      </c>
    </row>
    <row r="3820" spans="1:7" hidden="1" x14ac:dyDescent="0.25">
      <c r="A3820">
        <v>99</v>
      </c>
      <c r="B3820">
        <v>7260</v>
      </c>
      <c r="C3820">
        <v>0</v>
      </c>
      <c r="D3820">
        <v>2</v>
      </c>
      <c r="E3820">
        <v>27</v>
      </c>
      <c r="F3820" t="s">
        <v>322</v>
      </c>
      <c r="G3820" t="s">
        <v>231</v>
      </c>
    </row>
    <row r="3821" spans="1:7" hidden="1" x14ac:dyDescent="0.25">
      <c r="A3821">
        <v>99</v>
      </c>
      <c r="B3821">
        <v>8804</v>
      </c>
      <c r="C3821">
        <v>0</v>
      </c>
      <c r="D3821">
        <v>2</v>
      </c>
      <c r="E3821">
        <v>27</v>
      </c>
      <c r="F3821" t="s">
        <v>322</v>
      </c>
      <c r="G3821" t="s">
        <v>231</v>
      </c>
    </row>
    <row r="3822" spans="1:7" hidden="1" x14ac:dyDescent="0.25">
      <c r="A3822">
        <v>99</v>
      </c>
      <c r="B3822">
        <v>9176</v>
      </c>
      <c r="C3822">
        <v>0</v>
      </c>
      <c r="D3822">
        <v>2</v>
      </c>
      <c r="E3822">
        <v>27</v>
      </c>
      <c r="F3822" t="s">
        <v>322</v>
      </c>
      <c r="G3822" t="s">
        <v>231</v>
      </c>
    </row>
    <row r="3823" spans="1:7" hidden="1" x14ac:dyDescent="0.25">
      <c r="A3823">
        <v>99</v>
      </c>
      <c r="B3823">
        <v>9752</v>
      </c>
      <c r="C3823">
        <v>0</v>
      </c>
      <c r="D3823">
        <v>2</v>
      </c>
      <c r="E3823">
        <v>27</v>
      </c>
      <c r="F3823" t="s">
        <v>322</v>
      </c>
      <c r="G3823" t="s">
        <v>231</v>
      </c>
    </row>
    <row r="3824" spans="1:7" hidden="1" x14ac:dyDescent="0.25">
      <c r="A3824">
        <v>99</v>
      </c>
      <c r="B3824">
        <v>2168</v>
      </c>
      <c r="C3824">
        <v>0</v>
      </c>
      <c r="D3824">
        <v>2</v>
      </c>
      <c r="E3824">
        <v>28</v>
      </c>
      <c r="F3824" t="s">
        <v>323</v>
      </c>
      <c r="G3824" t="s">
        <v>129</v>
      </c>
    </row>
    <row r="3825" spans="1:7" hidden="1" x14ac:dyDescent="0.25">
      <c r="A3825">
        <v>99</v>
      </c>
      <c r="B3825">
        <v>2472</v>
      </c>
      <c r="C3825">
        <v>0</v>
      </c>
      <c r="D3825">
        <v>2</v>
      </c>
      <c r="E3825">
        <v>28</v>
      </c>
      <c r="F3825" t="s">
        <v>323</v>
      </c>
      <c r="G3825" t="s">
        <v>129</v>
      </c>
    </row>
    <row r="3826" spans="1:7" hidden="1" x14ac:dyDescent="0.25">
      <c r="A3826">
        <v>99</v>
      </c>
      <c r="B3826">
        <v>3056</v>
      </c>
      <c r="C3826">
        <v>0</v>
      </c>
      <c r="D3826">
        <v>2</v>
      </c>
      <c r="E3826">
        <v>28</v>
      </c>
      <c r="F3826" t="s">
        <v>323</v>
      </c>
      <c r="G3826" t="s">
        <v>129</v>
      </c>
    </row>
    <row r="3827" spans="1:7" hidden="1" x14ac:dyDescent="0.25">
      <c r="A3827">
        <v>99</v>
      </c>
      <c r="B3827">
        <v>3100</v>
      </c>
      <c r="C3827">
        <v>0</v>
      </c>
      <c r="D3827">
        <v>2</v>
      </c>
      <c r="E3827">
        <v>28</v>
      </c>
      <c r="F3827" t="s">
        <v>323</v>
      </c>
      <c r="G3827" t="s">
        <v>129</v>
      </c>
    </row>
    <row r="3828" spans="1:7" hidden="1" x14ac:dyDescent="0.25">
      <c r="A3828">
        <v>99</v>
      </c>
      <c r="B3828">
        <v>5932</v>
      </c>
      <c r="C3828">
        <v>0</v>
      </c>
      <c r="D3828">
        <v>2</v>
      </c>
      <c r="E3828">
        <v>28</v>
      </c>
      <c r="F3828" t="s">
        <v>323</v>
      </c>
      <c r="G3828" t="s">
        <v>129</v>
      </c>
    </row>
    <row r="3829" spans="1:7" hidden="1" x14ac:dyDescent="0.25">
      <c r="A3829">
        <v>99</v>
      </c>
      <c r="B3829">
        <v>7260</v>
      </c>
      <c r="C3829">
        <v>0</v>
      </c>
      <c r="D3829">
        <v>2</v>
      </c>
      <c r="E3829">
        <v>28</v>
      </c>
      <c r="F3829" t="s">
        <v>323</v>
      </c>
      <c r="G3829" t="s">
        <v>129</v>
      </c>
    </row>
    <row r="3830" spans="1:7" hidden="1" x14ac:dyDescent="0.25">
      <c r="A3830">
        <v>99</v>
      </c>
      <c r="B3830">
        <v>8804</v>
      </c>
      <c r="C3830">
        <v>0</v>
      </c>
      <c r="D3830">
        <v>2</v>
      </c>
      <c r="E3830">
        <v>28</v>
      </c>
      <c r="F3830" t="s">
        <v>323</v>
      </c>
      <c r="G3830" t="s">
        <v>129</v>
      </c>
    </row>
    <row r="3831" spans="1:7" hidden="1" x14ac:dyDescent="0.25">
      <c r="A3831">
        <v>99</v>
      </c>
      <c r="B3831">
        <v>9176</v>
      </c>
      <c r="C3831">
        <v>0</v>
      </c>
      <c r="D3831">
        <v>2</v>
      </c>
      <c r="E3831">
        <v>28</v>
      </c>
      <c r="F3831" t="s">
        <v>323</v>
      </c>
      <c r="G3831" t="s">
        <v>129</v>
      </c>
    </row>
    <row r="3832" spans="1:7" hidden="1" x14ac:dyDescent="0.25">
      <c r="A3832">
        <v>99</v>
      </c>
      <c r="B3832">
        <v>9752</v>
      </c>
      <c r="C3832">
        <v>0</v>
      </c>
      <c r="D3832">
        <v>2</v>
      </c>
      <c r="E3832">
        <v>28</v>
      </c>
      <c r="F3832" t="s">
        <v>323</v>
      </c>
      <c r="G3832" t="s">
        <v>129</v>
      </c>
    </row>
    <row r="3833" spans="1:7" hidden="1" x14ac:dyDescent="0.25">
      <c r="A3833">
        <v>99</v>
      </c>
      <c r="B3833">
        <v>2168</v>
      </c>
      <c r="C3833">
        <v>0</v>
      </c>
      <c r="D3833">
        <v>2</v>
      </c>
      <c r="E3833">
        <v>30</v>
      </c>
      <c r="F3833" t="s">
        <v>325</v>
      </c>
      <c r="G3833" t="s">
        <v>318</v>
      </c>
    </row>
    <row r="3834" spans="1:7" hidden="1" x14ac:dyDescent="0.25">
      <c r="A3834">
        <v>99</v>
      </c>
      <c r="B3834">
        <v>2472</v>
      </c>
      <c r="C3834">
        <v>0</v>
      </c>
      <c r="D3834">
        <v>2</v>
      </c>
      <c r="E3834">
        <v>30</v>
      </c>
      <c r="F3834" t="s">
        <v>325</v>
      </c>
      <c r="G3834" t="s">
        <v>318</v>
      </c>
    </row>
    <row r="3835" spans="1:7" hidden="1" x14ac:dyDescent="0.25">
      <c r="A3835">
        <v>99</v>
      </c>
      <c r="B3835">
        <v>3056</v>
      </c>
      <c r="C3835">
        <v>0</v>
      </c>
      <c r="D3835">
        <v>2</v>
      </c>
      <c r="E3835">
        <v>30</v>
      </c>
      <c r="F3835" t="s">
        <v>325</v>
      </c>
      <c r="G3835" t="s">
        <v>318</v>
      </c>
    </row>
    <row r="3836" spans="1:7" hidden="1" x14ac:dyDescent="0.25">
      <c r="A3836">
        <v>99</v>
      </c>
      <c r="B3836">
        <v>3100</v>
      </c>
      <c r="C3836">
        <v>0</v>
      </c>
      <c r="D3836">
        <v>2</v>
      </c>
      <c r="E3836">
        <v>30</v>
      </c>
      <c r="F3836" t="s">
        <v>325</v>
      </c>
      <c r="G3836" t="s">
        <v>318</v>
      </c>
    </row>
    <row r="3837" spans="1:7" hidden="1" x14ac:dyDescent="0.25">
      <c r="A3837">
        <v>99</v>
      </c>
      <c r="B3837">
        <v>5932</v>
      </c>
      <c r="C3837">
        <v>0</v>
      </c>
      <c r="D3837">
        <v>2</v>
      </c>
      <c r="E3837">
        <v>30</v>
      </c>
      <c r="F3837" t="s">
        <v>325</v>
      </c>
      <c r="G3837" t="s">
        <v>318</v>
      </c>
    </row>
    <row r="3838" spans="1:7" hidden="1" x14ac:dyDescent="0.25">
      <c r="A3838">
        <v>99</v>
      </c>
      <c r="B3838">
        <v>7260</v>
      </c>
      <c r="C3838">
        <v>0</v>
      </c>
      <c r="D3838">
        <v>2</v>
      </c>
      <c r="E3838">
        <v>30</v>
      </c>
      <c r="F3838" t="s">
        <v>325</v>
      </c>
      <c r="G3838" t="s">
        <v>317</v>
      </c>
    </row>
    <row r="3839" spans="1:7" hidden="1" x14ac:dyDescent="0.25">
      <c r="A3839">
        <v>99</v>
      </c>
      <c r="B3839">
        <v>8804</v>
      </c>
      <c r="C3839">
        <v>0</v>
      </c>
      <c r="D3839">
        <v>2</v>
      </c>
      <c r="E3839">
        <v>30</v>
      </c>
      <c r="F3839" t="s">
        <v>325</v>
      </c>
      <c r="G3839" t="s">
        <v>317</v>
      </c>
    </row>
    <row r="3840" spans="1:7" hidden="1" x14ac:dyDescent="0.25">
      <c r="A3840">
        <v>99</v>
      </c>
      <c r="B3840">
        <v>9176</v>
      </c>
      <c r="C3840">
        <v>0</v>
      </c>
      <c r="D3840">
        <v>2</v>
      </c>
      <c r="E3840">
        <v>30</v>
      </c>
      <c r="F3840" t="s">
        <v>325</v>
      </c>
      <c r="G3840" t="s">
        <v>318</v>
      </c>
    </row>
    <row r="3841" spans="1:7" hidden="1" x14ac:dyDescent="0.25">
      <c r="A3841">
        <v>99</v>
      </c>
      <c r="B3841">
        <v>9752</v>
      </c>
      <c r="C3841">
        <v>0</v>
      </c>
      <c r="D3841">
        <v>2</v>
      </c>
      <c r="E3841">
        <v>30</v>
      </c>
      <c r="F3841" t="s">
        <v>325</v>
      </c>
      <c r="G3841" t="s">
        <v>318</v>
      </c>
    </row>
    <row r="3842" spans="1:7" hidden="1" x14ac:dyDescent="0.25">
      <c r="A3842">
        <v>99</v>
      </c>
      <c r="B3842">
        <v>2168</v>
      </c>
      <c r="C3842">
        <v>0</v>
      </c>
      <c r="D3842">
        <v>2</v>
      </c>
      <c r="E3842">
        <v>35</v>
      </c>
      <c r="F3842" t="s">
        <v>330</v>
      </c>
      <c r="G3842" t="s">
        <v>155</v>
      </c>
    </row>
    <row r="3843" spans="1:7" hidden="1" x14ac:dyDescent="0.25">
      <c r="A3843">
        <v>99</v>
      </c>
      <c r="B3843">
        <v>2472</v>
      </c>
      <c r="C3843">
        <v>0</v>
      </c>
      <c r="D3843">
        <v>2</v>
      </c>
      <c r="E3843">
        <v>35</v>
      </c>
      <c r="F3843" t="s">
        <v>330</v>
      </c>
      <c r="G3843" t="s">
        <v>155</v>
      </c>
    </row>
    <row r="3844" spans="1:7" hidden="1" x14ac:dyDescent="0.25">
      <c r="A3844">
        <v>99</v>
      </c>
      <c r="B3844">
        <v>3056</v>
      </c>
      <c r="C3844">
        <v>0</v>
      </c>
      <c r="D3844">
        <v>2</v>
      </c>
      <c r="E3844">
        <v>35</v>
      </c>
      <c r="F3844" t="s">
        <v>330</v>
      </c>
      <c r="G3844" t="s">
        <v>155</v>
      </c>
    </row>
    <row r="3845" spans="1:7" hidden="1" x14ac:dyDescent="0.25">
      <c r="A3845">
        <v>99</v>
      </c>
      <c r="B3845">
        <v>3100</v>
      </c>
      <c r="C3845">
        <v>0</v>
      </c>
      <c r="D3845">
        <v>2</v>
      </c>
      <c r="E3845">
        <v>35</v>
      </c>
      <c r="F3845" t="s">
        <v>330</v>
      </c>
      <c r="G3845" t="s">
        <v>155</v>
      </c>
    </row>
    <row r="3846" spans="1:7" hidden="1" x14ac:dyDescent="0.25">
      <c r="A3846">
        <v>99</v>
      </c>
      <c r="B3846">
        <v>5932</v>
      </c>
      <c r="C3846">
        <v>0</v>
      </c>
      <c r="D3846">
        <v>2</v>
      </c>
      <c r="E3846">
        <v>35</v>
      </c>
      <c r="F3846" t="s">
        <v>330</v>
      </c>
      <c r="G3846" t="s">
        <v>155</v>
      </c>
    </row>
    <row r="3847" spans="1:7" hidden="1" x14ac:dyDescent="0.25">
      <c r="A3847">
        <v>99</v>
      </c>
      <c r="B3847">
        <v>7260</v>
      </c>
      <c r="C3847">
        <v>0</v>
      </c>
      <c r="D3847">
        <v>2</v>
      </c>
      <c r="E3847">
        <v>35</v>
      </c>
      <c r="F3847" t="s">
        <v>330</v>
      </c>
      <c r="G3847" t="s">
        <v>155</v>
      </c>
    </row>
    <row r="3848" spans="1:7" hidden="1" x14ac:dyDescent="0.25">
      <c r="A3848">
        <v>99</v>
      </c>
      <c r="B3848">
        <v>8804</v>
      </c>
      <c r="C3848">
        <v>0</v>
      </c>
      <c r="D3848">
        <v>2</v>
      </c>
      <c r="E3848">
        <v>35</v>
      </c>
      <c r="F3848" t="s">
        <v>330</v>
      </c>
      <c r="G3848" t="s">
        <v>155</v>
      </c>
    </row>
    <row r="3849" spans="1:7" hidden="1" x14ac:dyDescent="0.25">
      <c r="A3849">
        <v>99</v>
      </c>
      <c r="B3849">
        <v>9176</v>
      </c>
      <c r="C3849">
        <v>0</v>
      </c>
      <c r="D3849">
        <v>2</v>
      </c>
      <c r="E3849">
        <v>35</v>
      </c>
      <c r="F3849" t="s">
        <v>330</v>
      </c>
      <c r="G3849" t="s">
        <v>155</v>
      </c>
    </row>
    <row r="3850" spans="1:7" hidden="1" x14ac:dyDescent="0.25">
      <c r="A3850">
        <v>99</v>
      </c>
      <c r="B3850">
        <v>9752</v>
      </c>
      <c r="C3850">
        <v>0</v>
      </c>
      <c r="D3850">
        <v>2</v>
      </c>
      <c r="E3850">
        <v>35</v>
      </c>
      <c r="F3850" t="s">
        <v>330</v>
      </c>
      <c r="G3850" t="s">
        <v>155</v>
      </c>
    </row>
    <row r="3851" spans="1:7" hidden="1" x14ac:dyDescent="0.25">
      <c r="A3851">
        <v>50</v>
      </c>
      <c r="B3851">
        <v>476</v>
      </c>
      <c r="C3851">
        <v>0</v>
      </c>
      <c r="D3851">
        <v>2</v>
      </c>
      <c r="E3851">
        <v>28</v>
      </c>
      <c r="F3851" t="s">
        <v>240</v>
      </c>
      <c r="G3851" t="s">
        <v>159</v>
      </c>
    </row>
    <row r="3852" spans="1:7" hidden="1" x14ac:dyDescent="0.25">
      <c r="A3852">
        <v>50</v>
      </c>
      <c r="B3852">
        <v>1264</v>
      </c>
      <c r="C3852">
        <v>0</v>
      </c>
      <c r="D3852">
        <v>2</v>
      </c>
      <c r="E3852">
        <v>28</v>
      </c>
      <c r="F3852" t="s">
        <v>240</v>
      </c>
      <c r="G3852" t="s">
        <v>159</v>
      </c>
    </row>
    <row r="3853" spans="1:7" hidden="1" x14ac:dyDescent="0.25">
      <c r="A3853">
        <v>50</v>
      </c>
      <c r="B3853">
        <v>4228</v>
      </c>
      <c r="C3853">
        <v>0</v>
      </c>
      <c r="D3853">
        <v>2</v>
      </c>
      <c r="E3853">
        <v>28</v>
      </c>
      <c r="F3853" t="s">
        <v>240</v>
      </c>
      <c r="G3853" t="s">
        <v>159</v>
      </c>
    </row>
    <row r="3854" spans="1:7" hidden="1" x14ac:dyDescent="0.25">
      <c r="A3854">
        <v>50</v>
      </c>
      <c r="B3854">
        <v>5004</v>
      </c>
      <c r="C3854">
        <v>0</v>
      </c>
      <c r="D3854">
        <v>2</v>
      </c>
      <c r="E3854">
        <v>28</v>
      </c>
      <c r="F3854" t="s">
        <v>240</v>
      </c>
      <c r="G3854" t="s">
        <v>159</v>
      </c>
    </row>
    <row r="3855" spans="1:7" hidden="1" x14ac:dyDescent="0.25">
      <c r="A3855">
        <v>50</v>
      </c>
      <c r="B3855">
        <v>7283</v>
      </c>
      <c r="C3855">
        <v>0</v>
      </c>
      <c r="D3855">
        <v>2</v>
      </c>
      <c r="E3855">
        <v>28</v>
      </c>
      <c r="F3855" t="s">
        <v>240</v>
      </c>
      <c r="G3855" t="s">
        <v>159</v>
      </c>
    </row>
    <row r="3856" spans="1:7" hidden="1" x14ac:dyDescent="0.25">
      <c r="A3856">
        <v>50</v>
      </c>
      <c r="B3856">
        <v>7284</v>
      </c>
      <c r="C3856">
        <v>0</v>
      </c>
      <c r="D3856">
        <v>2</v>
      </c>
      <c r="E3856">
        <v>28</v>
      </c>
      <c r="F3856" t="s">
        <v>240</v>
      </c>
      <c r="G3856" t="s">
        <v>159</v>
      </c>
    </row>
    <row r="3857" spans="1:7" hidden="1" x14ac:dyDescent="0.25">
      <c r="A3857">
        <v>50</v>
      </c>
      <c r="B3857">
        <v>9356</v>
      </c>
      <c r="C3857">
        <v>0</v>
      </c>
      <c r="D3857">
        <v>2</v>
      </c>
      <c r="E3857">
        <v>28</v>
      </c>
      <c r="F3857" t="s">
        <v>240</v>
      </c>
      <c r="G3857" t="s">
        <v>159</v>
      </c>
    </row>
    <row r="3858" spans="1:7" hidden="1" x14ac:dyDescent="0.25">
      <c r="A3858">
        <v>50</v>
      </c>
      <c r="B3858">
        <v>10592</v>
      </c>
      <c r="C3858">
        <v>0</v>
      </c>
      <c r="D3858">
        <v>2</v>
      </c>
      <c r="E3858">
        <v>28</v>
      </c>
      <c r="F3858" t="s">
        <v>240</v>
      </c>
      <c r="G3858" t="s">
        <v>159</v>
      </c>
    </row>
    <row r="3859" spans="1:7" hidden="1" x14ac:dyDescent="0.25">
      <c r="A3859">
        <v>99</v>
      </c>
      <c r="B3859">
        <v>2168</v>
      </c>
      <c r="C3859">
        <v>0</v>
      </c>
      <c r="D3859">
        <v>2</v>
      </c>
      <c r="E3859">
        <v>52</v>
      </c>
      <c r="F3859" t="s">
        <v>240</v>
      </c>
      <c r="G3859" t="s">
        <v>159</v>
      </c>
    </row>
    <row r="3860" spans="1:7" hidden="1" x14ac:dyDescent="0.25">
      <c r="A3860">
        <v>99</v>
      </c>
      <c r="B3860">
        <v>2472</v>
      </c>
      <c r="C3860">
        <v>0</v>
      </c>
      <c r="D3860">
        <v>2</v>
      </c>
      <c r="E3860">
        <v>52</v>
      </c>
      <c r="F3860" t="s">
        <v>240</v>
      </c>
      <c r="G3860" t="s">
        <v>159</v>
      </c>
    </row>
    <row r="3861" spans="1:7" hidden="1" x14ac:dyDescent="0.25">
      <c r="A3861">
        <v>99</v>
      </c>
      <c r="B3861">
        <v>3056</v>
      </c>
      <c r="C3861">
        <v>0</v>
      </c>
      <c r="D3861">
        <v>2</v>
      </c>
      <c r="E3861">
        <v>52</v>
      </c>
      <c r="F3861" t="s">
        <v>240</v>
      </c>
      <c r="G3861" t="s">
        <v>159</v>
      </c>
    </row>
    <row r="3862" spans="1:7" hidden="1" x14ac:dyDescent="0.25">
      <c r="A3862">
        <v>99</v>
      </c>
      <c r="B3862">
        <v>3100</v>
      </c>
      <c r="C3862">
        <v>0</v>
      </c>
      <c r="D3862">
        <v>2</v>
      </c>
      <c r="E3862">
        <v>52</v>
      </c>
      <c r="F3862" t="s">
        <v>240</v>
      </c>
      <c r="G3862" t="s">
        <v>159</v>
      </c>
    </row>
    <row r="3863" spans="1:7" x14ac:dyDescent="0.25">
      <c r="A3863">
        <v>99</v>
      </c>
      <c r="B3863">
        <v>4124</v>
      </c>
      <c r="C3863">
        <v>0</v>
      </c>
      <c r="D3863">
        <v>2</v>
      </c>
      <c r="E3863">
        <v>40</v>
      </c>
      <c r="F3863" t="s">
        <v>240</v>
      </c>
      <c r="G3863" t="s">
        <v>181</v>
      </c>
    </row>
    <row r="3864" spans="1:7" hidden="1" x14ac:dyDescent="0.25">
      <c r="A3864">
        <v>99</v>
      </c>
      <c r="B3864">
        <v>5932</v>
      </c>
      <c r="C3864">
        <v>0</v>
      </c>
      <c r="D3864">
        <v>2</v>
      </c>
      <c r="E3864">
        <v>52</v>
      </c>
      <c r="F3864" t="s">
        <v>240</v>
      </c>
      <c r="G3864" t="s">
        <v>159</v>
      </c>
    </row>
    <row r="3865" spans="1:7" hidden="1" x14ac:dyDescent="0.25">
      <c r="A3865">
        <v>99</v>
      </c>
      <c r="B3865">
        <v>5992</v>
      </c>
      <c r="C3865">
        <v>0</v>
      </c>
      <c r="D3865">
        <v>2</v>
      </c>
      <c r="E3865">
        <v>40</v>
      </c>
      <c r="F3865" t="s">
        <v>240</v>
      </c>
      <c r="G3865" t="s">
        <v>159</v>
      </c>
    </row>
    <row r="3866" spans="1:7" hidden="1" x14ac:dyDescent="0.25">
      <c r="A3866">
        <v>99</v>
      </c>
      <c r="B3866">
        <v>7260</v>
      </c>
      <c r="C3866">
        <v>0</v>
      </c>
      <c r="D3866">
        <v>2</v>
      </c>
      <c r="E3866">
        <v>52</v>
      </c>
      <c r="F3866" t="s">
        <v>240</v>
      </c>
      <c r="G3866" t="s">
        <v>214</v>
      </c>
    </row>
    <row r="3867" spans="1:7" hidden="1" x14ac:dyDescent="0.25">
      <c r="A3867">
        <v>99</v>
      </c>
      <c r="B3867">
        <v>8804</v>
      </c>
      <c r="C3867">
        <v>0</v>
      </c>
      <c r="D3867">
        <v>2</v>
      </c>
      <c r="E3867">
        <v>52</v>
      </c>
      <c r="F3867" t="s">
        <v>240</v>
      </c>
      <c r="G3867" t="s">
        <v>214</v>
      </c>
    </row>
    <row r="3868" spans="1:7" hidden="1" x14ac:dyDescent="0.25">
      <c r="A3868">
        <v>99</v>
      </c>
      <c r="B3868">
        <v>9176</v>
      </c>
      <c r="C3868">
        <v>0</v>
      </c>
      <c r="D3868">
        <v>2</v>
      </c>
      <c r="E3868">
        <v>52</v>
      </c>
      <c r="F3868" t="s">
        <v>240</v>
      </c>
      <c r="G3868" t="s">
        <v>214</v>
      </c>
    </row>
    <row r="3869" spans="1:7" hidden="1" x14ac:dyDescent="0.25">
      <c r="A3869">
        <v>99</v>
      </c>
      <c r="B3869">
        <v>9256</v>
      </c>
      <c r="C3869">
        <v>0</v>
      </c>
      <c r="D3869">
        <v>2</v>
      </c>
      <c r="E3869">
        <v>40</v>
      </c>
      <c r="F3869" t="s">
        <v>240</v>
      </c>
      <c r="G3869" t="s">
        <v>181</v>
      </c>
    </row>
    <row r="3870" spans="1:7" hidden="1" x14ac:dyDescent="0.25">
      <c r="A3870">
        <v>99</v>
      </c>
      <c r="B3870">
        <v>9752</v>
      </c>
      <c r="C3870">
        <v>0</v>
      </c>
      <c r="D3870">
        <v>2</v>
      </c>
      <c r="E3870">
        <v>52</v>
      </c>
      <c r="F3870" t="s">
        <v>240</v>
      </c>
      <c r="G3870" t="s">
        <v>214</v>
      </c>
    </row>
    <row r="3871" spans="1:7" hidden="1" x14ac:dyDescent="0.25">
      <c r="A3871">
        <v>99</v>
      </c>
      <c r="B3871">
        <v>10364</v>
      </c>
      <c r="C3871">
        <v>0</v>
      </c>
      <c r="D3871">
        <v>2</v>
      </c>
      <c r="E3871">
        <v>28</v>
      </c>
      <c r="F3871" t="s">
        <v>240</v>
      </c>
      <c r="G3871" t="s">
        <v>159</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4:EX21"/>
  <sheetViews>
    <sheetView workbookViewId="0">
      <selection activeCell="F12" sqref="F12"/>
    </sheetView>
  </sheetViews>
  <sheetFormatPr defaultRowHeight="15" x14ac:dyDescent="0.25"/>
  <cols>
    <col min="1" max="1" width="19.5703125" customWidth="1"/>
    <col min="2" max="2" width="20.140625" bestFit="1" customWidth="1"/>
    <col min="3" max="3" width="11.7109375" customWidth="1"/>
    <col min="4" max="4" width="15" bestFit="1" customWidth="1"/>
    <col min="5" max="6" width="11.5703125" customWidth="1"/>
    <col min="7" max="19" width="17.7109375" customWidth="1"/>
    <col min="20" max="20" width="11.42578125" customWidth="1"/>
    <col min="21" max="25" width="17.7109375" bestFit="1" customWidth="1"/>
    <col min="26" max="26" width="6.5703125" bestFit="1" customWidth="1"/>
    <col min="27" max="28" width="17.7109375" bestFit="1" customWidth="1"/>
    <col min="29" max="29" width="6.5703125" bestFit="1" customWidth="1"/>
    <col min="30" max="31" width="17.7109375" bestFit="1" customWidth="1"/>
    <col min="32" max="35" width="9.140625" bestFit="1" customWidth="1"/>
    <col min="36" max="40" width="17.7109375" bestFit="1" customWidth="1"/>
    <col min="41" max="41" width="17.7109375" customWidth="1"/>
    <col min="42" max="42" width="17.7109375" bestFit="1" customWidth="1"/>
    <col min="43" max="51" width="17.7109375" customWidth="1"/>
    <col min="52" max="55" width="29.85546875" customWidth="1"/>
    <col min="56" max="56" width="9.42578125" customWidth="1"/>
    <col min="57" max="57" width="8.28515625" customWidth="1"/>
    <col min="58" max="58" width="9.28515625" customWidth="1"/>
    <col min="59" max="59" width="9.42578125" customWidth="1"/>
    <col min="60" max="62" width="8.28515625" customWidth="1"/>
    <col min="63" max="143" width="60.7109375" bestFit="1" customWidth="1"/>
    <col min="144" max="144" width="8.28515625" bestFit="1" customWidth="1"/>
    <col min="145" max="145" width="9.28515625" bestFit="1" customWidth="1"/>
    <col min="146" max="146" width="9.42578125" bestFit="1" customWidth="1"/>
    <col min="147" max="149" width="8.28515625" bestFit="1" customWidth="1"/>
    <col min="150" max="154" width="11.140625" bestFit="1" customWidth="1"/>
    <col min="155" max="156" width="55" bestFit="1" customWidth="1"/>
    <col min="157" max="157" width="58.140625" bestFit="1" customWidth="1"/>
    <col min="158" max="172" width="55" bestFit="1" customWidth="1"/>
    <col min="173" max="173" width="58.140625" bestFit="1" customWidth="1"/>
    <col min="174" max="189" width="55" bestFit="1" customWidth="1"/>
    <col min="190" max="190" width="58.140625" bestFit="1" customWidth="1"/>
    <col min="191" max="204" width="55" bestFit="1" customWidth="1"/>
    <col min="205" max="205" width="58.140625" bestFit="1" customWidth="1"/>
    <col min="206" max="219" width="55" bestFit="1" customWidth="1"/>
    <col min="220" max="220" width="58.140625" bestFit="1" customWidth="1"/>
    <col min="221" max="234" width="55" bestFit="1" customWidth="1"/>
    <col min="235" max="235" width="58.140625" bestFit="1" customWidth="1"/>
    <col min="236" max="250" width="55" bestFit="1" customWidth="1"/>
    <col min="251" max="251" width="58.140625" bestFit="1" customWidth="1"/>
    <col min="252" max="273" width="54.85546875" bestFit="1" customWidth="1"/>
    <col min="274" max="274" width="58" bestFit="1" customWidth="1"/>
    <col min="275" max="280" width="54.85546875" bestFit="1" customWidth="1"/>
    <col min="281" max="281" width="58" bestFit="1" customWidth="1"/>
    <col min="282" max="289" width="54.85546875" bestFit="1" customWidth="1"/>
    <col min="290" max="290" width="58" bestFit="1" customWidth="1"/>
    <col min="291" max="296" width="54.85546875" bestFit="1" customWidth="1"/>
    <col min="297" max="297" width="58" bestFit="1" customWidth="1"/>
    <col min="298" max="304" width="54.85546875" bestFit="1" customWidth="1"/>
    <col min="305" max="305" width="58" bestFit="1" customWidth="1"/>
    <col min="306" max="312" width="54.85546875" bestFit="1" customWidth="1"/>
    <col min="313" max="313" width="58" bestFit="1" customWidth="1"/>
    <col min="314" max="318" width="57.140625" bestFit="1" customWidth="1"/>
    <col min="319" max="319" width="60.28515625" bestFit="1" customWidth="1"/>
    <col min="320" max="323" width="85.7109375" bestFit="1" customWidth="1"/>
    <col min="324" max="324" width="88.85546875" bestFit="1" customWidth="1"/>
    <col min="325" max="325" width="86.85546875" bestFit="1" customWidth="1"/>
    <col min="326" max="326" width="90" bestFit="1" customWidth="1"/>
    <col min="327" max="327" width="54.85546875" bestFit="1" customWidth="1"/>
    <col min="328" max="328" width="58" bestFit="1" customWidth="1"/>
    <col min="329" max="329" width="11.28515625" bestFit="1" customWidth="1"/>
  </cols>
  <sheetData>
    <row r="4" spans="1:8" x14ac:dyDescent="0.25">
      <c r="A4" s="1" t="s">
        <v>14</v>
      </c>
      <c r="B4" s="2">
        <v>66</v>
      </c>
    </row>
    <row r="6" spans="1:8" x14ac:dyDescent="0.25">
      <c r="A6" s="1" t="s">
        <v>98</v>
      </c>
      <c r="G6" s="1" t="s">
        <v>196</v>
      </c>
      <c r="H6" s="1" t="s">
        <v>391</v>
      </c>
    </row>
    <row r="7" spans="1:8" x14ac:dyDescent="0.25">
      <c r="G7" t="s">
        <v>389</v>
      </c>
      <c r="H7" t="s">
        <v>378</v>
      </c>
    </row>
    <row r="8" spans="1:8" x14ac:dyDescent="0.25">
      <c r="A8" s="1" t="s">
        <v>197</v>
      </c>
      <c r="B8" s="1" t="s">
        <v>387</v>
      </c>
      <c r="C8" s="1" t="s">
        <v>103</v>
      </c>
      <c r="D8" s="1" t="s">
        <v>392</v>
      </c>
      <c r="E8" s="1" t="s">
        <v>32</v>
      </c>
      <c r="F8" s="1" t="s">
        <v>390</v>
      </c>
    </row>
    <row r="9" spans="1:8" x14ac:dyDescent="0.25">
      <c r="A9" t="s">
        <v>386</v>
      </c>
      <c r="B9" t="s">
        <v>383</v>
      </c>
      <c r="C9">
        <v>5</v>
      </c>
      <c r="D9">
        <v>50</v>
      </c>
      <c r="E9">
        <v>1180</v>
      </c>
      <c r="F9" s="3">
        <v>1.38118292670697E-3</v>
      </c>
      <c r="G9" s="3">
        <v>6.1547884345054631E-4</v>
      </c>
      <c r="H9" s="3">
        <v>6.131550669670106E-4</v>
      </c>
    </row>
    <row r="10" spans="1:8" x14ac:dyDescent="0.25">
      <c r="C10">
        <v>10</v>
      </c>
      <c r="D10">
        <v>50</v>
      </c>
      <c r="E10">
        <v>4216</v>
      </c>
      <c r="F10" s="3">
        <v>1.36031466536224E-3</v>
      </c>
      <c r="G10" s="3">
        <v>6.1031845450401309E-4</v>
      </c>
      <c r="H10" s="3">
        <v>6.104230880737304E-4</v>
      </c>
    </row>
    <row r="11" spans="1:8" x14ac:dyDescent="0.25">
      <c r="D11">
        <v>500</v>
      </c>
      <c r="E11">
        <v>2592</v>
      </c>
      <c r="F11" s="3">
        <v>1.0546084959059999E-3</v>
      </c>
      <c r="G11" s="3">
        <v>5.3763253688812263E-4</v>
      </c>
      <c r="H11" s="3">
        <v>5.2551269531250007E-4</v>
      </c>
    </row>
    <row r="12" spans="1:8" x14ac:dyDescent="0.25">
      <c r="D12">
        <v>1024</v>
      </c>
      <c r="E12">
        <v>3416</v>
      </c>
      <c r="F12" s="3">
        <v>1.0287547484040299E-3</v>
      </c>
      <c r="G12" s="3">
        <v>5.3773167967796328E-4</v>
      </c>
      <c r="H12" s="3">
        <v>5.2404254674911512E-4</v>
      </c>
    </row>
    <row r="13" spans="1:8" x14ac:dyDescent="0.25">
      <c r="C13">
        <v>50</v>
      </c>
      <c r="D13">
        <v>50</v>
      </c>
      <c r="E13">
        <v>5372</v>
      </c>
      <c r="F13" s="3">
        <v>1.26162800006568E-3</v>
      </c>
      <c r="G13" s="3">
        <v>7.4351112684888218E-4</v>
      </c>
      <c r="H13" s="3">
        <v>7.1451693773269662E-4</v>
      </c>
    </row>
    <row r="14" spans="1:8" x14ac:dyDescent="0.25">
      <c r="C14">
        <v>100</v>
      </c>
      <c r="D14">
        <v>50</v>
      </c>
      <c r="E14">
        <v>8300</v>
      </c>
      <c r="F14" s="3">
        <v>1.22724496759474E-3</v>
      </c>
      <c r="G14" s="3">
        <v>8.2489843229692147E-4</v>
      </c>
      <c r="H14" s="3">
        <v>7.8192263841629021E-4</v>
      </c>
    </row>
    <row r="15" spans="1:8" x14ac:dyDescent="0.25">
      <c r="C15">
        <v>200</v>
      </c>
      <c r="D15">
        <v>50</v>
      </c>
      <c r="E15">
        <v>7124</v>
      </c>
      <c r="F15" s="3">
        <v>1.21462694369256E-3</v>
      </c>
      <c r="G15" s="3">
        <v>8.2741527547759393E-4</v>
      </c>
      <c r="H15" s="3"/>
    </row>
    <row r="16" spans="1:8" x14ac:dyDescent="0.25">
      <c r="B16" t="s">
        <v>388</v>
      </c>
      <c r="C16">
        <v>200</v>
      </c>
      <c r="D16">
        <v>28</v>
      </c>
      <c r="E16">
        <v>788</v>
      </c>
      <c r="F16" s="3">
        <v>5.7809392455965302E-4</v>
      </c>
      <c r="G16" s="3">
        <v>1.3883899356569014E-3</v>
      </c>
      <c r="H16" s="3"/>
    </row>
    <row r="17" spans="1:154" x14ac:dyDescent="0.25">
      <c r="A17" t="s">
        <v>1</v>
      </c>
      <c r="G17" s="3">
        <v>7.6067203560011801E-4</v>
      </c>
      <c r="H17" s="3">
        <v>6.2826216220855722E-4</v>
      </c>
    </row>
    <row r="21" spans="1:154" s="12" customFormat="1" x14ac:dyDescent="0.25">
      <c r="A21"/>
      <c r="B21"/>
      <c r="C21"/>
      <c r="D21"/>
      <c r="E21"/>
      <c r="F21"/>
      <c r="G21"/>
      <c r="H21"/>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EW21"/>
      <c r="EX21"/>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G23"/>
  <sheetViews>
    <sheetView workbookViewId="0"/>
  </sheetViews>
  <sheetFormatPr defaultRowHeight="15" x14ac:dyDescent="0.25"/>
  <cols>
    <col min="2" max="2" width="8.28515625" bestFit="1" customWidth="1"/>
    <col min="3" max="3" width="10.7109375" bestFit="1" customWidth="1"/>
    <col min="4" max="4" width="25.28515625" customWidth="1"/>
    <col min="5" max="5" width="31.42578125" customWidth="1"/>
    <col min="6" max="6" width="27.85546875" customWidth="1"/>
  </cols>
  <sheetData>
    <row r="2" spans="2:7" x14ac:dyDescent="0.25">
      <c r="B2" s="5" t="s">
        <v>102</v>
      </c>
      <c r="C2" s="5" t="s">
        <v>103</v>
      </c>
      <c r="D2" s="5" t="s">
        <v>100</v>
      </c>
      <c r="E2" s="5" t="s">
        <v>101</v>
      </c>
      <c r="F2" s="5" t="s">
        <v>106</v>
      </c>
      <c r="G2" s="5" t="s">
        <v>107</v>
      </c>
    </row>
    <row r="3" spans="2:7" x14ac:dyDescent="0.25">
      <c r="B3">
        <v>9048</v>
      </c>
      <c r="C3" t="s">
        <v>104</v>
      </c>
      <c r="D3" t="str">
        <f>"insert into Engines values("&amp;$B3&amp;", 0, "&amp;C3&amp;", 1, 4, 0, 1, 0,'LogUser','LogPwd','Algo');"</f>
        <v>insert into Engines values(9048, 0, 100, 1, 4, 0, 1, 0,'LogUser','LogPwd','Algo');</v>
      </c>
      <c r="E3" t="str">
        <f>"insert into EngineCores select ProcessId, 0, ThreadId, 0 from vLastMSE where ProcessId="&amp;$B3&amp;";"</f>
        <v>insert into EngineCores select ProcessId, 0, ThreadId, 0 from vLastMSE where ProcessId=9048;</v>
      </c>
      <c r="F3" t="str">
        <f>"insert into CoreLoggerParms select ProcessId, ThreadId, 0 , 1, 0, 1, 1, 0, 1 from vLastMSE where ProcessId="&amp;B3&amp;";"</f>
        <v>insert into CoreLoggerParms select ProcessId, ThreadId, 0 , 1, 0, 1, 1, 0, 1 from vLastMSE where ProcessId=9048;</v>
      </c>
      <c r="G3" t="str">
        <f>"insert into DBConnections select ProcessId, ThreadId, 0, 'LogUser', 'LogPwd', 'Algo' from vLastMSE where ProcessId="&amp;B3&amp;";"</f>
        <v>insert into DBConnections select ProcessId, ThreadId, 0, 'LogUser', 'LogPwd', 'Algo' from vLastMSE where ProcessId=9048;</v>
      </c>
    </row>
    <row r="4" spans="2:7" x14ac:dyDescent="0.25">
      <c r="B4">
        <v>5368</v>
      </c>
      <c r="C4" t="s">
        <v>105</v>
      </c>
      <c r="D4" t="str">
        <f t="shared" ref="D4:D23" si="0">"insert into Engines values("&amp;$B4&amp;", 0, "&amp;C4&amp;", 1, 4, 0, 1, 0,'LogUser','LogPwd','Algo');"</f>
        <v>insert into Engines values(5368, 0, 200, 1, 4, 0, 1, 0,'LogUser','LogPwd','Algo');</v>
      </c>
      <c r="E4" t="str">
        <f t="shared" ref="E4:E23" si="1">"insert into EngineCores select ProcessId, 0, ThreadId, 0 from vLastMSE where ProcessId="&amp;$B4&amp;";"</f>
        <v>insert into EngineCores select ProcessId, 0, ThreadId, 0 from vLastMSE where ProcessId=5368;</v>
      </c>
      <c r="F4" t="str">
        <f t="shared" ref="F4:F23" si="2">"insert into CoreLoggerParms select ProcessId, ThreadId, 0 , 1, 0, 1, 1, 0, 1 from vLastMSE where ProcessId="&amp;B4&amp;";"</f>
        <v>insert into CoreLoggerParms select ProcessId, ThreadId, 0 , 1, 0, 1, 1, 0, 1 from vLastMSE where ProcessId=5368;</v>
      </c>
      <c r="G4" t="str">
        <f t="shared" ref="G4:G23" si="3">"insert into DBConnections select ProcessId, ThreadId, 0, 'LogUser', 'LogPwd', 'Algo' from vLastMSE where ProcessId="&amp;B4&amp;";"</f>
        <v>insert into DBConnections select ProcessId, ThreadId, 0, 'LogUser', 'LogPwd', 'Algo' from vLastMSE where ProcessId=5368;</v>
      </c>
    </row>
    <row r="5" spans="2:7" x14ac:dyDescent="0.25">
      <c r="B5">
        <v>1624</v>
      </c>
      <c r="C5" t="s">
        <v>99</v>
      </c>
      <c r="D5" t="str">
        <f t="shared" si="0"/>
        <v>insert into Engines values(1624, 0, 050, 1, 4, 0, 1, 0,'LogUser','LogPwd','Algo');</v>
      </c>
      <c r="E5" t="str">
        <f t="shared" si="1"/>
        <v>insert into EngineCores select ProcessId, 0, ThreadId, 0 from vLastMSE where ProcessId=1624;</v>
      </c>
      <c r="F5" t="str">
        <f t="shared" si="2"/>
        <v>insert into CoreLoggerParms select ProcessId, ThreadId, 0 , 1, 0, 1, 1, 0, 1 from vLastMSE where ProcessId=1624;</v>
      </c>
      <c r="G5" t="str">
        <f t="shared" si="3"/>
        <v>insert into DBConnections select ProcessId, ThreadId, 0, 'LogUser', 'LogPwd', 'Algo' from vLastMSE where ProcessId=1624;</v>
      </c>
    </row>
    <row r="6" spans="2:7" x14ac:dyDescent="0.25">
      <c r="B6">
        <v>9368</v>
      </c>
      <c r="C6" t="s">
        <v>104</v>
      </c>
      <c r="D6" t="str">
        <f t="shared" si="0"/>
        <v>insert into Engines values(9368, 0, 100, 1, 4, 0, 1, 0,'LogUser','LogPwd','Algo');</v>
      </c>
      <c r="E6" t="str">
        <f t="shared" si="1"/>
        <v>insert into EngineCores select ProcessId, 0, ThreadId, 0 from vLastMSE where ProcessId=9368;</v>
      </c>
      <c r="F6" t="str">
        <f t="shared" si="2"/>
        <v>insert into CoreLoggerParms select ProcessId, ThreadId, 0 , 1, 0, 1, 1, 0, 1 from vLastMSE where ProcessId=9368;</v>
      </c>
      <c r="G6" t="str">
        <f t="shared" si="3"/>
        <v>insert into DBConnections select ProcessId, ThreadId, 0, 'LogUser', 'LogPwd', 'Algo' from vLastMSE where ProcessId=9368;</v>
      </c>
    </row>
    <row r="7" spans="2:7" x14ac:dyDescent="0.25">
      <c r="B7">
        <v>3400</v>
      </c>
      <c r="C7" t="s">
        <v>105</v>
      </c>
      <c r="D7" t="str">
        <f t="shared" si="0"/>
        <v>insert into Engines values(3400, 0, 200, 1, 4, 0, 1, 0,'LogUser','LogPwd','Algo');</v>
      </c>
      <c r="E7" t="str">
        <f t="shared" si="1"/>
        <v>insert into EngineCores select ProcessId, 0, ThreadId, 0 from vLastMSE where ProcessId=3400;</v>
      </c>
      <c r="F7" t="str">
        <f t="shared" si="2"/>
        <v>insert into CoreLoggerParms select ProcessId, ThreadId, 0 , 1, 0, 1, 1, 0, 1 from vLastMSE where ProcessId=3400;</v>
      </c>
      <c r="G7" t="str">
        <f t="shared" si="3"/>
        <v>insert into DBConnections select ProcessId, ThreadId, 0, 'LogUser', 'LogPwd', 'Algo' from vLastMSE where ProcessId=3400;</v>
      </c>
    </row>
    <row r="8" spans="2:7" x14ac:dyDescent="0.25">
      <c r="B8">
        <v>9372</v>
      </c>
      <c r="C8" t="s">
        <v>99</v>
      </c>
      <c r="D8" t="str">
        <f t="shared" si="0"/>
        <v>insert into Engines values(9372, 0, 050, 1, 4, 0, 1, 0,'LogUser','LogPwd','Algo');</v>
      </c>
      <c r="E8" t="str">
        <f t="shared" si="1"/>
        <v>insert into EngineCores select ProcessId, 0, ThreadId, 0 from vLastMSE where ProcessId=9372;</v>
      </c>
      <c r="F8" t="str">
        <f t="shared" si="2"/>
        <v>insert into CoreLoggerParms select ProcessId, ThreadId, 0 , 1, 0, 1, 1, 0, 1 from vLastMSE where ProcessId=9372;</v>
      </c>
      <c r="G8" t="str">
        <f t="shared" si="3"/>
        <v>insert into DBConnections select ProcessId, ThreadId, 0, 'LogUser', 'LogPwd', 'Algo' from vLastMSE where ProcessId=9372;</v>
      </c>
    </row>
    <row r="9" spans="2:7" x14ac:dyDescent="0.25">
      <c r="B9">
        <v>3576</v>
      </c>
      <c r="C9" t="s">
        <v>104</v>
      </c>
      <c r="D9" t="str">
        <f t="shared" si="0"/>
        <v>insert into Engines values(3576, 0, 100, 1, 4, 0, 1, 0,'LogUser','LogPwd','Algo');</v>
      </c>
      <c r="E9" t="str">
        <f t="shared" si="1"/>
        <v>insert into EngineCores select ProcessId, 0, ThreadId, 0 from vLastMSE where ProcessId=3576;</v>
      </c>
      <c r="F9" t="str">
        <f t="shared" si="2"/>
        <v>insert into CoreLoggerParms select ProcessId, ThreadId, 0 , 1, 0, 1, 1, 0, 1 from vLastMSE where ProcessId=3576;</v>
      </c>
      <c r="G9" t="str">
        <f t="shared" si="3"/>
        <v>insert into DBConnections select ProcessId, ThreadId, 0, 'LogUser', 'LogPwd', 'Algo' from vLastMSE where ProcessId=3576;</v>
      </c>
    </row>
    <row r="10" spans="2:7" x14ac:dyDescent="0.25">
      <c r="B10">
        <v>1980</v>
      </c>
      <c r="C10" t="s">
        <v>105</v>
      </c>
      <c r="D10" t="str">
        <f t="shared" si="0"/>
        <v>insert into Engines values(1980, 0, 200, 1, 4, 0, 1, 0,'LogUser','LogPwd','Algo');</v>
      </c>
      <c r="E10" t="str">
        <f t="shared" si="1"/>
        <v>insert into EngineCores select ProcessId, 0, ThreadId, 0 from vLastMSE where ProcessId=1980;</v>
      </c>
      <c r="F10" t="str">
        <f t="shared" si="2"/>
        <v>insert into CoreLoggerParms select ProcessId, ThreadId, 0 , 1, 0, 1, 1, 0, 1 from vLastMSE where ProcessId=1980;</v>
      </c>
      <c r="G10" t="str">
        <f t="shared" si="3"/>
        <v>insert into DBConnections select ProcessId, ThreadId, 0, 'LogUser', 'LogPwd', 'Algo' from vLastMSE where ProcessId=1980;</v>
      </c>
    </row>
    <row r="11" spans="2:7" x14ac:dyDescent="0.25">
      <c r="B11">
        <v>8052</v>
      </c>
      <c r="C11" t="s">
        <v>99</v>
      </c>
      <c r="D11" t="str">
        <f t="shared" si="0"/>
        <v>insert into Engines values(8052, 0, 050, 1, 4, 0, 1, 0,'LogUser','LogPwd','Algo');</v>
      </c>
      <c r="E11" t="str">
        <f t="shared" si="1"/>
        <v>insert into EngineCores select ProcessId, 0, ThreadId, 0 from vLastMSE where ProcessId=8052;</v>
      </c>
      <c r="F11" t="str">
        <f t="shared" si="2"/>
        <v>insert into CoreLoggerParms select ProcessId, ThreadId, 0 , 1, 0, 1, 1, 0, 1 from vLastMSE where ProcessId=8052;</v>
      </c>
      <c r="G11" t="str">
        <f t="shared" si="3"/>
        <v>insert into DBConnections select ProcessId, ThreadId, 0, 'LogUser', 'LogPwd', 'Algo' from vLastMSE where ProcessId=8052;</v>
      </c>
    </row>
    <row r="12" spans="2:7" x14ac:dyDescent="0.25">
      <c r="B12">
        <v>5532</v>
      </c>
      <c r="C12" t="s">
        <v>104</v>
      </c>
      <c r="D12" t="str">
        <f t="shared" si="0"/>
        <v>insert into Engines values(5532, 0, 100, 1, 4, 0, 1, 0,'LogUser','LogPwd','Algo');</v>
      </c>
      <c r="E12" t="str">
        <f t="shared" si="1"/>
        <v>insert into EngineCores select ProcessId, 0, ThreadId, 0 from vLastMSE where ProcessId=5532;</v>
      </c>
      <c r="F12" t="str">
        <f t="shared" si="2"/>
        <v>insert into CoreLoggerParms select ProcessId, ThreadId, 0 , 1, 0, 1, 1, 0, 1 from vLastMSE where ProcessId=5532;</v>
      </c>
      <c r="G12" t="str">
        <f t="shared" si="3"/>
        <v>insert into DBConnections select ProcessId, ThreadId, 0, 'LogUser', 'LogPwd', 'Algo' from vLastMSE where ProcessId=5532;</v>
      </c>
    </row>
    <row r="13" spans="2:7" x14ac:dyDescent="0.25">
      <c r="B13">
        <v>5656</v>
      </c>
      <c r="C13" t="s">
        <v>105</v>
      </c>
      <c r="D13" t="str">
        <f t="shared" si="0"/>
        <v>insert into Engines values(5656, 0, 200, 1, 4, 0, 1, 0,'LogUser','LogPwd','Algo');</v>
      </c>
      <c r="E13" t="str">
        <f t="shared" si="1"/>
        <v>insert into EngineCores select ProcessId, 0, ThreadId, 0 from vLastMSE where ProcessId=5656;</v>
      </c>
      <c r="F13" t="str">
        <f t="shared" si="2"/>
        <v>insert into CoreLoggerParms select ProcessId, ThreadId, 0 , 1, 0, 1, 1, 0, 1 from vLastMSE where ProcessId=5656;</v>
      </c>
      <c r="G13" t="str">
        <f t="shared" si="3"/>
        <v>insert into DBConnections select ProcessId, ThreadId, 0, 'LogUser', 'LogPwd', 'Algo' from vLastMSE where ProcessId=5656;</v>
      </c>
    </row>
    <row r="14" spans="2:7" x14ac:dyDescent="0.25">
      <c r="B14">
        <v>6556</v>
      </c>
      <c r="C14" s="6" t="s">
        <v>99</v>
      </c>
      <c r="D14" t="str">
        <f t="shared" si="0"/>
        <v>insert into Engines values(6556, 0, 050, 1, 4, 0, 1, 0,'LogUser','LogPwd','Algo');</v>
      </c>
      <c r="E14" t="str">
        <f t="shared" si="1"/>
        <v>insert into EngineCores select ProcessId, 0, ThreadId, 0 from vLastMSE where ProcessId=6556;</v>
      </c>
      <c r="F14" t="str">
        <f t="shared" si="2"/>
        <v>insert into CoreLoggerParms select ProcessId, ThreadId, 0 , 1, 0, 1, 1, 0, 1 from vLastMSE where ProcessId=6556;</v>
      </c>
      <c r="G14" t="str">
        <f t="shared" si="3"/>
        <v>insert into DBConnections select ProcessId, ThreadId, 0, 'LogUser', 'LogPwd', 'Algo' from vLastMSE where ProcessId=6556;</v>
      </c>
    </row>
    <row r="15" spans="2:7" x14ac:dyDescent="0.25">
      <c r="B15">
        <v>2416</v>
      </c>
      <c r="C15" s="6" t="s">
        <v>99</v>
      </c>
      <c r="D15" t="str">
        <f t="shared" si="0"/>
        <v>insert into Engines values(2416, 0, 050, 1, 4, 0, 1, 0,'LogUser','LogPwd','Algo');</v>
      </c>
      <c r="E15" t="str">
        <f t="shared" si="1"/>
        <v>insert into EngineCores select ProcessId, 0, ThreadId, 0 from vLastMSE where ProcessId=2416;</v>
      </c>
      <c r="F15" t="str">
        <f t="shared" si="2"/>
        <v>insert into CoreLoggerParms select ProcessId, ThreadId, 0 , 1, 0, 1, 1, 0, 1 from vLastMSE where ProcessId=2416;</v>
      </c>
      <c r="G15" t="str">
        <f t="shared" si="3"/>
        <v>insert into DBConnections select ProcessId, ThreadId, 0, 'LogUser', 'LogPwd', 'Algo' from vLastMSE where ProcessId=2416;</v>
      </c>
    </row>
    <row r="16" spans="2:7" x14ac:dyDescent="0.25">
      <c r="B16">
        <v>4696</v>
      </c>
      <c r="C16" t="s">
        <v>104</v>
      </c>
      <c r="D16" t="str">
        <f t="shared" si="0"/>
        <v>insert into Engines values(4696, 0, 100, 1, 4, 0, 1, 0,'LogUser','LogPwd','Algo');</v>
      </c>
      <c r="E16" t="str">
        <f t="shared" si="1"/>
        <v>insert into EngineCores select ProcessId, 0, ThreadId, 0 from vLastMSE where ProcessId=4696;</v>
      </c>
      <c r="F16" t="str">
        <f t="shared" si="2"/>
        <v>insert into CoreLoggerParms select ProcessId, ThreadId, 0 , 1, 0, 1, 1, 0, 1 from vLastMSE where ProcessId=4696;</v>
      </c>
      <c r="G16" t="str">
        <f t="shared" si="3"/>
        <v>insert into DBConnections select ProcessId, ThreadId, 0, 'LogUser', 'LogPwd', 'Algo' from vLastMSE where ProcessId=4696;</v>
      </c>
    </row>
    <row r="17" spans="2:7" x14ac:dyDescent="0.25">
      <c r="B17">
        <v>7252</v>
      </c>
      <c r="C17" s="6" t="s">
        <v>99</v>
      </c>
      <c r="D17" t="str">
        <f t="shared" si="0"/>
        <v>insert into Engines values(7252, 0, 050, 1, 4, 0, 1, 0,'LogUser','LogPwd','Algo');</v>
      </c>
      <c r="E17" t="str">
        <f t="shared" si="1"/>
        <v>insert into EngineCores select ProcessId, 0, ThreadId, 0 from vLastMSE where ProcessId=7252;</v>
      </c>
      <c r="F17" t="str">
        <f t="shared" si="2"/>
        <v>insert into CoreLoggerParms select ProcessId, ThreadId, 0 , 1, 0, 1, 1, 0, 1 from vLastMSE where ProcessId=7252;</v>
      </c>
      <c r="G17" t="str">
        <f t="shared" si="3"/>
        <v>insert into DBConnections select ProcessId, ThreadId, 0, 'LogUser', 'LogPwd', 'Algo' from vLastMSE where ProcessId=7252;</v>
      </c>
    </row>
    <row r="18" spans="2:7" x14ac:dyDescent="0.25">
      <c r="B18">
        <v>3476</v>
      </c>
      <c r="C18" s="6" t="s">
        <v>99</v>
      </c>
      <c r="D18" t="str">
        <f t="shared" si="0"/>
        <v>insert into Engines values(3476, 0, 050, 1, 4, 0, 1, 0,'LogUser','LogPwd','Algo');</v>
      </c>
      <c r="E18" t="str">
        <f t="shared" si="1"/>
        <v>insert into EngineCores select ProcessId, 0, ThreadId, 0 from vLastMSE where ProcessId=3476;</v>
      </c>
      <c r="F18" t="str">
        <f t="shared" si="2"/>
        <v>insert into CoreLoggerParms select ProcessId, ThreadId, 0 , 1, 0, 1, 1, 0, 1 from vLastMSE where ProcessId=3476;</v>
      </c>
      <c r="G18" t="str">
        <f t="shared" si="3"/>
        <v>insert into DBConnections select ProcessId, ThreadId, 0, 'LogUser', 'LogPwd', 'Algo' from vLastMSE where ProcessId=3476;</v>
      </c>
    </row>
    <row r="19" spans="2:7" x14ac:dyDescent="0.25">
      <c r="B19">
        <v>1259</v>
      </c>
      <c r="C19" t="s">
        <v>104</v>
      </c>
      <c r="D19" t="str">
        <f t="shared" si="0"/>
        <v>insert into Engines values(1259, 0, 100, 1, 4, 0, 1, 0,'LogUser','LogPwd','Algo');</v>
      </c>
      <c r="E19" t="str">
        <f t="shared" si="1"/>
        <v>insert into EngineCores select ProcessId, 0, ThreadId, 0 from vLastMSE where ProcessId=1259;</v>
      </c>
      <c r="F19" t="str">
        <f t="shared" si="2"/>
        <v>insert into CoreLoggerParms select ProcessId, ThreadId, 0 , 1, 0, 1, 1, 0, 1 from vLastMSE where ProcessId=1259;</v>
      </c>
      <c r="G19" t="str">
        <f t="shared" si="3"/>
        <v>insert into DBConnections select ProcessId, ThreadId, 0, 'LogUser', 'LogPwd', 'Algo' from vLastMSE where ProcessId=1259;</v>
      </c>
    </row>
    <row r="20" spans="2:7" x14ac:dyDescent="0.25">
      <c r="B20">
        <v>8636</v>
      </c>
      <c r="C20" t="s">
        <v>104</v>
      </c>
      <c r="D20" t="str">
        <f t="shared" si="0"/>
        <v>insert into Engines values(8636, 0, 100, 1, 4, 0, 1, 0,'LogUser','LogPwd','Algo');</v>
      </c>
      <c r="E20" t="str">
        <f t="shared" si="1"/>
        <v>insert into EngineCores select ProcessId, 0, ThreadId, 0 from vLastMSE where ProcessId=8636;</v>
      </c>
      <c r="F20" t="str">
        <f t="shared" si="2"/>
        <v>insert into CoreLoggerParms select ProcessId, ThreadId, 0 , 1, 0, 1, 1, 0, 1 from vLastMSE where ProcessId=8636;</v>
      </c>
      <c r="G20" t="str">
        <f t="shared" si="3"/>
        <v>insert into DBConnections select ProcessId, ThreadId, 0, 'LogUser', 'LogPwd', 'Algo' from vLastMSE where ProcessId=8636;</v>
      </c>
    </row>
    <row r="21" spans="2:7" x14ac:dyDescent="0.25">
      <c r="B21">
        <v>7476</v>
      </c>
      <c r="C21" t="s">
        <v>105</v>
      </c>
      <c r="D21" t="str">
        <f t="shared" si="0"/>
        <v>insert into Engines values(7476, 0, 200, 1, 4, 0, 1, 0,'LogUser','LogPwd','Algo');</v>
      </c>
      <c r="E21" t="str">
        <f t="shared" si="1"/>
        <v>insert into EngineCores select ProcessId, 0, ThreadId, 0 from vLastMSE where ProcessId=7476;</v>
      </c>
      <c r="F21" t="str">
        <f t="shared" si="2"/>
        <v>insert into CoreLoggerParms select ProcessId, ThreadId, 0 , 1, 0, 1, 1, 0, 1 from vLastMSE where ProcessId=7476;</v>
      </c>
      <c r="G21" t="str">
        <f t="shared" si="3"/>
        <v>insert into DBConnections select ProcessId, ThreadId, 0, 'LogUser', 'LogPwd', 'Algo' from vLastMSE where ProcessId=7476;</v>
      </c>
    </row>
    <row r="22" spans="2:7" x14ac:dyDescent="0.25">
      <c r="B22">
        <v>5212</v>
      </c>
      <c r="C22" s="6" t="s">
        <v>99</v>
      </c>
      <c r="D22" t="str">
        <f t="shared" si="0"/>
        <v>insert into Engines values(5212, 0, 050, 1, 4, 0, 1, 0,'LogUser','LogPwd','Algo');</v>
      </c>
      <c r="E22" t="str">
        <f t="shared" si="1"/>
        <v>insert into EngineCores select ProcessId, 0, ThreadId, 0 from vLastMSE where ProcessId=5212;</v>
      </c>
      <c r="F22" t="str">
        <f t="shared" si="2"/>
        <v>insert into CoreLoggerParms select ProcessId, ThreadId, 0 , 1, 0, 1, 1, 0, 1 from vLastMSE where ProcessId=5212;</v>
      </c>
      <c r="G22" t="str">
        <f t="shared" si="3"/>
        <v>insert into DBConnections select ProcessId, ThreadId, 0, 'LogUser', 'LogPwd', 'Algo' from vLastMSE where ProcessId=5212;</v>
      </c>
    </row>
    <row r="23" spans="2:7" x14ac:dyDescent="0.25">
      <c r="B23">
        <v>8420</v>
      </c>
      <c r="C23" t="s">
        <v>105</v>
      </c>
      <c r="D23" t="str">
        <f t="shared" si="0"/>
        <v>insert into Engines values(8420, 0, 200, 1, 4, 0, 1, 0,'LogUser','LogPwd','Algo');</v>
      </c>
      <c r="E23" t="str">
        <f t="shared" si="1"/>
        <v>insert into EngineCores select ProcessId, 0, ThreadId, 0 from vLastMSE where ProcessId=8420;</v>
      </c>
      <c r="F23" t="str">
        <f t="shared" si="2"/>
        <v>insert into CoreLoggerParms select ProcessId, ThreadId, 0 , 1, 0, 1, 1, 0, 1 from vLastMSE where ProcessId=8420;</v>
      </c>
      <c r="G23" t="str">
        <f t="shared" si="3"/>
        <v>insert into DBConnections select ProcessId, ThreadId, 0, 'LogUser', 'LogPwd', 'Algo' from vLastMSE where ProcessId=8420;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C35"/>
  <sheetViews>
    <sheetView workbookViewId="0"/>
  </sheetViews>
  <sheetFormatPr defaultRowHeight="15" x14ac:dyDescent="0.25"/>
  <cols>
    <col min="1" max="1" width="13.140625" customWidth="1"/>
    <col min="2" max="2" width="17.42578125" customWidth="1"/>
    <col min="3" max="3" width="14.42578125" customWidth="1"/>
    <col min="4" max="4" width="17.42578125" customWidth="1"/>
    <col min="5" max="5" width="19.5703125" bestFit="1" customWidth="1"/>
  </cols>
  <sheetData>
    <row r="3" spans="1:3" x14ac:dyDescent="0.25">
      <c r="A3" s="1" t="s">
        <v>0</v>
      </c>
      <c r="B3" t="s">
        <v>381</v>
      </c>
      <c r="C3" t="s">
        <v>382</v>
      </c>
    </row>
    <row r="4" spans="1:3" x14ac:dyDescent="0.25">
      <c r="A4" s="2">
        <v>0</v>
      </c>
      <c r="B4" s="25">
        <v>47575.66796875</v>
      </c>
      <c r="C4" s="22">
        <v>6006.98681640625</v>
      </c>
    </row>
    <row r="5" spans="1:3" x14ac:dyDescent="0.25">
      <c r="A5" s="2">
        <v>1</v>
      </c>
      <c r="B5" s="25">
        <v>53800.94140625</v>
      </c>
      <c r="C5" s="22">
        <v>6006.98681640625</v>
      </c>
    </row>
    <row r="6" spans="1:3" x14ac:dyDescent="0.25">
      <c r="A6" s="2">
        <v>2</v>
      </c>
      <c r="B6" s="25">
        <v>53800.94140625</v>
      </c>
      <c r="C6" s="22">
        <v>6006.98681640625</v>
      </c>
    </row>
    <row r="7" spans="1:3" x14ac:dyDescent="0.25">
      <c r="A7" s="2">
        <v>3</v>
      </c>
      <c r="B7" s="25">
        <v>53800.94140625</v>
      </c>
      <c r="C7" s="22">
        <v>6006.98681640625</v>
      </c>
    </row>
    <row r="8" spans="1:3" x14ac:dyDescent="0.25">
      <c r="A8" s="2">
        <v>4</v>
      </c>
      <c r="B8" s="25">
        <v>53800.94140625</v>
      </c>
      <c r="C8" s="22">
        <v>6006.98681640625</v>
      </c>
    </row>
    <row r="9" spans="1:3" x14ac:dyDescent="0.25">
      <c r="A9" s="2">
        <v>5</v>
      </c>
      <c r="B9" s="25">
        <v>53800.93359375</v>
      </c>
      <c r="C9" s="22">
        <v>6006.98681640625</v>
      </c>
    </row>
    <row r="10" spans="1:3" x14ac:dyDescent="0.25">
      <c r="A10" s="2">
        <v>6</v>
      </c>
      <c r="B10" s="25">
        <v>53800.921875</v>
      </c>
      <c r="C10" s="22">
        <v>6006.98681640625</v>
      </c>
    </row>
    <row r="11" spans="1:3" x14ac:dyDescent="0.25">
      <c r="A11" s="2">
        <v>7</v>
      </c>
      <c r="B11" s="25">
        <v>53800.87109375</v>
      </c>
      <c r="C11" s="22">
        <v>6006.98681640625</v>
      </c>
    </row>
    <row r="12" spans="1:3" x14ac:dyDescent="0.25">
      <c r="A12" s="2">
        <v>8</v>
      </c>
      <c r="B12" s="25">
        <v>53800.6875</v>
      </c>
      <c r="C12" s="22">
        <v>6006.98681640625</v>
      </c>
    </row>
    <row r="13" spans="1:3" x14ac:dyDescent="0.25">
      <c r="A13" s="2">
        <v>9</v>
      </c>
      <c r="B13" s="25">
        <v>53800.0234375</v>
      </c>
      <c r="C13" s="22">
        <v>6006.98681640625</v>
      </c>
    </row>
    <row r="14" spans="1:3" x14ac:dyDescent="0.25">
      <c r="A14" s="2">
        <v>10</v>
      </c>
      <c r="B14" s="25">
        <v>53797.3046875</v>
      </c>
      <c r="C14" s="22">
        <v>6006.98681640625</v>
      </c>
    </row>
    <row r="15" spans="1:3" x14ac:dyDescent="0.25">
      <c r="A15" s="2">
        <v>11</v>
      </c>
      <c r="B15" s="25">
        <v>53786.47265625</v>
      </c>
      <c r="C15" s="22">
        <v>6006.98681640625</v>
      </c>
    </row>
    <row r="16" spans="1:3" x14ac:dyDescent="0.25">
      <c r="A16" s="2">
        <v>12</v>
      </c>
      <c r="B16" s="25">
        <v>53743.34765625</v>
      </c>
      <c r="C16" s="22">
        <v>6006.98681640625</v>
      </c>
    </row>
    <row r="17" spans="1:3" x14ac:dyDescent="0.25">
      <c r="A17" s="2">
        <v>13</v>
      </c>
      <c r="B17" s="25">
        <v>53573.25</v>
      </c>
      <c r="C17" s="22">
        <v>6006.98681640625</v>
      </c>
    </row>
    <row r="18" spans="1:3" x14ac:dyDescent="0.25">
      <c r="A18" s="2">
        <v>14</v>
      </c>
      <c r="B18" s="25">
        <v>52931.24609375</v>
      </c>
      <c r="C18" s="22">
        <v>6006.98681640625</v>
      </c>
    </row>
    <row r="19" spans="1:3" x14ac:dyDescent="0.25">
      <c r="A19" s="2">
        <v>15</v>
      </c>
      <c r="B19" s="25">
        <v>50873.62890625</v>
      </c>
      <c r="C19" s="22">
        <v>6006.98681640625</v>
      </c>
    </row>
    <row r="20" spans="1:3" x14ac:dyDescent="0.25">
      <c r="A20" s="2">
        <v>16</v>
      </c>
      <c r="B20" s="25">
        <v>47044.19921875</v>
      </c>
      <c r="C20" s="22">
        <v>9723.353515625</v>
      </c>
    </row>
    <row r="21" spans="1:3" x14ac:dyDescent="0.25">
      <c r="A21" s="2">
        <v>17</v>
      </c>
      <c r="B21" s="25">
        <v>129349.0859375</v>
      </c>
      <c r="C21" s="22">
        <v>9723.353515625</v>
      </c>
    </row>
    <row r="22" spans="1:3" x14ac:dyDescent="0.25">
      <c r="A22" s="2">
        <v>18</v>
      </c>
      <c r="B22" s="25">
        <v>50140.76953125</v>
      </c>
      <c r="C22" s="22">
        <v>9723.353515625</v>
      </c>
    </row>
    <row r="23" spans="1:3" x14ac:dyDescent="0.25">
      <c r="A23" s="2">
        <v>19</v>
      </c>
      <c r="B23" s="25">
        <v>45611.31640625</v>
      </c>
      <c r="C23" s="22">
        <v>1740.19396972656</v>
      </c>
    </row>
    <row r="24" spans="1:3" x14ac:dyDescent="0.25">
      <c r="A24" s="2">
        <v>20</v>
      </c>
      <c r="B24" s="25">
        <v>45375.37109375</v>
      </c>
      <c r="C24" s="22">
        <v>1037.98657226563</v>
      </c>
    </row>
    <row r="25" spans="1:3" x14ac:dyDescent="0.25">
      <c r="A25" s="2">
        <v>21</v>
      </c>
      <c r="B25" s="25">
        <v>46909.51171875</v>
      </c>
      <c r="C25" s="22">
        <v>1037.98657226563</v>
      </c>
    </row>
    <row r="26" spans="1:3" x14ac:dyDescent="0.25">
      <c r="A26" s="2">
        <v>22</v>
      </c>
      <c r="B26" s="25">
        <v>45446.31640625</v>
      </c>
      <c r="C26" s="22">
        <v>1037.98657226563</v>
      </c>
    </row>
    <row r="27" spans="1:3" x14ac:dyDescent="0.25">
      <c r="A27" s="2">
        <v>23</v>
      </c>
      <c r="B27" s="25">
        <v>45370.12109375</v>
      </c>
      <c r="C27" s="22">
        <v>591.6494140625</v>
      </c>
    </row>
    <row r="28" spans="1:3" x14ac:dyDescent="0.25">
      <c r="A28" s="2">
        <v>24</v>
      </c>
      <c r="B28" s="25">
        <v>45342.98828125</v>
      </c>
      <c r="C28" s="22">
        <v>398.42935180664102</v>
      </c>
    </row>
    <row r="29" spans="1:3" x14ac:dyDescent="0.25">
      <c r="A29" s="2">
        <v>25</v>
      </c>
      <c r="B29" s="25">
        <v>45339.0859375</v>
      </c>
      <c r="C29" s="22">
        <v>338.89654541015602</v>
      </c>
    </row>
    <row r="30" spans="1:3" x14ac:dyDescent="0.25">
      <c r="A30" s="2">
        <v>26</v>
      </c>
      <c r="B30" s="25">
        <v>53230.90625</v>
      </c>
      <c r="C30" s="22">
        <v>338.89654541015602</v>
      </c>
    </row>
    <row r="31" spans="1:3" x14ac:dyDescent="0.25">
      <c r="A31" s="2">
        <v>27</v>
      </c>
      <c r="B31" s="25">
        <v>45775.140625</v>
      </c>
      <c r="C31" s="22">
        <v>338.89654541015602</v>
      </c>
    </row>
    <row r="32" spans="1:3" x14ac:dyDescent="0.25">
      <c r="A32" s="2">
        <v>28</v>
      </c>
      <c r="B32" s="25">
        <v>45358.98828125</v>
      </c>
      <c r="C32" s="22">
        <v>338.89654541015602</v>
      </c>
    </row>
    <row r="33" spans="1:3" x14ac:dyDescent="0.25">
      <c r="A33" s="2">
        <v>29</v>
      </c>
      <c r="B33" s="25">
        <v>45338.55078125</v>
      </c>
      <c r="C33" s="22">
        <v>94.532814025878906</v>
      </c>
    </row>
    <row r="34" spans="1:3" x14ac:dyDescent="0.25">
      <c r="A34" s="2">
        <v>30</v>
      </c>
      <c r="B34" s="25">
        <v>45336.1328125</v>
      </c>
      <c r="C34" s="22">
        <v>61.373088836669901</v>
      </c>
    </row>
    <row r="35" spans="1:3" x14ac:dyDescent="0.25">
      <c r="A35" s="2" t="s">
        <v>1</v>
      </c>
      <c r="B35" s="25">
        <v>45336.1328125</v>
      </c>
      <c r="C35" s="22">
        <v>61.373088836669901</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35"/>
  <sheetViews>
    <sheetView workbookViewId="0"/>
  </sheetViews>
  <sheetFormatPr defaultRowHeight="15" x14ac:dyDescent="0.25"/>
  <cols>
    <col min="1" max="1" width="14.140625" customWidth="1"/>
    <col min="2" max="2" width="21.140625" customWidth="1"/>
    <col min="3" max="3" width="19.140625" customWidth="1"/>
    <col min="4" max="4" width="20.140625" bestFit="1" customWidth="1"/>
    <col min="5" max="5" width="18.28515625" bestFit="1" customWidth="1"/>
    <col min="6" max="6" width="26.7109375" bestFit="1" customWidth="1"/>
    <col min="7" max="7" width="24.85546875" bestFit="1" customWidth="1"/>
    <col min="8" max="34" width="6.5703125" bestFit="1" customWidth="1"/>
    <col min="35" max="35" width="8.5703125" bestFit="1" customWidth="1"/>
    <col min="36" max="36" width="6.7109375" bestFit="1" customWidth="1"/>
    <col min="37" max="47" width="6.5703125" bestFit="1" customWidth="1"/>
    <col min="48" max="48" width="9.28515625" bestFit="1" customWidth="1"/>
    <col min="49" max="49" width="10.7109375" bestFit="1" customWidth="1"/>
  </cols>
  <sheetData>
    <row r="1" spans="1:3" x14ac:dyDescent="0.25">
      <c r="A1" s="1" t="s">
        <v>14</v>
      </c>
      <c r="B1" s="2">
        <v>21</v>
      </c>
    </row>
    <row r="2" spans="1:3" x14ac:dyDescent="0.25">
      <c r="A2" s="1" t="s">
        <v>33</v>
      </c>
      <c r="B2" t="s">
        <v>96</v>
      </c>
    </row>
    <row r="4" spans="1:3" x14ac:dyDescent="0.25">
      <c r="B4" s="1" t="s">
        <v>60</v>
      </c>
    </row>
    <row r="5" spans="1:3" x14ac:dyDescent="0.25">
      <c r="B5" s="16" t="s">
        <v>91</v>
      </c>
      <c r="C5" s="16"/>
    </row>
    <row r="6" spans="1:3" x14ac:dyDescent="0.25">
      <c r="A6" s="1" t="s">
        <v>0</v>
      </c>
      <c r="B6" t="s">
        <v>31</v>
      </c>
      <c r="C6" t="s">
        <v>97</v>
      </c>
    </row>
    <row r="7" spans="1:3" x14ac:dyDescent="0.25">
      <c r="A7" s="21">
        <v>2.5045182555913899E-3</v>
      </c>
      <c r="B7" s="15">
        <v>5.2624937840933968E-4</v>
      </c>
      <c r="C7" s="3">
        <v>2.5045186660632374E-3</v>
      </c>
    </row>
    <row r="8" spans="1:3" x14ac:dyDescent="0.25">
      <c r="A8" s="21">
        <v>2.5630462914705298E-3</v>
      </c>
      <c r="B8" s="15">
        <v>5.2458034340805077E-4</v>
      </c>
      <c r="C8" s="3">
        <v>2.5630468979848226E-3</v>
      </c>
    </row>
    <row r="9" spans="1:3" x14ac:dyDescent="0.25">
      <c r="A9" s="21">
        <v>2.6094238273799402E-3</v>
      </c>
      <c r="B9" s="15">
        <v>5.7429471474759514E-4</v>
      </c>
      <c r="C9" s="3">
        <v>2.6094244824981902E-3</v>
      </c>
    </row>
    <row r="10" spans="1:3" x14ac:dyDescent="0.25">
      <c r="A10" s="21">
        <v>2.6104634162038599E-3</v>
      </c>
      <c r="B10" s="15">
        <v>5.4383389544418296E-4</v>
      </c>
      <c r="C10" s="3">
        <v>2.6104636095401856E-3</v>
      </c>
    </row>
    <row r="11" spans="1:3" x14ac:dyDescent="0.25">
      <c r="A11" s="21">
        <v>2.6511079631745798E-3</v>
      </c>
      <c r="B11" s="15">
        <v>5.7620313747686904E-4</v>
      </c>
      <c r="C11" s="3">
        <v>2.6511082773499014E-3</v>
      </c>
    </row>
    <row r="12" spans="1:3" x14ac:dyDescent="0.25">
      <c r="A12" s="21">
        <v>2.6523263659328201E-3</v>
      </c>
      <c r="B12" s="15">
        <v>5.7716538400809554E-4</v>
      </c>
      <c r="C12" s="3">
        <v>2.6523258939838276E-3</v>
      </c>
    </row>
    <row r="13" spans="1:3" x14ac:dyDescent="0.25">
      <c r="A13" s="21">
        <v>2.6922526303678799E-3</v>
      </c>
      <c r="B13" s="15">
        <v>5.4572651137382291E-4</v>
      </c>
      <c r="C13" s="3">
        <v>2.6922531523068927E-3</v>
      </c>
    </row>
    <row r="14" spans="1:3" x14ac:dyDescent="0.25">
      <c r="A14" s="21">
        <v>2.7077475097030401E-3</v>
      </c>
      <c r="B14" s="15">
        <v>5.4984983102363797E-4</v>
      </c>
      <c r="C14" s="3">
        <v>2.7077459680566792E-3</v>
      </c>
    </row>
    <row r="15" spans="1:3" x14ac:dyDescent="0.25">
      <c r="A15" s="21">
        <v>2.7150895912200199E-3</v>
      </c>
      <c r="B15" s="15">
        <v>5.3902086198638762E-4</v>
      </c>
      <c r="C15" s="3">
        <v>2.7150907390394857E-3</v>
      </c>
    </row>
    <row r="16" spans="1:3" x14ac:dyDescent="0.25">
      <c r="A16" s="21">
        <v>2.7267211116850402E-3</v>
      </c>
      <c r="B16" s="15">
        <v>5.3940753164438324E-4</v>
      </c>
      <c r="C16" s="3">
        <v>2.7267208623176194E-3</v>
      </c>
    </row>
    <row r="17" spans="1:3" x14ac:dyDescent="0.25">
      <c r="A17" s="21">
        <v>2.7287094853818399E-3</v>
      </c>
      <c r="B17" s="15">
        <v>5.7429471474759514E-4</v>
      </c>
      <c r="C17" s="3">
        <v>2.6094244824981902E-3</v>
      </c>
    </row>
    <row r="18" spans="1:3" x14ac:dyDescent="0.25">
      <c r="A18" s="21">
        <v>2.7288943529128998E-3</v>
      </c>
      <c r="B18" s="15">
        <v>6.3158793252639906E-4</v>
      </c>
      <c r="C18" s="3">
        <v>3.3380647395034203E-3</v>
      </c>
    </row>
    <row r="19" spans="1:3" x14ac:dyDescent="0.25">
      <c r="A19" s="21">
        <v>2.7300291694700701E-3</v>
      </c>
      <c r="B19" s="15">
        <v>5.5852550369073868E-4</v>
      </c>
      <c r="C19" s="3">
        <v>2.7300304051260131E-3</v>
      </c>
    </row>
    <row r="20" spans="1:3" x14ac:dyDescent="0.25">
      <c r="A20" s="21">
        <v>2.73931701667607E-3</v>
      </c>
      <c r="B20" s="15">
        <v>5.3940753164438324E-4</v>
      </c>
      <c r="C20" s="3">
        <v>2.7267208623176194E-3</v>
      </c>
    </row>
    <row r="21" spans="1:3" x14ac:dyDescent="0.25">
      <c r="A21" s="21">
        <v>2.7393507771193999E-3</v>
      </c>
      <c r="B21" s="15">
        <v>5.460864848306898E-4</v>
      </c>
      <c r="C21" s="3">
        <v>2.7393519240135398E-3</v>
      </c>
    </row>
    <row r="22" spans="1:3" x14ac:dyDescent="0.25">
      <c r="A22" s="21">
        <v>2.7395684737712101E-3</v>
      </c>
      <c r="B22" s="15">
        <v>5.5276122529683753E-4</v>
      </c>
      <c r="C22" s="3">
        <v>2.739571537557617E-3</v>
      </c>
    </row>
    <row r="23" spans="1:3" x14ac:dyDescent="0.25">
      <c r="A23" s="21">
        <v>2.74024973623455E-3</v>
      </c>
      <c r="B23" s="15">
        <v>5.4577898917464391E-4</v>
      </c>
      <c r="C23" s="3">
        <v>2.740248835534663E-3</v>
      </c>
    </row>
    <row r="24" spans="1:3" x14ac:dyDescent="0.25">
      <c r="A24" s="21">
        <v>2.7408548630773999E-3</v>
      </c>
      <c r="B24" s="15">
        <v>5.5393187055687932E-4</v>
      </c>
      <c r="C24" s="3">
        <v>2.7408566146298508E-3</v>
      </c>
    </row>
    <row r="25" spans="1:3" x14ac:dyDescent="0.25">
      <c r="A25" s="21">
        <v>2.7771864552050799E-3</v>
      </c>
      <c r="B25" s="15">
        <v>5.6014690739753642E-4</v>
      </c>
      <c r="C25" s="3">
        <v>2.777186140328763E-3</v>
      </c>
    </row>
    <row r="26" spans="1:3" x14ac:dyDescent="0.25">
      <c r="A26" s="21">
        <v>2.80366791412234E-3</v>
      </c>
      <c r="B26" s="15">
        <v>5.891261087240038E-4</v>
      </c>
      <c r="C26" s="3">
        <v>2.8036685881023121E-3</v>
      </c>
    </row>
    <row r="27" spans="1:3" x14ac:dyDescent="0.25">
      <c r="A27" s="21">
        <v>2.8386912308633301E-3</v>
      </c>
      <c r="B27" s="15">
        <v>5.9262057067797046E-4</v>
      </c>
      <c r="C27" s="3">
        <v>2.8386868138961098E-3</v>
      </c>
    </row>
    <row r="28" spans="1:3" x14ac:dyDescent="0.25">
      <c r="A28" s="21">
        <v>2.8654306661337601E-3</v>
      </c>
      <c r="B28" s="15">
        <v>5.9984870938559827E-4</v>
      </c>
      <c r="C28" s="3">
        <v>2.8654319099386317E-3</v>
      </c>
    </row>
    <row r="29" spans="1:3" x14ac:dyDescent="0.25">
      <c r="A29" s="21">
        <v>3.3087665215134599E-3</v>
      </c>
      <c r="B29" s="15">
        <v>6.2104985737802603E-4</v>
      </c>
      <c r="C29" s="3">
        <v>3.3087662542233879E-3</v>
      </c>
    </row>
    <row r="30" spans="1:3" x14ac:dyDescent="0.25">
      <c r="A30" s="21">
        <v>3.3281163778155999E-3</v>
      </c>
      <c r="B30" s="15">
        <v>6.0805584837855808E-4</v>
      </c>
      <c r="C30" s="3">
        <v>3.3281145014955565E-3</v>
      </c>
    </row>
    <row r="31" spans="1:3" x14ac:dyDescent="0.25">
      <c r="A31" s="21">
        <v>3.3380659297108698E-3</v>
      </c>
      <c r="B31" s="15">
        <v>6.3158793252639906E-4</v>
      </c>
      <c r="C31" s="3">
        <v>3.3380647395034203E-3</v>
      </c>
    </row>
    <row r="32" spans="1:3" x14ac:dyDescent="0.25">
      <c r="A32" s="21">
        <v>3.3646663650870301E-3</v>
      </c>
      <c r="B32" s="15">
        <v>6.2414599727991685E-4</v>
      </c>
      <c r="C32" s="3">
        <v>3.364669375301286E-3</v>
      </c>
    </row>
    <row r="33" spans="1:3" x14ac:dyDescent="0.25">
      <c r="A33" s="21">
        <v>3.3867016900330799E-3</v>
      </c>
      <c r="B33" s="15">
        <v>6.5895715237916631E-4</v>
      </c>
      <c r="C33" s="3">
        <v>3.3867012060050596E-3</v>
      </c>
    </row>
    <row r="34" spans="1:3" x14ac:dyDescent="0.25">
      <c r="A34" s="21">
        <v>3.4071581903845102E-3</v>
      </c>
      <c r="B34" s="15">
        <v>6.6756625752982903E-4</v>
      </c>
      <c r="C34" s="3">
        <v>3.4071583270424955E-3</v>
      </c>
    </row>
    <row r="35" spans="1:3" x14ac:dyDescent="0.25">
      <c r="A35" s="20" t="s">
        <v>1</v>
      </c>
      <c r="B35" s="15">
        <v>5.7685039941598342E-4</v>
      </c>
      <c r="C35" s="3">
        <v>2.8648362787913853E-3</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21"/>
  <sheetViews>
    <sheetView workbookViewId="0"/>
  </sheetViews>
  <sheetFormatPr defaultRowHeight="15" x14ac:dyDescent="0.25"/>
  <cols>
    <col min="1" max="1" width="12.7109375" bestFit="1" customWidth="1"/>
    <col min="2" max="2" width="9.5703125" bestFit="1" customWidth="1"/>
    <col min="3" max="3" width="16.42578125" bestFit="1" customWidth="1"/>
    <col min="4" max="4" width="14.7109375" bestFit="1" customWidth="1"/>
    <col min="5" max="5" width="12.85546875" bestFit="1" customWidth="1"/>
    <col min="6" max="6" width="13.42578125" bestFit="1" customWidth="1"/>
    <col min="7" max="7" width="69" bestFit="1" customWidth="1"/>
    <col min="8" max="8" width="16.42578125" bestFit="1" customWidth="1"/>
    <col min="9" max="9" width="74.140625" bestFit="1" customWidth="1"/>
  </cols>
  <sheetData>
    <row r="1" spans="1:6" x14ac:dyDescent="0.25">
      <c r="A1" t="s">
        <v>3</v>
      </c>
      <c r="B1" t="s">
        <v>16</v>
      </c>
      <c r="C1" t="s">
        <v>17</v>
      </c>
      <c r="D1" t="s">
        <v>20</v>
      </c>
      <c r="E1" t="s">
        <v>21</v>
      </c>
      <c r="F1" t="s">
        <v>22</v>
      </c>
    </row>
    <row r="2" spans="1:6" x14ac:dyDescent="0.25">
      <c r="A2">
        <v>3812</v>
      </c>
      <c r="B2">
        <v>0</v>
      </c>
      <c r="D2" t="s">
        <v>18</v>
      </c>
      <c r="E2" t="s">
        <v>19</v>
      </c>
      <c r="F2" t="s">
        <v>23</v>
      </c>
    </row>
    <row r="3" spans="1:6" x14ac:dyDescent="0.25">
      <c r="A3">
        <v>3832</v>
      </c>
      <c r="B3">
        <v>0</v>
      </c>
      <c r="D3" t="s">
        <v>18</v>
      </c>
      <c r="E3" t="s">
        <v>19</v>
      </c>
      <c r="F3" t="s">
        <v>23</v>
      </c>
    </row>
    <row r="4" spans="1:6" x14ac:dyDescent="0.25">
      <c r="A4">
        <v>3932</v>
      </c>
      <c r="B4">
        <v>0</v>
      </c>
      <c r="D4" t="s">
        <v>18</v>
      </c>
      <c r="E4" t="s">
        <v>19</v>
      </c>
      <c r="F4" t="s">
        <v>23</v>
      </c>
    </row>
    <row r="5" spans="1:6" x14ac:dyDescent="0.25">
      <c r="A5">
        <v>4888</v>
      </c>
      <c r="B5">
        <v>0</v>
      </c>
      <c r="D5" t="s">
        <v>18</v>
      </c>
      <c r="E5" t="s">
        <v>19</v>
      </c>
      <c r="F5" t="s">
        <v>23</v>
      </c>
    </row>
    <row r="6" spans="1:6" x14ac:dyDescent="0.25">
      <c r="A6">
        <v>4936</v>
      </c>
      <c r="B6">
        <v>0</v>
      </c>
      <c r="D6" t="s">
        <v>18</v>
      </c>
      <c r="E6" t="s">
        <v>19</v>
      </c>
      <c r="F6" t="s">
        <v>23</v>
      </c>
    </row>
    <row r="7" spans="1:6" x14ac:dyDescent="0.25">
      <c r="A7">
        <v>6664</v>
      </c>
      <c r="B7">
        <v>0</v>
      </c>
      <c r="D7" t="s">
        <v>18</v>
      </c>
      <c r="E7" t="s">
        <v>19</v>
      </c>
      <c r="F7" t="s">
        <v>23</v>
      </c>
    </row>
    <row r="8" spans="1:6" x14ac:dyDescent="0.25">
      <c r="A8">
        <v>7688</v>
      </c>
      <c r="B8">
        <v>0</v>
      </c>
      <c r="D8" t="s">
        <v>18</v>
      </c>
      <c r="E8" t="s">
        <v>19</v>
      </c>
      <c r="F8" t="s">
        <v>23</v>
      </c>
    </row>
    <row r="9" spans="1:6" x14ac:dyDescent="0.25">
      <c r="A9">
        <v>8132</v>
      </c>
      <c r="B9">
        <v>0</v>
      </c>
      <c r="D9" t="s">
        <v>18</v>
      </c>
      <c r="E9" t="s">
        <v>19</v>
      </c>
      <c r="F9" t="s">
        <v>23</v>
      </c>
    </row>
    <row r="10" spans="1:6" x14ac:dyDescent="0.25">
      <c r="A10">
        <v>8492</v>
      </c>
      <c r="B10">
        <v>0</v>
      </c>
      <c r="D10" t="s">
        <v>18</v>
      </c>
      <c r="E10" t="s">
        <v>19</v>
      </c>
      <c r="F10" t="s">
        <v>23</v>
      </c>
    </row>
    <row r="11" spans="1:6" x14ac:dyDescent="0.25">
      <c r="A11">
        <v>9172</v>
      </c>
      <c r="B11">
        <v>0</v>
      </c>
      <c r="D11" t="s">
        <v>18</v>
      </c>
      <c r="E11" t="s">
        <v>19</v>
      </c>
      <c r="F11" t="s">
        <v>23</v>
      </c>
    </row>
    <row r="12" spans="1:6" x14ac:dyDescent="0.25">
      <c r="A12">
        <v>9508</v>
      </c>
      <c r="B12">
        <v>0</v>
      </c>
      <c r="D12" t="s">
        <v>18</v>
      </c>
      <c r="E12" t="s">
        <v>19</v>
      </c>
      <c r="F12" t="s">
        <v>23</v>
      </c>
    </row>
    <row r="13" spans="1:6" x14ac:dyDescent="0.25">
      <c r="A13">
        <v>9768</v>
      </c>
      <c r="B13">
        <v>0</v>
      </c>
      <c r="D13" t="s">
        <v>18</v>
      </c>
      <c r="E13" t="s">
        <v>19</v>
      </c>
      <c r="F13" t="s">
        <v>23</v>
      </c>
    </row>
    <row r="14" spans="1:6" x14ac:dyDescent="0.25">
      <c r="A14">
        <v>10172</v>
      </c>
      <c r="B14">
        <v>0</v>
      </c>
      <c r="D14" t="s">
        <v>18</v>
      </c>
      <c r="E14" t="s">
        <v>19</v>
      </c>
      <c r="F14" t="s">
        <v>23</v>
      </c>
    </row>
    <row r="15" spans="1:6" x14ac:dyDescent="0.25">
      <c r="A15">
        <v>10236</v>
      </c>
      <c r="B15">
        <v>0</v>
      </c>
      <c r="D15" t="s">
        <v>18</v>
      </c>
      <c r="E15" t="s">
        <v>19</v>
      </c>
      <c r="F15" t="s">
        <v>23</v>
      </c>
    </row>
    <row r="16" spans="1:6" x14ac:dyDescent="0.25">
      <c r="A16">
        <v>11744</v>
      </c>
      <c r="B16">
        <v>0</v>
      </c>
      <c r="D16" t="s">
        <v>18</v>
      </c>
      <c r="E16" t="s">
        <v>19</v>
      </c>
      <c r="F16" t="s">
        <v>23</v>
      </c>
    </row>
    <row r="17" spans="1:6" x14ac:dyDescent="0.25">
      <c r="A17">
        <v>11880</v>
      </c>
      <c r="B17">
        <v>0</v>
      </c>
      <c r="D17" t="s">
        <v>18</v>
      </c>
      <c r="E17" t="s">
        <v>19</v>
      </c>
      <c r="F17" t="s">
        <v>23</v>
      </c>
    </row>
    <row r="18" spans="1:6" x14ac:dyDescent="0.25">
      <c r="A18">
        <v>12184</v>
      </c>
      <c r="B18">
        <v>0</v>
      </c>
      <c r="D18" t="s">
        <v>18</v>
      </c>
      <c r="E18" t="s">
        <v>19</v>
      </c>
      <c r="F18" t="s">
        <v>23</v>
      </c>
    </row>
    <row r="19" spans="1:6" x14ac:dyDescent="0.25">
      <c r="A19">
        <v>12640</v>
      </c>
      <c r="B19">
        <v>0</v>
      </c>
      <c r="D19" t="s">
        <v>18</v>
      </c>
      <c r="E19" t="s">
        <v>19</v>
      </c>
      <c r="F19" t="s">
        <v>23</v>
      </c>
    </row>
    <row r="20" spans="1:6" x14ac:dyDescent="0.25">
      <c r="A20">
        <v>12956</v>
      </c>
      <c r="B20">
        <v>0</v>
      </c>
      <c r="D20" t="s">
        <v>18</v>
      </c>
      <c r="E20" t="s">
        <v>19</v>
      </c>
      <c r="F20" t="s">
        <v>23</v>
      </c>
    </row>
    <row r="21" spans="1:6" x14ac:dyDescent="0.25">
      <c r="A21">
        <v>14104</v>
      </c>
      <c r="B21">
        <v>0</v>
      </c>
      <c r="D21" t="s">
        <v>18</v>
      </c>
      <c r="E21" t="s">
        <v>19</v>
      </c>
      <c r="F21" t="s">
        <v>23</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Charts</vt:lpstr>
      </vt:variant>
      <vt:variant>
        <vt:i4>1</vt:i4>
      </vt:variant>
    </vt:vector>
  </HeadingPairs>
  <TitlesOfParts>
    <vt:vector size="15" baseType="lpstr">
      <vt:lpstr>MSE</vt:lpstr>
      <vt:lpstr>Run_TRS</vt:lpstr>
      <vt:lpstr>Run_TR</vt:lpstr>
      <vt:lpstr>Run_BASE</vt:lpstr>
      <vt:lpstr>TradeError</vt:lpstr>
      <vt:lpstr>TestEnvironment</vt:lpstr>
      <vt:lpstr>ClientInfo</vt:lpstr>
      <vt:lpstr>vXMLConfigs</vt:lpstr>
      <vt:lpstr>XMLconfigs</vt:lpstr>
      <vt:lpstr>Overview</vt:lpstr>
      <vt:lpstr>Fix_Engine_Scripts</vt:lpstr>
      <vt:lpstr>Internals-SCGD</vt:lpstr>
      <vt:lpstr>MSE_vs_Err</vt:lpstr>
      <vt:lpstr>Engine</vt:lpstr>
      <vt:lpstr>MSE-Err_Chart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gcaglion</dc:creator>
  <cp:lastModifiedBy>gcaglion</cp:lastModifiedBy>
  <dcterms:created xsi:type="dcterms:W3CDTF">2018-10-20T10:11:22Z</dcterms:created>
  <dcterms:modified xsi:type="dcterms:W3CDTF">2019-08-11T16:25:08Z</dcterms:modified>
</cp:coreProperties>
</file>